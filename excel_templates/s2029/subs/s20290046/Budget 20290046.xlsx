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1" sheetId="1" state="visible" r:id="rId3"/>
    <sheet name="Page 2" sheetId="2" state="visible" r:id="rId4"/>
    <sheet name="Page 3" sheetId="3" state="visible" r:id="rId5"/>
    <sheet name="Page 4" sheetId="4" state="visible" r:id="rId6"/>
    <sheet name="Page 5" sheetId="5" state="visible" r:id="rId7"/>
    <sheet name="4-12 TO 7-12 MES" sheetId="6" state="visible" r:id="rId8"/>
    <sheet name="jodpatra D" sheetId="7" state="visible" r:id="rId9"/>
    <sheet name="Sheet1" sheetId="8" state="visible" r:id="rId10"/>
  </sheets>
  <definedNames>
    <definedName function="false" hidden="false" localSheetId="5" name="_xlnm.Print_Area" vbProcedure="false">'4-12 TO 7-12 MES'!$A$1:$M$17</definedName>
    <definedName function="false" hidden="false" localSheetId="6" name="_xlnm.Print_Area" vbProcedure="false">'jodpatra D'!$A$1:$H$17</definedName>
    <definedName function="false" hidden="false" localSheetId="0" name="_xlnm.Print_Area" vbProcedure="false">'Page 1'!$A$1:$Q$299</definedName>
    <definedName function="false" hidden="false" localSheetId="1" name="_xlnm.Print_Area" vbProcedure="false">'Page 2'!$A$1:$P$298</definedName>
    <definedName function="false" hidden="false" localSheetId="2" name="_xlnm.Print_Area" vbProcedure="false">'Page 3'!$A$1:$I$148</definedName>
    <definedName function="false" hidden="false" localSheetId="3" name="_xlnm.Print_Area" vbProcedure="false">'Page 4'!$A$1:$L$154</definedName>
    <definedName function="false" hidden="false" localSheetId="4" name="_xlnm.Print_Area" vbProcedure="false">'Page 5'!$A$1:$L$22</definedName>
    <definedName function="false" hidden="false" localSheetId="4" name="_xlnm.Print_Titles" vbProcedure="false">'Page 5'!$1:$6</definedName>
    <definedName function="false" hidden="false" localSheetId="7" name="_xlnm.Print_Area" vbProcedure="false">Sheet1!$A$1:$K$31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<sst xmlns="http://schemas.openxmlformats.org/spreadsheetml/2006/main" count="1730" uniqueCount="170">
  <si>
    <t xml:space="preserve">प्रपत्र - ड  -  अर्थसंकल्पीय अंदाजपत्रक सन 2021-2022</t>
  </si>
  <si>
    <t xml:space="preserve">मागणी क्र.सी- 1- लेखाशिर्ष 2029 0046</t>
  </si>
  <si>
    <t xml:space="preserve">जिल्हा मुंबई शहर</t>
  </si>
  <si>
    <t xml:space="preserve">(आकडे हजारात)</t>
  </si>
  <si>
    <t xml:space="preserve">अ क्र</t>
  </si>
  <si>
    <t xml:space="preserve">वर्ग</t>
  </si>
  <si>
    <t xml:space="preserve">पद</t>
  </si>
  <si>
    <t xml:space="preserve">मंजूर पदे</t>
  </si>
  <si>
    <t xml:space="preserve">विशेष वेतन</t>
  </si>
  <si>
    <t xml:space="preserve">मुळ वेतन</t>
  </si>
  <si>
    <t xml:space="preserve">ग्रेड वेतन</t>
  </si>
  <si>
    <t xml:space="preserve">एकूण</t>
  </si>
  <si>
    <t xml:space="preserve">महागाई भत्ता 25%</t>
  </si>
  <si>
    <t xml:space="preserve">स्थानिक पुरक भत्ता</t>
  </si>
  <si>
    <t xml:space="preserve">घर भाडे भत्ता</t>
  </si>
  <si>
    <t xml:space="preserve">वाहन भत्ता</t>
  </si>
  <si>
    <t xml:space="preserve">धूलाई भत्ता</t>
  </si>
  <si>
    <t xml:space="preserve">रोख भत्ता</t>
  </si>
  <si>
    <t xml:space="preserve">चप्पल भत्ता/ इतर</t>
  </si>
  <si>
    <t xml:space="preserve">2020-2021</t>
  </si>
  <si>
    <t xml:space="preserve">2021-2022</t>
  </si>
  <si>
    <t xml:space="preserve">स्थायी</t>
  </si>
  <si>
    <t xml:space="preserve">वर्ग-1 व 2</t>
  </si>
  <si>
    <t xml:space="preserve">उप जिल्हाधिकारी/ वि.भू.अधि.</t>
  </si>
  <si>
    <t xml:space="preserve">एकूण वर्ग 1 2</t>
  </si>
  <si>
    <t xml:space="preserve">वर्ग-3</t>
  </si>
  <si>
    <t xml:space="preserve">अव्वल कारकून</t>
  </si>
  <si>
    <t xml:space="preserve">लिपिक</t>
  </si>
  <si>
    <t xml:space="preserve">आरेखक</t>
  </si>
  <si>
    <t xml:space="preserve">एकूण वर्ग 3</t>
  </si>
  <si>
    <t xml:space="preserve">वर्ग-4</t>
  </si>
  <si>
    <t xml:space="preserve">नोटीस वाहक</t>
  </si>
  <si>
    <t xml:space="preserve">शिपाई</t>
  </si>
  <si>
    <t xml:space="preserve">एकूण वर्ग 4</t>
  </si>
  <si>
    <t xml:space="preserve">एकूण वर्ग 1 2 3 4</t>
  </si>
  <si>
    <t xml:space="preserve">अ क</t>
  </si>
  <si>
    <t xml:space="preserve">अस्थायी</t>
  </si>
  <si>
    <t xml:space="preserve">उप जिल्हाधिकारी/वि.भू.अधि</t>
  </si>
  <si>
    <t xml:space="preserve">नगर रचनाकार</t>
  </si>
  <si>
    <t xml:space="preserve">सहाय्यक नगर रचनाकार</t>
  </si>
  <si>
    <t xml:space="preserve">एकूण वर्ग 1 व 2</t>
  </si>
  <si>
    <t xml:space="preserve">मंडळ अधिकारी</t>
  </si>
  <si>
    <t xml:space="preserve">वाहन चालक</t>
  </si>
  <si>
    <t xml:space="preserve">एकुण वर्ग 1 2 3 4</t>
  </si>
  <si>
    <t xml:space="preserve">जिल्हा मुंबई उपनगर जिल्हा</t>
  </si>
  <si>
    <t xml:space="preserve">जिल्हा ठाणे</t>
  </si>
  <si>
    <t xml:space="preserve">उप जिल्हाधिकारी/ वि.भू.अधि</t>
  </si>
  <si>
    <t xml:space="preserve">जिल्हा पालघर</t>
  </si>
  <si>
    <t xml:space="preserve">आदीवासी प्रो.भत्ता</t>
  </si>
  <si>
    <t xml:space="preserve">जिल्हा रायगड</t>
  </si>
  <si>
    <t xml:space="preserve">जिल्हा रत्नागिरी</t>
  </si>
  <si>
    <t xml:space="preserve">शासन, महसूल व वन विभागाकडील शा.नि.क्र.प्राफेब-2010/प्रक्र26/पुनर्बाधंणी-3/म-10, दि.30/7/2013 अन्वये 20530162 कडे सर्व पदे वर्ग केल्याने या लेखाशिर्षाखालील जिल्हा रत्नागिरी ची माहिती निरंक</t>
  </si>
  <si>
    <t xml:space="preserve">जिल्हा सिंधुदुर्ग</t>
  </si>
  <si>
    <t xml:space="preserve">वर्ग-1व 2</t>
  </si>
  <si>
    <t xml:space="preserve">शासन, महसूल व वन विभागाकडील शा.नि.क्र.प्राफेब-2010/प्रक्र26/पुनर्बाधंणी-3/म-10, दि.30/7/2013 अन्वये 20530162 कडे सर्व पदे वर्ग केल्याने या लेखाशिर्षाखालील जिल्हा सिंधुदुर्ग ची माहिती निरंक</t>
  </si>
  <si>
    <t xml:space="preserve">मा.विभागीय आयुक्त कोकण विभाग यांचे कार्यालय</t>
  </si>
  <si>
    <t xml:space="preserve">कोकण विभाग</t>
  </si>
  <si>
    <t xml:space="preserve">(विनिता भूमकर)</t>
  </si>
  <si>
    <t xml:space="preserve">सहाय्यक संचालक (लेखा)</t>
  </si>
  <si>
    <t xml:space="preserve">प्रपत्र - क  -  अर्थसंकल्पीय अंदाजपत्रक सन 2021-2022</t>
  </si>
  <si>
    <t xml:space="preserve">जिल्हा</t>
  </si>
  <si>
    <t xml:space="preserve">स्थायी पदे</t>
  </si>
  <si>
    <t xml:space="preserve">भरलेली पदे</t>
  </si>
  <si>
    <t xml:space="preserve">रिक्त पदे</t>
  </si>
  <si>
    <t xml:space="preserve">एकुण</t>
  </si>
  <si>
    <t xml:space="preserve">मुंबई शहर</t>
  </si>
  <si>
    <t xml:space="preserve">पदे</t>
  </si>
  <si>
    <t xml:space="preserve">वेतन</t>
  </si>
  <si>
    <t xml:space="preserve">ग्रेड पे</t>
  </si>
  <si>
    <t xml:space="preserve">महा.भत्ता</t>
  </si>
  <si>
    <t xml:space="preserve">स्था.पु.भ.</t>
  </si>
  <si>
    <t xml:space="preserve">घरभाडे</t>
  </si>
  <si>
    <t xml:space="preserve">प्रवास भत्ता</t>
  </si>
  <si>
    <t xml:space="preserve">इतर</t>
  </si>
  <si>
    <t xml:space="preserve">अस्थायी पदे</t>
  </si>
  <si>
    <t xml:space="preserve">सर्व वर्ग पदे</t>
  </si>
  <si>
    <t xml:space="preserve">मुंबई उपनगर</t>
  </si>
  <si>
    <t xml:space="preserve">ठाणे</t>
  </si>
  <si>
    <t xml:space="preserve">पालघर</t>
  </si>
  <si>
    <t xml:space="preserve">रायगड</t>
  </si>
  <si>
    <t xml:space="preserve">रत्नागिरी</t>
  </si>
  <si>
    <t xml:space="preserve">सिंधुदुर्ग</t>
  </si>
  <si>
    <t xml:space="preserve">विभाग</t>
  </si>
  <si>
    <t xml:space="preserve">मा. विभागीय आयुक्त कोकण विभाग यांचे कार्यालय</t>
  </si>
  <si>
    <t xml:space="preserve">प्रपत्र - ब  -  अर्थसंकल्पीय अंदाजपत्रक सन 2021-2022</t>
  </si>
  <si>
    <t xml:space="preserve">मंजुर पदे</t>
  </si>
  <si>
    <t xml:space="preserve">अ.क्र.</t>
  </si>
  <si>
    <t xml:space="preserve">( आकडे हजारात)</t>
  </si>
  <si>
    <t xml:space="preserve">जिल्हा / विभाग</t>
  </si>
  <si>
    <t xml:space="preserve">वैद्यकिय खर्च</t>
  </si>
  <si>
    <t xml:space="preserve">उत्सव/सण अग्रिम</t>
  </si>
  <si>
    <t xml:space="preserve">स्वग्राम/महाराष्ट्र दर्शन</t>
  </si>
  <si>
    <t xml:space="preserve">7 व्या वेतन आयोग फरक</t>
  </si>
  <si>
    <t xml:space="preserve">एनपीएस </t>
  </si>
  <si>
    <t xml:space="preserve">मा.विभागीय आयुक्त कोकण विभाग कार्यालय</t>
  </si>
  <si>
    <t xml:space="preserve">.</t>
  </si>
  <si>
    <t xml:space="preserve">प्रपत्र - अ  - अर्थसंकल्पीय अंदाजपत्रक सन 2021-2022</t>
  </si>
  <si>
    <t xml:space="preserve">अ. क्र</t>
  </si>
  <si>
    <t xml:space="preserve">लेख्याची प्राथमिक आणि दुय्यम युनिट</t>
  </si>
  <si>
    <t xml:space="preserve">प्रत्यक्ष रक्कमा (खर्च)</t>
  </si>
  <si>
    <t xml:space="preserve">अर्थसंकल्पीय अंदाज</t>
  </si>
  <si>
    <t xml:space="preserve">सुधारीत अंदाज    2020-2021</t>
  </si>
  <si>
    <t xml:space="preserve">अर्थसंकल्पीय अंदाज 2021-2022</t>
  </si>
  <si>
    <t xml:space="preserve">मागील वर्षाच्या प्रत्यक्ष रक्कमा आणि चालु वर्षाच्या अर्थसंकल्पीय अंदाजाची तुलना करता आगामी वर्षासाठीच्या अंदाजातील वाढ किंवा घट यांच्या संबधातील स्पष्टीकरणे.</t>
  </si>
  <si>
    <t xml:space="preserve">2017-2018</t>
  </si>
  <si>
    <t xml:space="preserve">2018-2019</t>
  </si>
  <si>
    <t xml:space="preserve">2019-2020</t>
  </si>
  <si>
    <t xml:space="preserve">प्राकक्लन (एस्टिमेटिंग) अधिका-याचा</t>
  </si>
  <si>
    <t xml:space="preserve">नियंत्रक अधिका-यांचा</t>
  </si>
  <si>
    <t xml:space="preserve">प्रशासकीय विभागाचा</t>
  </si>
  <si>
    <t xml:space="preserve">वित्त विभागाचा</t>
  </si>
  <si>
    <t xml:space="preserve">01- वेतन</t>
  </si>
  <si>
    <t xml:space="preserve">03 अति.भत्ता</t>
  </si>
  <si>
    <t xml:space="preserve">06-दूरध्वनी वीज,पाणी व शुल्क</t>
  </si>
  <si>
    <t xml:space="preserve">11- देशातंर्गत प्रवास खर्च</t>
  </si>
  <si>
    <t xml:space="preserve">13- कार्यालयीन खर्च</t>
  </si>
  <si>
    <t xml:space="preserve">14-भाडेपटटी व कर</t>
  </si>
  <si>
    <t xml:space="preserve">17- संगणक खर्च</t>
  </si>
  <si>
    <t xml:space="preserve">26- जाहीरात व प्रसिध्दी खर्च</t>
  </si>
  <si>
    <t xml:space="preserve">51- मोटार वाहने</t>
  </si>
  <si>
    <t xml:space="preserve">जिल्हा मुंबई उपनगर</t>
  </si>
  <si>
    <t xml:space="preserve">06- दूरध्वनी वीज,पाणी व शुल्क</t>
  </si>
  <si>
    <t xml:space="preserve">06- दूरध्वनीवीज,पाणी व शुल्क</t>
  </si>
  <si>
    <t xml:space="preserve">01- वेतन:- या बाबीखाली  चालु महागाई भत्ता दर आकारणी 25% प्रमाणे विचारात घेवून केली आहे.</t>
  </si>
  <si>
    <t xml:space="preserve">06- दूरध्वनी वीज, पाणी व शुल्क</t>
  </si>
  <si>
    <t xml:space="preserve">06- दूरध्वनी, वीज पाणी व शुल्क:- भुसंपादन कार्यालयाकडील क्षेत्रीय कार्यालये व मुख्यालये यामध्ये दुरध्वनी खर्च तसेच वाढीव दराची वीज देयके अदा करणेकामी जादा अनुदानाची आवश्यकता आहे.</t>
  </si>
  <si>
    <t xml:space="preserve">11- देशातंर्गत प्रवास खर्च:-  भुसंपादन कार्यालयाकडील कराव्या लागलेल्या फिरती बदली प्रवासभत्ता दैनिकभत्ता इत्यादीसाठी वाढीव महागाई दराच्या आधारावर जादा अनुदानाची आवश्यकता आहे.</t>
  </si>
  <si>
    <t xml:space="preserve">13- कार्यालयीन खर्च :- सदर बाबीखाली कार्या.खर्चसाठी स्टेशनरी, जडसंग्रह वस्तु, झेरॉक्स यांच्या वाढीव दरामुळे तसेच अधिका-या यांच्या साठी उपलब्ध असलेल्या शासकीय वाहनांची देखभाल, दुरुस्ती, पेट्रोल व डिझेल यांचे वाढीव दर यामुळे कार्यालयीन खर्च मोठया प्रमाणावर वाढला आहे. त्यामुळे वाढीव अनुदानाची मागणी केली आहे.</t>
  </si>
  <si>
    <t xml:space="preserve">14-भाडेपट्टी व कर :- भूसंपादन कार्यालयाचे हिश्याचे वार्षीक मालमत्ता कराचे देयक अदा करण्याकरीता अनुदनाची आवश्यकता आहे.</t>
  </si>
  <si>
    <t xml:space="preserve">17- संगणक खर्च :- सदर बाबीखाली सन 2010-2011 पासून मागणी करण्यात येत आहे. सदर उपशिर्षाखाली भुसंपादन कार्यालयास व क्षेत्रीय कार्यालयास पाठवावयाचे नियतकालीके अहवाल तयार करणे इ. कार्यालयीन कामे संगणकावर करावी लागतात. 2013-14 वित्‍त्तीय वर्षात सदर लेखाशिर्षातंर्गत नवीन बाब निर्माण करण्यांत आली आहे.मात्र अत्यल्प अनुदान उपलब्ध करुन देण्यांत आले. सबब या वित्तीय वर्षात सदर अनुदानाची तरतूद होण्यास विनंती आहे.</t>
  </si>
  <si>
    <t xml:space="preserve">20-इतर प्रशासकीय खर्च</t>
  </si>
  <si>
    <t xml:space="preserve">20-इतर प्रशासकीय खर्च:-विभागीय आयुक्त कार्यालयात आयोजित विविध प्रकारच्या बैठका आयोजित केल्या जातात. त्यावेळी उपस्थीतांकरीता चहा, नाश्ता इत्यादी मागविण्यांत येतो. सदर खर्चाची देयके अदा करण्याकरीता नवीन बाब निर्माण करण्यासाठी टोकन रक्कमेची आवश्यकता आहे.</t>
  </si>
  <si>
    <t xml:space="preserve">26-जाहीरात व प्रसिध्दी खर्च</t>
  </si>
  <si>
    <t xml:space="preserve">4/2020-7/2020 Monthly Expenditure 20290046</t>
  </si>
  <si>
    <t xml:space="preserve">Sub Head</t>
  </si>
  <si>
    <t xml:space="preserve">Details</t>
  </si>
  <si>
    <t xml:space="preserve">Mcity</t>
  </si>
  <si>
    <t xml:space="preserve">MSD</t>
  </si>
  <si>
    <t xml:space="preserve">PAO</t>
  </si>
  <si>
    <t xml:space="preserve">THANE</t>
  </si>
  <si>
    <t xml:space="preserve">PALGHAR</t>
  </si>
  <si>
    <t xml:space="preserve">RAIGAD</t>
  </si>
  <si>
    <t xml:space="preserve">RATNAGIRI</t>
  </si>
  <si>
    <t xml:space="preserve">SINDHUDURG</t>
  </si>
  <si>
    <t xml:space="preserve">DIV COMM</t>
  </si>
  <si>
    <t xml:space="preserve">AG</t>
  </si>
  <si>
    <t xml:space="preserve">TOTAL</t>
  </si>
  <si>
    <t xml:space="preserve">Salary</t>
  </si>
  <si>
    <t xml:space="preserve">ELCT/WAT/TEL</t>
  </si>
  <si>
    <t xml:space="preserve">TE</t>
  </si>
  <si>
    <t xml:space="preserve">OE</t>
  </si>
  <si>
    <t xml:space="preserve">Propert Tax</t>
  </si>
  <si>
    <t xml:space="preserve">Computer Exp.</t>
  </si>
  <si>
    <t xml:space="preserve">Advertisement &amp; Publicity</t>
  </si>
  <si>
    <t xml:space="preserve">Motor Car</t>
  </si>
  <si>
    <t xml:space="preserve">                   </t>
  </si>
  <si>
    <t xml:space="preserve">जोडपत्र-ड</t>
  </si>
  <si>
    <t xml:space="preserve">अर्थसंकल्पीय अंदाजपत्रक सन 2021-2022</t>
  </si>
  <si>
    <t xml:space="preserve">मागणी क्र.सी-1 2029 जमीन महसूल (20290046)</t>
  </si>
  <si>
    <t xml:space="preserve">कोकण विभाग संगर्व निहाय पदांची माहिती</t>
  </si>
  <si>
    <t xml:space="preserve">संवर्ग</t>
  </si>
  <si>
    <t xml:space="preserve">वर्ग-1</t>
  </si>
  <si>
    <t xml:space="preserve">वर्ग-2</t>
  </si>
  <si>
    <t xml:space="preserve">प्रपत्र - अ  - अर्थसंकल्पीय अंदाजपत्रक सन 2018-2019</t>
  </si>
  <si>
    <t xml:space="preserve">मागणी क्र.सी-1- लेखाशिर्ष : 20290046</t>
  </si>
  <si>
    <t xml:space="preserve">अ. क्र.</t>
  </si>
  <si>
    <t xml:space="preserve">उपलेखाशिर्ष</t>
  </si>
  <si>
    <t xml:space="preserve">मा.उप आयुक्त (सा.प्र.)</t>
  </si>
  <si>
    <t xml:space="preserve">03- अति.भत्ता</t>
  </si>
  <si>
    <t xml:space="preserve">14-भाडेपट्टी व कर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</si>
</sst>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2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000000"/>
      <name val="DVOT-Surekh"/>
      <family val="0"/>
    </font>
    <font>
      <b val="true"/>
      <u val="single"/>
      <sz val="10"/>
      <color rgb="FF000000"/>
      <name val="DVOT-Surekh"/>
      <family val="0"/>
    </font>
    <font>
      <sz val="10"/>
      <name val="DVOT-Surekh"/>
      <family val="0"/>
    </font>
    <font>
      <b val="true"/>
      <u val="single"/>
      <sz val="10"/>
      <name val="DVOT-Surekh"/>
      <family val="0"/>
    </font>
    <font>
      <b val="true"/>
      <sz val="10"/>
      <name val="DVOT-Surekh"/>
      <family val="0"/>
    </font>
    <font>
      <b val="true"/>
      <sz val="10"/>
      <color rgb="FF000000"/>
      <name val="DVOT-Surekh"/>
      <family val="0"/>
    </font>
    <font>
      <sz val="10"/>
      <color rgb="FFFF0000"/>
      <name val="DVOT-Surekh"/>
      <family val="0"/>
    </font>
    <font>
      <b val="true"/>
      <sz val="11"/>
      <color rgb="FF000000"/>
      <name val="DVOT-Surekh"/>
      <family val="0"/>
    </font>
    <font>
      <b val="true"/>
      <sz val="10"/>
      <color rgb="FFFFFF00"/>
      <name val="DVOT-Surekh"/>
      <family val="0"/>
    </font>
    <font>
      <sz val="11"/>
      <color rgb="FF000000"/>
      <name val="DVOT-Surekh"/>
      <family val="0"/>
    </font>
    <font>
      <b val="true"/>
      <u val="single"/>
      <sz val="11"/>
      <color rgb="FF000000"/>
      <name val="DVOT-Surekh"/>
      <family val="0"/>
    </font>
    <font>
      <b val="true"/>
      <sz val="9"/>
      <color rgb="FF000000"/>
      <name val="DVOT-Surekh"/>
      <family val="0"/>
    </font>
    <font>
      <b val="true"/>
      <sz val="11"/>
      <name val="DVOT-Surekh"/>
      <family val="0"/>
    </font>
    <font>
      <sz val="11"/>
      <name val="DVOT-Surekh"/>
      <family val="0"/>
    </font>
    <font>
      <b val="true"/>
      <sz val="14"/>
      <color rgb="FF000000"/>
      <name val="DVOT-Surekh"/>
      <family val="0"/>
    </font>
    <font>
      <b val="true"/>
      <sz val="13"/>
      <color rgb="FF000000"/>
      <name val="DVOT-Surekh"/>
      <family val="0"/>
    </font>
    <font>
      <sz val="12"/>
      <color rgb="FF000000"/>
      <name val="DVOT-Surekh"/>
      <family val="0"/>
    </font>
    <font>
      <b val="true"/>
      <sz val="12"/>
      <color rgb="FF000000"/>
      <name val="DVOT-Surekh"/>
      <family val="0"/>
    </font>
    <font>
      <sz val="8"/>
      <color rgb="FF000000"/>
      <name val="DVOT-Surekh"/>
      <family val="0"/>
    </font>
    <font>
      <b val="true"/>
      <sz val="11"/>
      <color rgb="FFFF0000"/>
      <name val="DVOT-Surekh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5.75" customHeight="true" zeroHeight="false" outlineLevelRow="0" outlineLevelCol="0"/>
  <cols>
    <col collapsed="false" customWidth="true" hidden="false" outlineLevel="0" max="1" min="1" style="1" width="3.56"/>
    <col collapsed="false" customWidth="true" hidden="false" outlineLevel="0" max="2" min="2" style="2" width="8.85"/>
    <col collapsed="false" customWidth="true" hidden="false" outlineLevel="0" max="3" min="3" style="3" width="24.85"/>
    <col collapsed="false" customWidth="true" hidden="false" outlineLevel="0" max="4" min="4" style="4" width="9.99"/>
    <col collapsed="false" customWidth="true" hidden="false" outlineLevel="0" max="5" min="5" style="4" width="9.85"/>
    <col collapsed="false" customWidth="true" hidden="false" outlineLevel="0" max="6" min="6" style="4" width="7.99"/>
    <col collapsed="false" customWidth="true" hidden="false" outlineLevel="0" max="7" min="7" style="4" width="10.71"/>
    <col collapsed="false" customWidth="true" hidden="false" outlineLevel="0" max="8" min="8" style="4" width="9.41"/>
    <col collapsed="false" customWidth="true" hidden="false" outlineLevel="0" max="9" min="9" style="4" width="9.85"/>
    <col collapsed="false" customWidth="true" hidden="false" outlineLevel="0" max="10" min="10" style="4" width="9.7"/>
    <col collapsed="false" customWidth="false" hidden="false" outlineLevel="0" max="11" min="11" style="4" width="9.14"/>
    <col collapsed="false" customWidth="true" hidden="false" outlineLevel="0" max="12" min="12" style="4" width="8.99"/>
    <col collapsed="false" customWidth="true" hidden="false" outlineLevel="0" max="13" min="13" style="4" width="7.42"/>
    <col collapsed="false" customWidth="true" hidden="false" outlineLevel="0" max="14" min="14" style="4" width="7.85"/>
    <col collapsed="false" customWidth="true" hidden="false" outlineLevel="0" max="15" min="15" style="4" width="7.28"/>
    <col collapsed="false" customWidth="true" hidden="false" outlineLevel="0" max="16" min="16" style="4" width="9.28"/>
    <col collapsed="false" customWidth="true" hidden="false" outlineLevel="0" max="17" min="17" style="4" width="12.56"/>
    <col collapsed="false" customWidth="false" hidden="false" outlineLevel="0" max="257" min="18" style="4" width="9.14"/>
  </cols>
  <sheetData>
    <row r="1" customFormat="false" ht="15.7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customFormat="false" ht="15.7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5.75" hidden="false" customHeight="false" outlineLevel="0" collapsed="false">
      <c r="A3" s="6" t="s">
        <v>2</v>
      </c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 t="s">
        <v>3</v>
      </c>
      <c r="P3" s="8"/>
      <c r="Q3" s="8"/>
    </row>
    <row r="4" customFormat="false" ht="15.75" hidden="false" customHeight="true" outlineLevel="0" collapsed="false">
      <c r="A4" s="9" t="s">
        <v>4</v>
      </c>
      <c r="B4" s="9" t="s">
        <v>5</v>
      </c>
      <c r="C4" s="10" t="s">
        <v>6</v>
      </c>
      <c r="D4" s="11" t="s">
        <v>7</v>
      </c>
      <c r="E4" s="11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11</v>
      </c>
    </row>
    <row r="5" customFormat="false" ht="27.75" hidden="false" customHeight="true" outlineLevel="0" collapsed="false">
      <c r="A5" s="9"/>
      <c r="B5" s="9"/>
      <c r="C5" s="10"/>
      <c r="D5" s="9" t="s">
        <v>19</v>
      </c>
      <c r="E5" s="9" t="s">
        <v>20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customFormat="false" ht="15.75" hidden="false" customHeight="false" outlineLevel="0" collapsed="false">
      <c r="A6" s="9"/>
      <c r="B6" s="9"/>
      <c r="C6" s="13" t="s">
        <v>21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customFormat="false" ht="20.25" hidden="false" customHeight="true" outlineLevel="0" collapsed="false">
      <c r="A7" s="14" t="n">
        <v>1</v>
      </c>
      <c r="B7" s="15" t="s">
        <v>22</v>
      </c>
      <c r="C7" s="15" t="s">
        <v>23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7" t="n">
        <f aca="false">SUM(G7:H7)</f>
        <v>0</v>
      </c>
      <c r="J7" s="16" t="n">
        <f aca="false">ROUND(I7*1.6,0)</f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8" t="n">
        <f aca="false">SUM(I7:P7)+F7</f>
        <v>0</v>
      </c>
    </row>
    <row r="8" customFormat="false" ht="20.25" hidden="false" customHeight="true" outlineLevel="0" collapsed="false">
      <c r="A8" s="19"/>
      <c r="B8" s="20"/>
      <c r="C8" s="21" t="s">
        <v>24</v>
      </c>
      <c r="D8" s="22" t="n">
        <f aca="false">SUM(D7)</f>
        <v>0</v>
      </c>
      <c r="E8" s="22" t="n">
        <f aca="false">SUM(E7)</f>
        <v>0</v>
      </c>
      <c r="F8" s="22" t="n">
        <f aca="false">SUM(F7)</f>
        <v>0</v>
      </c>
      <c r="G8" s="22" t="n">
        <f aca="false">SUM(G7)</f>
        <v>0</v>
      </c>
      <c r="H8" s="22" t="n">
        <f aca="false">SUM(H7)</f>
        <v>0</v>
      </c>
      <c r="I8" s="22" t="n">
        <f aca="false">SUM(I7)</f>
        <v>0</v>
      </c>
      <c r="J8" s="22" t="n">
        <f aca="false">SUM(J7)</f>
        <v>0</v>
      </c>
      <c r="K8" s="22" t="n">
        <f aca="false">SUM(K7)</f>
        <v>0</v>
      </c>
      <c r="L8" s="22" t="n">
        <f aca="false">SUM(L7)</f>
        <v>0</v>
      </c>
      <c r="M8" s="22" t="n">
        <f aca="false">SUM(M7)</f>
        <v>0</v>
      </c>
      <c r="N8" s="22" t="n">
        <f aca="false">SUM(N7)</f>
        <v>0</v>
      </c>
      <c r="O8" s="22" t="n">
        <f aca="false">SUM(O7)</f>
        <v>0</v>
      </c>
      <c r="P8" s="22" t="n">
        <f aca="false">SUM(P7)</f>
        <v>0</v>
      </c>
      <c r="Q8" s="22" t="n">
        <f aca="false">SUM(Q7)</f>
        <v>0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</row>
    <row r="9" customFormat="false" ht="17.25" hidden="false" customHeight="true" outlineLevel="0" collapsed="false">
      <c r="A9" s="24" t="n">
        <v>2</v>
      </c>
      <c r="B9" s="25" t="s">
        <v>25</v>
      </c>
      <c r="C9" s="26" t="s">
        <v>26</v>
      </c>
      <c r="D9" s="27" t="n">
        <v>0</v>
      </c>
      <c r="E9" s="27" t="n">
        <v>0</v>
      </c>
      <c r="F9" s="27" t="n">
        <v>0</v>
      </c>
      <c r="G9" s="27" t="n">
        <v>0</v>
      </c>
      <c r="H9" s="27" t="n">
        <v>0</v>
      </c>
      <c r="I9" s="28" t="n">
        <f aca="false">SUM(G9:H9)</f>
        <v>0</v>
      </c>
      <c r="J9" s="16" t="n">
        <f aca="false">ROUND(I9*1.6,0)</f>
        <v>0</v>
      </c>
      <c r="K9" s="27" t="n">
        <v>0</v>
      </c>
      <c r="L9" s="27" t="n">
        <v>0</v>
      </c>
      <c r="M9" s="27" t="n">
        <v>0</v>
      </c>
      <c r="N9" s="27" t="n">
        <v>0</v>
      </c>
      <c r="O9" s="27" t="n">
        <v>0</v>
      </c>
      <c r="P9" s="27" t="n">
        <v>0</v>
      </c>
      <c r="Q9" s="29" t="n">
        <f aca="false">SUM(I9:P9)+F9</f>
        <v>0</v>
      </c>
    </row>
    <row r="10" customFormat="false" ht="17.25" hidden="false" customHeight="false" outlineLevel="0" collapsed="false">
      <c r="A10" s="24"/>
      <c r="B10" s="25"/>
      <c r="C10" s="30" t="s">
        <v>27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v>0</v>
      </c>
      <c r="I10" s="28" t="n">
        <f aca="false">SUM(G10:H10)</f>
        <v>0</v>
      </c>
      <c r="J10" s="16" t="n">
        <f aca="false">ROUND(I10*1.6,0)</f>
        <v>0</v>
      </c>
      <c r="K10" s="27" t="n">
        <v>0</v>
      </c>
      <c r="L10" s="27" t="n">
        <v>0</v>
      </c>
      <c r="M10" s="27" t="n">
        <v>0</v>
      </c>
      <c r="N10" s="27" t="n">
        <v>0</v>
      </c>
      <c r="O10" s="27" t="n">
        <v>0</v>
      </c>
      <c r="P10" s="27" t="n">
        <v>0</v>
      </c>
      <c r="Q10" s="29" t="n">
        <f aca="false">SUM(I10:P10)+F10</f>
        <v>0</v>
      </c>
    </row>
    <row r="11" customFormat="false" ht="17.25" hidden="false" customHeight="false" outlineLevel="0" collapsed="false">
      <c r="A11" s="24"/>
      <c r="B11" s="25"/>
      <c r="C11" s="31" t="s">
        <v>28</v>
      </c>
      <c r="D11" s="27" t="n">
        <v>0</v>
      </c>
      <c r="E11" s="27" t="n">
        <v>0</v>
      </c>
      <c r="F11" s="27" t="n">
        <v>0</v>
      </c>
      <c r="G11" s="27" t="n">
        <v>0</v>
      </c>
      <c r="H11" s="27" t="n">
        <v>0</v>
      </c>
      <c r="I11" s="28" t="n">
        <f aca="false">SUM(G11:H11)</f>
        <v>0</v>
      </c>
      <c r="J11" s="16" t="n">
        <f aca="false">ROUND(I11*1.6,0)</f>
        <v>0</v>
      </c>
      <c r="K11" s="27" t="n">
        <v>0</v>
      </c>
      <c r="L11" s="27" t="n">
        <v>0</v>
      </c>
      <c r="M11" s="27" t="n">
        <v>0</v>
      </c>
      <c r="N11" s="27" t="n">
        <v>0</v>
      </c>
      <c r="O11" s="27" t="n">
        <v>0</v>
      </c>
      <c r="P11" s="27" t="n">
        <v>0</v>
      </c>
      <c r="Q11" s="29" t="n">
        <f aca="false">SUM(I11:P11)+F11</f>
        <v>0</v>
      </c>
    </row>
    <row r="12" customFormat="false" ht="17.25" hidden="false" customHeight="false" outlineLevel="0" collapsed="false">
      <c r="A12" s="24"/>
      <c r="B12" s="25"/>
      <c r="C12" s="32" t="s">
        <v>29</v>
      </c>
      <c r="D12" s="33" t="n">
        <f aca="false">SUM(D9:D11)</f>
        <v>0</v>
      </c>
      <c r="E12" s="33" t="n">
        <f aca="false">SUM(E9:E11)</f>
        <v>0</v>
      </c>
      <c r="F12" s="33" t="n">
        <f aca="false">SUM(F9:F11)</f>
        <v>0</v>
      </c>
      <c r="G12" s="33" t="n">
        <f aca="false">SUM(G9:G11)</f>
        <v>0</v>
      </c>
      <c r="H12" s="33" t="n">
        <f aca="false">SUM(H9:H11)</f>
        <v>0</v>
      </c>
      <c r="I12" s="33" t="n">
        <f aca="false">SUM(I9:I11)</f>
        <v>0</v>
      </c>
      <c r="J12" s="16" t="n">
        <f aca="false">ROUND(I12*1.6,0)</f>
        <v>0</v>
      </c>
      <c r="K12" s="33" t="n">
        <f aca="false">SUM(K9:K11)</f>
        <v>0</v>
      </c>
      <c r="L12" s="33" t="n">
        <f aca="false">SUM(L9:L11)</f>
        <v>0</v>
      </c>
      <c r="M12" s="33" t="n">
        <f aca="false">SUM(M9:M11)</f>
        <v>0</v>
      </c>
      <c r="N12" s="33" t="n">
        <f aca="false">SUM(N9:N11)</f>
        <v>0</v>
      </c>
      <c r="O12" s="33" t="n">
        <f aca="false">SUM(O9:O11)</f>
        <v>0</v>
      </c>
      <c r="P12" s="33" t="n">
        <f aca="false">SUM(P9:P11)</f>
        <v>0</v>
      </c>
      <c r="Q12" s="33" t="n">
        <f aca="false">SUM(Q9:Q11)</f>
        <v>0</v>
      </c>
    </row>
    <row r="13" customFormat="false" ht="17.25" hidden="false" customHeight="true" outlineLevel="0" collapsed="false">
      <c r="A13" s="24" t="n">
        <v>3</v>
      </c>
      <c r="B13" s="25" t="s">
        <v>30</v>
      </c>
      <c r="C13" s="26" t="s">
        <v>31</v>
      </c>
      <c r="D13" s="27" t="n">
        <v>0</v>
      </c>
      <c r="E13" s="27" t="n">
        <v>0</v>
      </c>
      <c r="F13" s="27" t="n">
        <v>0</v>
      </c>
      <c r="G13" s="27" t="n">
        <v>0</v>
      </c>
      <c r="H13" s="27" t="n">
        <v>0</v>
      </c>
      <c r="I13" s="28" t="n">
        <f aca="false">SUM(G13:H13)</f>
        <v>0</v>
      </c>
      <c r="J13" s="16" t="n">
        <f aca="false">ROUND(I13*1.6,0)</f>
        <v>0</v>
      </c>
      <c r="K13" s="27" t="n">
        <v>0</v>
      </c>
      <c r="L13" s="27" t="n">
        <v>0</v>
      </c>
      <c r="M13" s="27" t="n">
        <v>0</v>
      </c>
      <c r="N13" s="27" t="n">
        <v>0</v>
      </c>
      <c r="O13" s="27" t="n">
        <v>0</v>
      </c>
      <c r="P13" s="27" t="n">
        <v>0</v>
      </c>
      <c r="Q13" s="29" t="n">
        <f aca="false">SUM(I13:P13)+F13</f>
        <v>0</v>
      </c>
    </row>
    <row r="14" customFormat="false" ht="17.25" hidden="false" customHeight="false" outlineLevel="0" collapsed="false">
      <c r="A14" s="24"/>
      <c r="B14" s="25"/>
      <c r="C14" s="31" t="s">
        <v>32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8" t="n">
        <f aca="false">SUM(G14:H14)</f>
        <v>0</v>
      </c>
      <c r="J14" s="16" t="n">
        <f aca="false">ROUND(I14*1.6,0)</f>
        <v>0</v>
      </c>
      <c r="K14" s="27" t="n">
        <v>0</v>
      </c>
      <c r="L14" s="27" t="n">
        <v>0</v>
      </c>
      <c r="M14" s="27" t="n">
        <v>0</v>
      </c>
      <c r="N14" s="27" t="n">
        <v>0</v>
      </c>
      <c r="O14" s="27" t="n">
        <v>0</v>
      </c>
      <c r="P14" s="27" t="n">
        <v>0</v>
      </c>
      <c r="Q14" s="29" t="n">
        <f aca="false">SUM(I14:P14)+F14</f>
        <v>0</v>
      </c>
    </row>
    <row r="15" customFormat="false" ht="17.25" hidden="false" customHeight="false" outlineLevel="0" collapsed="false">
      <c r="A15" s="24"/>
      <c r="B15" s="25"/>
      <c r="C15" s="32" t="s">
        <v>33</v>
      </c>
      <c r="D15" s="33" t="n">
        <f aca="false">SUM(D13:D14)</f>
        <v>0</v>
      </c>
      <c r="E15" s="33" t="n">
        <f aca="false">SUM(E13:E14)</f>
        <v>0</v>
      </c>
      <c r="F15" s="33" t="n">
        <f aca="false">SUM(F13:F14)</f>
        <v>0</v>
      </c>
      <c r="G15" s="33" t="n">
        <f aca="false">SUM(G13:G14)</f>
        <v>0</v>
      </c>
      <c r="H15" s="33" t="n">
        <f aca="false">SUM(H13:H14)</f>
        <v>0</v>
      </c>
      <c r="I15" s="33" t="n">
        <f aca="false">SUM(I13:I14)</f>
        <v>0</v>
      </c>
      <c r="J15" s="33" t="n">
        <f aca="false">SUM(J13:J14)</f>
        <v>0</v>
      </c>
      <c r="K15" s="33" t="n">
        <f aca="false">SUM(K13:K14)</f>
        <v>0</v>
      </c>
      <c r="L15" s="33" t="n">
        <f aca="false">SUM(L13:L14)</f>
        <v>0</v>
      </c>
      <c r="M15" s="33" t="n">
        <f aca="false">SUM(M13:M14)</f>
        <v>0</v>
      </c>
      <c r="N15" s="33" t="n">
        <f aca="false">SUM(N13:N14)</f>
        <v>0</v>
      </c>
      <c r="O15" s="33" t="n">
        <f aca="false">SUM(O13:O14)</f>
        <v>0</v>
      </c>
      <c r="P15" s="33" t="n">
        <f aca="false">SUM(P13:P14)</f>
        <v>0</v>
      </c>
      <c r="Q15" s="33" t="n">
        <f aca="false">SUM(Q13:Q14)</f>
        <v>0</v>
      </c>
    </row>
    <row r="16" customFormat="false" ht="17.25" hidden="false" customHeight="false" outlineLevel="0" collapsed="false">
      <c r="A16" s="24"/>
      <c r="B16" s="34"/>
      <c r="C16" s="35" t="s">
        <v>34</v>
      </c>
      <c r="D16" s="22" t="n">
        <f aca="false">SUM(D15,D12,D8)</f>
        <v>0</v>
      </c>
      <c r="E16" s="22" t="n">
        <f aca="false">SUM(E15,E12,E8)</f>
        <v>0</v>
      </c>
      <c r="F16" s="22" t="n">
        <f aca="false">SUM(F15,F12,F8)</f>
        <v>0</v>
      </c>
      <c r="G16" s="22" t="n">
        <f aca="false">SUM(G15,G12,G8)</f>
        <v>0</v>
      </c>
      <c r="H16" s="22" t="n">
        <f aca="false">SUM(H15,H12,H8)</f>
        <v>0</v>
      </c>
      <c r="I16" s="22" t="n">
        <f aca="false">SUM(I15,I12,I8)</f>
        <v>0</v>
      </c>
      <c r="J16" s="22" t="n">
        <f aca="false">SUM(J15,J12,J8)</f>
        <v>0</v>
      </c>
      <c r="K16" s="22" t="n">
        <f aca="false">SUM(K15,K12,K8)</f>
        <v>0</v>
      </c>
      <c r="L16" s="22" t="n">
        <f aca="false">SUM(L15,L12,L8)</f>
        <v>0</v>
      </c>
      <c r="M16" s="22" t="n">
        <f aca="false">SUM(M15,M12,M8)</f>
        <v>0</v>
      </c>
      <c r="N16" s="22" t="n">
        <f aca="false">SUM(N15,N12,N8)</f>
        <v>0</v>
      </c>
      <c r="O16" s="22" t="n">
        <f aca="false">SUM(O15,O12,O8)</f>
        <v>0</v>
      </c>
      <c r="P16" s="22" t="n">
        <f aca="false">SUM(P15,P12,P8)</f>
        <v>0</v>
      </c>
      <c r="Q16" s="22" t="n">
        <f aca="false">SUM(Q15,Q12,Q8)</f>
        <v>0</v>
      </c>
    </row>
    <row r="17" customFormat="false" ht="16.5" hidden="false" customHeight="false" outlineLevel="0" collapsed="false">
      <c r="A17" s="36"/>
      <c r="B17" s="3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</row>
    <row r="18" customFormat="false" ht="17.25" hidden="false" customHeight="true" outlineLevel="0" collapsed="false">
      <c r="A18" s="9" t="s">
        <v>35</v>
      </c>
      <c r="B18" s="9" t="s">
        <v>5</v>
      </c>
      <c r="C18" s="10" t="s">
        <v>6</v>
      </c>
      <c r="D18" s="11" t="str">
        <f aca="false">D4</f>
        <v>मंजूर पदे</v>
      </c>
      <c r="E18" s="11" t="str">
        <f aca="false">E4</f>
        <v>मंजूर पदे</v>
      </c>
      <c r="F18" s="12" t="str">
        <f aca="false">F4</f>
        <v>विशेष वेतन</v>
      </c>
      <c r="G18" s="12" t="str">
        <f aca="false">G4</f>
        <v>मुळ वेतन</v>
      </c>
      <c r="H18" s="12" t="str">
        <f aca="false">H4</f>
        <v>ग्रेड वेतन</v>
      </c>
      <c r="I18" s="12" t="str">
        <f aca="false">I4</f>
        <v>एकूण</v>
      </c>
      <c r="J18" s="12" t="str">
        <f aca="false">J4</f>
        <v>महागाई भत्ता 25%</v>
      </c>
      <c r="K18" s="12" t="s">
        <v>13</v>
      </c>
      <c r="L18" s="12" t="s">
        <v>14</v>
      </c>
      <c r="M18" s="12" t="s">
        <v>15</v>
      </c>
      <c r="N18" s="12" t="s">
        <v>16</v>
      </c>
      <c r="O18" s="12" t="s">
        <v>17</v>
      </c>
      <c r="P18" s="12" t="s">
        <v>18</v>
      </c>
      <c r="Q18" s="12" t="s">
        <v>11</v>
      </c>
    </row>
    <row r="19" customFormat="false" ht="15.75" hidden="false" customHeight="false" outlineLevel="0" collapsed="false">
      <c r="A19" s="9"/>
      <c r="B19" s="9"/>
      <c r="C19" s="10"/>
      <c r="D19" s="9" t="str">
        <f aca="false">D5</f>
        <v>2020-2021</v>
      </c>
      <c r="E19" s="9" t="str">
        <f aca="false">E5</f>
        <v>2021-2022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customFormat="false" ht="15.75" hidden="false" customHeight="false" outlineLevel="0" collapsed="false">
      <c r="A20" s="9"/>
      <c r="B20" s="9"/>
      <c r="C20" s="13" t="s">
        <v>36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customFormat="false" ht="15.75" hidden="false" customHeight="true" outlineLevel="0" collapsed="false">
      <c r="A21" s="14" t="n">
        <v>1</v>
      </c>
      <c r="B21" s="38" t="s">
        <v>22</v>
      </c>
      <c r="C21" s="39" t="s">
        <v>37</v>
      </c>
      <c r="D21" s="40" t="n">
        <v>0</v>
      </c>
      <c r="E21" s="40" t="n">
        <v>0</v>
      </c>
      <c r="F21" s="40" t="n">
        <v>0</v>
      </c>
      <c r="G21" s="40" t="n">
        <v>0</v>
      </c>
      <c r="H21" s="40" t="n">
        <v>0</v>
      </c>
      <c r="I21" s="40" t="n">
        <f aca="false">SUM(G21:H21)</f>
        <v>0</v>
      </c>
      <c r="J21" s="41" t="n">
        <f aca="false">ROUND(I21*1.6,0)</f>
        <v>0</v>
      </c>
      <c r="K21" s="42" t="n">
        <v>0</v>
      </c>
      <c r="L21" s="42" t="n">
        <v>0</v>
      </c>
      <c r="M21" s="42" t="n">
        <v>0</v>
      </c>
      <c r="N21" s="42" t="n">
        <v>0</v>
      </c>
      <c r="O21" s="42" t="n">
        <v>0</v>
      </c>
      <c r="P21" s="42" t="n">
        <v>0</v>
      </c>
      <c r="Q21" s="40" t="n">
        <f aca="false">SUM(I21:P21)+F21</f>
        <v>0</v>
      </c>
    </row>
    <row r="22" customFormat="false" ht="15.75" hidden="false" customHeight="false" outlineLevel="0" collapsed="false">
      <c r="A22" s="14"/>
      <c r="B22" s="38"/>
      <c r="C22" s="30" t="s">
        <v>38</v>
      </c>
      <c r="D22" s="43" t="n">
        <v>1</v>
      </c>
      <c r="E22" s="43" t="n">
        <v>1</v>
      </c>
      <c r="F22" s="40" t="n">
        <v>0</v>
      </c>
      <c r="G22" s="44" t="n">
        <v>673</v>
      </c>
      <c r="H22" s="44" t="n">
        <v>0</v>
      </c>
      <c r="I22" s="44" t="n">
        <f aca="false">SUM(G22:H22)</f>
        <v>673</v>
      </c>
      <c r="J22" s="42" t="n">
        <f aca="false">ROUND(I22*0.25,0)</f>
        <v>168</v>
      </c>
      <c r="K22" s="44" t="n">
        <v>4</v>
      </c>
      <c r="L22" s="44" t="n">
        <v>182</v>
      </c>
      <c r="M22" s="44" t="n">
        <v>29</v>
      </c>
      <c r="N22" s="42" t="n">
        <v>0</v>
      </c>
      <c r="O22" s="42" t="n">
        <v>0</v>
      </c>
      <c r="P22" s="42" t="n">
        <v>0</v>
      </c>
      <c r="Q22" s="40" t="n">
        <f aca="false">SUM(I22:P22)+F22</f>
        <v>1056</v>
      </c>
    </row>
    <row r="23" customFormat="false" ht="16.5" hidden="false" customHeight="false" outlineLevel="0" collapsed="false">
      <c r="A23" s="14"/>
      <c r="B23" s="38"/>
      <c r="C23" s="45" t="s">
        <v>39</v>
      </c>
      <c r="D23" s="46" t="n">
        <v>0</v>
      </c>
      <c r="E23" s="46" t="n">
        <v>0</v>
      </c>
      <c r="F23" s="16" t="n">
        <v>0</v>
      </c>
      <c r="G23" s="47" t="n">
        <v>0</v>
      </c>
      <c r="H23" s="47" t="n">
        <v>0</v>
      </c>
      <c r="I23" s="47" t="n">
        <f aca="false">SUM(G23:H23)</f>
        <v>0</v>
      </c>
      <c r="J23" s="33" t="n">
        <f aca="false">ROUND(I23*1.6,0)</f>
        <v>0</v>
      </c>
      <c r="K23" s="47" t="n">
        <v>0</v>
      </c>
      <c r="L23" s="47" t="n">
        <v>0</v>
      </c>
      <c r="M23" s="47" t="n">
        <v>0</v>
      </c>
      <c r="N23" s="16" t="n">
        <v>0</v>
      </c>
      <c r="O23" s="16" t="n">
        <v>0</v>
      </c>
      <c r="P23" s="16" t="n">
        <v>0</v>
      </c>
      <c r="Q23" s="40" t="n">
        <f aca="false">SUM(I23:P23)+F23</f>
        <v>0</v>
      </c>
    </row>
    <row r="24" customFormat="false" ht="17.25" hidden="false" customHeight="false" outlineLevel="0" collapsed="false">
      <c r="A24" s="24"/>
      <c r="B24" s="25"/>
      <c r="C24" s="48" t="s">
        <v>40</v>
      </c>
      <c r="D24" s="49" t="n">
        <f aca="false">SUM(D21:D23)</f>
        <v>1</v>
      </c>
      <c r="E24" s="49" t="n">
        <f aca="false">SUM(E21:E23)</f>
        <v>1</v>
      </c>
      <c r="F24" s="49" t="n">
        <f aca="false">SUM(F21:F23)</f>
        <v>0</v>
      </c>
      <c r="G24" s="49" t="n">
        <f aca="false">SUM(G21:G23)</f>
        <v>673</v>
      </c>
      <c r="H24" s="49" t="n">
        <f aca="false">SUM(H21:H23)</f>
        <v>0</v>
      </c>
      <c r="I24" s="49" t="n">
        <f aca="false">SUM(I21:I23)</f>
        <v>673</v>
      </c>
      <c r="J24" s="49" t="n">
        <f aca="false">SUM(J21:J23)</f>
        <v>168</v>
      </c>
      <c r="K24" s="49" t="n">
        <f aca="false">SUM(K21:K23)</f>
        <v>4</v>
      </c>
      <c r="L24" s="49" t="n">
        <f aca="false">SUM(L21:L23)</f>
        <v>182</v>
      </c>
      <c r="M24" s="49" t="n">
        <f aca="false">SUM(M21:M23)</f>
        <v>29</v>
      </c>
      <c r="N24" s="49" t="n">
        <f aca="false">SUM(N21:N23)</f>
        <v>0</v>
      </c>
      <c r="O24" s="49" t="n">
        <f aca="false">SUM(O21:O23)</f>
        <v>0</v>
      </c>
      <c r="P24" s="49" t="n">
        <f aca="false">SUM(P21:P23)</f>
        <v>0</v>
      </c>
      <c r="Q24" s="49" t="n">
        <f aca="false">SUM(Q21:Q23)</f>
        <v>1056</v>
      </c>
    </row>
    <row r="25" customFormat="false" ht="16.5" hidden="false" customHeight="true" outlineLevel="0" collapsed="false">
      <c r="A25" s="24" t="n">
        <v>2</v>
      </c>
      <c r="B25" s="50" t="s">
        <v>25</v>
      </c>
      <c r="C25" s="26" t="s">
        <v>26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44" t="n">
        <f aca="false">SUM(G25:H25)</f>
        <v>0</v>
      </c>
      <c r="J25" s="41" t="n">
        <f aca="false">ROUND(I25*1.6,0)</f>
        <v>0</v>
      </c>
      <c r="K25" s="27" t="n">
        <v>0</v>
      </c>
      <c r="L25" s="27" t="n">
        <v>0</v>
      </c>
      <c r="M25" s="27" t="n">
        <v>0</v>
      </c>
      <c r="N25" s="27" t="n">
        <v>0</v>
      </c>
      <c r="O25" s="27" t="n">
        <v>0</v>
      </c>
      <c r="P25" s="27" t="n">
        <v>0</v>
      </c>
      <c r="Q25" s="40" t="n">
        <f aca="false">SUM(I25:P25)+F25</f>
        <v>0</v>
      </c>
    </row>
    <row r="26" customFormat="false" ht="15.75" hidden="false" customHeight="false" outlineLevel="0" collapsed="false">
      <c r="A26" s="24"/>
      <c r="B26" s="50"/>
      <c r="C26" s="30" t="s">
        <v>41</v>
      </c>
      <c r="D26" s="42" t="n">
        <v>0</v>
      </c>
      <c r="E26" s="42" t="n">
        <v>0</v>
      </c>
      <c r="F26" s="42" t="n">
        <v>0</v>
      </c>
      <c r="G26" s="42" t="n">
        <v>0</v>
      </c>
      <c r="H26" s="42" t="n">
        <v>0</v>
      </c>
      <c r="I26" s="44" t="n">
        <f aca="false">SUM(G26:H26)</f>
        <v>0</v>
      </c>
      <c r="J26" s="42" t="n">
        <f aca="false">ROUND(I26*1.6,0)</f>
        <v>0</v>
      </c>
      <c r="K26" s="42" t="n">
        <v>0</v>
      </c>
      <c r="L26" s="42" t="n">
        <v>0</v>
      </c>
      <c r="M26" s="42" t="n">
        <v>0</v>
      </c>
      <c r="N26" s="42" t="n">
        <v>0</v>
      </c>
      <c r="O26" s="42" t="n">
        <v>0</v>
      </c>
      <c r="P26" s="42" t="n">
        <v>0</v>
      </c>
      <c r="Q26" s="40" t="n">
        <f aca="false">SUM(I26:P26)+F26</f>
        <v>0</v>
      </c>
    </row>
    <row r="27" customFormat="false" ht="15.75" hidden="false" customHeight="false" outlineLevel="0" collapsed="false">
      <c r="A27" s="24"/>
      <c r="B27" s="50"/>
      <c r="C27" s="30" t="s">
        <v>27</v>
      </c>
      <c r="D27" s="43" t="n">
        <v>1</v>
      </c>
      <c r="E27" s="43" t="n">
        <v>1</v>
      </c>
      <c r="F27" s="42" t="n">
        <v>0</v>
      </c>
      <c r="G27" s="44" t="n">
        <v>487</v>
      </c>
      <c r="H27" s="44" t="n">
        <v>0</v>
      </c>
      <c r="I27" s="44" t="n">
        <f aca="false">SUM(G27:H27)</f>
        <v>487</v>
      </c>
      <c r="J27" s="42" t="n">
        <f aca="false">ROUND(I27*0.25,0)</f>
        <v>122</v>
      </c>
      <c r="K27" s="44" t="n">
        <v>2</v>
      </c>
      <c r="L27" s="44" t="n">
        <v>131</v>
      </c>
      <c r="M27" s="44" t="n">
        <v>5</v>
      </c>
      <c r="N27" s="42" t="n">
        <v>0</v>
      </c>
      <c r="O27" s="42" t="n">
        <v>0</v>
      </c>
      <c r="P27" s="42" t="n">
        <v>0</v>
      </c>
      <c r="Q27" s="40" t="n">
        <f aca="false">SUM(I27:P27)+F27</f>
        <v>747</v>
      </c>
    </row>
    <row r="28" customFormat="false" ht="16.5" hidden="false" customHeight="false" outlineLevel="0" collapsed="false">
      <c r="A28" s="24"/>
      <c r="B28" s="50"/>
      <c r="C28" s="31" t="s">
        <v>42</v>
      </c>
      <c r="D28" s="16" t="n">
        <v>0</v>
      </c>
      <c r="E28" s="16" t="n">
        <v>0</v>
      </c>
      <c r="F28" s="16" t="n">
        <v>0</v>
      </c>
      <c r="G28" s="16" t="n">
        <v>0</v>
      </c>
      <c r="H28" s="16" t="n">
        <v>0</v>
      </c>
      <c r="I28" s="47" t="n">
        <f aca="false">SUM(G28:H28)</f>
        <v>0</v>
      </c>
      <c r="J28" s="33" t="n">
        <f aca="false">ROUND(I28*1.6,0)</f>
        <v>0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0</v>
      </c>
      <c r="Q28" s="18" t="n">
        <f aca="false">SUM(I28:P28)+F28</f>
        <v>0</v>
      </c>
    </row>
    <row r="29" customFormat="false" ht="17.25" hidden="false" customHeight="false" outlineLevel="0" collapsed="false">
      <c r="A29" s="24"/>
      <c r="B29" s="25"/>
      <c r="C29" s="32" t="s">
        <v>29</v>
      </c>
      <c r="D29" s="33" t="n">
        <f aca="false">SUM(D25:D28)</f>
        <v>1</v>
      </c>
      <c r="E29" s="33" t="n">
        <f aca="false">SUM(E25:E28)</f>
        <v>1</v>
      </c>
      <c r="F29" s="33" t="n">
        <f aca="false">SUM(F25:F28)</f>
        <v>0</v>
      </c>
      <c r="G29" s="33" t="n">
        <f aca="false">SUM(G25:G28)</f>
        <v>487</v>
      </c>
      <c r="H29" s="33" t="n">
        <f aca="false">SUM(H25:H28)</f>
        <v>0</v>
      </c>
      <c r="I29" s="33" t="n">
        <f aca="false">SUM(I25:I28)</f>
        <v>487</v>
      </c>
      <c r="J29" s="33" t="n">
        <f aca="false">SUM(J25:J28)</f>
        <v>122</v>
      </c>
      <c r="K29" s="33" t="n">
        <f aca="false">SUM(K25:K28)</f>
        <v>2</v>
      </c>
      <c r="L29" s="33" t="n">
        <f aca="false">SUM(L25:L28)</f>
        <v>131</v>
      </c>
      <c r="M29" s="33" t="n">
        <f aca="false">SUM(M25:M28)</f>
        <v>5</v>
      </c>
      <c r="N29" s="33" t="n">
        <f aca="false">SUM(N25:N28)</f>
        <v>0</v>
      </c>
      <c r="O29" s="33" t="n">
        <f aca="false">SUM(O25:O28)</f>
        <v>0</v>
      </c>
      <c r="P29" s="33" t="n">
        <f aca="false">SUM(P25:P28)</f>
        <v>0</v>
      </c>
      <c r="Q29" s="33" t="n">
        <f aca="false">SUM(Q25:Q28)</f>
        <v>747</v>
      </c>
    </row>
    <row r="30" customFormat="false" ht="17.25" hidden="false" customHeight="false" outlineLevel="0" collapsed="false">
      <c r="A30" s="24" t="n">
        <v>3</v>
      </c>
      <c r="B30" s="34" t="s">
        <v>30</v>
      </c>
      <c r="C30" s="51" t="s">
        <v>32</v>
      </c>
      <c r="D30" s="33" t="n">
        <v>0</v>
      </c>
      <c r="E30" s="33" t="n">
        <v>0</v>
      </c>
      <c r="F30" s="33" t="n">
        <v>0</v>
      </c>
      <c r="G30" s="33" t="n">
        <v>0</v>
      </c>
      <c r="H30" s="33" t="n">
        <v>0</v>
      </c>
      <c r="I30" s="52" t="n">
        <v>0</v>
      </c>
      <c r="J30" s="16" t="n">
        <f aca="false">ROUND(I30*1.6,0)</f>
        <v>0</v>
      </c>
      <c r="K30" s="33" t="n">
        <v>0</v>
      </c>
      <c r="L30" s="33" t="n">
        <v>0</v>
      </c>
      <c r="M30" s="33" t="n">
        <v>0</v>
      </c>
      <c r="N30" s="33" t="n">
        <v>0</v>
      </c>
      <c r="O30" s="33" t="n">
        <v>0</v>
      </c>
      <c r="P30" s="33" t="n">
        <v>0</v>
      </c>
      <c r="Q30" s="22" t="n">
        <v>0</v>
      </c>
    </row>
    <row r="31" customFormat="false" ht="17.25" hidden="false" customHeight="false" outlineLevel="0" collapsed="false">
      <c r="A31" s="24"/>
      <c r="B31" s="34"/>
      <c r="C31" s="32" t="s">
        <v>33</v>
      </c>
      <c r="D31" s="33" t="n">
        <f aca="false">SUM(D30)</f>
        <v>0</v>
      </c>
      <c r="E31" s="33" t="n">
        <f aca="false">SUM(E30)</f>
        <v>0</v>
      </c>
      <c r="F31" s="33" t="n">
        <f aca="false">SUM(F30)</f>
        <v>0</v>
      </c>
      <c r="G31" s="33" t="n">
        <f aca="false">SUM(G30)</f>
        <v>0</v>
      </c>
      <c r="H31" s="33" t="n">
        <f aca="false">SUM(H30)</f>
        <v>0</v>
      </c>
      <c r="I31" s="33" t="n">
        <f aca="false">SUM(I30)</f>
        <v>0</v>
      </c>
      <c r="J31" s="33" t="n">
        <f aca="false">SUM(J30)</f>
        <v>0</v>
      </c>
      <c r="K31" s="33" t="n">
        <f aca="false">SUM(K30)</f>
        <v>0</v>
      </c>
      <c r="L31" s="33" t="n">
        <f aca="false">SUM(L30)</f>
        <v>0</v>
      </c>
      <c r="M31" s="33" t="n">
        <f aca="false">SUM(M30)</f>
        <v>0</v>
      </c>
      <c r="N31" s="33" t="n">
        <f aca="false">SUM(N30)</f>
        <v>0</v>
      </c>
      <c r="O31" s="33" t="n">
        <f aca="false">SUM(O30)</f>
        <v>0</v>
      </c>
      <c r="P31" s="33" t="n">
        <f aca="false">SUM(P30)</f>
        <v>0</v>
      </c>
      <c r="Q31" s="33" t="n">
        <f aca="false">SUM(Q30)</f>
        <v>0</v>
      </c>
    </row>
    <row r="32" customFormat="false" ht="17.25" hidden="false" customHeight="false" outlineLevel="0" collapsed="false">
      <c r="A32" s="24"/>
      <c r="B32" s="34"/>
      <c r="C32" s="32" t="s">
        <v>43</v>
      </c>
      <c r="D32" s="49" t="n">
        <f aca="false">SUM(D31,D29,D24)</f>
        <v>2</v>
      </c>
      <c r="E32" s="49" t="n">
        <f aca="false">SUM(E31,E29,E24)</f>
        <v>2</v>
      </c>
      <c r="F32" s="49" t="n">
        <f aca="false">SUM(F31,F29,F24)</f>
        <v>0</v>
      </c>
      <c r="G32" s="49" t="n">
        <f aca="false">SUM(G31,G29,G24)</f>
        <v>1160</v>
      </c>
      <c r="H32" s="49" t="n">
        <f aca="false">SUM(H31,H29,H24)</f>
        <v>0</v>
      </c>
      <c r="I32" s="49" t="n">
        <f aca="false">SUM(I31,I29,I24)</f>
        <v>1160</v>
      </c>
      <c r="J32" s="49" t="n">
        <f aca="false">SUM(J31,J29,J24)</f>
        <v>290</v>
      </c>
      <c r="K32" s="49" t="n">
        <f aca="false">SUM(K31,K29,K24)</f>
        <v>6</v>
      </c>
      <c r="L32" s="49" t="n">
        <f aca="false">SUM(L31,L29,L24)</f>
        <v>313</v>
      </c>
      <c r="M32" s="49" t="n">
        <f aca="false">SUM(M31,M29,M24)</f>
        <v>34</v>
      </c>
      <c r="N32" s="49" t="n">
        <f aca="false">SUM(N31,N29,N24)</f>
        <v>0</v>
      </c>
      <c r="O32" s="49" t="n">
        <f aca="false">SUM(O31,O29,O24)</f>
        <v>0</v>
      </c>
      <c r="P32" s="49" t="n">
        <f aca="false">SUM(P31,P29,P24)</f>
        <v>0</v>
      </c>
      <c r="Q32" s="49" t="n">
        <f aca="false">SUM(Q31,Q29,Q24)</f>
        <v>1803</v>
      </c>
    </row>
    <row r="33" customFormat="false" ht="16.5" hidden="false" customHeight="false" outlineLevel="0" collapsed="false">
      <c r="C33" s="2"/>
    </row>
    <row r="34" customFormat="false" ht="15.75" hidden="false" customHeight="false" outlineLevel="0" collapsed="false">
      <c r="A34" s="5" t="str">
        <f aca="false">$A$1</f>
        <v>प्रपत्र - ड  -  अर्थसंकल्पीय अंदाजपत्रक सन 2021-2022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customFormat="false" ht="15.75" hidden="false" customHeight="false" outlineLevel="0" collapsed="false">
      <c r="A35" s="5" t="s">
        <v>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customFormat="false" ht="15.75" hidden="false" customHeight="false" outlineLevel="0" collapsed="false">
      <c r="A36" s="6" t="s">
        <v>44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</v>
      </c>
      <c r="P36" s="8"/>
      <c r="Q36" s="8"/>
    </row>
    <row r="37" customFormat="false" ht="17.25" hidden="false" customHeight="true" outlineLevel="0" collapsed="false">
      <c r="A37" s="9" t="s">
        <v>4</v>
      </c>
      <c r="B37" s="9" t="s">
        <v>5</v>
      </c>
      <c r="C37" s="10" t="s">
        <v>6</v>
      </c>
      <c r="D37" s="11" t="str">
        <f aca="false">D4</f>
        <v>मंजूर पदे</v>
      </c>
      <c r="E37" s="11" t="str">
        <f aca="false">E4</f>
        <v>मंजूर पदे</v>
      </c>
      <c r="F37" s="12" t="str">
        <f aca="false">F4</f>
        <v>विशेष वेतन</v>
      </c>
      <c r="G37" s="12" t="str">
        <f aca="false">G4</f>
        <v>मुळ वेतन</v>
      </c>
      <c r="H37" s="12" t="str">
        <f aca="false">H4</f>
        <v>ग्रेड वेतन</v>
      </c>
      <c r="I37" s="12" t="str">
        <f aca="false">I4</f>
        <v>एकूण</v>
      </c>
      <c r="J37" s="12" t="str">
        <f aca="false">J4</f>
        <v>महागाई भत्ता 25%</v>
      </c>
      <c r="K37" s="12" t="s">
        <v>13</v>
      </c>
      <c r="L37" s="12" t="s">
        <v>14</v>
      </c>
      <c r="M37" s="12" t="s">
        <v>15</v>
      </c>
      <c r="N37" s="12" t="s">
        <v>16</v>
      </c>
      <c r="O37" s="12" t="s">
        <v>17</v>
      </c>
      <c r="P37" s="12" t="s">
        <v>18</v>
      </c>
      <c r="Q37" s="12" t="s">
        <v>11</v>
      </c>
    </row>
    <row r="38" customFormat="false" ht="15.75" hidden="false" customHeight="false" outlineLevel="0" collapsed="false">
      <c r="A38" s="9"/>
      <c r="B38" s="9"/>
      <c r="C38" s="10"/>
      <c r="D38" s="9" t="str">
        <f aca="false">D5</f>
        <v>2020-2021</v>
      </c>
      <c r="E38" s="9" t="str">
        <f aca="false">E5</f>
        <v>2021-2022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customFormat="false" ht="15.75" hidden="false" customHeight="false" outlineLevel="0" collapsed="false">
      <c r="A39" s="9"/>
      <c r="B39" s="9"/>
      <c r="C39" s="13" t="s">
        <v>21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customFormat="false" ht="20.25" hidden="false" customHeight="true" outlineLevel="0" collapsed="false">
      <c r="A40" s="14" t="n">
        <v>1</v>
      </c>
      <c r="B40" s="15" t="s">
        <v>22</v>
      </c>
      <c r="C40" s="15" t="s">
        <v>23</v>
      </c>
      <c r="D40" s="16" t="n">
        <v>1</v>
      </c>
      <c r="E40" s="16" t="n">
        <v>1</v>
      </c>
      <c r="F40" s="16"/>
      <c r="G40" s="16" t="n">
        <v>904</v>
      </c>
      <c r="H40" s="16" t="n">
        <v>0</v>
      </c>
      <c r="I40" s="17" t="n">
        <f aca="false">SUM(G40:H40)</f>
        <v>904</v>
      </c>
      <c r="J40" s="16" t="n">
        <f aca="false">ROUND(I40*0.25,0)</f>
        <v>226</v>
      </c>
      <c r="K40" s="16" t="n">
        <v>4</v>
      </c>
      <c r="L40" s="16" t="n">
        <v>244</v>
      </c>
      <c r="M40" s="16" t="n">
        <v>29</v>
      </c>
      <c r="N40" s="16" t="n">
        <v>0</v>
      </c>
      <c r="O40" s="47" t="n">
        <v>0</v>
      </c>
      <c r="P40" s="47" t="n">
        <v>0</v>
      </c>
      <c r="Q40" s="18" t="n">
        <f aca="false">SUM(I40:P40)</f>
        <v>1407</v>
      </c>
    </row>
    <row r="41" customFormat="false" ht="20.25" hidden="false" customHeight="true" outlineLevel="0" collapsed="false">
      <c r="A41" s="24"/>
      <c r="B41" s="34"/>
      <c r="C41" s="25" t="s">
        <v>24</v>
      </c>
      <c r="D41" s="33" t="n">
        <f aca="false">SUM(D40)</f>
        <v>1</v>
      </c>
      <c r="E41" s="33" t="n">
        <f aca="false">SUM(E40)</f>
        <v>1</v>
      </c>
      <c r="F41" s="33" t="n">
        <f aca="false">SUM(F40)</f>
        <v>0</v>
      </c>
      <c r="G41" s="33" t="n">
        <f aca="false">SUM(G40)</f>
        <v>904</v>
      </c>
      <c r="H41" s="33" t="n">
        <f aca="false">SUM(H40)</f>
        <v>0</v>
      </c>
      <c r="I41" s="33" t="n">
        <f aca="false">SUM(I40)</f>
        <v>904</v>
      </c>
      <c r="J41" s="33" t="n">
        <f aca="false">SUM(J40)</f>
        <v>226</v>
      </c>
      <c r="K41" s="33" t="n">
        <f aca="false">SUM(K40)</f>
        <v>4</v>
      </c>
      <c r="L41" s="33" t="n">
        <f aca="false">SUM(L40)</f>
        <v>244</v>
      </c>
      <c r="M41" s="33" t="n">
        <f aca="false">SUM(M40)</f>
        <v>29</v>
      </c>
      <c r="N41" s="33" t="n">
        <f aca="false">SUM(N40)</f>
        <v>0</v>
      </c>
      <c r="O41" s="33" t="n">
        <f aca="false">SUM(O40)</f>
        <v>0</v>
      </c>
      <c r="P41" s="33" t="n">
        <f aca="false">SUM(P40)</f>
        <v>0</v>
      </c>
      <c r="Q41" s="33" t="n">
        <f aca="false">SUM(Q40)</f>
        <v>1407</v>
      </c>
    </row>
    <row r="42" customFormat="false" ht="16.5" hidden="false" customHeight="true" outlineLevel="0" collapsed="false">
      <c r="A42" s="24" t="n">
        <v>2</v>
      </c>
      <c r="B42" s="25" t="s">
        <v>25</v>
      </c>
      <c r="C42" s="26" t="s">
        <v>26</v>
      </c>
      <c r="D42" s="27" t="n">
        <v>1</v>
      </c>
      <c r="E42" s="27" t="n">
        <v>1</v>
      </c>
      <c r="F42" s="27"/>
      <c r="G42" s="27" t="n">
        <v>504</v>
      </c>
      <c r="H42" s="27" t="n">
        <v>0</v>
      </c>
      <c r="I42" s="28" t="n">
        <f aca="false">SUM(G42:H42)</f>
        <v>504</v>
      </c>
      <c r="J42" s="53" t="n">
        <f aca="false">ROUND(I42*0.25,0)</f>
        <v>126</v>
      </c>
      <c r="K42" s="27" t="n">
        <v>4</v>
      </c>
      <c r="L42" s="27" t="n">
        <v>136</v>
      </c>
      <c r="M42" s="27" t="n">
        <v>5</v>
      </c>
      <c r="N42" s="27" t="n">
        <v>0</v>
      </c>
      <c r="O42" s="54" t="n">
        <v>0</v>
      </c>
      <c r="P42" s="54" t="n">
        <v>0</v>
      </c>
      <c r="Q42" s="29" t="n">
        <f aca="false">SUM(I42:P42)</f>
        <v>775</v>
      </c>
    </row>
    <row r="43" customFormat="false" ht="15.75" hidden="false" customHeight="false" outlineLevel="0" collapsed="false">
      <c r="A43" s="24"/>
      <c r="B43" s="25"/>
      <c r="C43" s="30" t="s">
        <v>27</v>
      </c>
      <c r="D43" s="42" t="n">
        <v>2</v>
      </c>
      <c r="E43" s="42" t="n">
        <v>2</v>
      </c>
      <c r="F43" s="42"/>
      <c r="G43" s="42" t="n">
        <v>567</v>
      </c>
      <c r="H43" s="42" t="n">
        <v>0</v>
      </c>
      <c r="I43" s="28" t="n">
        <f aca="false">SUM(G43:H43)</f>
        <v>567</v>
      </c>
      <c r="J43" s="27" t="n">
        <f aca="false">ROUND(I43*0.25,0)</f>
        <v>142</v>
      </c>
      <c r="K43" s="42" t="n">
        <v>5</v>
      </c>
      <c r="L43" s="42" t="n">
        <v>153</v>
      </c>
      <c r="M43" s="42" t="n">
        <v>10</v>
      </c>
      <c r="N43" s="42" t="n">
        <v>0</v>
      </c>
      <c r="O43" s="44" t="n">
        <v>0</v>
      </c>
      <c r="P43" s="44" t="n">
        <v>0</v>
      </c>
      <c r="Q43" s="29" t="n">
        <f aca="false">SUM(I43:P43)</f>
        <v>877</v>
      </c>
    </row>
    <row r="44" customFormat="false" ht="16.5" hidden="false" customHeight="false" outlineLevel="0" collapsed="false">
      <c r="A44" s="24"/>
      <c r="B44" s="25"/>
      <c r="C44" s="31" t="s">
        <v>28</v>
      </c>
      <c r="D44" s="16" t="n">
        <v>0</v>
      </c>
      <c r="E44" s="16" t="n">
        <v>0</v>
      </c>
      <c r="F44" s="16"/>
      <c r="G44" s="16" t="n">
        <v>0</v>
      </c>
      <c r="H44" s="16" t="n">
        <v>0</v>
      </c>
      <c r="I44" s="17" t="n">
        <f aca="false">SUM(G44:H44)</f>
        <v>0</v>
      </c>
      <c r="J44" s="33" t="n">
        <f aca="false">ROUND(I44*0.25,0)</f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47" t="n">
        <v>0</v>
      </c>
      <c r="P44" s="47" t="n">
        <v>0</v>
      </c>
      <c r="Q44" s="18" t="n">
        <f aca="false">SUM(I44:P44)</f>
        <v>0</v>
      </c>
    </row>
    <row r="45" customFormat="false" ht="17.25" hidden="false" customHeight="false" outlineLevel="0" collapsed="false">
      <c r="A45" s="24"/>
      <c r="B45" s="25"/>
      <c r="C45" s="32" t="s">
        <v>29</v>
      </c>
      <c r="D45" s="33" t="n">
        <f aca="false">SUM(D42:D44)</f>
        <v>3</v>
      </c>
      <c r="E45" s="33" t="n">
        <f aca="false">SUM(E42:E44)</f>
        <v>3</v>
      </c>
      <c r="F45" s="33" t="n">
        <f aca="false">SUM(F42:F44)</f>
        <v>0</v>
      </c>
      <c r="G45" s="33" t="n">
        <f aca="false">SUM(G42:G44)</f>
        <v>1071</v>
      </c>
      <c r="H45" s="33" t="n">
        <f aca="false">SUM(H42:H44)</f>
        <v>0</v>
      </c>
      <c r="I45" s="33" t="n">
        <f aca="false">SUM(I42:I44)</f>
        <v>1071</v>
      </c>
      <c r="J45" s="33" t="n">
        <f aca="false">SUM(J42:J44)</f>
        <v>268</v>
      </c>
      <c r="K45" s="33" t="n">
        <f aca="false">SUM(K42:K44)</f>
        <v>9</v>
      </c>
      <c r="L45" s="33" t="n">
        <f aca="false">SUM(L42:L44)</f>
        <v>289</v>
      </c>
      <c r="M45" s="33" t="n">
        <f aca="false">SUM(M42:M44)</f>
        <v>15</v>
      </c>
      <c r="N45" s="33" t="n">
        <f aca="false">SUM(N42:N44)</f>
        <v>0</v>
      </c>
      <c r="O45" s="33" t="n">
        <f aca="false">SUM(O42:O44)</f>
        <v>0</v>
      </c>
      <c r="P45" s="33" t="n">
        <f aca="false">SUM(P42:P44)</f>
        <v>0</v>
      </c>
      <c r="Q45" s="33" t="n">
        <f aca="false">SUM(Q42:Q44)</f>
        <v>1652</v>
      </c>
    </row>
    <row r="46" customFormat="false" ht="16.5" hidden="false" customHeight="true" outlineLevel="0" collapsed="false">
      <c r="A46" s="24" t="n">
        <v>3</v>
      </c>
      <c r="B46" s="25" t="s">
        <v>30</v>
      </c>
      <c r="C46" s="26" t="s">
        <v>31</v>
      </c>
      <c r="D46" s="27" t="n">
        <v>1</v>
      </c>
      <c r="E46" s="27" t="n">
        <v>1</v>
      </c>
      <c r="F46" s="27"/>
      <c r="G46" s="27" t="n">
        <v>280</v>
      </c>
      <c r="H46" s="27" t="n">
        <v>0</v>
      </c>
      <c r="I46" s="28" t="n">
        <f aca="false">SUM(G46:H46)</f>
        <v>280</v>
      </c>
      <c r="J46" s="27" t="n">
        <f aca="false">ROUND(I46*0.25,0)</f>
        <v>70</v>
      </c>
      <c r="K46" s="27" t="n">
        <v>2</v>
      </c>
      <c r="L46" s="27" t="n">
        <v>76</v>
      </c>
      <c r="M46" s="27" t="n">
        <v>5</v>
      </c>
      <c r="N46" s="27" t="n">
        <v>0</v>
      </c>
      <c r="O46" s="54" t="n">
        <v>0</v>
      </c>
      <c r="P46" s="54" t="n">
        <v>0</v>
      </c>
      <c r="Q46" s="29" t="n">
        <f aca="false">SUM(I46:P46)</f>
        <v>433</v>
      </c>
    </row>
    <row r="47" customFormat="false" ht="16.5" hidden="false" customHeight="false" outlineLevel="0" collapsed="false">
      <c r="A47" s="24"/>
      <c r="B47" s="25"/>
      <c r="C47" s="31" t="s">
        <v>32</v>
      </c>
      <c r="D47" s="16" t="n">
        <v>4</v>
      </c>
      <c r="E47" s="16" t="n">
        <v>4</v>
      </c>
      <c r="F47" s="16"/>
      <c r="G47" s="16" t="n">
        <v>1200</v>
      </c>
      <c r="H47" s="16" t="n">
        <v>0</v>
      </c>
      <c r="I47" s="17" t="n">
        <f aca="false">SUM(G47:H47)</f>
        <v>1200</v>
      </c>
      <c r="J47" s="33" t="n">
        <f aca="false">ROUND(I47*0.25,0)</f>
        <v>300</v>
      </c>
      <c r="K47" s="16" t="n">
        <v>10</v>
      </c>
      <c r="L47" s="16" t="n">
        <v>324</v>
      </c>
      <c r="M47" s="16" t="n">
        <v>19</v>
      </c>
      <c r="N47" s="16" t="n">
        <v>2</v>
      </c>
      <c r="O47" s="47" t="n">
        <v>0</v>
      </c>
      <c r="P47" s="47" t="n">
        <v>0</v>
      </c>
      <c r="Q47" s="18" t="n">
        <f aca="false">SUM(I47:P47)</f>
        <v>1855</v>
      </c>
    </row>
    <row r="48" customFormat="false" ht="17.25" hidden="false" customHeight="false" outlineLevel="0" collapsed="false">
      <c r="A48" s="24"/>
      <c r="B48" s="25"/>
      <c r="C48" s="32" t="s">
        <v>33</v>
      </c>
      <c r="D48" s="33" t="n">
        <f aca="false">SUM(D46:D47)</f>
        <v>5</v>
      </c>
      <c r="E48" s="33" t="n">
        <f aca="false">SUM(E46:E47)</f>
        <v>5</v>
      </c>
      <c r="F48" s="33" t="n">
        <f aca="false">SUM(F46:F47)</f>
        <v>0</v>
      </c>
      <c r="G48" s="33" t="n">
        <f aca="false">SUM(G46:G47)</f>
        <v>1480</v>
      </c>
      <c r="H48" s="33" t="n">
        <f aca="false">SUM(H46:H47)</f>
        <v>0</v>
      </c>
      <c r="I48" s="33" t="n">
        <f aca="false">SUM(I46:I47)</f>
        <v>1480</v>
      </c>
      <c r="J48" s="33" t="n">
        <f aca="false">SUM(J46:J47)</f>
        <v>370</v>
      </c>
      <c r="K48" s="33" t="n">
        <f aca="false">SUM(K46:K47)</f>
        <v>12</v>
      </c>
      <c r="L48" s="33" t="n">
        <f aca="false">SUM(L46:L47)</f>
        <v>400</v>
      </c>
      <c r="M48" s="33" t="n">
        <f aca="false">SUM(M46:M47)</f>
        <v>24</v>
      </c>
      <c r="N48" s="33" t="n">
        <f aca="false">SUM(N46:N47)</f>
        <v>2</v>
      </c>
      <c r="O48" s="33" t="n">
        <f aca="false">SUM(O46:O47)</f>
        <v>0</v>
      </c>
      <c r="P48" s="33" t="n">
        <f aca="false">SUM(P46:P47)</f>
        <v>0</v>
      </c>
      <c r="Q48" s="33" t="n">
        <f aca="false">SUM(Q46:Q47)</f>
        <v>2288</v>
      </c>
    </row>
    <row r="49" customFormat="false" ht="17.25" hidden="false" customHeight="false" outlineLevel="0" collapsed="false">
      <c r="A49" s="24"/>
      <c r="B49" s="34"/>
      <c r="C49" s="35" t="s">
        <v>34</v>
      </c>
      <c r="D49" s="22" t="n">
        <f aca="false">SUM(D48,D45,D41)</f>
        <v>9</v>
      </c>
      <c r="E49" s="22" t="n">
        <f aca="false">SUM(E48,E45,E41)</f>
        <v>9</v>
      </c>
      <c r="F49" s="22" t="n">
        <f aca="false">SUM(F48,F45,F41)</f>
        <v>0</v>
      </c>
      <c r="G49" s="22" t="n">
        <f aca="false">SUM(G48,G45,G41)</f>
        <v>3455</v>
      </c>
      <c r="H49" s="22" t="n">
        <f aca="false">SUM(H48,H45,H41)</f>
        <v>0</v>
      </c>
      <c r="I49" s="22" t="n">
        <f aca="false">SUM(I48,I45,I41)</f>
        <v>3455</v>
      </c>
      <c r="J49" s="22" t="n">
        <f aca="false">SUM(J48,J45,J41)</f>
        <v>864</v>
      </c>
      <c r="K49" s="22" t="n">
        <f aca="false">SUM(K48,K45,K41)</f>
        <v>25</v>
      </c>
      <c r="L49" s="22" t="n">
        <f aca="false">SUM(L48,L45,L41)</f>
        <v>933</v>
      </c>
      <c r="M49" s="22" t="n">
        <f aca="false">SUM(M48,M45,M41)</f>
        <v>68</v>
      </c>
      <c r="N49" s="22" t="n">
        <f aca="false">SUM(N48,N45,N41)</f>
        <v>2</v>
      </c>
      <c r="O49" s="22" t="n">
        <f aca="false">SUM(O48,O45,O41)</f>
        <v>0</v>
      </c>
      <c r="P49" s="22" t="n">
        <f aca="false">SUM(P48,P45,P41)</f>
        <v>0</v>
      </c>
      <c r="Q49" s="22" t="n">
        <f aca="false">SUM(Q48,Q45,Q41)</f>
        <v>5347</v>
      </c>
    </row>
    <row r="50" customFormat="false" ht="16.5" hidden="false" customHeight="false" outlineLevel="0" collapsed="false">
      <c r="A50" s="36"/>
      <c r="B50" s="3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</row>
    <row r="51" customFormat="false" ht="17.25" hidden="false" customHeight="true" outlineLevel="0" collapsed="false">
      <c r="A51" s="9" t="s">
        <v>4</v>
      </c>
      <c r="B51" s="9" t="s">
        <v>5</v>
      </c>
      <c r="C51" s="10" t="s">
        <v>6</v>
      </c>
      <c r="D51" s="11" t="str">
        <f aca="false">D4</f>
        <v>मंजूर पदे</v>
      </c>
      <c r="E51" s="11" t="str">
        <f aca="false">E4</f>
        <v>मंजूर पदे</v>
      </c>
      <c r="F51" s="12" t="str">
        <f aca="false">F4</f>
        <v>विशेष वेतन</v>
      </c>
      <c r="G51" s="12" t="str">
        <f aca="false">G4</f>
        <v>मुळ वेतन</v>
      </c>
      <c r="H51" s="12" t="str">
        <f aca="false">H4</f>
        <v>ग्रेड वेतन</v>
      </c>
      <c r="I51" s="12" t="str">
        <f aca="false">I4</f>
        <v>एकूण</v>
      </c>
      <c r="J51" s="12" t="str">
        <f aca="false">J4</f>
        <v>महागाई भत्ता 25%</v>
      </c>
      <c r="K51" s="12" t="s">
        <v>13</v>
      </c>
      <c r="L51" s="12" t="s">
        <v>14</v>
      </c>
      <c r="M51" s="12" t="s">
        <v>15</v>
      </c>
      <c r="N51" s="12" t="s">
        <v>16</v>
      </c>
      <c r="O51" s="12" t="s">
        <v>17</v>
      </c>
      <c r="P51" s="12" t="s">
        <v>18</v>
      </c>
      <c r="Q51" s="12" t="s">
        <v>11</v>
      </c>
    </row>
    <row r="52" customFormat="false" ht="15.75" hidden="false" customHeight="false" outlineLevel="0" collapsed="false">
      <c r="A52" s="9"/>
      <c r="B52" s="9"/>
      <c r="C52" s="10"/>
      <c r="D52" s="9" t="str">
        <f aca="false">D5</f>
        <v>2020-2021</v>
      </c>
      <c r="E52" s="9" t="str">
        <f aca="false">E5</f>
        <v>2021-2022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customFormat="false" ht="15.75" hidden="false" customHeight="false" outlineLevel="0" collapsed="false">
      <c r="A53" s="9"/>
      <c r="B53" s="9"/>
      <c r="C53" s="13" t="s">
        <v>36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customFormat="false" ht="15.75" hidden="false" customHeight="true" outlineLevel="0" collapsed="false">
      <c r="A54" s="14" t="n">
        <v>1</v>
      </c>
      <c r="B54" s="38" t="s">
        <v>22</v>
      </c>
      <c r="C54" s="39" t="s">
        <v>37</v>
      </c>
      <c r="D54" s="44" t="n">
        <v>1</v>
      </c>
      <c r="E54" s="44" t="n">
        <v>1</v>
      </c>
      <c r="F54" s="44"/>
      <c r="G54" s="44" t="n">
        <v>800</v>
      </c>
      <c r="H54" s="44" t="n">
        <v>0</v>
      </c>
      <c r="I54" s="44" t="n">
        <f aca="false">SUM(G54:H54)</f>
        <v>800</v>
      </c>
      <c r="J54" s="27" t="n">
        <f aca="false">ROUND(I54*0.25,0)</f>
        <v>200</v>
      </c>
      <c r="K54" s="44" t="n">
        <v>4</v>
      </c>
      <c r="L54" s="44" t="n">
        <v>216</v>
      </c>
      <c r="M54" s="44" t="n">
        <v>29</v>
      </c>
      <c r="N54" s="44" t="n">
        <v>0</v>
      </c>
      <c r="O54" s="44" t="n">
        <v>0</v>
      </c>
      <c r="P54" s="44" t="n">
        <v>0</v>
      </c>
      <c r="Q54" s="40" t="n">
        <f aca="false">SUM(I54:P54)</f>
        <v>1249</v>
      </c>
    </row>
    <row r="55" customFormat="false" ht="15.75" hidden="false" customHeight="false" outlineLevel="0" collapsed="false">
      <c r="A55" s="14"/>
      <c r="B55" s="38"/>
      <c r="C55" s="30" t="s">
        <v>38</v>
      </c>
      <c r="D55" s="43" t="n">
        <v>0</v>
      </c>
      <c r="E55" s="43" t="n">
        <v>0</v>
      </c>
      <c r="F55" s="43"/>
      <c r="G55" s="44" t="n">
        <v>0</v>
      </c>
      <c r="H55" s="44" t="n">
        <v>0</v>
      </c>
      <c r="I55" s="44" t="n">
        <f aca="false">SUM(G55:H55)</f>
        <v>0</v>
      </c>
      <c r="J55" s="27" t="n">
        <f aca="false">ROUND(I55*0.25,0)</f>
        <v>0</v>
      </c>
      <c r="K55" s="44" t="n">
        <v>0</v>
      </c>
      <c r="L55" s="44" t="n">
        <v>0</v>
      </c>
      <c r="M55" s="44" t="n">
        <v>0</v>
      </c>
      <c r="N55" s="44" t="n">
        <v>0</v>
      </c>
      <c r="O55" s="44" t="n">
        <v>0</v>
      </c>
      <c r="P55" s="44" t="n">
        <v>0</v>
      </c>
      <c r="Q55" s="40" t="n">
        <f aca="false">SUM(I55:P55)</f>
        <v>0</v>
      </c>
    </row>
    <row r="56" customFormat="false" ht="16.5" hidden="false" customHeight="false" outlineLevel="0" collapsed="false">
      <c r="A56" s="14"/>
      <c r="B56" s="38"/>
      <c r="C56" s="45" t="s">
        <v>39</v>
      </c>
      <c r="D56" s="46" t="n">
        <v>0</v>
      </c>
      <c r="E56" s="46" t="n">
        <v>0</v>
      </c>
      <c r="F56" s="46"/>
      <c r="G56" s="47" t="n">
        <v>0</v>
      </c>
      <c r="H56" s="47" t="n">
        <v>0</v>
      </c>
      <c r="I56" s="47" t="n">
        <f aca="false">SUM(G56:H56)</f>
        <v>0</v>
      </c>
      <c r="J56" s="33" t="n">
        <f aca="false">ROUND(I56*0.25,0)</f>
        <v>0</v>
      </c>
      <c r="K56" s="47" t="n">
        <v>0</v>
      </c>
      <c r="L56" s="47" t="n">
        <v>0</v>
      </c>
      <c r="M56" s="47" t="n">
        <v>0</v>
      </c>
      <c r="N56" s="47" t="n">
        <v>0</v>
      </c>
      <c r="O56" s="47" t="n">
        <v>0</v>
      </c>
      <c r="P56" s="47" t="n">
        <v>0</v>
      </c>
      <c r="Q56" s="18" t="n">
        <f aca="false">SUM(I56:P56)</f>
        <v>0</v>
      </c>
    </row>
    <row r="57" customFormat="false" ht="17.25" hidden="false" customHeight="false" outlineLevel="0" collapsed="false">
      <c r="A57" s="24"/>
      <c r="B57" s="25"/>
      <c r="C57" s="48" t="s">
        <v>24</v>
      </c>
      <c r="D57" s="49" t="n">
        <f aca="false">SUM(D54:D56)</f>
        <v>1</v>
      </c>
      <c r="E57" s="49" t="n">
        <f aca="false">SUM(E54:E56)</f>
        <v>1</v>
      </c>
      <c r="F57" s="49" t="n">
        <f aca="false">SUM(F54:F56)</f>
        <v>0</v>
      </c>
      <c r="G57" s="49" t="n">
        <f aca="false">SUM(G54:G56)</f>
        <v>800</v>
      </c>
      <c r="H57" s="49" t="n">
        <f aca="false">SUM(H54:H56)</f>
        <v>0</v>
      </c>
      <c r="I57" s="49" t="n">
        <f aca="false">SUM(I54:I56)</f>
        <v>800</v>
      </c>
      <c r="J57" s="49" t="n">
        <f aca="false">SUM(J54:J56)</f>
        <v>200</v>
      </c>
      <c r="K57" s="49" t="n">
        <f aca="false">SUM(K54:K56)</f>
        <v>4</v>
      </c>
      <c r="L57" s="49" t="n">
        <f aca="false">SUM(L54:L56)</f>
        <v>216</v>
      </c>
      <c r="M57" s="49" t="n">
        <f aca="false">SUM(M54:M56)</f>
        <v>29</v>
      </c>
      <c r="N57" s="49" t="n">
        <f aca="false">SUM(N54:N56)</f>
        <v>0</v>
      </c>
      <c r="O57" s="49" t="n">
        <f aca="false">SUM(O54:O56)</f>
        <v>0</v>
      </c>
      <c r="P57" s="49" t="n">
        <f aca="false">SUM(P54:P56)</f>
        <v>0</v>
      </c>
      <c r="Q57" s="49" t="n">
        <f aca="false">SUM(Q54:Q56)</f>
        <v>1249</v>
      </c>
    </row>
    <row r="58" customFormat="false" ht="16.5" hidden="false" customHeight="true" outlineLevel="0" collapsed="false">
      <c r="A58" s="55" t="n">
        <v>2</v>
      </c>
      <c r="B58" s="56" t="s">
        <v>25</v>
      </c>
      <c r="C58" s="26" t="s">
        <v>26</v>
      </c>
      <c r="D58" s="57" t="n">
        <v>1</v>
      </c>
      <c r="E58" s="57" t="n">
        <v>1</v>
      </c>
      <c r="F58" s="57"/>
      <c r="G58" s="54" t="n">
        <v>504</v>
      </c>
      <c r="H58" s="54" t="n">
        <v>0</v>
      </c>
      <c r="I58" s="44" t="n">
        <f aca="false">SUM(G58:H58)</f>
        <v>504</v>
      </c>
      <c r="J58" s="27" t="n">
        <f aca="false">ROUND(I58*0.25,0)</f>
        <v>126</v>
      </c>
      <c r="K58" s="54" t="n">
        <v>4</v>
      </c>
      <c r="L58" s="54" t="n">
        <v>136</v>
      </c>
      <c r="M58" s="54" t="n">
        <v>5</v>
      </c>
      <c r="N58" s="54" t="n">
        <v>0</v>
      </c>
      <c r="O58" s="54" t="n">
        <v>0</v>
      </c>
      <c r="P58" s="54" t="n">
        <v>0</v>
      </c>
      <c r="Q58" s="40" t="n">
        <f aca="false">SUM(I58:P58)</f>
        <v>775</v>
      </c>
    </row>
    <row r="59" customFormat="false" ht="15.75" hidden="false" customHeight="false" outlineLevel="0" collapsed="false">
      <c r="A59" s="55"/>
      <c r="B59" s="56"/>
      <c r="C59" s="30" t="s">
        <v>41</v>
      </c>
      <c r="D59" s="43" t="n">
        <v>0</v>
      </c>
      <c r="E59" s="43" t="n">
        <v>0</v>
      </c>
      <c r="F59" s="43"/>
      <c r="G59" s="44" t="n">
        <v>0</v>
      </c>
      <c r="H59" s="44" t="n">
        <v>0</v>
      </c>
      <c r="I59" s="44" t="n">
        <f aca="false">SUM(G59:H59)</f>
        <v>0</v>
      </c>
      <c r="J59" s="27" t="n">
        <f aca="false">ROUND(I59*0.25,0)</f>
        <v>0</v>
      </c>
      <c r="K59" s="44" t="n">
        <v>0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0" t="n">
        <f aca="false">SUM(I59:P59)</f>
        <v>0</v>
      </c>
    </row>
    <row r="60" customFormat="false" ht="15.75" hidden="false" customHeight="false" outlineLevel="0" collapsed="false">
      <c r="A60" s="55"/>
      <c r="B60" s="56"/>
      <c r="C60" s="30" t="s">
        <v>27</v>
      </c>
      <c r="D60" s="43" t="n">
        <v>3</v>
      </c>
      <c r="E60" s="43" t="n">
        <v>3</v>
      </c>
      <c r="F60" s="43"/>
      <c r="G60" s="44" t="n">
        <v>1044</v>
      </c>
      <c r="H60" s="44" t="n">
        <v>0</v>
      </c>
      <c r="I60" s="44" t="n">
        <f aca="false">SUM(G60:H60)</f>
        <v>1044</v>
      </c>
      <c r="J60" s="27" t="n">
        <f aca="false">ROUND(I60*0.25,0)</f>
        <v>261</v>
      </c>
      <c r="K60" s="44" t="n">
        <v>8</v>
      </c>
      <c r="L60" s="44" t="n">
        <v>282</v>
      </c>
      <c r="M60" s="44" t="n">
        <v>14</v>
      </c>
      <c r="N60" s="44" t="n">
        <v>0</v>
      </c>
      <c r="O60" s="44" t="n">
        <v>0</v>
      </c>
      <c r="P60" s="44" t="n">
        <v>0</v>
      </c>
      <c r="Q60" s="40" t="n">
        <f aca="false">SUM(I60:P60)+F60</f>
        <v>1609</v>
      </c>
    </row>
    <row r="61" customFormat="false" ht="16.5" hidden="false" customHeight="false" outlineLevel="0" collapsed="false">
      <c r="A61" s="55"/>
      <c r="B61" s="56"/>
      <c r="C61" s="30" t="s">
        <v>42</v>
      </c>
      <c r="D61" s="46" t="n">
        <v>0</v>
      </c>
      <c r="E61" s="46" t="n">
        <v>0</v>
      </c>
      <c r="F61" s="46"/>
      <c r="G61" s="47" t="n">
        <v>0</v>
      </c>
      <c r="H61" s="47" t="n">
        <v>0</v>
      </c>
      <c r="I61" s="47" t="n">
        <f aca="false">SUM(G61:H61)</f>
        <v>0</v>
      </c>
      <c r="J61" s="33" t="n">
        <f aca="false">ROUND(I61*0.25,0)</f>
        <v>0</v>
      </c>
      <c r="K61" s="47" t="n">
        <v>0</v>
      </c>
      <c r="L61" s="47" t="n">
        <v>0</v>
      </c>
      <c r="M61" s="47" t="n">
        <v>0</v>
      </c>
      <c r="N61" s="47" t="n">
        <v>0</v>
      </c>
      <c r="O61" s="47" t="n">
        <v>0</v>
      </c>
      <c r="P61" s="47" t="n">
        <v>0</v>
      </c>
      <c r="Q61" s="18" t="n">
        <f aca="false">SUM(I61:P61)</f>
        <v>0</v>
      </c>
    </row>
    <row r="62" customFormat="false" ht="17.25" hidden="false" customHeight="false" outlineLevel="0" collapsed="false">
      <c r="A62" s="14"/>
      <c r="B62" s="38"/>
      <c r="C62" s="58" t="s">
        <v>29</v>
      </c>
      <c r="D62" s="49" t="n">
        <f aca="false">SUM(D58:D61)</f>
        <v>4</v>
      </c>
      <c r="E62" s="49" t="n">
        <f aca="false">SUM(E58:E61)</f>
        <v>4</v>
      </c>
      <c r="F62" s="49" t="n">
        <f aca="false">SUM(F58:F61)</f>
        <v>0</v>
      </c>
      <c r="G62" s="49" t="n">
        <f aca="false">SUM(G58:G61)</f>
        <v>1548</v>
      </c>
      <c r="H62" s="49" t="n">
        <f aca="false">SUM(H58:H61)</f>
        <v>0</v>
      </c>
      <c r="I62" s="49" t="n">
        <f aca="false">SUM(I58:I61)</f>
        <v>1548</v>
      </c>
      <c r="J62" s="49" t="n">
        <f aca="false">SUM(J58:J61)</f>
        <v>387</v>
      </c>
      <c r="K62" s="49" t="n">
        <f aca="false">SUM(K58:K61)</f>
        <v>12</v>
      </c>
      <c r="L62" s="49" t="n">
        <f aca="false">SUM(L58:L61)</f>
        <v>418</v>
      </c>
      <c r="M62" s="49" t="n">
        <f aca="false">SUM(M58:M61)</f>
        <v>19</v>
      </c>
      <c r="N62" s="49" t="n">
        <f aca="false">SUM(N58:N61)</f>
        <v>0</v>
      </c>
      <c r="O62" s="49" t="n">
        <f aca="false">SUM(O58:O61)</f>
        <v>0</v>
      </c>
      <c r="P62" s="49" t="n">
        <f aca="false">SUM(P58:P61)</f>
        <v>0</v>
      </c>
      <c r="Q62" s="49" t="n">
        <f aca="false">SUM(Q58:Q61)</f>
        <v>2384</v>
      </c>
    </row>
    <row r="63" customFormat="false" ht="17.25" hidden="false" customHeight="false" outlineLevel="0" collapsed="false">
      <c r="A63" s="24" t="n">
        <v>3</v>
      </c>
      <c r="B63" s="25" t="s">
        <v>30</v>
      </c>
      <c r="C63" s="51" t="s">
        <v>32</v>
      </c>
      <c r="D63" s="49" t="n">
        <v>1</v>
      </c>
      <c r="E63" s="49" t="n">
        <v>1</v>
      </c>
      <c r="F63" s="49"/>
      <c r="G63" s="52" t="n">
        <v>280</v>
      </c>
      <c r="H63" s="52" t="n">
        <v>0</v>
      </c>
      <c r="I63" s="59" t="n">
        <f aca="false">SUM(G63:H63)</f>
        <v>280</v>
      </c>
      <c r="J63" s="33" t="n">
        <f aca="false">ROUND(I63*0.25,0)</f>
        <v>70</v>
      </c>
      <c r="K63" s="52" t="n">
        <v>2</v>
      </c>
      <c r="L63" s="52" t="n">
        <v>76</v>
      </c>
      <c r="M63" s="52" t="n">
        <v>5</v>
      </c>
      <c r="N63" s="52" t="n">
        <v>1</v>
      </c>
      <c r="O63" s="52" t="n">
        <v>0</v>
      </c>
      <c r="P63" s="52" t="n">
        <v>0</v>
      </c>
      <c r="Q63" s="60" t="n">
        <f aca="false">SUM(I63:P63)</f>
        <v>434</v>
      </c>
    </row>
    <row r="64" customFormat="false" ht="17.25" hidden="false" customHeight="false" outlineLevel="0" collapsed="false">
      <c r="A64" s="24"/>
      <c r="B64" s="34"/>
      <c r="C64" s="32" t="s">
        <v>33</v>
      </c>
      <c r="D64" s="49" t="n">
        <f aca="false">SUM(D63)</f>
        <v>1</v>
      </c>
      <c r="E64" s="49" t="n">
        <f aca="false">SUM(E63)</f>
        <v>1</v>
      </c>
      <c r="F64" s="49" t="n">
        <f aca="false">SUM(F63)</f>
        <v>0</v>
      </c>
      <c r="G64" s="49" t="n">
        <f aca="false">SUM(G63)</f>
        <v>280</v>
      </c>
      <c r="H64" s="49" t="n">
        <f aca="false">SUM(H63)</f>
        <v>0</v>
      </c>
      <c r="I64" s="49" t="n">
        <f aca="false">SUM(I63)</f>
        <v>280</v>
      </c>
      <c r="J64" s="49" t="n">
        <f aca="false">SUM(J63)</f>
        <v>70</v>
      </c>
      <c r="K64" s="49" t="n">
        <f aca="false">SUM(K63)</f>
        <v>2</v>
      </c>
      <c r="L64" s="49" t="n">
        <f aca="false">SUM(L63)</f>
        <v>76</v>
      </c>
      <c r="M64" s="49" t="n">
        <f aca="false">SUM(M63)</f>
        <v>5</v>
      </c>
      <c r="N64" s="49" t="n">
        <f aca="false">SUM(N63)</f>
        <v>1</v>
      </c>
      <c r="O64" s="49" t="n">
        <f aca="false">SUM(O63)</f>
        <v>0</v>
      </c>
      <c r="P64" s="49" t="n">
        <f aca="false">SUM(P63)</f>
        <v>0</v>
      </c>
      <c r="Q64" s="49" t="n">
        <f aca="false">SUM(Q63)</f>
        <v>434</v>
      </c>
    </row>
    <row r="65" customFormat="false" ht="17.25" hidden="false" customHeight="false" outlineLevel="0" collapsed="false">
      <c r="A65" s="24"/>
      <c r="B65" s="34"/>
      <c r="C65" s="32" t="s">
        <v>34</v>
      </c>
      <c r="D65" s="49" t="n">
        <f aca="false">SUM(D64,D62,D57)</f>
        <v>6</v>
      </c>
      <c r="E65" s="49" t="n">
        <f aca="false">SUM(E64,E62,E57)</f>
        <v>6</v>
      </c>
      <c r="F65" s="49" t="n">
        <f aca="false">SUM(F64,F62,F57)</f>
        <v>0</v>
      </c>
      <c r="G65" s="49" t="n">
        <f aca="false">SUM(G64,G62,G57)</f>
        <v>2628</v>
      </c>
      <c r="H65" s="49" t="n">
        <f aca="false">SUM(H64,H62,H57)</f>
        <v>0</v>
      </c>
      <c r="I65" s="49" t="n">
        <f aca="false">SUM(I64,I62,I57)</f>
        <v>2628</v>
      </c>
      <c r="J65" s="49" t="n">
        <f aca="false">SUM(J64,J62,J57)</f>
        <v>657</v>
      </c>
      <c r="K65" s="49" t="n">
        <f aca="false">SUM(K64,K62,K57)</f>
        <v>18</v>
      </c>
      <c r="L65" s="49" t="n">
        <f aca="false">SUM(L64,L62,L57)</f>
        <v>710</v>
      </c>
      <c r="M65" s="49" t="n">
        <f aca="false">SUM(M64,M62,M57)</f>
        <v>53</v>
      </c>
      <c r="N65" s="49" t="n">
        <f aca="false">SUM(N64,N62,N57)</f>
        <v>1</v>
      </c>
      <c r="O65" s="49" t="n">
        <f aca="false">SUM(O64,O62,O57)</f>
        <v>0</v>
      </c>
      <c r="P65" s="49" t="n">
        <f aca="false">SUM(P64,P62,P57)</f>
        <v>0</v>
      </c>
      <c r="Q65" s="49" t="n">
        <f aca="false">SUM(Q64,Q62,Q57)</f>
        <v>4067</v>
      </c>
    </row>
    <row r="66" customFormat="false" ht="16.5" hidden="false" customHeight="false" outlineLevel="0" collapsed="false">
      <c r="C66" s="2"/>
    </row>
    <row r="67" customFormat="false" ht="15.75" hidden="false" customHeight="false" outlineLevel="0" collapsed="false">
      <c r="A67" s="5" t="str">
        <f aca="false">$A$1</f>
        <v>प्रपत्र - ड  -  अर्थसंकल्पीय अंदाजपत्रक सन 2021-2022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customFormat="false" ht="15.75" hidden="false" customHeight="false" outlineLevel="0" collapsed="false">
      <c r="A68" s="5" t="s">
        <v>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customFormat="false" ht="15.75" hidden="false" customHeight="false" outlineLevel="0" collapsed="false">
      <c r="A69" s="6" t="s">
        <v>45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8" t="s">
        <v>3</v>
      </c>
      <c r="P69" s="8"/>
      <c r="Q69" s="8"/>
    </row>
    <row r="70" customFormat="false" ht="17.25" hidden="false" customHeight="true" outlineLevel="0" collapsed="false">
      <c r="A70" s="9" t="s">
        <v>4</v>
      </c>
      <c r="B70" s="9" t="s">
        <v>5</v>
      </c>
      <c r="C70" s="10" t="s">
        <v>6</v>
      </c>
      <c r="D70" s="11" t="str">
        <f aca="false">D4</f>
        <v>मंजूर पदे</v>
      </c>
      <c r="E70" s="11" t="str">
        <f aca="false">E4</f>
        <v>मंजूर पदे</v>
      </c>
      <c r="F70" s="12" t="str">
        <f aca="false">F4</f>
        <v>विशेष वेतन</v>
      </c>
      <c r="G70" s="12" t="str">
        <f aca="false">G4</f>
        <v>मुळ वेतन</v>
      </c>
      <c r="H70" s="12" t="str">
        <f aca="false">H4</f>
        <v>ग्रेड वेतन</v>
      </c>
      <c r="I70" s="12" t="str">
        <f aca="false">I4</f>
        <v>एकूण</v>
      </c>
      <c r="J70" s="12" t="str">
        <f aca="false">J4</f>
        <v>महागाई भत्ता 25%</v>
      </c>
      <c r="K70" s="12" t="s">
        <v>13</v>
      </c>
      <c r="L70" s="12" t="s">
        <v>14</v>
      </c>
      <c r="M70" s="12" t="s">
        <v>15</v>
      </c>
      <c r="N70" s="12" t="s">
        <v>16</v>
      </c>
      <c r="O70" s="12" t="s">
        <v>17</v>
      </c>
      <c r="P70" s="12" t="s">
        <v>18</v>
      </c>
      <c r="Q70" s="12" t="s">
        <v>11</v>
      </c>
    </row>
    <row r="71" customFormat="false" ht="15.75" hidden="false" customHeight="false" outlineLevel="0" collapsed="false">
      <c r="A71" s="9"/>
      <c r="B71" s="9"/>
      <c r="C71" s="10"/>
      <c r="D71" s="61" t="str">
        <f aca="false">D5</f>
        <v>2020-2021</v>
      </c>
      <c r="E71" s="61" t="str">
        <f aca="false">E5</f>
        <v>2021-2022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customFormat="false" ht="15.75" hidden="false" customHeight="false" outlineLevel="0" collapsed="false">
      <c r="A72" s="9"/>
      <c r="B72" s="9"/>
      <c r="C72" s="13" t="s">
        <v>21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customFormat="false" ht="19.5" hidden="false" customHeight="true" outlineLevel="0" collapsed="false">
      <c r="A73" s="14" t="n">
        <v>1</v>
      </c>
      <c r="B73" s="15" t="s">
        <v>22</v>
      </c>
      <c r="C73" s="15" t="s">
        <v>46</v>
      </c>
      <c r="D73" s="16" t="n">
        <v>0</v>
      </c>
      <c r="E73" s="16" t="n">
        <v>0</v>
      </c>
      <c r="F73" s="16" t="n">
        <v>0</v>
      </c>
      <c r="G73" s="16" t="n">
        <v>0</v>
      </c>
      <c r="H73" s="16" t="n">
        <v>0</v>
      </c>
      <c r="I73" s="17" t="n">
        <f aca="false">SUM(G73:H73)</f>
        <v>0</v>
      </c>
      <c r="J73" s="16" t="n">
        <f aca="false">ROUND(I73*1.3,0)</f>
        <v>0</v>
      </c>
      <c r="K73" s="16" t="n">
        <v>0</v>
      </c>
      <c r="L73" s="16" t="n">
        <v>0</v>
      </c>
      <c r="M73" s="16" t="n">
        <v>0</v>
      </c>
      <c r="N73" s="16" t="n">
        <v>0</v>
      </c>
      <c r="O73" s="16" t="n">
        <v>0</v>
      </c>
      <c r="P73" s="16" t="n">
        <v>0</v>
      </c>
      <c r="Q73" s="18" t="n">
        <f aca="false">SUM(I73:P73)+F73</f>
        <v>0</v>
      </c>
    </row>
    <row r="74" customFormat="false" ht="19.5" hidden="false" customHeight="true" outlineLevel="0" collapsed="false">
      <c r="A74" s="24"/>
      <c r="B74" s="34"/>
      <c r="C74" s="25" t="s">
        <v>24</v>
      </c>
      <c r="D74" s="33" t="n">
        <f aca="false">SUM(D73)</f>
        <v>0</v>
      </c>
      <c r="E74" s="33" t="n">
        <f aca="false">SUM(E73)</f>
        <v>0</v>
      </c>
      <c r="F74" s="33" t="n">
        <f aca="false">SUM(F73)</f>
        <v>0</v>
      </c>
      <c r="G74" s="33" t="n">
        <f aca="false">SUM(G73)</f>
        <v>0</v>
      </c>
      <c r="H74" s="33" t="n">
        <f aca="false">SUM(H73)</f>
        <v>0</v>
      </c>
      <c r="I74" s="33" t="n">
        <f aca="false">SUM(I73)</f>
        <v>0</v>
      </c>
      <c r="J74" s="33" t="n">
        <f aca="false">SUM(J73)</f>
        <v>0</v>
      </c>
      <c r="K74" s="33" t="n">
        <f aca="false">SUM(K73)</f>
        <v>0</v>
      </c>
      <c r="L74" s="33" t="n">
        <f aca="false">SUM(L73)</f>
        <v>0</v>
      </c>
      <c r="M74" s="33" t="n">
        <f aca="false">SUM(M73)</f>
        <v>0</v>
      </c>
      <c r="N74" s="33" t="n">
        <f aca="false">SUM(N73)</f>
        <v>0</v>
      </c>
      <c r="O74" s="33" t="n">
        <f aca="false">SUM(O73)</f>
        <v>0</v>
      </c>
      <c r="P74" s="33" t="n">
        <f aca="false">SUM(P73)</f>
        <v>0</v>
      </c>
      <c r="Q74" s="33" t="n">
        <f aca="false">SUM(Q73)</f>
        <v>0</v>
      </c>
    </row>
    <row r="75" customFormat="false" ht="16.5" hidden="false" customHeight="true" outlineLevel="0" collapsed="false">
      <c r="A75" s="24" t="n">
        <v>2</v>
      </c>
      <c r="B75" s="25" t="s">
        <v>25</v>
      </c>
      <c r="C75" s="26" t="s">
        <v>26</v>
      </c>
      <c r="D75" s="27" t="n">
        <v>1</v>
      </c>
      <c r="E75" s="27" t="n">
        <v>1</v>
      </c>
      <c r="F75" s="27" t="n">
        <v>0</v>
      </c>
      <c r="G75" s="27" t="n">
        <v>487</v>
      </c>
      <c r="H75" s="27" t="n">
        <v>0</v>
      </c>
      <c r="I75" s="62" t="n">
        <f aca="false">SUM(G75:H75)</f>
        <v>487</v>
      </c>
      <c r="J75" s="41" t="n">
        <f aca="false">ROUND(I75*0.25,0)</f>
        <v>122</v>
      </c>
      <c r="K75" s="27" t="n">
        <v>4</v>
      </c>
      <c r="L75" s="27" t="n">
        <v>132</v>
      </c>
      <c r="M75" s="27" t="n">
        <v>5</v>
      </c>
      <c r="N75" s="27" t="n">
        <v>0</v>
      </c>
      <c r="O75" s="27" t="n">
        <v>0</v>
      </c>
      <c r="P75" s="27" t="n">
        <v>0</v>
      </c>
      <c r="Q75" s="63" t="n">
        <f aca="false">SUM(I75:P75)+F75</f>
        <v>750</v>
      </c>
    </row>
    <row r="76" customFormat="false" ht="15.75" hidden="false" customHeight="false" outlineLevel="0" collapsed="false">
      <c r="A76" s="24"/>
      <c r="B76" s="25"/>
      <c r="C76" s="30" t="s">
        <v>27</v>
      </c>
      <c r="D76" s="42" t="n">
        <v>3</v>
      </c>
      <c r="E76" s="42" t="n">
        <v>3</v>
      </c>
      <c r="F76" s="42" t="n">
        <v>0</v>
      </c>
      <c r="G76" s="42" t="n">
        <v>760</v>
      </c>
      <c r="H76" s="42" t="n">
        <v>0</v>
      </c>
      <c r="I76" s="64" t="n">
        <f aca="false">SUM(G76:H76)</f>
        <v>760</v>
      </c>
      <c r="J76" s="41" t="n">
        <f aca="false">ROUND(I76*0.25,0)</f>
        <v>190</v>
      </c>
      <c r="K76" s="42" t="n">
        <v>11</v>
      </c>
      <c r="L76" s="42" t="n">
        <v>205</v>
      </c>
      <c r="M76" s="42" t="n">
        <v>14</v>
      </c>
      <c r="N76" s="42" t="n">
        <v>0</v>
      </c>
      <c r="O76" s="42" t="n">
        <v>0</v>
      </c>
      <c r="P76" s="42" t="n">
        <v>0</v>
      </c>
      <c r="Q76" s="40" t="n">
        <f aca="false">SUM(I76:P76)+F76</f>
        <v>1180</v>
      </c>
    </row>
    <row r="77" customFormat="false" ht="16.5" hidden="false" customHeight="false" outlineLevel="0" collapsed="false">
      <c r="A77" s="24"/>
      <c r="B77" s="25"/>
      <c r="C77" s="31" t="s">
        <v>28</v>
      </c>
      <c r="D77" s="16" t="n">
        <v>0</v>
      </c>
      <c r="E77" s="16" t="n">
        <v>0</v>
      </c>
      <c r="F77" s="16" t="n">
        <v>0</v>
      </c>
      <c r="G77" s="16" t="n">
        <v>0</v>
      </c>
      <c r="H77" s="16" t="n">
        <v>0</v>
      </c>
      <c r="I77" s="65" t="n">
        <f aca="false">SUM(G77:H77)</f>
        <v>0</v>
      </c>
      <c r="J77" s="16" t="n">
        <f aca="false">ROUND(I77*1.6,0)</f>
        <v>0</v>
      </c>
      <c r="K77" s="16" t="n">
        <v>0</v>
      </c>
      <c r="L77" s="16" t="n">
        <v>0</v>
      </c>
      <c r="M77" s="16" t="n">
        <v>0</v>
      </c>
      <c r="N77" s="16" t="n">
        <v>0</v>
      </c>
      <c r="O77" s="16" t="n">
        <v>0</v>
      </c>
      <c r="P77" s="16" t="n">
        <v>0</v>
      </c>
      <c r="Q77" s="22" t="n">
        <f aca="false">SUM(I77:P77)+F77</f>
        <v>0</v>
      </c>
    </row>
    <row r="78" customFormat="false" ht="17.25" hidden="false" customHeight="false" outlineLevel="0" collapsed="false">
      <c r="A78" s="24"/>
      <c r="B78" s="25"/>
      <c r="C78" s="32" t="s">
        <v>29</v>
      </c>
      <c r="D78" s="33" t="n">
        <f aca="false">SUM(D75:D77)</f>
        <v>4</v>
      </c>
      <c r="E78" s="33" t="n">
        <f aca="false">SUM(E75:E77)</f>
        <v>4</v>
      </c>
      <c r="F78" s="33" t="n">
        <f aca="false">SUM(F75:F77)</f>
        <v>0</v>
      </c>
      <c r="G78" s="33" t="n">
        <f aca="false">SUM(G75:G77)</f>
        <v>1247</v>
      </c>
      <c r="H78" s="33" t="n">
        <f aca="false">SUM(H75:H77)</f>
        <v>0</v>
      </c>
      <c r="I78" s="33" t="n">
        <f aca="false">SUM(I75:I77)</f>
        <v>1247</v>
      </c>
      <c r="J78" s="33" t="n">
        <f aca="false">SUM(J75:J77)</f>
        <v>312</v>
      </c>
      <c r="K78" s="33" t="n">
        <f aca="false">SUM(K75:K77)</f>
        <v>15</v>
      </c>
      <c r="L78" s="33" t="n">
        <f aca="false">SUM(L75:L77)</f>
        <v>337</v>
      </c>
      <c r="M78" s="33" t="n">
        <f aca="false">SUM(M75:M77)</f>
        <v>19</v>
      </c>
      <c r="N78" s="33" t="n">
        <f aca="false">SUM(N75:N77)</f>
        <v>0</v>
      </c>
      <c r="O78" s="33" t="n">
        <f aca="false">SUM(O75:O77)</f>
        <v>0</v>
      </c>
      <c r="P78" s="33" t="n">
        <f aca="false">SUM(P75:P77)</f>
        <v>0</v>
      </c>
      <c r="Q78" s="33" t="n">
        <f aca="false">SUM(Q75:Q77)</f>
        <v>1930</v>
      </c>
    </row>
    <row r="79" customFormat="false" ht="16.5" hidden="false" customHeight="true" outlineLevel="0" collapsed="false">
      <c r="A79" s="24" t="n">
        <v>3</v>
      </c>
      <c r="B79" s="25" t="s">
        <v>30</v>
      </c>
      <c r="C79" s="26" t="s">
        <v>31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64" t="n">
        <f aca="false">SUM(G79:H79)</f>
        <v>0</v>
      </c>
      <c r="J79" s="41" t="n">
        <f aca="false">ROUND(I79*1.6,0)</f>
        <v>0</v>
      </c>
      <c r="K79" s="27" t="n">
        <v>0</v>
      </c>
      <c r="L79" s="27" t="n">
        <v>0</v>
      </c>
      <c r="M79" s="27" t="n">
        <v>0</v>
      </c>
      <c r="N79" s="27" t="n">
        <v>0</v>
      </c>
      <c r="O79" s="27" t="n">
        <v>0</v>
      </c>
      <c r="P79" s="27" t="n">
        <v>0</v>
      </c>
      <c r="Q79" s="40" t="n">
        <f aca="false">SUM(I79:P79)+F79</f>
        <v>0</v>
      </c>
    </row>
    <row r="80" customFormat="false" ht="16.5" hidden="false" customHeight="false" outlineLevel="0" collapsed="false">
      <c r="A80" s="24"/>
      <c r="B80" s="25"/>
      <c r="C80" s="31" t="s">
        <v>32</v>
      </c>
      <c r="D80" s="16" t="n">
        <v>0</v>
      </c>
      <c r="E80" s="16" t="n">
        <v>0</v>
      </c>
      <c r="F80" s="16" t="n">
        <v>0</v>
      </c>
      <c r="G80" s="16" t="n">
        <v>0</v>
      </c>
      <c r="H80" s="16" t="n">
        <v>0</v>
      </c>
      <c r="I80" s="17" t="n">
        <f aca="false">SUM(G80:H80)</f>
        <v>0</v>
      </c>
      <c r="J80" s="16" t="n">
        <f aca="false">ROUND(I80*1.6,0)</f>
        <v>0</v>
      </c>
      <c r="K80" s="16" t="n">
        <v>0</v>
      </c>
      <c r="L80" s="16" t="n">
        <v>0</v>
      </c>
      <c r="M80" s="16" t="n">
        <v>0</v>
      </c>
      <c r="N80" s="16" t="n">
        <v>0</v>
      </c>
      <c r="O80" s="16" t="n">
        <v>0</v>
      </c>
      <c r="P80" s="16" t="n">
        <v>0</v>
      </c>
      <c r="Q80" s="40" t="n">
        <f aca="false">SUM(I80:P80)+F80</f>
        <v>0</v>
      </c>
    </row>
    <row r="81" customFormat="false" ht="17.25" hidden="false" customHeight="false" outlineLevel="0" collapsed="false">
      <c r="A81" s="24"/>
      <c r="B81" s="25"/>
      <c r="C81" s="32" t="s">
        <v>33</v>
      </c>
      <c r="D81" s="33" t="n">
        <f aca="false">SUM(D79:D80)</f>
        <v>0</v>
      </c>
      <c r="E81" s="33" t="n">
        <f aca="false">SUM(E79:E80)</f>
        <v>0</v>
      </c>
      <c r="F81" s="33" t="n">
        <f aca="false">SUM(F79:F80)</f>
        <v>0</v>
      </c>
      <c r="G81" s="33" t="n">
        <f aca="false">SUM(G79:G80)</f>
        <v>0</v>
      </c>
      <c r="H81" s="33" t="n">
        <f aca="false">SUM(H79:H80)</f>
        <v>0</v>
      </c>
      <c r="I81" s="33" t="n">
        <f aca="false">SUM(I79:I80)</f>
        <v>0</v>
      </c>
      <c r="J81" s="33" t="n">
        <f aca="false">SUM(J79:J80)</f>
        <v>0</v>
      </c>
      <c r="K81" s="33" t="n">
        <f aca="false">SUM(K79:K80)</f>
        <v>0</v>
      </c>
      <c r="L81" s="33" t="n">
        <f aca="false">SUM(L79:L80)</f>
        <v>0</v>
      </c>
      <c r="M81" s="33" t="n">
        <f aca="false">SUM(M79:M80)</f>
        <v>0</v>
      </c>
      <c r="N81" s="33" t="n">
        <f aca="false">SUM(N79:N80)</f>
        <v>0</v>
      </c>
      <c r="O81" s="33" t="n">
        <f aca="false">SUM(O79:O80)</f>
        <v>0</v>
      </c>
      <c r="P81" s="33" t="n">
        <f aca="false">SUM(P79:P80)</f>
        <v>0</v>
      </c>
      <c r="Q81" s="33" t="n">
        <f aca="false">SUM(Q79:Q80)</f>
        <v>0</v>
      </c>
    </row>
    <row r="82" customFormat="false" ht="17.25" hidden="false" customHeight="false" outlineLevel="0" collapsed="false">
      <c r="A82" s="24"/>
      <c r="B82" s="34"/>
      <c r="C82" s="35" t="s">
        <v>34</v>
      </c>
      <c r="D82" s="22" t="n">
        <f aca="false">SUM(D81,D78,D74)</f>
        <v>4</v>
      </c>
      <c r="E82" s="22" t="n">
        <f aca="false">SUM(E81,E78,E74)</f>
        <v>4</v>
      </c>
      <c r="F82" s="22" t="n">
        <f aca="false">SUM(F81,F78,F74)</f>
        <v>0</v>
      </c>
      <c r="G82" s="22" t="n">
        <f aca="false">SUM(G81,G78,G74)</f>
        <v>1247</v>
      </c>
      <c r="H82" s="22" t="n">
        <f aca="false">SUM(H81,H78,H74)</f>
        <v>0</v>
      </c>
      <c r="I82" s="22" t="n">
        <f aca="false">SUM(I81,I78,I74)</f>
        <v>1247</v>
      </c>
      <c r="J82" s="22" t="n">
        <f aca="false">SUM(J81,J78,J74)</f>
        <v>312</v>
      </c>
      <c r="K82" s="22" t="n">
        <f aca="false">SUM(K81,K78,K74)</f>
        <v>15</v>
      </c>
      <c r="L82" s="22" t="n">
        <f aca="false">SUM(L81,L78,L74)</f>
        <v>337</v>
      </c>
      <c r="M82" s="22" t="n">
        <f aca="false">SUM(M81,M78,M74)</f>
        <v>19</v>
      </c>
      <c r="N82" s="22" t="n">
        <f aca="false">SUM(N81,N78,N74)</f>
        <v>0</v>
      </c>
      <c r="O82" s="22" t="n">
        <f aca="false">SUM(O81,O78,O74)</f>
        <v>0</v>
      </c>
      <c r="P82" s="22" t="n">
        <f aca="false">SUM(P81,P78,P74)</f>
        <v>0</v>
      </c>
      <c r="Q82" s="22" t="n">
        <f aca="false">SUM(Q81,Q78,Q74)</f>
        <v>1930</v>
      </c>
    </row>
    <row r="83" customFormat="false" ht="16.5" hidden="false" customHeight="false" outlineLevel="0" collapsed="false">
      <c r="A83" s="36"/>
      <c r="B83" s="3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</row>
    <row r="84" customFormat="false" ht="17.25" hidden="false" customHeight="true" outlineLevel="0" collapsed="false">
      <c r="A84" s="9" t="s">
        <v>35</v>
      </c>
      <c r="B84" s="9" t="s">
        <v>5</v>
      </c>
      <c r="C84" s="10" t="s">
        <v>6</v>
      </c>
      <c r="D84" s="11" t="str">
        <f aca="false">D4</f>
        <v>मंजूर पदे</v>
      </c>
      <c r="E84" s="11" t="str">
        <f aca="false">E4</f>
        <v>मंजूर पदे</v>
      </c>
      <c r="F84" s="12" t="str">
        <f aca="false">F4</f>
        <v>विशेष वेतन</v>
      </c>
      <c r="G84" s="12" t="str">
        <f aca="false">G4</f>
        <v>मुळ वेतन</v>
      </c>
      <c r="H84" s="12" t="str">
        <f aca="false">H4</f>
        <v>ग्रेड वेतन</v>
      </c>
      <c r="I84" s="12" t="str">
        <f aca="false">I4</f>
        <v>एकूण</v>
      </c>
      <c r="J84" s="12" t="str">
        <f aca="false">J4</f>
        <v>महागाई भत्ता 25%</v>
      </c>
      <c r="K84" s="12" t="s">
        <v>13</v>
      </c>
      <c r="L84" s="12" t="s">
        <v>14</v>
      </c>
      <c r="M84" s="12" t="s">
        <v>15</v>
      </c>
      <c r="N84" s="12" t="s">
        <v>16</v>
      </c>
      <c r="O84" s="12" t="s">
        <v>17</v>
      </c>
      <c r="P84" s="12" t="s">
        <v>18</v>
      </c>
      <c r="Q84" s="12" t="s">
        <v>11</v>
      </c>
    </row>
    <row r="85" customFormat="false" ht="15.75" hidden="false" customHeight="false" outlineLevel="0" collapsed="false">
      <c r="A85" s="9"/>
      <c r="B85" s="9"/>
      <c r="C85" s="10"/>
      <c r="D85" s="61" t="str">
        <f aca="false">D5</f>
        <v>2020-2021</v>
      </c>
      <c r="E85" s="61" t="str">
        <f aca="false">E5</f>
        <v>2021-2022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customFormat="false" ht="15.75" hidden="false" customHeight="false" outlineLevel="0" collapsed="false">
      <c r="A86" s="9"/>
      <c r="B86" s="9"/>
      <c r="C86" s="13" t="s">
        <v>36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customFormat="false" ht="15.75" hidden="false" customHeight="true" outlineLevel="0" collapsed="false">
      <c r="A87" s="14" t="n">
        <v>1</v>
      </c>
      <c r="B87" s="38" t="s">
        <v>22</v>
      </c>
      <c r="C87" s="39" t="s">
        <v>37</v>
      </c>
      <c r="D87" s="44" t="n">
        <v>0</v>
      </c>
      <c r="E87" s="44" t="n">
        <v>0</v>
      </c>
      <c r="F87" s="44" t="n">
        <v>0</v>
      </c>
      <c r="G87" s="54" t="n">
        <v>0</v>
      </c>
      <c r="H87" s="54" t="n">
        <v>0</v>
      </c>
      <c r="I87" s="64" t="n">
        <f aca="false">SUM(G87:H87)</f>
        <v>0</v>
      </c>
      <c r="J87" s="42" t="n">
        <f aca="false">ROUND(I87*1.6,0)</f>
        <v>0</v>
      </c>
      <c r="K87" s="54" t="n">
        <v>0</v>
      </c>
      <c r="L87" s="54" t="n">
        <v>0</v>
      </c>
      <c r="M87" s="54" t="n">
        <v>0</v>
      </c>
      <c r="N87" s="44" t="n">
        <v>0</v>
      </c>
      <c r="O87" s="44" t="n">
        <v>0</v>
      </c>
      <c r="P87" s="44" t="n">
        <v>0</v>
      </c>
      <c r="Q87" s="40" t="n">
        <f aca="false">SUM(I87:P87)+F87</f>
        <v>0</v>
      </c>
    </row>
    <row r="88" customFormat="false" ht="15.75" hidden="false" customHeight="false" outlineLevel="0" collapsed="false">
      <c r="A88" s="14"/>
      <c r="B88" s="38"/>
      <c r="C88" s="30" t="s">
        <v>38</v>
      </c>
      <c r="D88" s="43" t="n">
        <v>1</v>
      </c>
      <c r="E88" s="43" t="n">
        <v>1</v>
      </c>
      <c r="F88" s="44" t="n">
        <v>0</v>
      </c>
      <c r="G88" s="44" t="n">
        <v>990</v>
      </c>
      <c r="H88" s="44" t="n">
        <v>0</v>
      </c>
      <c r="I88" s="64" t="n">
        <f aca="false">SUM(G88:H88)</f>
        <v>990</v>
      </c>
      <c r="J88" s="42" t="n">
        <f aca="false">ROUND(I88*0.25,0)</f>
        <v>248</v>
      </c>
      <c r="K88" s="44" t="n">
        <v>4</v>
      </c>
      <c r="L88" s="44" t="n">
        <v>267</v>
      </c>
      <c r="M88" s="44" t="n">
        <v>5</v>
      </c>
      <c r="N88" s="44" t="n">
        <v>0</v>
      </c>
      <c r="O88" s="44" t="n">
        <v>0</v>
      </c>
      <c r="P88" s="44" t="n">
        <v>0</v>
      </c>
      <c r="Q88" s="40" t="n">
        <f aca="false">SUM(I88:P88)+F88</f>
        <v>1514</v>
      </c>
    </row>
    <row r="89" customFormat="false" ht="16.5" hidden="false" customHeight="false" outlineLevel="0" collapsed="false">
      <c r="A89" s="14"/>
      <c r="B89" s="38"/>
      <c r="C89" s="45" t="s">
        <v>39</v>
      </c>
      <c r="D89" s="46" t="n">
        <v>1</v>
      </c>
      <c r="E89" s="46" t="n">
        <v>1</v>
      </c>
      <c r="F89" s="47" t="n">
        <v>0</v>
      </c>
      <c r="G89" s="47" t="n">
        <v>990</v>
      </c>
      <c r="H89" s="47" t="n">
        <v>0</v>
      </c>
      <c r="I89" s="17" t="n">
        <f aca="false">SUM(G89:H89)</f>
        <v>990</v>
      </c>
      <c r="J89" s="42" t="n">
        <f aca="false">ROUND(I89*0.25,0)</f>
        <v>248</v>
      </c>
      <c r="K89" s="47" t="n">
        <v>4</v>
      </c>
      <c r="L89" s="47" t="n">
        <v>268</v>
      </c>
      <c r="M89" s="47" t="n">
        <v>5</v>
      </c>
      <c r="N89" s="47" t="n">
        <v>0</v>
      </c>
      <c r="O89" s="47" t="n">
        <v>0</v>
      </c>
      <c r="P89" s="47" t="n">
        <v>0</v>
      </c>
      <c r="Q89" s="18" t="n">
        <f aca="false">SUM(I89:P89)+F89</f>
        <v>1515</v>
      </c>
    </row>
    <row r="90" customFormat="false" ht="17.25" hidden="false" customHeight="false" outlineLevel="0" collapsed="false">
      <c r="A90" s="24"/>
      <c r="B90" s="25"/>
      <c r="C90" s="25" t="s">
        <v>24</v>
      </c>
      <c r="D90" s="49" t="n">
        <f aca="false">SUM(D87:D89)</f>
        <v>2</v>
      </c>
      <c r="E90" s="49" t="n">
        <f aca="false">SUM(E87:E89)</f>
        <v>2</v>
      </c>
      <c r="F90" s="49" t="n">
        <f aca="false">SUM(F87:F89)</f>
        <v>0</v>
      </c>
      <c r="G90" s="49" t="n">
        <f aca="false">SUM(G87:G89)</f>
        <v>1980</v>
      </c>
      <c r="H90" s="49" t="n">
        <f aca="false">SUM(H87:H89)</f>
        <v>0</v>
      </c>
      <c r="I90" s="49" t="n">
        <f aca="false">SUM(I87:I89)</f>
        <v>1980</v>
      </c>
      <c r="J90" s="49" t="n">
        <f aca="false">SUM(J87:J89)</f>
        <v>496</v>
      </c>
      <c r="K90" s="49" t="n">
        <f aca="false">SUM(K87:K89)</f>
        <v>8</v>
      </c>
      <c r="L90" s="49" t="n">
        <f aca="false">SUM(L87:L89)</f>
        <v>535</v>
      </c>
      <c r="M90" s="49" t="n">
        <f aca="false">SUM(M87:M89)</f>
        <v>10</v>
      </c>
      <c r="N90" s="49" t="n">
        <f aca="false">SUM(N87:N89)</f>
        <v>0</v>
      </c>
      <c r="O90" s="49" t="n">
        <f aca="false">SUM(O87:O89)</f>
        <v>0</v>
      </c>
      <c r="P90" s="49" t="n">
        <f aca="false">SUM(P87:P89)</f>
        <v>0</v>
      </c>
      <c r="Q90" s="49" t="n">
        <f aca="false">SUM(Q87:Q89)</f>
        <v>3029</v>
      </c>
    </row>
    <row r="91" customFormat="false" ht="16.5" hidden="false" customHeight="true" outlineLevel="0" collapsed="false">
      <c r="A91" s="24" t="n">
        <v>2</v>
      </c>
      <c r="B91" s="25" t="s">
        <v>25</v>
      </c>
      <c r="C91" s="26" t="s">
        <v>26</v>
      </c>
      <c r="D91" s="57" t="n">
        <v>0</v>
      </c>
      <c r="E91" s="57" t="n">
        <v>0</v>
      </c>
      <c r="F91" s="54" t="n">
        <v>0</v>
      </c>
      <c r="G91" s="57" t="n">
        <v>0</v>
      </c>
      <c r="H91" s="57" t="n">
        <v>0</v>
      </c>
      <c r="I91" s="64" t="n">
        <f aca="false">SUM(G91:H91)</f>
        <v>0</v>
      </c>
      <c r="J91" s="42" t="n">
        <f aca="false">ROUND(I91*1.6,0)</f>
        <v>0</v>
      </c>
      <c r="K91" s="54" t="n">
        <v>0</v>
      </c>
      <c r="L91" s="54" t="n">
        <v>0</v>
      </c>
      <c r="M91" s="54" t="n">
        <v>0</v>
      </c>
      <c r="N91" s="54" t="n">
        <v>0</v>
      </c>
      <c r="O91" s="54" t="n">
        <v>0</v>
      </c>
      <c r="P91" s="54" t="n">
        <v>0</v>
      </c>
      <c r="Q91" s="40" t="n">
        <f aca="false">SUM(I91:P91)+F91</f>
        <v>0</v>
      </c>
    </row>
    <row r="92" customFormat="false" ht="15.75" hidden="false" customHeight="false" outlineLevel="0" collapsed="false">
      <c r="A92" s="24"/>
      <c r="B92" s="25"/>
      <c r="C92" s="30" t="s">
        <v>41</v>
      </c>
      <c r="D92" s="43" t="n">
        <v>0</v>
      </c>
      <c r="E92" s="43" t="n">
        <v>0</v>
      </c>
      <c r="F92" s="44" t="n">
        <v>0</v>
      </c>
      <c r="G92" s="57" t="n">
        <v>0</v>
      </c>
      <c r="H92" s="57" t="n">
        <v>0</v>
      </c>
      <c r="I92" s="64" t="n">
        <f aca="false">SUM(G92:H92)</f>
        <v>0</v>
      </c>
      <c r="J92" s="42" t="n">
        <f aca="false">ROUND(I92*1.6,0)</f>
        <v>0</v>
      </c>
      <c r="K92" s="54" t="n">
        <v>0</v>
      </c>
      <c r="L92" s="54" t="n">
        <v>0</v>
      </c>
      <c r="M92" s="54" t="n">
        <v>0</v>
      </c>
      <c r="N92" s="54" t="n">
        <v>0</v>
      </c>
      <c r="O92" s="44" t="n">
        <v>0</v>
      </c>
      <c r="P92" s="44" t="n">
        <v>0</v>
      </c>
      <c r="Q92" s="40" t="n">
        <f aca="false">SUM(I92:P92)+F92</f>
        <v>0</v>
      </c>
    </row>
    <row r="93" customFormat="false" ht="15.75" hidden="false" customHeight="false" outlineLevel="0" collapsed="false">
      <c r="A93" s="24"/>
      <c r="B93" s="25"/>
      <c r="C93" s="30" t="s">
        <v>27</v>
      </c>
      <c r="D93" s="43" t="n">
        <v>0</v>
      </c>
      <c r="E93" s="43" t="n">
        <v>0</v>
      </c>
      <c r="F93" s="44" t="n">
        <v>0</v>
      </c>
      <c r="G93" s="57" t="n">
        <v>0</v>
      </c>
      <c r="H93" s="57" t="n">
        <v>0</v>
      </c>
      <c r="I93" s="64" t="n">
        <f aca="false">SUM(G93:H93)</f>
        <v>0</v>
      </c>
      <c r="J93" s="42" t="n">
        <f aca="false">ROUND(I93*1.6,0)</f>
        <v>0</v>
      </c>
      <c r="K93" s="54" t="n">
        <v>0</v>
      </c>
      <c r="L93" s="54" t="n">
        <v>0</v>
      </c>
      <c r="M93" s="54" t="n">
        <v>0</v>
      </c>
      <c r="N93" s="54" t="n">
        <v>0</v>
      </c>
      <c r="O93" s="44" t="n">
        <v>0</v>
      </c>
      <c r="P93" s="44" t="n">
        <v>0</v>
      </c>
      <c r="Q93" s="40" t="n">
        <f aca="false">SUM(I93:P93)+F93</f>
        <v>0</v>
      </c>
    </row>
    <row r="94" customFormat="false" ht="16.5" hidden="false" customHeight="false" outlineLevel="0" collapsed="false">
      <c r="A94" s="24"/>
      <c r="B94" s="25"/>
      <c r="C94" s="31" t="s">
        <v>42</v>
      </c>
      <c r="D94" s="46" t="n">
        <v>0</v>
      </c>
      <c r="E94" s="46" t="n">
        <v>0</v>
      </c>
      <c r="F94" s="47" t="n">
        <v>0</v>
      </c>
      <c r="G94" s="46" t="n">
        <v>0</v>
      </c>
      <c r="H94" s="46" t="n">
        <v>0</v>
      </c>
      <c r="I94" s="17" t="n">
        <f aca="false">SUM(G94:H94)</f>
        <v>0</v>
      </c>
      <c r="J94" s="42" t="n">
        <f aca="false">ROUND(I94*1.6,0)</f>
        <v>0</v>
      </c>
      <c r="K94" s="47" t="n">
        <v>0</v>
      </c>
      <c r="L94" s="47" t="n">
        <v>0</v>
      </c>
      <c r="M94" s="47" t="n">
        <v>0</v>
      </c>
      <c r="N94" s="47" t="n">
        <v>0</v>
      </c>
      <c r="O94" s="47" t="n">
        <v>0</v>
      </c>
      <c r="P94" s="47" t="n">
        <v>0</v>
      </c>
      <c r="Q94" s="18" t="n">
        <f aca="false">SUM(I94:P94)+F94</f>
        <v>0</v>
      </c>
    </row>
    <row r="95" customFormat="false" ht="17.25" hidden="false" customHeight="false" outlineLevel="0" collapsed="false">
      <c r="A95" s="24"/>
      <c r="B95" s="25"/>
      <c r="C95" s="32" t="s">
        <v>29</v>
      </c>
      <c r="D95" s="49" t="n">
        <f aca="false">SUM(D91:D94)</f>
        <v>0</v>
      </c>
      <c r="E95" s="49" t="n">
        <f aca="false">SUM(E91:E94)</f>
        <v>0</v>
      </c>
      <c r="F95" s="49" t="n">
        <f aca="false">SUM(F91:F94)</f>
        <v>0</v>
      </c>
      <c r="G95" s="49" t="n">
        <f aca="false">SUM(G91:G94)</f>
        <v>0</v>
      </c>
      <c r="H95" s="49" t="n">
        <f aca="false">SUM(H91:H94)</f>
        <v>0</v>
      </c>
      <c r="I95" s="49" t="n">
        <f aca="false">SUM(I91:I94)</f>
        <v>0</v>
      </c>
      <c r="J95" s="49" t="n">
        <f aca="false">SUM(J91:J94)</f>
        <v>0</v>
      </c>
      <c r="K95" s="49" t="n">
        <f aca="false">SUM(K91:K94)</f>
        <v>0</v>
      </c>
      <c r="L95" s="49" t="n">
        <f aca="false">SUM(L91:L94)</f>
        <v>0</v>
      </c>
      <c r="M95" s="49" t="n">
        <f aca="false">SUM(M91:M94)</f>
        <v>0</v>
      </c>
      <c r="N95" s="49" t="n">
        <f aca="false">SUM(N91:N94)</f>
        <v>0</v>
      </c>
      <c r="O95" s="49" t="n">
        <f aca="false">SUM(O91:O94)</f>
        <v>0</v>
      </c>
      <c r="P95" s="49" t="n">
        <f aca="false">SUM(P91:P94)</f>
        <v>0</v>
      </c>
      <c r="Q95" s="49" t="n">
        <f aca="false">SUM(Q91:Q94)</f>
        <v>0</v>
      </c>
    </row>
    <row r="96" customFormat="false" ht="17.25" hidden="false" customHeight="false" outlineLevel="0" collapsed="false">
      <c r="A96" s="24" t="n">
        <v>3</v>
      </c>
      <c r="B96" s="34" t="s">
        <v>30</v>
      </c>
      <c r="C96" s="51" t="s">
        <v>32</v>
      </c>
      <c r="D96" s="49" t="n">
        <v>2</v>
      </c>
      <c r="E96" s="49" t="n">
        <v>2</v>
      </c>
      <c r="F96" s="52" t="n">
        <v>0</v>
      </c>
      <c r="G96" s="52" t="n">
        <v>360</v>
      </c>
      <c r="H96" s="52" t="n">
        <v>0</v>
      </c>
      <c r="I96" s="66" t="n">
        <f aca="false">SUM(G96:H96)</f>
        <v>360</v>
      </c>
      <c r="J96" s="67" t="n">
        <f aca="false">ROUND(I96*0.25,0)</f>
        <v>90</v>
      </c>
      <c r="K96" s="52" t="n">
        <v>4</v>
      </c>
      <c r="L96" s="52" t="n">
        <v>97</v>
      </c>
      <c r="M96" s="52" t="n">
        <v>10</v>
      </c>
      <c r="N96" s="52" t="n">
        <v>1</v>
      </c>
      <c r="O96" s="52" t="n">
        <v>0</v>
      </c>
      <c r="P96" s="52" t="n">
        <v>0</v>
      </c>
      <c r="Q96" s="40" t="n">
        <f aca="false">SUM(I96:P96)+F96</f>
        <v>562</v>
      </c>
    </row>
    <row r="97" customFormat="false" ht="17.25" hidden="false" customHeight="false" outlineLevel="0" collapsed="false">
      <c r="A97" s="24"/>
      <c r="B97" s="34"/>
      <c r="C97" s="32" t="s">
        <v>33</v>
      </c>
      <c r="D97" s="49" t="n">
        <f aca="false">SUM(D96)</f>
        <v>2</v>
      </c>
      <c r="E97" s="49" t="n">
        <f aca="false">SUM(E96)</f>
        <v>2</v>
      </c>
      <c r="F97" s="49" t="n">
        <f aca="false">SUM(F96)</f>
        <v>0</v>
      </c>
      <c r="G97" s="49" t="n">
        <f aca="false">SUM(G96)</f>
        <v>360</v>
      </c>
      <c r="H97" s="49" t="n">
        <f aca="false">SUM(H96)</f>
        <v>0</v>
      </c>
      <c r="I97" s="49" t="n">
        <f aca="false">SUM(I96)</f>
        <v>360</v>
      </c>
      <c r="J97" s="49" t="n">
        <f aca="false">SUM(J96)</f>
        <v>90</v>
      </c>
      <c r="K97" s="49" t="n">
        <f aca="false">SUM(K96)</f>
        <v>4</v>
      </c>
      <c r="L97" s="49" t="n">
        <f aca="false">SUM(L96)</f>
        <v>97</v>
      </c>
      <c r="M97" s="49" t="n">
        <f aca="false">SUM(M96)</f>
        <v>10</v>
      </c>
      <c r="N97" s="49" t="n">
        <f aca="false">SUM(N96)</f>
        <v>1</v>
      </c>
      <c r="O97" s="49" t="n">
        <f aca="false">SUM(O96)</f>
        <v>0</v>
      </c>
      <c r="P97" s="49" t="n">
        <f aca="false">SUM(P96)</f>
        <v>0</v>
      </c>
      <c r="Q97" s="49" t="n">
        <f aca="false">SUM(Q96)</f>
        <v>562</v>
      </c>
    </row>
    <row r="98" customFormat="false" ht="17.25" hidden="false" customHeight="false" outlineLevel="0" collapsed="false">
      <c r="A98" s="24"/>
      <c r="B98" s="34"/>
      <c r="C98" s="35" t="s">
        <v>34</v>
      </c>
      <c r="D98" s="49" t="n">
        <f aca="false">SUM(D97,D95,D90)</f>
        <v>4</v>
      </c>
      <c r="E98" s="49" t="n">
        <f aca="false">SUM(E97,E95,E90)</f>
        <v>4</v>
      </c>
      <c r="F98" s="49" t="n">
        <f aca="false">SUM(F97,F95,F90)</f>
        <v>0</v>
      </c>
      <c r="G98" s="49" t="n">
        <f aca="false">SUM(G97,G95,G90)</f>
        <v>2340</v>
      </c>
      <c r="H98" s="49" t="n">
        <f aca="false">SUM(H97,H95,H90)</f>
        <v>0</v>
      </c>
      <c r="I98" s="49" t="n">
        <f aca="false">SUM(I97,I95,I90)</f>
        <v>2340</v>
      </c>
      <c r="J98" s="49" t="n">
        <f aca="false">SUM(J97,J95,J90)</f>
        <v>586</v>
      </c>
      <c r="K98" s="49" t="n">
        <f aca="false">SUM(K97,K95,K90)</f>
        <v>12</v>
      </c>
      <c r="L98" s="49" t="n">
        <f aca="false">SUM(L97,L95,L90)</f>
        <v>632</v>
      </c>
      <c r="M98" s="49" t="n">
        <f aca="false">SUM(M97,M95,M90)</f>
        <v>20</v>
      </c>
      <c r="N98" s="49" t="n">
        <f aca="false">SUM(N97,N95,N90)</f>
        <v>1</v>
      </c>
      <c r="O98" s="49" t="n">
        <f aca="false">SUM(O97,O95,O90)</f>
        <v>0</v>
      </c>
      <c r="P98" s="49" t="n">
        <f aca="false">SUM(P97,P95,P90)</f>
        <v>0</v>
      </c>
      <c r="Q98" s="49" t="n">
        <f aca="false">SUM(Q97,Q95,Q90)</f>
        <v>3591</v>
      </c>
    </row>
    <row r="99" customFormat="false" ht="16.5" hidden="false" customHeight="false" outlineLevel="0" collapsed="false">
      <c r="A99" s="5" t="str">
        <f aca="false">$A$1</f>
        <v>प्रपत्र - ड  -  अर्थसंकल्पीय अंदाजपत्रक सन 2021-2022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customFormat="false" ht="15.75" hidden="false" customHeight="false" outlineLevel="0" collapsed="false">
      <c r="A100" s="5" t="s">
        <v>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customFormat="false" ht="15.75" hidden="false" customHeight="false" outlineLevel="0" collapsed="false">
      <c r="A101" s="6" t="s">
        <v>47</v>
      </c>
      <c r="B101" s="6"/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 t="s">
        <v>3</v>
      </c>
      <c r="P101" s="8"/>
      <c r="Q101" s="8"/>
    </row>
    <row r="102" customFormat="false" ht="17.25" hidden="false" customHeight="true" outlineLevel="0" collapsed="false">
      <c r="A102" s="9" t="s">
        <v>4</v>
      </c>
      <c r="B102" s="9" t="s">
        <v>5</v>
      </c>
      <c r="C102" s="10" t="s">
        <v>6</v>
      </c>
      <c r="D102" s="11" t="str">
        <f aca="false">D4</f>
        <v>मंजूर पदे</v>
      </c>
      <c r="E102" s="11" t="str">
        <f aca="false">E4</f>
        <v>मंजूर पदे</v>
      </c>
      <c r="F102" s="12" t="str">
        <f aca="false">F4</f>
        <v>विशेष वेतन</v>
      </c>
      <c r="G102" s="12" t="str">
        <f aca="false">G4</f>
        <v>मुळ वेतन</v>
      </c>
      <c r="H102" s="12" t="str">
        <f aca="false">H4</f>
        <v>ग्रेड वेतन</v>
      </c>
      <c r="I102" s="12" t="str">
        <f aca="false">I4</f>
        <v>एकूण</v>
      </c>
      <c r="J102" s="12" t="str">
        <f aca="false">J4</f>
        <v>महागाई भत्ता 25%</v>
      </c>
      <c r="K102" s="12" t="s">
        <v>13</v>
      </c>
      <c r="L102" s="12" t="s">
        <v>14</v>
      </c>
      <c r="M102" s="12" t="s">
        <v>15</v>
      </c>
      <c r="N102" s="12" t="s">
        <v>16</v>
      </c>
      <c r="O102" s="12" t="s">
        <v>17</v>
      </c>
      <c r="P102" s="12" t="s">
        <v>18</v>
      </c>
      <c r="Q102" s="12" t="s">
        <v>11</v>
      </c>
    </row>
    <row r="103" customFormat="false" ht="15.75" hidden="false" customHeight="false" outlineLevel="0" collapsed="false">
      <c r="A103" s="9"/>
      <c r="B103" s="9"/>
      <c r="C103" s="10"/>
      <c r="D103" s="61" t="str">
        <f aca="false">D5</f>
        <v>2020-2021</v>
      </c>
      <c r="E103" s="61" t="str">
        <f aca="false">E5</f>
        <v>2021-2022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customFormat="false" ht="15.75" hidden="false" customHeight="false" outlineLevel="0" collapsed="false">
      <c r="A104" s="9"/>
      <c r="B104" s="9"/>
      <c r="C104" s="13" t="s">
        <v>21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customFormat="false" ht="16.5" hidden="false" customHeight="false" outlineLevel="0" collapsed="false">
      <c r="A105" s="14" t="n">
        <v>1</v>
      </c>
      <c r="B105" s="15" t="s">
        <v>22</v>
      </c>
      <c r="C105" s="15" t="s">
        <v>46</v>
      </c>
      <c r="D105" s="16" t="n">
        <v>0</v>
      </c>
      <c r="E105" s="16" t="n">
        <v>0</v>
      </c>
      <c r="F105" s="16" t="n">
        <v>0</v>
      </c>
      <c r="G105" s="16" t="n">
        <v>0</v>
      </c>
      <c r="H105" s="16" t="n">
        <v>0</v>
      </c>
      <c r="I105" s="47" t="n">
        <f aca="false">SUM(G105:H105)</f>
        <v>0</v>
      </c>
      <c r="J105" s="16" t="n">
        <f aca="false">ROUND(I105*1.3,0)</f>
        <v>0</v>
      </c>
      <c r="K105" s="16" t="n">
        <v>0</v>
      </c>
      <c r="L105" s="16" t="n">
        <v>0</v>
      </c>
      <c r="M105" s="16" t="n">
        <v>0</v>
      </c>
      <c r="N105" s="16" t="n">
        <v>0</v>
      </c>
      <c r="O105" s="16" t="n">
        <v>0</v>
      </c>
      <c r="P105" s="16" t="n">
        <v>0</v>
      </c>
      <c r="Q105" s="22" t="n">
        <f aca="false">SUM(I105:P105)+F105</f>
        <v>0</v>
      </c>
    </row>
    <row r="106" customFormat="false" ht="17.25" hidden="false" customHeight="false" outlineLevel="0" collapsed="false">
      <c r="A106" s="24"/>
      <c r="B106" s="34"/>
      <c r="C106" s="25" t="s">
        <v>24</v>
      </c>
      <c r="D106" s="33" t="n">
        <f aca="false">SUM(D105)</f>
        <v>0</v>
      </c>
      <c r="E106" s="33" t="n">
        <f aca="false">SUM(E105)</f>
        <v>0</v>
      </c>
      <c r="F106" s="33" t="n">
        <f aca="false">SUM(F105)</f>
        <v>0</v>
      </c>
      <c r="G106" s="33" t="n">
        <f aca="false">SUM(G105)</f>
        <v>0</v>
      </c>
      <c r="H106" s="33" t="n">
        <f aca="false">SUM(H105)</f>
        <v>0</v>
      </c>
      <c r="I106" s="33" t="n">
        <f aca="false">SUM(I105)</f>
        <v>0</v>
      </c>
      <c r="J106" s="33" t="n">
        <f aca="false">SUM(J105)</f>
        <v>0</v>
      </c>
      <c r="K106" s="33" t="n">
        <f aca="false">SUM(K105)</f>
        <v>0</v>
      </c>
      <c r="L106" s="33" t="n">
        <f aca="false">SUM(L105)</f>
        <v>0</v>
      </c>
      <c r="M106" s="33" t="n">
        <f aca="false">SUM(M105)</f>
        <v>0</v>
      </c>
      <c r="N106" s="33" t="n">
        <f aca="false">SUM(N105)</f>
        <v>0</v>
      </c>
      <c r="O106" s="33" t="n">
        <f aca="false">SUM(O105)</f>
        <v>0</v>
      </c>
      <c r="P106" s="33" t="n">
        <f aca="false">SUM(P105)</f>
        <v>0</v>
      </c>
      <c r="Q106" s="33" t="n">
        <f aca="false">SUM(Q105)</f>
        <v>0</v>
      </c>
    </row>
    <row r="107" customFormat="false" ht="16.5" hidden="false" customHeight="true" outlineLevel="0" collapsed="false">
      <c r="A107" s="24" t="n">
        <v>2</v>
      </c>
      <c r="B107" s="25" t="s">
        <v>25</v>
      </c>
      <c r="C107" s="26" t="s">
        <v>26</v>
      </c>
      <c r="D107" s="27" t="n">
        <v>0</v>
      </c>
      <c r="E107" s="27" t="n">
        <v>0</v>
      </c>
      <c r="F107" s="27" t="n">
        <v>0</v>
      </c>
      <c r="G107" s="27" t="n">
        <v>0</v>
      </c>
      <c r="H107" s="27" t="n">
        <v>0</v>
      </c>
      <c r="I107" s="54" t="n">
        <v>0</v>
      </c>
      <c r="J107" s="41" t="n">
        <f aca="false">ROUND(I107*1.3,0)</f>
        <v>0</v>
      </c>
      <c r="K107" s="41" t="n">
        <v>0</v>
      </c>
      <c r="L107" s="41" t="n">
        <v>0</v>
      </c>
      <c r="M107" s="41" t="n">
        <v>0</v>
      </c>
      <c r="N107" s="41" t="n">
        <v>0</v>
      </c>
      <c r="O107" s="41" t="n">
        <v>0</v>
      </c>
      <c r="P107" s="41" t="n">
        <v>0</v>
      </c>
      <c r="Q107" s="68" t="n">
        <f aca="false">SUM(I107:P107)+F107</f>
        <v>0</v>
      </c>
    </row>
    <row r="108" customFormat="false" ht="15.75" hidden="false" customHeight="false" outlineLevel="0" collapsed="false">
      <c r="A108" s="24"/>
      <c r="B108" s="25"/>
      <c r="C108" s="30" t="s">
        <v>27</v>
      </c>
      <c r="D108" s="42" t="n">
        <v>0</v>
      </c>
      <c r="E108" s="42" t="n">
        <v>0</v>
      </c>
      <c r="F108" s="42" t="n">
        <v>0</v>
      </c>
      <c r="G108" s="42" t="n">
        <v>0</v>
      </c>
      <c r="H108" s="42" t="n">
        <v>0</v>
      </c>
      <c r="I108" s="54" t="n">
        <v>0</v>
      </c>
      <c r="J108" s="42" t="n">
        <f aca="false">ROUND(I108*1.3,0)</f>
        <v>0</v>
      </c>
      <c r="K108" s="42" t="n">
        <v>0</v>
      </c>
      <c r="L108" s="42" t="n">
        <v>0</v>
      </c>
      <c r="M108" s="42" t="n">
        <v>0</v>
      </c>
      <c r="N108" s="42" t="n">
        <v>0</v>
      </c>
      <c r="O108" s="42" t="n">
        <v>0</v>
      </c>
      <c r="P108" s="42" t="n">
        <v>0</v>
      </c>
      <c r="Q108" s="40" t="n">
        <f aca="false">SUM(I108:P108)+F108</f>
        <v>0</v>
      </c>
    </row>
    <row r="109" customFormat="false" ht="16.5" hidden="false" customHeight="false" outlineLevel="0" collapsed="false">
      <c r="A109" s="24"/>
      <c r="B109" s="25"/>
      <c r="C109" s="31" t="s">
        <v>28</v>
      </c>
      <c r="D109" s="16" t="n">
        <v>0</v>
      </c>
      <c r="E109" s="16" t="n">
        <v>0</v>
      </c>
      <c r="F109" s="16" t="n">
        <v>0</v>
      </c>
      <c r="G109" s="16" t="n">
        <v>0</v>
      </c>
      <c r="H109" s="16" t="n">
        <v>0</v>
      </c>
      <c r="I109" s="47" t="n">
        <v>0</v>
      </c>
      <c r="J109" s="33" t="n">
        <f aca="false">ROUND(I109*1.3,0)</f>
        <v>0</v>
      </c>
      <c r="K109" s="33" t="n">
        <v>0</v>
      </c>
      <c r="L109" s="33" t="n">
        <v>0</v>
      </c>
      <c r="M109" s="33" t="n">
        <v>0</v>
      </c>
      <c r="N109" s="33" t="n">
        <v>0</v>
      </c>
      <c r="O109" s="33" t="n">
        <v>0</v>
      </c>
      <c r="P109" s="33" t="n">
        <v>0</v>
      </c>
      <c r="Q109" s="22" t="n">
        <f aca="false">SUM(I109:P109)+F109</f>
        <v>0</v>
      </c>
    </row>
    <row r="110" customFormat="false" ht="17.25" hidden="false" customHeight="false" outlineLevel="0" collapsed="false">
      <c r="A110" s="24"/>
      <c r="B110" s="25"/>
      <c r="C110" s="32" t="s">
        <v>29</v>
      </c>
      <c r="D110" s="33" t="n">
        <f aca="false">SUM(D107:D109)</f>
        <v>0</v>
      </c>
      <c r="E110" s="33" t="n">
        <f aca="false">SUM(E107:E109)</f>
        <v>0</v>
      </c>
      <c r="F110" s="33" t="n">
        <f aca="false">SUM(F107:F109)</f>
        <v>0</v>
      </c>
      <c r="G110" s="33" t="n">
        <f aca="false">SUM(G107:G109)</f>
        <v>0</v>
      </c>
      <c r="H110" s="33" t="n">
        <f aca="false">SUM(H107:H109)</f>
        <v>0</v>
      </c>
      <c r="I110" s="33" t="n">
        <f aca="false">SUM(I107:I109)</f>
        <v>0</v>
      </c>
      <c r="J110" s="33" t="n">
        <f aca="false">SUM(J107:J109)</f>
        <v>0</v>
      </c>
      <c r="K110" s="33" t="n">
        <f aca="false">SUM(K107:K109)</f>
        <v>0</v>
      </c>
      <c r="L110" s="33" t="n">
        <f aca="false">SUM(L107:L109)</f>
        <v>0</v>
      </c>
      <c r="M110" s="33" t="n">
        <f aca="false">SUM(M107:M109)</f>
        <v>0</v>
      </c>
      <c r="N110" s="33" t="n">
        <f aca="false">SUM(N107:N109)</f>
        <v>0</v>
      </c>
      <c r="O110" s="33" t="n">
        <f aca="false">SUM(O107:O109)</f>
        <v>0</v>
      </c>
      <c r="P110" s="33" t="n">
        <f aca="false">SUM(P107:P109)</f>
        <v>0</v>
      </c>
      <c r="Q110" s="33" t="n">
        <f aca="false">SUM(Q107:Q109)</f>
        <v>0</v>
      </c>
    </row>
    <row r="111" customFormat="false" ht="16.5" hidden="false" customHeight="true" outlineLevel="0" collapsed="false">
      <c r="A111" s="24" t="n">
        <v>3</v>
      </c>
      <c r="B111" s="25" t="s">
        <v>30</v>
      </c>
      <c r="C111" s="26" t="s">
        <v>31</v>
      </c>
      <c r="D111" s="27" t="n">
        <v>0</v>
      </c>
      <c r="E111" s="27" t="n">
        <v>0</v>
      </c>
      <c r="F111" s="27" t="n">
        <v>0</v>
      </c>
      <c r="G111" s="27" t="n">
        <v>0</v>
      </c>
      <c r="H111" s="27" t="n">
        <v>0</v>
      </c>
      <c r="I111" s="54" t="n">
        <v>0</v>
      </c>
      <c r="J111" s="42" t="n">
        <f aca="false">ROUND(I111*1.3,0)</f>
        <v>0</v>
      </c>
      <c r="K111" s="41" t="n">
        <v>0</v>
      </c>
      <c r="L111" s="41" t="n">
        <v>0</v>
      </c>
      <c r="M111" s="41" t="n">
        <v>0</v>
      </c>
      <c r="N111" s="41" t="n">
        <v>0</v>
      </c>
      <c r="O111" s="41" t="n">
        <v>0</v>
      </c>
      <c r="P111" s="41" t="n">
        <v>0</v>
      </c>
      <c r="Q111" s="68" t="n">
        <f aca="false">SUM(I111:P111)+F111</f>
        <v>0</v>
      </c>
    </row>
    <row r="112" customFormat="false" ht="16.5" hidden="false" customHeight="false" outlineLevel="0" collapsed="false">
      <c r="A112" s="24"/>
      <c r="B112" s="25"/>
      <c r="C112" s="31" t="s">
        <v>32</v>
      </c>
      <c r="D112" s="16" t="n">
        <v>0</v>
      </c>
      <c r="E112" s="16" t="n">
        <v>0</v>
      </c>
      <c r="F112" s="16" t="n">
        <v>0</v>
      </c>
      <c r="G112" s="16" t="n">
        <v>0</v>
      </c>
      <c r="H112" s="16" t="n">
        <v>0</v>
      </c>
      <c r="I112" s="47" t="n">
        <v>0</v>
      </c>
      <c r="J112" s="33" t="n">
        <f aca="false">ROUND(I112*1.3,0)</f>
        <v>0</v>
      </c>
      <c r="K112" s="16" t="n">
        <v>0</v>
      </c>
      <c r="L112" s="16" t="n">
        <v>0</v>
      </c>
      <c r="M112" s="16" t="n">
        <v>0</v>
      </c>
      <c r="N112" s="16" t="n">
        <v>0</v>
      </c>
      <c r="O112" s="16" t="n">
        <v>0</v>
      </c>
      <c r="P112" s="16" t="n">
        <v>0</v>
      </c>
      <c r="Q112" s="18" t="n">
        <f aca="false">SUM(I112:P112)+F112</f>
        <v>0</v>
      </c>
    </row>
    <row r="113" customFormat="false" ht="17.25" hidden="false" customHeight="false" outlineLevel="0" collapsed="false">
      <c r="A113" s="24"/>
      <c r="B113" s="25"/>
      <c r="C113" s="32" t="s">
        <v>33</v>
      </c>
      <c r="D113" s="33" t="n">
        <f aca="false">SUM(D111:D112)</f>
        <v>0</v>
      </c>
      <c r="E113" s="33" t="n">
        <f aca="false">SUM(E111:E112)</f>
        <v>0</v>
      </c>
      <c r="F113" s="33" t="n">
        <f aca="false">SUM(F111:F112)</f>
        <v>0</v>
      </c>
      <c r="G113" s="33" t="n">
        <f aca="false">SUM(G111:G112)</f>
        <v>0</v>
      </c>
      <c r="H113" s="33" t="n">
        <f aca="false">SUM(H111:H112)</f>
        <v>0</v>
      </c>
      <c r="I113" s="33" t="n">
        <f aca="false">SUM(I111:I112)</f>
        <v>0</v>
      </c>
      <c r="J113" s="33" t="n">
        <f aca="false">SUM(J111:J112)</f>
        <v>0</v>
      </c>
      <c r="K113" s="33" t="n">
        <f aca="false">SUM(K111:K112)</f>
        <v>0</v>
      </c>
      <c r="L113" s="33" t="n">
        <f aca="false">SUM(L111:L112)</f>
        <v>0</v>
      </c>
      <c r="M113" s="33" t="n">
        <f aca="false">SUM(M111:M112)</f>
        <v>0</v>
      </c>
      <c r="N113" s="33" t="n">
        <f aca="false">SUM(N111:N112)</f>
        <v>0</v>
      </c>
      <c r="O113" s="33" t="n">
        <f aca="false">SUM(O111:O112)</f>
        <v>0</v>
      </c>
      <c r="P113" s="33" t="n">
        <f aca="false">SUM(P111:P112)</f>
        <v>0</v>
      </c>
      <c r="Q113" s="33" t="n">
        <f aca="false">SUM(Q111:Q112)</f>
        <v>0</v>
      </c>
    </row>
    <row r="114" customFormat="false" ht="17.25" hidden="false" customHeight="false" outlineLevel="0" collapsed="false">
      <c r="A114" s="24"/>
      <c r="B114" s="34"/>
      <c r="C114" s="35" t="s">
        <v>34</v>
      </c>
      <c r="D114" s="22" t="n">
        <f aca="false">SUM(D113,D110,D106)</f>
        <v>0</v>
      </c>
      <c r="E114" s="22" t="n">
        <f aca="false">SUM(E113,E110,E106)</f>
        <v>0</v>
      </c>
      <c r="F114" s="22" t="n">
        <f aca="false">SUM(F113,F110,F106)</f>
        <v>0</v>
      </c>
      <c r="G114" s="22" t="n">
        <f aca="false">SUM(G113,G110,G106)</f>
        <v>0</v>
      </c>
      <c r="H114" s="22" t="n">
        <f aca="false">SUM(H113,H110,H106)</f>
        <v>0</v>
      </c>
      <c r="I114" s="22" t="n">
        <f aca="false">SUM(I113,I110,I106)</f>
        <v>0</v>
      </c>
      <c r="J114" s="22" t="n">
        <f aca="false">SUM(J113,J110,J106)</f>
        <v>0</v>
      </c>
      <c r="K114" s="22" t="n">
        <f aca="false">SUM(K113,K110,K106)</f>
        <v>0</v>
      </c>
      <c r="L114" s="22" t="n">
        <f aca="false">SUM(L113,L110,L106)</f>
        <v>0</v>
      </c>
      <c r="M114" s="22" t="n">
        <f aca="false">SUM(M113,M110,M106)</f>
        <v>0</v>
      </c>
      <c r="N114" s="22" t="n">
        <f aca="false">SUM(N113,N110,N106)</f>
        <v>0</v>
      </c>
      <c r="O114" s="22" t="n">
        <f aca="false">SUM(O113,O110,O106)</f>
        <v>0</v>
      </c>
      <c r="P114" s="22" t="n">
        <f aca="false">SUM(P113,P110,P106)</f>
        <v>0</v>
      </c>
      <c r="Q114" s="22" t="n">
        <f aca="false">SUM(Q113,Q110,Q106)</f>
        <v>0</v>
      </c>
    </row>
    <row r="115" customFormat="false" ht="16.5" hidden="false" customHeight="false" outlineLevel="0" collapsed="false">
      <c r="A115" s="36"/>
      <c r="B115" s="3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</row>
    <row r="116" customFormat="false" ht="17.25" hidden="false" customHeight="true" outlineLevel="0" collapsed="false">
      <c r="A116" s="9" t="s">
        <v>35</v>
      </c>
      <c r="B116" s="9" t="s">
        <v>5</v>
      </c>
      <c r="C116" s="10" t="s">
        <v>6</v>
      </c>
      <c r="D116" s="11" t="str">
        <f aca="false">D4</f>
        <v>मंजूर पदे</v>
      </c>
      <c r="E116" s="11" t="str">
        <f aca="false">E4</f>
        <v>मंजूर पदे</v>
      </c>
      <c r="F116" s="12" t="str">
        <f aca="false">F4</f>
        <v>विशेष वेतन</v>
      </c>
      <c r="G116" s="12" t="str">
        <f aca="false">G4</f>
        <v>मुळ वेतन</v>
      </c>
      <c r="H116" s="12" t="str">
        <f aca="false">H4</f>
        <v>ग्रेड वेतन</v>
      </c>
      <c r="I116" s="12" t="str">
        <f aca="false">I4</f>
        <v>एकूण</v>
      </c>
      <c r="J116" s="12" t="str">
        <f aca="false">J4</f>
        <v>महागाई भत्ता 25%</v>
      </c>
      <c r="K116" s="12" t="s">
        <v>13</v>
      </c>
      <c r="L116" s="12" t="s">
        <v>14</v>
      </c>
      <c r="M116" s="12" t="s">
        <v>15</v>
      </c>
      <c r="N116" s="12" t="s">
        <v>16</v>
      </c>
      <c r="O116" s="12" t="s">
        <v>48</v>
      </c>
      <c r="P116" s="12" t="s">
        <v>18</v>
      </c>
      <c r="Q116" s="12" t="s">
        <v>11</v>
      </c>
    </row>
    <row r="117" customFormat="false" ht="15.75" hidden="false" customHeight="false" outlineLevel="0" collapsed="false">
      <c r="A117" s="9"/>
      <c r="B117" s="9"/>
      <c r="C117" s="10"/>
      <c r="D117" s="61" t="str">
        <f aca="false">D5</f>
        <v>2020-2021</v>
      </c>
      <c r="E117" s="61" t="str">
        <f aca="false">E5</f>
        <v>2021-2022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customFormat="false" ht="15.75" hidden="false" customHeight="false" outlineLevel="0" collapsed="false">
      <c r="A118" s="9"/>
      <c r="B118" s="9"/>
      <c r="C118" s="13" t="s">
        <v>36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customFormat="false" ht="15.75" hidden="false" customHeight="true" outlineLevel="0" collapsed="false">
      <c r="A119" s="14" t="n">
        <v>1</v>
      </c>
      <c r="B119" s="38" t="s">
        <v>22</v>
      </c>
      <c r="C119" s="39" t="s">
        <v>37</v>
      </c>
      <c r="D119" s="44" t="n">
        <v>1</v>
      </c>
      <c r="E119" s="44" t="n">
        <v>1</v>
      </c>
      <c r="F119" s="44" t="n">
        <v>0</v>
      </c>
      <c r="G119" s="44" t="n">
        <v>1230</v>
      </c>
      <c r="H119" s="44" t="n">
        <v>0</v>
      </c>
      <c r="I119" s="64" t="n">
        <f aca="false">SUM(G119:H119)</f>
        <v>1230</v>
      </c>
      <c r="J119" s="42" t="n">
        <f aca="false">ROUND(I119*0.25,0)</f>
        <v>308</v>
      </c>
      <c r="K119" s="44" t="n">
        <v>18</v>
      </c>
      <c r="L119" s="44" t="n">
        <v>111</v>
      </c>
      <c r="M119" s="44" t="n">
        <v>18</v>
      </c>
      <c r="N119" s="44" t="n">
        <v>0</v>
      </c>
      <c r="O119" s="44" t="n">
        <v>5</v>
      </c>
      <c r="P119" s="44" t="n">
        <v>0</v>
      </c>
      <c r="Q119" s="44" t="n">
        <f aca="false">SUM(I119:P119)+F119</f>
        <v>1690</v>
      </c>
    </row>
    <row r="120" customFormat="false" ht="15.75" hidden="false" customHeight="false" outlineLevel="0" collapsed="false">
      <c r="A120" s="14"/>
      <c r="B120" s="38"/>
      <c r="C120" s="30" t="s">
        <v>38</v>
      </c>
      <c r="D120" s="44" t="n">
        <v>0</v>
      </c>
      <c r="E120" s="44" t="n">
        <v>0</v>
      </c>
      <c r="F120" s="44" t="n">
        <v>0</v>
      </c>
      <c r="G120" s="44" t="n">
        <v>0</v>
      </c>
      <c r="H120" s="44" t="n">
        <v>0</v>
      </c>
      <c r="I120" s="64" t="n">
        <f aca="false">SUM(G120:H120)</f>
        <v>0</v>
      </c>
      <c r="J120" s="42" t="n">
        <f aca="false">ROUND(I120*1.6,0)</f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f aca="false">SUM(I120:P120)+F120</f>
        <v>0</v>
      </c>
    </row>
    <row r="121" customFormat="false" ht="16.5" hidden="false" customHeight="false" outlineLevel="0" collapsed="false">
      <c r="A121" s="14"/>
      <c r="B121" s="38"/>
      <c r="C121" s="45" t="s">
        <v>39</v>
      </c>
      <c r="D121" s="47" t="n">
        <v>0</v>
      </c>
      <c r="E121" s="47" t="n">
        <v>0</v>
      </c>
      <c r="F121" s="47" t="n">
        <v>0</v>
      </c>
      <c r="G121" s="47" t="n">
        <v>0</v>
      </c>
      <c r="H121" s="47" t="n">
        <v>0</v>
      </c>
      <c r="I121" s="17" t="n">
        <f aca="false">SUM(G121:H121)</f>
        <v>0</v>
      </c>
      <c r="J121" s="16" t="n">
        <f aca="false">ROUND(I121*1.6,0)</f>
        <v>0</v>
      </c>
      <c r="K121" s="47" t="n">
        <v>0</v>
      </c>
      <c r="L121" s="47" t="n">
        <v>0</v>
      </c>
      <c r="M121" s="47" t="n">
        <v>0</v>
      </c>
      <c r="N121" s="47" t="n">
        <v>0</v>
      </c>
      <c r="O121" s="47" t="n">
        <v>0</v>
      </c>
      <c r="P121" s="47" t="n">
        <v>0</v>
      </c>
      <c r="Q121" s="47" t="n">
        <f aca="false">SUM(I121:P121)+F121</f>
        <v>0</v>
      </c>
    </row>
    <row r="122" customFormat="false" ht="17.25" hidden="false" customHeight="false" outlineLevel="0" collapsed="false">
      <c r="A122" s="24"/>
      <c r="B122" s="25"/>
      <c r="C122" s="48" t="s">
        <v>40</v>
      </c>
      <c r="D122" s="49" t="n">
        <f aca="false">SUM(D119:D121)</f>
        <v>1</v>
      </c>
      <c r="E122" s="49" t="n">
        <f aca="false">SUM(E119:E121)</f>
        <v>1</v>
      </c>
      <c r="F122" s="49" t="n">
        <f aca="false">SUM(F119:F121)</f>
        <v>0</v>
      </c>
      <c r="G122" s="49" t="n">
        <f aca="false">SUM(G119:G121)</f>
        <v>1230</v>
      </c>
      <c r="H122" s="49" t="n">
        <f aca="false">SUM(H119:H121)</f>
        <v>0</v>
      </c>
      <c r="I122" s="49" t="n">
        <f aca="false">SUM(I119:I121)</f>
        <v>1230</v>
      </c>
      <c r="J122" s="49" t="n">
        <f aca="false">SUM(J119:J121)</f>
        <v>308</v>
      </c>
      <c r="K122" s="49" t="n">
        <f aca="false">SUM(K119:K121)</f>
        <v>18</v>
      </c>
      <c r="L122" s="49" t="n">
        <f aca="false">SUM(L119:L121)</f>
        <v>111</v>
      </c>
      <c r="M122" s="49" t="n">
        <f aca="false">SUM(M119:M121)</f>
        <v>18</v>
      </c>
      <c r="N122" s="49" t="n">
        <f aca="false">SUM(N119:N121)</f>
        <v>0</v>
      </c>
      <c r="O122" s="49" t="n">
        <f aca="false">SUM(O119:O121)</f>
        <v>5</v>
      </c>
      <c r="P122" s="49" t="n">
        <f aca="false">SUM(P119:P121)</f>
        <v>0</v>
      </c>
      <c r="Q122" s="49" t="n">
        <f aca="false">SUM(Q119:Q121)</f>
        <v>1690</v>
      </c>
    </row>
    <row r="123" customFormat="false" ht="16.5" hidden="false" customHeight="true" outlineLevel="0" collapsed="false">
      <c r="A123" s="24" t="n">
        <v>2</v>
      </c>
      <c r="B123" s="25" t="s">
        <v>25</v>
      </c>
      <c r="C123" s="26" t="s">
        <v>26</v>
      </c>
      <c r="D123" s="44" t="n">
        <v>2</v>
      </c>
      <c r="E123" s="44" t="n">
        <v>2</v>
      </c>
      <c r="F123" s="44" t="n">
        <v>0</v>
      </c>
      <c r="G123" s="44" t="n">
        <f aca="false">570*2</f>
        <v>1140</v>
      </c>
      <c r="H123" s="44" t="n">
        <v>0</v>
      </c>
      <c r="I123" s="64" t="n">
        <f aca="false">SUM(G123:H123)</f>
        <v>1140</v>
      </c>
      <c r="J123" s="42" t="n">
        <f aca="false">ROUND(I123*0.25,0)</f>
        <v>285</v>
      </c>
      <c r="K123" s="44" t="n">
        <v>20</v>
      </c>
      <c r="L123" s="44" t="n">
        <v>102</v>
      </c>
      <c r="M123" s="44" t="n">
        <v>10</v>
      </c>
      <c r="N123" s="44" t="n">
        <v>0</v>
      </c>
      <c r="O123" s="44" t="n">
        <v>10</v>
      </c>
      <c r="P123" s="44" t="n">
        <v>0</v>
      </c>
      <c r="Q123" s="44" t="n">
        <f aca="false">SUM(I123:P123)+F123</f>
        <v>1567</v>
      </c>
    </row>
    <row r="124" customFormat="false" ht="15.75" hidden="false" customHeight="false" outlineLevel="0" collapsed="false">
      <c r="A124" s="24"/>
      <c r="B124" s="25"/>
      <c r="C124" s="30" t="s">
        <v>41</v>
      </c>
      <c r="D124" s="44" t="n">
        <v>2</v>
      </c>
      <c r="E124" s="44" t="n">
        <v>2</v>
      </c>
      <c r="F124" s="44" t="n">
        <v>0</v>
      </c>
      <c r="G124" s="44" t="n">
        <f aca="false">661+570</f>
        <v>1231</v>
      </c>
      <c r="H124" s="44" t="n">
        <v>0</v>
      </c>
      <c r="I124" s="64" t="n">
        <f aca="false">SUM(G124:H124)</f>
        <v>1231</v>
      </c>
      <c r="J124" s="42" t="n">
        <f aca="false">ROUND(I124*0.25,0)</f>
        <v>308</v>
      </c>
      <c r="K124" s="44" t="n">
        <v>20</v>
      </c>
      <c r="L124" s="44" t="n">
        <v>110</v>
      </c>
      <c r="M124" s="44" t="n">
        <v>10</v>
      </c>
      <c r="N124" s="44" t="n">
        <v>0</v>
      </c>
      <c r="O124" s="44" t="n">
        <v>10</v>
      </c>
      <c r="P124" s="44" t="n">
        <v>0</v>
      </c>
      <c r="Q124" s="44" t="n">
        <f aca="false">SUM(I124:P124)+F124</f>
        <v>1689</v>
      </c>
    </row>
    <row r="125" customFormat="false" ht="15.75" hidden="false" customHeight="false" outlineLevel="0" collapsed="false">
      <c r="A125" s="24"/>
      <c r="B125" s="25"/>
      <c r="C125" s="30" t="s">
        <v>27</v>
      </c>
      <c r="D125" s="44" t="n">
        <v>3</v>
      </c>
      <c r="E125" s="44" t="n">
        <v>3</v>
      </c>
      <c r="F125" s="44" t="n">
        <v>0</v>
      </c>
      <c r="G125" s="44" t="n">
        <f aca="false">570+446+446</f>
        <v>1462</v>
      </c>
      <c r="H125" s="44" t="n">
        <v>0</v>
      </c>
      <c r="I125" s="64" t="n">
        <f aca="false">SUM(G125:H125)</f>
        <v>1462</v>
      </c>
      <c r="J125" s="42" t="n">
        <f aca="false">ROUND(I125*0.25,0)</f>
        <v>366</v>
      </c>
      <c r="K125" s="44" t="n">
        <v>22</v>
      </c>
      <c r="L125" s="44" t="n">
        <v>131</v>
      </c>
      <c r="M125" s="44" t="n">
        <v>15</v>
      </c>
      <c r="N125" s="44" t="n">
        <v>0</v>
      </c>
      <c r="O125" s="44" t="n">
        <v>15</v>
      </c>
      <c r="P125" s="44" t="n">
        <v>0</v>
      </c>
      <c r="Q125" s="44" t="n">
        <f aca="false">SUM(I125:P125)+F125</f>
        <v>2011</v>
      </c>
    </row>
    <row r="126" customFormat="false" ht="16.5" hidden="false" customHeight="false" outlineLevel="0" collapsed="false">
      <c r="A126" s="24"/>
      <c r="B126" s="25"/>
      <c r="C126" s="31" t="s">
        <v>42</v>
      </c>
      <c r="D126" s="47" t="n">
        <v>0</v>
      </c>
      <c r="E126" s="47" t="n">
        <v>0</v>
      </c>
      <c r="F126" s="47" t="n">
        <v>0</v>
      </c>
      <c r="G126" s="47"/>
      <c r="H126" s="47"/>
      <c r="I126" s="17" t="n">
        <f aca="false">SUM(G126:H126)</f>
        <v>0</v>
      </c>
      <c r="J126" s="16" t="n">
        <f aca="false">ROUND(I126*1.6,0)</f>
        <v>0</v>
      </c>
      <c r="K126" s="47"/>
      <c r="L126" s="47"/>
      <c r="M126" s="47"/>
      <c r="N126" s="47"/>
      <c r="O126" s="47"/>
      <c r="P126" s="47"/>
      <c r="Q126" s="47" t="n">
        <f aca="false">SUM(I126:P126)+F126</f>
        <v>0</v>
      </c>
    </row>
    <row r="127" customFormat="false" ht="17.25" hidden="false" customHeight="false" outlineLevel="0" collapsed="false">
      <c r="A127" s="24"/>
      <c r="B127" s="25"/>
      <c r="C127" s="32" t="s">
        <v>29</v>
      </c>
      <c r="D127" s="49" t="n">
        <f aca="false">SUM(D123:D126)</f>
        <v>7</v>
      </c>
      <c r="E127" s="49" t="n">
        <f aca="false">SUM(E123:E126)</f>
        <v>7</v>
      </c>
      <c r="F127" s="49" t="n">
        <f aca="false">SUM(F123:F126)</f>
        <v>0</v>
      </c>
      <c r="G127" s="49" t="n">
        <f aca="false">SUM(G123:G126)</f>
        <v>3833</v>
      </c>
      <c r="H127" s="49" t="n">
        <f aca="false">SUM(H123:H126)</f>
        <v>0</v>
      </c>
      <c r="I127" s="49" t="n">
        <f aca="false">SUM(I123:I126)</f>
        <v>3833</v>
      </c>
      <c r="J127" s="49" t="n">
        <f aca="false">SUM(J123:J126)</f>
        <v>959</v>
      </c>
      <c r="K127" s="49" t="n">
        <f aca="false">SUM(K123:K126)</f>
        <v>62</v>
      </c>
      <c r="L127" s="49" t="n">
        <f aca="false">SUM(L123:L126)</f>
        <v>343</v>
      </c>
      <c r="M127" s="49" t="n">
        <f aca="false">SUM(M123:M126)</f>
        <v>35</v>
      </c>
      <c r="N127" s="49" t="n">
        <f aca="false">SUM(N123:N126)</f>
        <v>0</v>
      </c>
      <c r="O127" s="49" t="n">
        <f aca="false">SUM(O123:O126)</f>
        <v>35</v>
      </c>
      <c r="P127" s="49" t="n">
        <f aca="false">SUM(P123:P126)</f>
        <v>0</v>
      </c>
      <c r="Q127" s="49" t="n">
        <f aca="false">SUM(Q123:Q126)</f>
        <v>5267</v>
      </c>
    </row>
    <row r="128" customFormat="false" ht="17.25" hidden="false" customHeight="false" outlineLevel="0" collapsed="false">
      <c r="A128" s="24" t="n">
        <v>3</v>
      </c>
      <c r="B128" s="34" t="s">
        <v>30</v>
      </c>
      <c r="C128" s="51" t="s">
        <v>32</v>
      </c>
      <c r="D128" s="52" t="n">
        <v>1</v>
      </c>
      <c r="E128" s="52" t="n">
        <v>1</v>
      </c>
      <c r="F128" s="52" t="n">
        <v>0</v>
      </c>
      <c r="G128" s="52" t="n">
        <v>405</v>
      </c>
      <c r="H128" s="52" t="n">
        <v>0</v>
      </c>
      <c r="I128" s="66" t="n">
        <f aca="false">SUM(G128:H128)</f>
        <v>405</v>
      </c>
      <c r="J128" s="67" t="n">
        <f aca="false">ROUND(I128*0.25,0)</f>
        <v>101</v>
      </c>
      <c r="K128" s="52" t="n">
        <v>5</v>
      </c>
      <c r="L128" s="52" t="n">
        <v>36</v>
      </c>
      <c r="M128" s="52" t="n">
        <v>5</v>
      </c>
      <c r="N128" s="52" t="n">
        <v>0</v>
      </c>
      <c r="O128" s="52" t="n">
        <v>5</v>
      </c>
      <c r="P128" s="52" t="n">
        <v>0</v>
      </c>
      <c r="Q128" s="52" t="n">
        <f aca="false">SUM(I128:P128)+F128</f>
        <v>557</v>
      </c>
    </row>
    <row r="129" customFormat="false" ht="17.25" hidden="false" customHeight="false" outlineLevel="0" collapsed="false">
      <c r="A129" s="24"/>
      <c r="B129" s="34"/>
      <c r="C129" s="32" t="s">
        <v>33</v>
      </c>
      <c r="D129" s="49" t="n">
        <f aca="false">SUM(D128)</f>
        <v>1</v>
      </c>
      <c r="E129" s="49" t="n">
        <f aca="false">SUM(E128)</f>
        <v>1</v>
      </c>
      <c r="F129" s="49" t="n">
        <f aca="false">SUM(F128)</f>
        <v>0</v>
      </c>
      <c r="G129" s="49" t="n">
        <f aca="false">SUM(G128)</f>
        <v>405</v>
      </c>
      <c r="H129" s="49" t="n">
        <f aca="false">SUM(H128)</f>
        <v>0</v>
      </c>
      <c r="I129" s="49" t="n">
        <f aca="false">SUM(I128)</f>
        <v>405</v>
      </c>
      <c r="J129" s="49" t="n">
        <f aca="false">SUM(J128)</f>
        <v>101</v>
      </c>
      <c r="K129" s="49" t="n">
        <f aca="false">SUM(K128)</f>
        <v>5</v>
      </c>
      <c r="L129" s="49" t="n">
        <f aca="false">SUM(L128)</f>
        <v>36</v>
      </c>
      <c r="M129" s="49" t="n">
        <f aca="false">SUM(M128)</f>
        <v>5</v>
      </c>
      <c r="N129" s="49" t="n">
        <f aca="false">SUM(N128)</f>
        <v>0</v>
      </c>
      <c r="O129" s="49" t="n">
        <f aca="false">SUM(O128)</f>
        <v>5</v>
      </c>
      <c r="P129" s="49" t="n">
        <f aca="false">SUM(P128)</f>
        <v>0</v>
      </c>
      <c r="Q129" s="49" t="n">
        <f aca="false">SUM(Q128)</f>
        <v>557</v>
      </c>
    </row>
    <row r="130" customFormat="false" ht="17.25" hidden="false" customHeight="false" outlineLevel="0" collapsed="false">
      <c r="A130" s="24"/>
      <c r="B130" s="34"/>
      <c r="C130" s="32" t="s">
        <v>34</v>
      </c>
      <c r="D130" s="49" t="n">
        <f aca="false">SUM(D129,D127,D122)</f>
        <v>9</v>
      </c>
      <c r="E130" s="49" t="n">
        <f aca="false">SUM(E129,E127,E122)</f>
        <v>9</v>
      </c>
      <c r="F130" s="49" t="n">
        <f aca="false">SUM(F129,F127,F122)</f>
        <v>0</v>
      </c>
      <c r="G130" s="49" t="n">
        <f aca="false">SUM(G129,G127,G122)</f>
        <v>5468</v>
      </c>
      <c r="H130" s="49" t="n">
        <f aca="false">SUM(H129,H127,H122)</f>
        <v>0</v>
      </c>
      <c r="I130" s="49" t="n">
        <f aca="false">SUM(I129,I127,I122)</f>
        <v>5468</v>
      </c>
      <c r="J130" s="49" t="n">
        <f aca="false">SUM(J129,J127,J122)</f>
        <v>1368</v>
      </c>
      <c r="K130" s="49" t="n">
        <f aca="false">SUM(K129,K127,K122)</f>
        <v>85</v>
      </c>
      <c r="L130" s="49" t="n">
        <f aca="false">SUM(L129,L127,L122)</f>
        <v>490</v>
      </c>
      <c r="M130" s="49" t="n">
        <f aca="false">SUM(M129,M127,M122)</f>
        <v>58</v>
      </c>
      <c r="N130" s="49" t="n">
        <f aca="false">SUM(N129,N127,N122)</f>
        <v>0</v>
      </c>
      <c r="O130" s="49" t="n">
        <f aca="false">SUM(O129,O127,O122)</f>
        <v>45</v>
      </c>
      <c r="P130" s="49" t="n">
        <f aca="false">SUM(P129,P127,P122)</f>
        <v>0</v>
      </c>
      <c r="Q130" s="49" t="n">
        <f aca="false">SUM(Q129,Q127,Q122)</f>
        <v>7514</v>
      </c>
    </row>
    <row r="131" customFormat="false" ht="12" hidden="false" customHeight="true" outlineLevel="0" collapsed="false">
      <c r="C131" s="2"/>
    </row>
    <row r="132" customFormat="false" ht="15.75" hidden="false" customHeight="false" outlineLevel="0" collapsed="false">
      <c r="A132" s="5" t="str">
        <f aca="false">$A$1</f>
        <v>प्रपत्र - ड  -  अर्थसंकल्पीय अंदाजपत्रक सन 2021-2022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</row>
    <row r="133" customFormat="false" ht="23.25" hidden="false" customHeight="true" outlineLevel="0" collapsed="false">
      <c r="A133" s="5" t="s">
        <v>1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</row>
    <row r="134" customFormat="false" ht="15.75" hidden="false" customHeight="false" outlineLevel="0" collapsed="false">
      <c r="A134" s="6" t="s">
        <v>49</v>
      </c>
      <c r="B134" s="6"/>
      <c r="C134" s="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8" t="s">
        <v>3</v>
      </c>
      <c r="P134" s="8"/>
      <c r="Q134" s="8"/>
    </row>
    <row r="135" customFormat="false" ht="17.25" hidden="false" customHeight="true" outlineLevel="0" collapsed="false">
      <c r="A135" s="9" t="s">
        <v>4</v>
      </c>
      <c r="B135" s="9" t="s">
        <v>5</v>
      </c>
      <c r="C135" s="10" t="s">
        <v>6</v>
      </c>
      <c r="D135" s="11" t="str">
        <f aca="false">D4</f>
        <v>मंजूर पदे</v>
      </c>
      <c r="E135" s="11" t="str">
        <f aca="false">E4</f>
        <v>मंजूर पदे</v>
      </c>
      <c r="F135" s="12" t="str">
        <f aca="false">F4</f>
        <v>विशेष वेतन</v>
      </c>
      <c r="G135" s="12" t="str">
        <f aca="false">G4</f>
        <v>मुळ वेतन</v>
      </c>
      <c r="H135" s="12" t="str">
        <f aca="false">H4</f>
        <v>ग्रेड वेतन</v>
      </c>
      <c r="I135" s="12" t="str">
        <f aca="false">I4</f>
        <v>एकूण</v>
      </c>
      <c r="J135" s="12" t="str">
        <f aca="false">J4</f>
        <v>महागाई भत्ता 25%</v>
      </c>
      <c r="K135" s="12" t="s">
        <v>13</v>
      </c>
      <c r="L135" s="12" t="s">
        <v>14</v>
      </c>
      <c r="M135" s="12" t="s">
        <v>15</v>
      </c>
      <c r="N135" s="12" t="s">
        <v>16</v>
      </c>
      <c r="O135" s="12" t="s">
        <v>17</v>
      </c>
      <c r="P135" s="12" t="s">
        <v>18</v>
      </c>
      <c r="Q135" s="12" t="s">
        <v>11</v>
      </c>
    </row>
    <row r="136" customFormat="false" ht="15.75" hidden="false" customHeight="false" outlineLevel="0" collapsed="false">
      <c r="A136" s="9"/>
      <c r="B136" s="9"/>
      <c r="C136" s="10"/>
      <c r="D136" s="61" t="str">
        <f aca="false">D5</f>
        <v>2020-2021</v>
      </c>
      <c r="E136" s="61" t="str">
        <f aca="false">E5</f>
        <v>2021-2022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customFormat="false" ht="15.75" hidden="false" customHeight="false" outlineLevel="0" collapsed="false">
      <c r="A137" s="9"/>
      <c r="B137" s="9"/>
      <c r="C137" s="13" t="s">
        <v>21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 customFormat="false" ht="20.25" hidden="false" customHeight="true" outlineLevel="0" collapsed="false">
      <c r="A138" s="14" t="n">
        <v>1</v>
      </c>
      <c r="B138" s="15" t="s">
        <v>22</v>
      </c>
      <c r="C138" s="15" t="s">
        <v>46</v>
      </c>
      <c r="D138" s="16" t="n">
        <v>0</v>
      </c>
      <c r="E138" s="16" t="n">
        <v>0</v>
      </c>
      <c r="F138" s="16" t="n">
        <v>0</v>
      </c>
      <c r="G138" s="16" t="n">
        <v>0</v>
      </c>
      <c r="H138" s="16" t="n">
        <v>0</v>
      </c>
      <c r="I138" s="17" t="n">
        <f aca="false">SUM(G138:H138)</f>
        <v>0</v>
      </c>
      <c r="J138" s="33" t="n">
        <f aca="false">ROUND(I138*1.3,0)</f>
        <v>0</v>
      </c>
      <c r="K138" s="16" t="n">
        <v>0</v>
      </c>
      <c r="L138" s="16" t="n">
        <v>0</v>
      </c>
      <c r="M138" s="16" t="n">
        <v>0</v>
      </c>
      <c r="N138" s="16" t="n">
        <v>0</v>
      </c>
      <c r="O138" s="16" t="n">
        <v>0</v>
      </c>
      <c r="P138" s="16" t="n">
        <v>0</v>
      </c>
      <c r="Q138" s="18" t="n">
        <f aca="false">SUM(I138:P138)+F138</f>
        <v>0</v>
      </c>
    </row>
    <row r="139" customFormat="false" ht="20.25" hidden="false" customHeight="true" outlineLevel="0" collapsed="false">
      <c r="A139" s="24"/>
      <c r="B139" s="34"/>
      <c r="C139" s="25" t="s">
        <v>24</v>
      </c>
      <c r="D139" s="33" t="n">
        <f aca="false">SUM(D138)</f>
        <v>0</v>
      </c>
      <c r="E139" s="33" t="n">
        <f aca="false">SUM(E138)</f>
        <v>0</v>
      </c>
      <c r="F139" s="33" t="n">
        <f aca="false">SUM(F138)</f>
        <v>0</v>
      </c>
      <c r="G139" s="33" t="n">
        <f aca="false">SUM(G138)</f>
        <v>0</v>
      </c>
      <c r="H139" s="33" t="n">
        <f aca="false">SUM(H138)</f>
        <v>0</v>
      </c>
      <c r="I139" s="33" t="n">
        <f aca="false">SUM(I138)</f>
        <v>0</v>
      </c>
      <c r="J139" s="67" t="n">
        <f aca="false">SUM(J138)</f>
        <v>0</v>
      </c>
      <c r="K139" s="33" t="n">
        <f aca="false">SUM(K138)</f>
        <v>0</v>
      </c>
      <c r="L139" s="33" t="n">
        <f aca="false">SUM(L138)</f>
        <v>0</v>
      </c>
      <c r="M139" s="33" t="n">
        <f aca="false">SUM(M138)</f>
        <v>0</v>
      </c>
      <c r="N139" s="33" t="n">
        <f aca="false">SUM(N138)</f>
        <v>0</v>
      </c>
      <c r="O139" s="33" t="n">
        <f aca="false">SUM(O138)</f>
        <v>0</v>
      </c>
      <c r="P139" s="33" t="n">
        <f aca="false">SUM(P138)</f>
        <v>0</v>
      </c>
      <c r="Q139" s="33" t="n">
        <f aca="false">SUM(Q138)</f>
        <v>0</v>
      </c>
    </row>
    <row r="140" customFormat="false" ht="17.25" hidden="false" customHeight="true" outlineLevel="0" collapsed="false">
      <c r="A140" s="24" t="n">
        <v>2</v>
      </c>
      <c r="B140" s="25" t="s">
        <v>25</v>
      </c>
      <c r="C140" s="26" t="s">
        <v>26</v>
      </c>
      <c r="D140" s="27" t="n">
        <v>1</v>
      </c>
      <c r="E140" s="27" t="n">
        <v>1</v>
      </c>
      <c r="F140" s="27" t="n">
        <v>0</v>
      </c>
      <c r="G140" s="27" t="n">
        <v>423</v>
      </c>
      <c r="H140" s="27" t="n">
        <v>0</v>
      </c>
      <c r="I140" s="62" t="n">
        <f aca="false">SUM(G140:H140)</f>
        <v>423</v>
      </c>
      <c r="J140" s="27" t="n">
        <f aca="false">ROUND(I140*0.25,0)</f>
        <v>106</v>
      </c>
      <c r="K140" s="27" t="n">
        <v>0</v>
      </c>
      <c r="L140" s="27" t="n">
        <v>38</v>
      </c>
      <c r="M140" s="27" t="n">
        <v>5</v>
      </c>
      <c r="N140" s="27" t="n">
        <v>0</v>
      </c>
      <c r="O140" s="27" t="n">
        <v>0</v>
      </c>
      <c r="P140" s="27" t="n">
        <v>0</v>
      </c>
      <c r="Q140" s="40" t="n">
        <f aca="false">SUM(I140:P140)+F140</f>
        <v>572</v>
      </c>
    </row>
    <row r="141" customFormat="false" ht="15.75" hidden="false" customHeight="false" outlineLevel="0" collapsed="false">
      <c r="A141" s="24"/>
      <c r="B141" s="25"/>
      <c r="C141" s="30" t="s">
        <v>27</v>
      </c>
      <c r="D141" s="42" t="n">
        <v>1</v>
      </c>
      <c r="E141" s="42" t="n">
        <v>1</v>
      </c>
      <c r="F141" s="42" t="n">
        <v>0</v>
      </c>
      <c r="G141" s="42" t="n">
        <v>284</v>
      </c>
      <c r="H141" s="42" t="n">
        <v>0</v>
      </c>
      <c r="I141" s="64" t="n">
        <f aca="false">SUM(G141:H141)</f>
        <v>284</v>
      </c>
      <c r="J141" s="27" t="n">
        <f aca="false">ROUND(I141*0.25,0)</f>
        <v>71</v>
      </c>
      <c r="K141" s="42" t="n">
        <v>0</v>
      </c>
      <c r="L141" s="42" t="n">
        <v>26</v>
      </c>
      <c r="M141" s="42" t="n">
        <v>5</v>
      </c>
      <c r="N141" s="42" t="n">
        <v>0</v>
      </c>
      <c r="O141" s="42" t="n">
        <v>0</v>
      </c>
      <c r="P141" s="42" t="n">
        <v>0</v>
      </c>
      <c r="Q141" s="40" t="n">
        <f aca="false">SUM(I141:P141)+F141</f>
        <v>386</v>
      </c>
    </row>
    <row r="142" customFormat="false" ht="16.5" hidden="false" customHeight="false" outlineLevel="0" collapsed="false">
      <c r="A142" s="24"/>
      <c r="B142" s="25"/>
      <c r="C142" s="31" t="s">
        <v>28</v>
      </c>
      <c r="D142" s="16" t="n">
        <v>0</v>
      </c>
      <c r="E142" s="16" t="n">
        <v>0</v>
      </c>
      <c r="F142" s="16" t="n">
        <v>0</v>
      </c>
      <c r="G142" s="16" t="n">
        <v>0</v>
      </c>
      <c r="H142" s="16" t="n">
        <v>0</v>
      </c>
      <c r="I142" s="65" t="n">
        <f aca="false">SUM(G142:H142)</f>
        <v>0</v>
      </c>
      <c r="J142" s="27" t="n">
        <f aca="false">ROUND(I142*0.25,0)</f>
        <v>0</v>
      </c>
      <c r="K142" s="16" t="n">
        <v>0</v>
      </c>
      <c r="L142" s="16" t="n">
        <v>0</v>
      </c>
      <c r="M142" s="16" t="n">
        <v>0</v>
      </c>
      <c r="N142" s="16" t="n">
        <v>0</v>
      </c>
      <c r="O142" s="16" t="n">
        <v>0</v>
      </c>
      <c r="P142" s="16" t="n">
        <v>0</v>
      </c>
      <c r="Q142" s="18" t="n">
        <f aca="false">SUM(I142:P142)+F142</f>
        <v>0</v>
      </c>
    </row>
    <row r="143" customFormat="false" ht="17.25" hidden="false" customHeight="false" outlineLevel="0" collapsed="false">
      <c r="A143" s="24"/>
      <c r="B143" s="25"/>
      <c r="C143" s="32" t="s">
        <v>29</v>
      </c>
      <c r="D143" s="33" t="n">
        <f aca="false">SUM(D140:D142)</f>
        <v>2</v>
      </c>
      <c r="E143" s="33" t="n">
        <f aca="false">SUM(E140:E142)</f>
        <v>2</v>
      </c>
      <c r="F143" s="33" t="n">
        <f aca="false">SUM(F140:F142)</f>
        <v>0</v>
      </c>
      <c r="G143" s="33" t="n">
        <f aca="false">SUM(G140:G142)</f>
        <v>707</v>
      </c>
      <c r="H143" s="33" t="n">
        <f aca="false">SUM(H140:H142)</f>
        <v>0</v>
      </c>
      <c r="I143" s="33" t="n">
        <f aca="false">SUM(I140:I142)</f>
        <v>707</v>
      </c>
      <c r="J143" s="67" t="n">
        <f aca="false">SUM(J140:J142)</f>
        <v>177</v>
      </c>
      <c r="K143" s="33" t="n">
        <f aca="false">SUM(K140:K142)</f>
        <v>0</v>
      </c>
      <c r="L143" s="33" t="n">
        <f aca="false">SUM(L140:L142)</f>
        <v>64</v>
      </c>
      <c r="M143" s="33" t="n">
        <f aca="false">SUM(M140:M142)</f>
        <v>10</v>
      </c>
      <c r="N143" s="33" t="n">
        <f aca="false">SUM(N140:N142)</f>
        <v>0</v>
      </c>
      <c r="O143" s="33" t="n">
        <f aca="false">SUM(O140:O142)</f>
        <v>0</v>
      </c>
      <c r="P143" s="33" t="n">
        <f aca="false">SUM(P140:P142)</f>
        <v>0</v>
      </c>
      <c r="Q143" s="33" t="n">
        <f aca="false">SUM(Q140:Q142)</f>
        <v>958</v>
      </c>
    </row>
    <row r="144" customFormat="false" ht="16.5" hidden="false" customHeight="true" outlineLevel="0" collapsed="false">
      <c r="A144" s="24" t="n">
        <v>3</v>
      </c>
      <c r="B144" s="25" t="s">
        <v>30</v>
      </c>
      <c r="C144" s="26" t="s">
        <v>31</v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69" t="n">
        <f aca="false">SUM(G144:H144)</f>
        <v>0</v>
      </c>
      <c r="J144" s="27" t="n">
        <f aca="false">ROUND(I144*0.25,0)</f>
        <v>0</v>
      </c>
      <c r="K144" s="27" t="n">
        <v>0</v>
      </c>
      <c r="L144" s="27" t="n">
        <v>0</v>
      </c>
      <c r="M144" s="27" t="n">
        <v>0</v>
      </c>
      <c r="N144" s="27" t="n">
        <v>0</v>
      </c>
      <c r="O144" s="27" t="n">
        <v>0</v>
      </c>
      <c r="P144" s="27" t="n">
        <v>0</v>
      </c>
      <c r="Q144" s="40" t="n">
        <f aca="false">SUM(I144:P144)+F144</f>
        <v>0</v>
      </c>
    </row>
    <row r="145" customFormat="false" ht="16.5" hidden="false" customHeight="false" outlineLevel="0" collapsed="false">
      <c r="A145" s="24"/>
      <c r="B145" s="25"/>
      <c r="C145" s="31" t="s">
        <v>32</v>
      </c>
      <c r="D145" s="16" t="n">
        <v>3</v>
      </c>
      <c r="E145" s="16" t="n">
        <v>3</v>
      </c>
      <c r="F145" s="16" t="n">
        <v>0</v>
      </c>
      <c r="G145" s="16" t="n">
        <v>1109</v>
      </c>
      <c r="H145" s="16" t="n">
        <v>0</v>
      </c>
      <c r="I145" s="65" t="n">
        <f aca="false">SUM(G145:H145)</f>
        <v>1109</v>
      </c>
      <c r="J145" s="27" t="n">
        <f aca="false">ROUND(I145*0.25,0)</f>
        <v>277</v>
      </c>
      <c r="K145" s="16" t="n">
        <v>0</v>
      </c>
      <c r="L145" s="16" t="n">
        <v>100</v>
      </c>
      <c r="M145" s="16" t="n">
        <v>14</v>
      </c>
      <c r="N145" s="16" t="n">
        <v>2</v>
      </c>
      <c r="O145" s="16" t="n">
        <v>0</v>
      </c>
      <c r="P145" s="16" t="n">
        <v>0</v>
      </c>
      <c r="Q145" s="18" t="n">
        <f aca="false">SUM(I145:P145)+F145</f>
        <v>1502</v>
      </c>
    </row>
    <row r="146" customFormat="false" ht="17.25" hidden="false" customHeight="false" outlineLevel="0" collapsed="false">
      <c r="A146" s="24"/>
      <c r="B146" s="25"/>
      <c r="C146" s="32" t="s">
        <v>33</v>
      </c>
      <c r="D146" s="33" t="n">
        <f aca="false">SUM(D144:D145)</f>
        <v>3</v>
      </c>
      <c r="E146" s="33" t="n">
        <f aca="false">SUM(E144:E145)</f>
        <v>3</v>
      </c>
      <c r="F146" s="33" t="n">
        <f aca="false">SUM(F144:F145)</f>
        <v>0</v>
      </c>
      <c r="G146" s="33" t="n">
        <f aca="false">SUM(G144:G145)</f>
        <v>1109</v>
      </c>
      <c r="H146" s="33" t="n">
        <f aca="false">SUM(H144:H145)</f>
        <v>0</v>
      </c>
      <c r="I146" s="33" t="n">
        <f aca="false">SUM(I144:I145)</f>
        <v>1109</v>
      </c>
      <c r="J146" s="33" t="n">
        <f aca="false">SUM(J144:J145)</f>
        <v>277</v>
      </c>
      <c r="K146" s="33" t="n">
        <f aca="false">SUM(K144:K145)</f>
        <v>0</v>
      </c>
      <c r="L146" s="33" t="n">
        <f aca="false">SUM(L144:L145)</f>
        <v>100</v>
      </c>
      <c r="M146" s="33" t="n">
        <f aca="false">SUM(M144:M145)</f>
        <v>14</v>
      </c>
      <c r="N146" s="33" t="n">
        <f aca="false">SUM(N144:N145)</f>
        <v>2</v>
      </c>
      <c r="O146" s="33" t="n">
        <f aca="false">SUM(O144:O145)</f>
        <v>0</v>
      </c>
      <c r="P146" s="33" t="n">
        <f aca="false">SUM(P144:P145)</f>
        <v>0</v>
      </c>
      <c r="Q146" s="33" t="n">
        <f aca="false">SUM(Q144:Q145)</f>
        <v>1502</v>
      </c>
    </row>
    <row r="147" customFormat="false" ht="17.25" hidden="false" customHeight="false" outlineLevel="0" collapsed="false">
      <c r="A147" s="24"/>
      <c r="B147" s="34"/>
      <c r="C147" s="35" t="s">
        <v>34</v>
      </c>
      <c r="D147" s="22" t="n">
        <f aca="false">SUM(D146,D143,D139)</f>
        <v>5</v>
      </c>
      <c r="E147" s="22" t="n">
        <f aca="false">SUM(E146,E143,E139)</f>
        <v>5</v>
      </c>
      <c r="F147" s="22" t="n">
        <f aca="false">SUM(F146,F143,F139)</f>
        <v>0</v>
      </c>
      <c r="G147" s="22" t="n">
        <f aca="false">SUM(G146,G143,G139)</f>
        <v>1816</v>
      </c>
      <c r="H147" s="22" t="n">
        <f aca="false">SUM(H146,H143,H139)</f>
        <v>0</v>
      </c>
      <c r="I147" s="22" t="n">
        <f aca="false">SUM(I146,I143,I139)</f>
        <v>1816</v>
      </c>
      <c r="J147" s="22" t="n">
        <f aca="false">SUM(J146,J143,J139)</f>
        <v>454</v>
      </c>
      <c r="K147" s="22" t="n">
        <f aca="false">SUM(K146,K143,K139)</f>
        <v>0</v>
      </c>
      <c r="L147" s="22" t="n">
        <f aca="false">SUM(L146,L143,L139)</f>
        <v>164</v>
      </c>
      <c r="M147" s="22" t="n">
        <f aca="false">SUM(M146,M143,M139)</f>
        <v>24</v>
      </c>
      <c r="N147" s="22" t="n">
        <f aca="false">SUM(N146,N143,N139)</f>
        <v>2</v>
      </c>
      <c r="O147" s="22" t="n">
        <f aca="false">SUM(O146,O143,O139)</f>
        <v>0</v>
      </c>
      <c r="P147" s="22" t="n">
        <f aca="false">SUM(P146,P143,P139)</f>
        <v>0</v>
      </c>
      <c r="Q147" s="22" t="n">
        <f aca="false">SUM(Q146,Q143,Q139)</f>
        <v>2460</v>
      </c>
    </row>
    <row r="148" customFormat="false" ht="12.75" hidden="false" customHeight="true" outlineLevel="0" collapsed="false">
      <c r="A148" s="36"/>
      <c r="B148" s="3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</row>
    <row r="149" customFormat="false" ht="17.25" hidden="false" customHeight="true" outlineLevel="0" collapsed="false">
      <c r="A149" s="9" t="s">
        <v>35</v>
      </c>
      <c r="B149" s="9" t="s">
        <v>5</v>
      </c>
      <c r="C149" s="10" t="s">
        <v>6</v>
      </c>
      <c r="D149" s="11" t="str">
        <f aca="false">D4</f>
        <v>मंजूर पदे</v>
      </c>
      <c r="E149" s="11" t="str">
        <f aca="false">E4</f>
        <v>मंजूर पदे</v>
      </c>
      <c r="F149" s="12" t="str">
        <f aca="false">F4</f>
        <v>विशेष वेतन</v>
      </c>
      <c r="G149" s="12" t="str">
        <f aca="false">G4</f>
        <v>मुळ वेतन</v>
      </c>
      <c r="H149" s="12" t="str">
        <f aca="false">H4</f>
        <v>ग्रेड वेतन</v>
      </c>
      <c r="I149" s="12" t="str">
        <f aca="false">I4</f>
        <v>एकूण</v>
      </c>
      <c r="J149" s="12" t="str">
        <f aca="false">J4</f>
        <v>महागाई भत्ता 25%</v>
      </c>
      <c r="K149" s="12" t="s">
        <v>13</v>
      </c>
      <c r="L149" s="12" t="s">
        <v>14</v>
      </c>
      <c r="M149" s="12" t="s">
        <v>15</v>
      </c>
      <c r="N149" s="12" t="s">
        <v>16</v>
      </c>
      <c r="O149" s="12" t="s">
        <v>17</v>
      </c>
      <c r="P149" s="12" t="s">
        <v>18</v>
      </c>
      <c r="Q149" s="12" t="s">
        <v>11</v>
      </c>
    </row>
    <row r="150" customFormat="false" ht="15.75" hidden="false" customHeight="false" outlineLevel="0" collapsed="false">
      <c r="A150" s="9"/>
      <c r="B150" s="9"/>
      <c r="C150" s="10"/>
      <c r="D150" s="61" t="str">
        <f aca="false">D5</f>
        <v>2020-2021</v>
      </c>
      <c r="E150" s="61" t="str">
        <f aca="false">E5</f>
        <v>2021-2022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customFormat="false" ht="15.75" hidden="false" customHeight="false" outlineLevel="0" collapsed="false">
      <c r="A151" s="9"/>
      <c r="B151" s="9"/>
      <c r="C151" s="13" t="s">
        <v>36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15.75" hidden="false" customHeight="true" outlineLevel="0" collapsed="false">
      <c r="A152" s="14" t="n">
        <v>1</v>
      </c>
      <c r="B152" s="38" t="s">
        <v>22</v>
      </c>
      <c r="C152" s="39" t="s">
        <v>37</v>
      </c>
      <c r="D152" s="44" t="n">
        <v>2</v>
      </c>
      <c r="E152" s="44" t="n">
        <v>2</v>
      </c>
      <c r="F152" s="44" t="n">
        <v>0</v>
      </c>
      <c r="G152" s="44" t="n">
        <v>2058</v>
      </c>
      <c r="H152" s="44" t="n">
        <v>0</v>
      </c>
      <c r="I152" s="64" t="n">
        <f aca="false">SUM(G152:H152)</f>
        <v>2058</v>
      </c>
      <c r="J152" s="27" t="n">
        <f aca="false">ROUND(I152*0.25,0)</f>
        <v>515</v>
      </c>
      <c r="K152" s="44" t="n">
        <v>0</v>
      </c>
      <c r="L152" s="44" t="n">
        <v>185</v>
      </c>
      <c r="M152" s="44" t="n">
        <v>29</v>
      </c>
      <c r="N152" s="44" t="n">
        <v>0</v>
      </c>
      <c r="O152" s="44" t="n">
        <v>0</v>
      </c>
      <c r="P152" s="44" t="n">
        <v>0</v>
      </c>
      <c r="Q152" s="40" t="n">
        <f aca="false">SUM(I152:P152)+F152</f>
        <v>2787</v>
      </c>
    </row>
    <row r="153" customFormat="false" ht="17.25" hidden="false" customHeight="true" outlineLevel="0" collapsed="false">
      <c r="A153" s="14"/>
      <c r="B153" s="38"/>
      <c r="C153" s="30" t="s">
        <v>38</v>
      </c>
      <c r="D153" s="43" t="n">
        <v>0</v>
      </c>
      <c r="E153" s="43" t="n">
        <v>0</v>
      </c>
      <c r="F153" s="44" t="n">
        <v>0</v>
      </c>
      <c r="G153" s="44" t="n">
        <v>0</v>
      </c>
      <c r="H153" s="44" t="n">
        <v>0</v>
      </c>
      <c r="I153" s="64" t="n">
        <f aca="false">SUM(G153:H153)</f>
        <v>0</v>
      </c>
      <c r="J153" s="42" t="n">
        <f aca="false">ROUND(I153*1.6,0)</f>
        <v>0</v>
      </c>
      <c r="K153" s="44" t="n">
        <v>0</v>
      </c>
      <c r="L153" s="44" t="n">
        <v>0</v>
      </c>
      <c r="M153" s="44" t="n">
        <v>0</v>
      </c>
      <c r="N153" s="44" t="n">
        <v>0</v>
      </c>
      <c r="O153" s="44" t="n">
        <v>0</v>
      </c>
      <c r="P153" s="44" t="n">
        <v>0</v>
      </c>
      <c r="Q153" s="40" t="n">
        <f aca="false">SUM(I153:P153)+F153</f>
        <v>0</v>
      </c>
    </row>
    <row r="154" customFormat="false" ht="16.5" hidden="false" customHeight="false" outlineLevel="0" collapsed="false">
      <c r="A154" s="14"/>
      <c r="B154" s="38"/>
      <c r="C154" s="45" t="s">
        <v>39</v>
      </c>
      <c r="D154" s="46" t="n">
        <v>0</v>
      </c>
      <c r="E154" s="46" t="n">
        <v>0</v>
      </c>
      <c r="F154" s="47" t="n">
        <v>0</v>
      </c>
      <c r="G154" s="47" t="n">
        <v>0</v>
      </c>
      <c r="H154" s="47" t="n">
        <v>0</v>
      </c>
      <c r="I154" s="17" t="n">
        <f aca="false">SUM(G154:H154)</f>
        <v>0</v>
      </c>
      <c r="J154" s="16" t="n">
        <f aca="false">ROUND(I154*1.6,0)</f>
        <v>0</v>
      </c>
      <c r="K154" s="47" t="n">
        <v>0</v>
      </c>
      <c r="L154" s="47" t="n">
        <v>0</v>
      </c>
      <c r="M154" s="47" t="n">
        <v>0</v>
      </c>
      <c r="N154" s="47" t="n">
        <v>0</v>
      </c>
      <c r="O154" s="47" t="n">
        <v>0</v>
      </c>
      <c r="P154" s="47" t="n">
        <v>0</v>
      </c>
      <c r="Q154" s="18" t="n">
        <f aca="false">SUM(I154:P154)+F154</f>
        <v>0</v>
      </c>
    </row>
    <row r="155" customFormat="false" ht="17.25" hidden="false" customHeight="false" outlineLevel="0" collapsed="false">
      <c r="A155" s="24"/>
      <c r="B155" s="25"/>
      <c r="C155" s="48" t="s">
        <v>40</v>
      </c>
      <c r="D155" s="49" t="n">
        <f aca="false">SUM(D152:D154)</f>
        <v>2</v>
      </c>
      <c r="E155" s="49" t="n">
        <f aca="false">SUM(E152:E154)</f>
        <v>2</v>
      </c>
      <c r="F155" s="49" t="n">
        <f aca="false">SUM(F152:F154)</f>
        <v>0</v>
      </c>
      <c r="G155" s="49" t="n">
        <f aca="false">SUM(G152:G154)</f>
        <v>2058</v>
      </c>
      <c r="H155" s="49" t="n">
        <f aca="false">SUM(H152:H154)</f>
        <v>0</v>
      </c>
      <c r="I155" s="49" t="n">
        <f aca="false">SUM(I152:I154)</f>
        <v>2058</v>
      </c>
      <c r="J155" s="49" t="n">
        <f aca="false">SUM(J152:J154)</f>
        <v>515</v>
      </c>
      <c r="K155" s="49" t="n">
        <f aca="false">SUM(K152:K154)</f>
        <v>0</v>
      </c>
      <c r="L155" s="49" t="n">
        <f aca="false">SUM(L152:L154)</f>
        <v>185</v>
      </c>
      <c r="M155" s="49" t="n">
        <f aca="false">SUM(M152:M154)</f>
        <v>29</v>
      </c>
      <c r="N155" s="49" t="n">
        <f aca="false">SUM(N152:N154)</f>
        <v>0</v>
      </c>
      <c r="O155" s="49" t="n">
        <f aca="false">SUM(O152:O154)</f>
        <v>0</v>
      </c>
      <c r="P155" s="49" t="n">
        <f aca="false">SUM(P152:P154)</f>
        <v>0</v>
      </c>
      <c r="Q155" s="49" t="n">
        <f aca="false">SUM(Q152:Q154)</f>
        <v>2787</v>
      </c>
    </row>
    <row r="156" customFormat="false" ht="16.5" hidden="false" customHeight="true" outlineLevel="0" collapsed="false">
      <c r="A156" s="24" t="n">
        <v>2</v>
      </c>
      <c r="B156" s="25" t="s">
        <v>25</v>
      </c>
      <c r="C156" s="26" t="s">
        <v>26</v>
      </c>
      <c r="D156" s="57" t="n">
        <v>1</v>
      </c>
      <c r="E156" s="57" t="n">
        <v>1</v>
      </c>
      <c r="F156" s="54" t="n">
        <v>0</v>
      </c>
      <c r="G156" s="54" t="n">
        <v>429</v>
      </c>
      <c r="H156" s="54" t="n">
        <v>0</v>
      </c>
      <c r="I156" s="64" t="n">
        <f aca="false">SUM(G156:H156)</f>
        <v>429</v>
      </c>
      <c r="J156" s="27" t="n">
        <f aca="false">ROUND(I156*0.25,0)</f>
        <v>107</v>
      </c>
      <c r="K156" s="54" t="n">
        <v>0</v>
      </c>
      <c r="L156" s="54" t="n">
        <v>39</v>
      </c>
      <c r="M156" s="54" t="n">
        <v>5</v>
      </c>
      <c r="N156" s="54" t="n">
        <v>0</v>
      </c>
      <c r="O156" s="54" t="n">
        <v>0</v>
      </c>
      <c r="P156" s="54" t="n">
        <v>0</v>
      </c>
      <c r="Q156" s="40" t="n">
        <f aca="false">SUM(I156:P156)+F156</f>
        <v>580</v>
      </c>
    </row>
    <row r="157" customFormat="false" ht="18.75" hidden="false" customHeight="true" outlineLevel="0" collapsed="false">
      <c r="A157" s="24"/>
      <c r="B157" s="25"/>
      <c r="C157" s="30" t="s">
        <v>41</v>
      </c>
      <c r="D157" s="43" t="n">
        <v>2</v>
      </c>
      <c r="E157" s="43" t="n">
        <v>2</v>
      </c>
      <c r="F157" s="44" t="n">
        <v>0</v>
      </c>
      <c r="G157" s="44" t="n">
        <v>1235</v>
      </c>
      <c r="H157" s="44" t="n">
        <v>0</v>
      </c>
      <c r="I157" s="64" t="n">
        <f aca="false">SUM(G157:H157)</f>
        <v>1235</v>
      </c>
      <c r="J157" s="27" t="n">
        <f aca="false">ROUND(I157*0.25,0)</f>
        <v>309</v>
      </c>
      <c r="K157" s="44" t="n">
        <v>0</v>
      </c>
      <c r="L157" s="44" t="n">
        <v>111</v>
      </c>
      <c r="M157" s="44" t="n">
        <v>10</v>
      </c>
      <c r="N157" s="44" t="n">
        <v>0</v>
      </c>
      <c r="O157" s="44" t="n">
        <v>0</v>
      </c>
      <c r="P157" s="44" t="n">
        <v>0</v>
      </c>
      <c r="Q157" s="40" t="n">
        <f aca="false">SUM(I157:P157)+F157</f>
        <v>1665</v>
      </c>
    </row>
    <row r="158" customFormat="false" ht="15.75" hidden="false" customHeight="false" outlineLevel="0" collapsed="false">
      <c r="A158" s="24"/>
      <c r="B158" s="25"/>
      <c r="C158" s="30" t="s">
        <v>27</v>
      </c>
      <c r="D158" s="43" t="n">
        <v>1</v>
      </c>
      <c r="E158" s="43" t="n">
        <v>1</v>
      </c>
      <c r="F158" s="44" t="n">
        <v>0</v>
      </c>
      <c r="G158" s="44" t="n">
        <v>291</v>
      </c>
      <c r="H158" s="44" t="n">
        <v>0</v>
      </c>
      <c r="I158" s="64" t="n">
        <f aca="false">SUM(G158:H158)</f>
        <v>291</v>
      </c>
      <c r="J158" s="27" t="n">
        <f aca="false">ROUND(I158*0.25,0)</f>
        <v>73</v>
      </c>
      <c r="K158" s="44" t="n">
        <v>0</v>
      </c>
      <c r="L158" s="44" t="n">
        <v>26</v>
      </c>
      <c r="M158" s="44" t="n">
        <v>5</v>
      </c>
      <c r="N158" s="44" t="n">
        <v>0</v>
      </c>
      <c r="O158" s="44" t="n">
        <v>0</v>
      </c>
      <c r="P158" s="44" t="n">
        <v>0</v>
      </c>
      <c r="Q158" s="40" t="n">
        <f aca="false">SUM(I158:P158)+F158</f>
        <v>395</v>
      </c>
    </row>
    <row r="159" customFormat="false" ht="16.5" hidden="false" customHeight="false" outlineLevel="0" collapsed="false">
      <c r="A159" s="24"/>
      <c r="B159" s="25"/>
      <c r="C159" s="31" t="s">
        <v>42</v>
      </c>
      <c r="D159" s="46" t="n">
        <v>0</v>
      </c>
      <c r="E159" s="46" t="n">
        <v>0</v>
      </c>
      <c r="F159" s="47" t="n">
        <v>0</v>
      </c>
      <c r="G159" s="47" t="n">
        <v>0</v>
      </c>
      <c r="H159" s="47" t="n">
        <v>0</v>
      </c>
      <c r="I159" s="17" t="n">
        <f aca="false">SUM(G159:H159)</f>
        <v>0</v>
      </c>
      <c r="J159" s="16" t="n">
        <f aca="false">ROUND(I159*0.25,0)</f>
        <v>0</v>
      </c>
      <c r="K159" s="47" t="n">
        <v>0</v>
      </c>
      <c r="L159" s="47" t="n">
        <v>0</v>
      </c>
      <c r="M159" s="47" t="n">
        <v>0</v>
      </c>
      <c r="N159" s="47" t="n">
        <v>0</v>
      </c>
      <c r="O159" s="47" t="n">
        <v>0</v>
      </c>
      <c r="P159" s="47" t="n">
        <v>0</v>
      </c>
      <c r="Q159" s="18" t="n">
        <f aca="false">SUM(I159:P159)+F159</f>
        <v>0</v>
      </c>
    </row>
    <row r="160" customFormat="false" ht="17.25" hidden="false" customHeight="false" outlineLevel="0" collapsed="false">
      <c r="A160" s="24"/>
      <c r="B160" s="25"/>
      <c r="C160" s="32" t="s">
        <v>29</v>
      </c>
      <c r="D160" s="49" t="n">
        <f aca="false">SUM(D156:D159)</f>
        <v>4</v>
      </c>
      <c r="E160" s="49" t="n">
        <f aca="false">SUM(E156:E159)</f>
        <v>4</v>
      </c>
      <c r="F160" s="49" t="n">
        <f aca="false">SUM(F156:F159)</f>
        <v>0</v>
      </c>
      <c r="G160" s="49" t="n">
        <f aca="false">SUM(G156:G159)</f>
        <v>1955</v>
      </c>
      <c r="H160" s="49" t="n">
        <f aca="false">SUM(H156:H159)</f>
        <v>0</v>
      </c>
      <c r="I160" s="49" t="n">
        <f aca="false">SUM(I156:I159)</f>
        <v>1955</v>
      </c>
      <c r="J160" s="49" t="n">
        <f aca="false">SUM(J156:J159)</f>
        <v>489</v>
      </c>
      <c r="K160" s="49" t="n">
        <f aca="false">SUM(K156:K159)</f>
        <v>0</v>
      </c>
      <c r="L160" s="49" t="n">
        <f aca="false">SUM(L156:L159)</f>
        <v>176</v>
      </c>
      <c r="M160" s="49" t="n">
        <f aca="false">SUM(M156:M159)</f>
        <v>20</v>
      </c>
      <c r="N160" s="49" t="n">
        <f aca="false">SUM(N156:N159)</f>
        <v>0</v>
      </c>
      <c r="O160" s="49" t="n">
        <f aca="false">SUM(O156:O159)</f>
        <v>0</v>
      </c>
      <c r="P160" s="49" t="n">
        <f aca="false">SUM(P156:P159)</f>
        <v>0</v>
      </c>
      <c r="Q160" s="49" t="n">
        <f aca="false">SUM(Q156:Q159)</f>
        <v>2640</v>
      </c>
    </row>
    <row r="161" customFormat="false" ht="17.25" hidden="false" customHeight="false" outlineLevel="0" collapsed="false">
      <c r="A161" s="24" t="n">
        <v>3</v>
      </c>
      <c r="B161" s="34" t="s">
        <v>30</v>
      </c>
      <c r="C161" s="51" t="s">
        <v>32</v>
      </c>
      <c r="D161" s="49" t="n">
        <v>1</v>
      </c>
      <c r="E161" s="49" t="n">
        <v>1</v>
      </c>
      <c r="F161" s="52" t="n">
        <v>0</v>
      </c>
      <c r="G161" s="52" t="n">
        <v>184</v>
      </c>
      <c r="H161" s="52" t="n">
        <v>0</v>
      </c>
      <c r="I161" s="66" t="n">
        <f aca="false">SUM(G161:H161)</f>
        <v>184</v>
      </c>
      <c r="J161" s="67" t="n">
        <f aca="false">ROUND(I161*0.25,0)</f>
        <v>46</v>
      </c>
      <c r="K161" s="52" t="n">
        <v>0</v>
      </c>
      <c r="L161" s="52" t="n">
        <v>22</v>
      </c>
      <c r="M161" s="52" t="n">
        <v>5</v>
      </c>
      <c r="N161" s="52" t="n">
        <v>1</v>
      </c>
      <c r="O161" s="52" t="n">
        <v>0</v>
      </c>
      <c r="P161" s="52" t="n">
        <v>0</v>
      </c>
      <c r="Q161" s="60" t="n">
        <f aca="false">SUM(I161:P161)+F161</f>
        <v>258</v>
      </c>
    </row>
    <row r="162" customFormat="false" ht="17.25" hidden="false" customHeight="false" outlineLevel="0" collapsed="false">
      <c r="A162" s="24"/>
      <c r="B162" s="34"/>
      <c r="C162" s="32" t="s">
        <v>33</v>
      </c>
      <c r="D162" s="49" t="n">
        <f aca="false">SUM(D161)</f>
        <v>1</v>
      </c>
      <c r="E162" s="49" t="n">
        <f aca="false">SUM(E161)</f>
        <v>1</v>
      </c>
      <c r="F162" s="49" t="n">
        <f aca="false">SUM(F161)</f>
        <v>0</v>
      </c>
      <c r="G162" s="49" t="n">
        <f aca="false">SUM(G161)</f>
        <v>184</v>
      </c>
      <c r="H162" s="49" t="n">
        <f aca="false">SUM(H161)</f>
        <v>0</v>
      </c>
      <c r="I162" s="49" t="n">
        <f aca="false">SUM(I161)</f>
        <v>184</v>
      </c>
      <c r="J162" s="49" t="n">
        <f aca="false">SUM(J161)</f>
        <v>46</v>
      </c>
      <c r="K162" s="49" t="n">
        <f aca="false">SUM(K161)</f>
        <v>0</v>
      </c>
      <c r="L162" s="49" t="n">
        <f aca="false">SUM(L161)</f>
        <v>22</v>
      </c>
      <c r="M162" s="49" t="n">
        <f aca="false">SUM(M161)</f>
        <v>5</v>
      </c>
      <c r="N162" s="49" t="n">
        <f aca="false">SUM(N161)</f>
        <v>1</v>
      </c>
      <c r="O162" s="49" t="n">
        <f aca="false">SUM(O161)</f>
        <v>0</v>
      </c>
      <c r="P162" s="49" t="n">
        <f aca="false">SUM(P161)</f>
        <v>0</v>
      </c>
      <c r="Q162" s="49" t="n">
        <f aca="false">SUM(Q161)</f>
        <v>258</v>
      </c>
    </row>
    <row r="163" customFormat="false" ht="17.25" hidden="false" customHeight="false" outlineLevel="0" collapsed="false">
      <c r="A163" s="24"/>
      <c r="B163" s="34"/>
      <c r="C163" s="32" t="s">
        <v>34</v>
      </c>
      <c r="D163" s="49" t="n">
        <f aca="false">SUM(D162,D160,D155)</f>
        <v>7</v>
      </c>
      <c r="E163" s="49" t="n">
        <f aca="false">SUM(E162,E160,E155)</f>
        <v>7</v>
      </c>
      <c r="F163" s="49" t="n">
        <f aca="false">SUM(F162,F160,F155)</f>
        <v>0</v>
      </c>
      <c r="G163" s="49" t="n">
        <f aca="false">SUM(G162,G160,G155)</f>
        <v>4197</v>
      </c>
      <c r="H163" s="49" t="n">
        <f aca="false">SUM(H162,H160,H155)</f>
        <v>0</v>
      </c>
      <c r="I163" s="49" t="n">
        <f aca="false">SUM(I162,I160,I155)</f>
        <v>4197</v>
      </c>
      <c r="J163" s="49" t="n">
        <f aca="false">SUM(J162,J160,J155)</f>
        <v>1050</v>
      </c>
      <c r="K163" s="49" t="n">
        <f aca="false">SUM(K162,K160,K155)</f>
        <v>0</v>
      </c>
      <c r="L163" s="49" t="n">
        <f aca="false">SUM(L162,L160,L155)</f>
        <v>383</v>
      </c>
      <c r="M163" s="49" t="n">
        <f aca="false">SUM(M162,M160,M155)</f>
        <v>54</v>
      </c>
      <c r="N163" s="49" t="n">
        <f aca="false">SUM(N162,N160,N155)</f>
        <v>1</v>
      </c>
      <c r="O163" s="49" t="n">
        <f aca="false">SUM(O162,O160,O155)</f>
        <v>0</v>
      </c>
      <c r="P163" s="49" t="n">
        <f aca="false">SUM(P162,P160,P155)</f>
        <v>0</v>
      </c>
      <c r="Q163" s="49" t="n">
        <f aca="false">SUM(Q162,Q160,Q155)</f>
        <v>5685</v>
      </c>
    </row>
    <row r="164" customFormat="false" ht="9.75" hidden="false" customHeight="true" outlineLevel="0" collapsed="false">
      <c r="C164" s="2"/>
    </row>
    <row r="165" customFormat="false" ht="15.75" hidden="false" customHeight="false" outlineLevel="0" collapsed="false">
      <c r="A165" s="5" t="str">
        <f aca="false">$A$1</f>
        <v>प्रपत्र - ड  -  अर्थसंकल्पीय अंदाजपत्रक सन 2021-2022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customFormat="false" ht="15.75" hidden="false" customHeight="false" outlineLevel="0" collapsed="false">
      <c r="A166" s="5" t="s">
        <v>1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customFormat="false" ht="15.75" hidden="false" customHeight="false" outlineLevel="0" collapsed="false">
      <c r="A167" s="6" t="s">
        <v>50</v>
      </c>
      <c r="B167" s="6"/>
      <c r="C167" s="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8" t="s">
        <v>3</v>
      </c>
      <c r="P167" s="8"/>
      <c r="Q167" s="8"/>
    </row>
    <row r="168" customFormat="false" ht="17.25" hidden="false" customHeight="true" outlineLevel="0" collapsed="false">
      <c r="A168" s="9" t="s">
        <v>4</v>
      </c>
      <c r="B168" s="9" t="s">
        <v>5</v>
      </c>
      <c r="C168" s="10" t="s">
        <v>6</v>
      </c>
      <c r="D168" s="11" t="str">
        <f aca="false">D4</f>
        <v>मंजूर पदे</v>
      </c>
      <c r="E168" s="11" t="str">
        <f aca="false">E4</f>
        <v>मंजूर पदे</v>
      </c>
      <c r="F168" s="12" t="str">
        <f aca="false">F4</f>
        <v>विशेष वेतन</v>
      </c>
      <c r="G168" s="12" t="str">
        <f aca="false">G4</f>
        <v>मुळ वेतन</v>
      </c>
      <c r="H168" s="12" t="str">
        <f aca="false">H4</f>
        <v>ग्रेड वेतन</v>
      </c>
      <c r="I168" s="12" t="str">
        <f aca="false">I4</f>
        <v>एकूण</v>
      </c>
      <c r="J168" s="12" t="str">
        <f aca="false">J4</f>
        <v>महागाई भत्ता 25%</v>
      </c>
      <c r="K168" s="12" t="s">
        <v>13</v>
      </c>
      <c r="L168" s="12" t="s">
        <v>14</v>
      </c>
      <c r="M168" s="12" t="s">
        <v>15</v>
      </c>
      <c r="N168" s="12" t="s">
        <v>16</v>
      </c>
      <c r="O168" s="12" t="s">
        <v>17</v>
      </c>
      <c r="P168" s="12" t="s">
        <v>18</v>
      </c>
      <c r="Q168" s="12" t="s">
        <v>11</v>
      </c>
    </row>
    <row r="169" customFormat="false" ht="15.75" hidden="false" customHeight="false" outlineLevel="0" collapsed="false">
      <c r="A169" s="9"/>
      <c r="B169" s="9"/>
      <c r="C169" s="10"/>
      <c r="D169" s="61" t="str">
        <f aca="false">D5</f>
        <v>2020-2021</v>
      </c>
      <c r="E169" s="61" t="str">
        <f aca="false">E5</f>
        <v>2021-2022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customFormat="false" ht="15.75" hidden="false" customHeight="false" outlineLevel="0" collapsed="false">
      <c r="A170" s="9"/>
      <c r="B170" s="9"/>
      <c r="C170" s="13" t="s">
        <v>21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 customFormat="false" ht="22.5" hidden="false" customHeight="true" outlineLevel="0" collapsed="false">
      <c r="A171" s="14" t="n">
        <v>1</v>
      </c>
      <c r="B171" s="15" t="s">
        <v>22</v>
      </c>
      <c r="C171" s="15" t="s">
        <v>46</v>
      </c>
      <c r="D171" s="16" t="n">
        <v>0</v>
      </c>
      <c r="E171" s="16" t="n">
        <v>0</v>
      </c>
      <c r="F171" s="16" t="n">
        <v>0</v>
      </c>
      <c r="G171" s="16" t="n">
        <v>0</v>
      </c>
      <c r="H171" s="16" t="n">
        <v>0</v>
      </c>
      <c r="I171" s="47" t="n">
        <v>0</v>
      </c>
      <c r="J171" s="16" t="n">
        <v>0</v>
      </c>
      <c r="K171" s="16" t="n">
        <v>0</v>
      </c>
      <c r="L171" s="16" t="n">
        <v>0</v>
      </c>
      <c r="M171" s="16" t="n">
        <v>0</v>
      </c>
      <c r="N171" s="16" t="n">
        <v>0</v>
      </c>
      <c r="O171" s="16" t="n">
        <v>0</v>
      </c>
      <c r="P171" s="16" t="n">
        <v>0</v>
      </c>
      <c r="Q171" s="22" t="n">
        <v>0</v>
      </c>
    </row>
    <row r="172" customFormat="false" ht="17.25" hidden="false" customHeight="false" outlineLevel="0" collapsed="false">
      <c r="A172" s="24"/>
      <c r="B172" s="34"/>
      <c r="C172" s="25" t="s">
        <v>24</v>
      </c>
      <c r="D172" s="33" t="n">
        <v>0</v>
      </c>
      <c r="E172" s="33" t="n">
        <v>0</v>
      </c>
      <c r="F172" s="33" t="n">
        <v>0</v>
      </c>
      <c r="G172" s="33" t="n">
        <v>0</v>
      </c>
      <c r="H172" s="33" t="n">
        <v>0</v>
      </c>
      <c r="I172" s="33" t="n">
        <v>0</v>
      </c>
      <c r="J172" s="33" t="n">
        <v>0</v>
      </c>
      <c r="K172" s="33" t="n">
        <v>0</v>
      </c>
      <c r="L172" s="33" t="n">
        <v>0</v>
      </c>
      <c r="M172" s="33" t="n">
        <v>0</v>
      </c>
      <c r="N172" s="33" t="n">
        <v>0</v>
      </c>
      <c r="O172" s="33" t="n">
        <v>0</v>
      </c>
      <c r="P172" s="33" t="n">
        <v>0</v>
      </c>
      <c r="Q172" s="33" t="n">
        <v>0</v>
      </c>
    </row>
    <row r="173" customFormat="false" ht="16.5" hidden="false" customHeight="true" outlineLevel="0" collapsed="false">
      <c r="A173" s="24" t="n">
        <v>2</v>
      </c>
      <c r="B173" s="25" t="s">
        <v>25</v>
      </c>
      <c r="C173" s="26" t="s">
        <v>26</v>
      </c>
      <c r="D173" s="27" t="n">
        <v>0</v>
      </c>
      <c r="E173" s="27" t="n">
        <v>0</v>
      </c>
      <c r="F173" s="27" t="n">
        <v>0</v>
      </c>
      <c r="G173" s="27" t="n">
        <v>0</v>
      </c>
      <c r="H173" s="27" t="n">
        <v>0</v>
      </c>
      <c r="I173" s="27" t="n">
        <v>0</v>
      </c>
      <c r="J173" s="27" t="n">
        <v>0</v>
      </c>
      <c r="K173" s="27" t="n">
        <v>0</v>
      </c>
      <c r="L173" s="27" t="n">
        <v>0</v>
      </c>
      <c r="M173" s="27" t="n">
        <v>0</v>
      </c>
      <c r="N173" s="27" t="n">
        <v>0</v>
      </c>
      <c r="O173" s="27" t="n">
        <v>0</v>
      </c>
      <c r="P173" s="27" t="n">
        <v>0</v>
      </c>
      <c r="Q173" s="40" t="n">
        <f aca="false">SUM(I173:P173)+F173</f>
        <v>0</v>
      </c>
    </row>
    <row r="174" customFormat="false" ht="15.75" hidden="false" customHeight="false" outlineLevel="0" collapsed="false">
      <c r="A174" s="24"/>
      <c r="B174" s="25"/>
      <c r="C174" s="30" t="s">
        <v>27</v>
      </c>
      <c r="D174" s="27" t="n">
        <v>0</v>
      </c>
      <c r="E174" s="27" t="n">
        <v>0</v>
      </c>
      <c r="F174" s="27" t="n">
        <v>0</v>
      </c>
      <c r="G174" s="27" t="n">
        <v>0</v>
      </c>
      <c r="H174" s="27" t="n">
        <v>0</v>
      </c>
      <c r="I174" s="27" t="n">
        <v>0</v>
      </c>
      <c r="J174" s="27" t="n">
        <v>0</v>
      </c>
      <c r="K174" s="27" t="n">
        <v>0</v>
      </c>
      <c r="L174" s="27" t="n">
        <v>0</v>
      </c>
      <c r="M174" s="27" t="n">
        <v>0</v>
      </c>
      <c r="N174" s="27" t="n">
        <v>0</v>
      </c>
      <c r="O174" s="27" t="n">
        <v>0</v>
      </c>
      <c r="P174" s="27" t="n">
        <v>0</v>
      </c>
      <c r="Q174" s="40" t="n">
        <f aca="false">SUM(I174:P174)+F174</f>
        <v>0</v>
      </c>
    </row>
    <row r="175" customFormat="false" ht="16.5" hidden="false" customHeight="false" outlineLevel="0" collapsed="false">
      <c r="A175" s="24"/>
      <c r="B175" s="25"/>
      <c r="C175" s="31" t="s">
        <v>28</v>
      </c>
      <c r="D175" s="16" t="n">
        <v>0</v>
      </c>
      <c r="E175" s="16" t="n">
        <v>0</v>
      </c>
      <c r="F175" s="16" t="n">
        <v>0</v>
      </c>
      <c r="G175" s="16" t="n">
        <v>0</v>
      </c>
      <c r="H175" s="16" t="n">
        <v>0</v>
      </c>
      <c r="I175" s="16" t="n">
        <v>0</v>
      </c>
      <c r="J175" s="16" t="n">
        <v>0</v>
      </c>
      <c r="K175" s="16" t="n">
        <v>0</v>
      </c>
      <c r="L175" s="16" t="n">
        <v>0</v>
      </c>
      <c r="M175" s="16" t="n">
        <v>0</v>
      </c>
      <c r="N175" s="16" t="n">
        <v>0</v>
      </c>
      <c r="O175" s="16" t="n">
        <v>0</v>
      </c>
      <c r="P175" s="16" t="n">
        <v>0</v>
      </c>
      <c r="Q175" s="22" t="n">
        <v>0</v>
      </c>
    </row>
    <row r="176" customFormat="false" ht="17.25" hidden="false" customHeight="false" outlineLevel="0" collapsed="false">
      <c r="A176" s="24"/>
      <c r="B176" s="25"/>
      <c r="C176" s="32" t="s">
        <v>29</v>
      </c>
      <c r="D176" s="33" t="n">
        <f aca="false">SUM(D173:D175)</f>
        <v>0</v>
      </c>
      <c r="E176" s="33" t="n">
        <f aca="false">SUM(E173:E175)</f>
        <v>0</v>
      </c>
      <c r="F176" s="33" t="n">
        <f aca="false">SUM(F173:F175)</f>
        <v>0</v>
      </c>
      <c r="G176" s="33" t="n">
        <f aca="false">SUM(G173:G175)</f>
        <v>0</v>
      </c>
      <c r="H176" s="33" t="n">
        <f aca="false">SUM(H173:H175)</f>
        <v>0</v>
      </c>
      <c r="I176" s="33" t="n">
        <f aca="false">SUM(I173:I175)</f>
        <v>0</v>
      </c>
      <c r="J176" s="33" t="n">
        <f aca="false">SUM(J173:J175)</f>
        <v>0</v>
      </c>
      <c r="K176" s="33" t="n">
        <f aca="false">SUM(K173:K175)</f>
        <v>0</v>
      </c>
      <c r="L176" s="33" t="n">
        <f aca="false">SUM(L173:L175)</f>
        <v>0</v>
      </c>
      <c r="M176" s="33" t="n">
        <f aca="false">SUM(M173:M175)</f>
        <v>0</v>
      </c>
      <c r="N176" s="33" t="n">
        <f aca="false">SUM(N173:N175)</f>
        <v>0</v>
      </c>
      <c r="O176" s="33" t="n">
        <f aca="false">SUM(O173:O175)</f>
        <v>0</v>
      </c>
      <c r="P176" s="33" t="n">
        <f aca="false">SUM(P173:P175)</f>
        <v>0</v>
      </c>
      <c r="Q176" s="33" t="n">
        <f aca="false">SUM(Q173:Q175)</f>
        <v>0</v>
      </c>
    </row>
    <row r="177" customFormat="false" ht="16.5" hidden="false" customHeight="true" outlineLevel="0" collapsed="false">
      <c r="A177" s="24" t="n">
        <v>3</v>
      </c>
      <c r="B177" s="25" t="s">
        <v>30</v>
      </c>
      <c r="C177" s="26" t="s">
        <v>31</v>
      </c>
      <c r="D177" s="27" t="n">
        <v>0</v>
      </c>
      <c r="E177" s="27" t="n">
        <v>0</v>
      </c>
      <c r="F177" s="27" t="n">
        <v>0</v>
      </c>
      <c r="G177" s="27" t="n">
        <v>0</v>
      </c>
      <c r="H177" s="27" t="n">
        <v>0</v>
      </c>
      <c r="I177" s="27" t="n">
        <v>0</v>
      </c>
      <c r="J177" s="27" t="n">
        <v>0</v>
      </c>
      <c r="K177" s="27" t="n">
        <v>0</v>
      </c>
      <c r="L177" s="27" t="n">
        <v>0</v>
      </c>
      <c r="M177" s="27" t="n">
        <v>0</v>
      </c>
      <c r="N177" s="27" t="n">
        <v>0</v>
      </c>
      <c r="O177" s="27" t="n">
        <v>0</v>
      </c>
      <c r="P177" s="27" t="n">
        <v>0</v>
      </c>
      <c r="Q177" s="68" t="n">
        <v>0</v>
      </c>
    </row>
    <row r="178" customFormat="false" ht="16.5" hidden="false" customHeight="false" outlineLevel="0" collapsed="false">
      <c r="A178" s="24"/>
      <c r="B178" s="25"/>
      <c r="C178" s="31" t="s">
        <v>32</v>
      </c>
      <c r="D178" s="16" t="n">
        <v>0</v>
      </c>
      <c r="E178" s="16" t="n">
        <v>0</v>
      </c>
      <c r="F178" s="16" t="n">
        <v>0</v>
      </c>
      <c r="G178" s="16" t="n">
        <v>0</v>
      </c>
      <c r="H178" s="16" t="n">
        <v>0</v>
      </c>
      <c r="I178" s="16" t="n">
        <v>0</v>
      </c>
      <c r="J178" s="16" t="n">
        <v>0</v>
      </c>
      <c r="K178" s="16" t="n">
        <v>0</v>
      </c>
      <c r="L178" s="16" t="n">
        <v>0</v>
      </c>
      <c r="M178" s="16" t="n">
        <v>0</v>
      </c>
      <c r="N178" s="16" t="n">
        <v>0</v>
      </c>
      <c r="O178" s="16" t="n">
        <v>0</v>
      </c>
      <c r="P178" s="16" t="n">
        <v>0</v>
      </c>
      <c r="Q178" s="18" t="n">
        <f aca="false">SUM(I178:P178)+F178</f>
        <v>0</v>
      </c>
    </row>
    <row r="179" customFormat="false" ht="18.75" hidden="false" customHeight="true" outlineLevel="0" collapsed="false">
      <c r="A179" s="24"/>
      <c r="B179" s="25"/>
      <c r="C179" s="32" t="s">
        <v>33</v>
      </c>
      <c r="D179" s="33" t="n">
        <f aca="false">SUM(D177:D178)</f>
        <v>0</v>
      </c>
      <c r="E179" s="33" t="n">
        <f aca="false">SUM(E177:E178)</f>
        <v>0</v>
      </c>
      <c r="F179" s="33" t="n">
        <f aca="false">SUM(F177:F178)</f>
        <v>0</v>
      </c>
      <c r="G179" s="33" t="n">
        <f aca="false">SUM(G177:G178)</f>
        <v>0</v>
      </c>
      <c r="H179" s="33" t="n">
        <f aca="false">SUM(H177:H178)</f>
        <v>0</v>
      </c>
      <c r="I179" s="33" t="n">
        <f aca="false">SUM(I177:I178)</f>
        <v>0</v>
      </c>
      <c r="J179" s="33" t="n">
        <f aca="false">SUM(J177:J178)</f>
        <v>0</v>
      </c>
      <c r="K179" s="33" t="n">
        <f aca="false">SUM(K177:K178)</f>
        <v>0</v>
      </c>
      <c r="L179" s="33" t="n">
        <f aca="false">SUM(L177:L178)</f>
        <v>0</v>
      </c>
      <c r="M179" s="33" t="n">
        <f aca="false">SUM(M177:M178)</f>
        <v>0</v>
      </c>
      <c r="N179" s="33" t="n">
        <f aca="false">SUM(N177:N178)</f>
        <v>0</v>
      </c>
      <c r="O179" s="33" t="n">
        <f aca="false">SUM(O177:O178)</f>
        <v>0</v>
      </c>
      <c r="P179" s="33" t="n">
        <f aca="false">SUM(P177:P178)</f>
        <v>0</v>
      </c>
      <c r="Q179" s="33" t="n">
        <f aca="false">SUM(Q177:Q178)</f>
        <v>0</v>
      </c>
    </row>
    <row r="180" customFormat="false" ht="18.75" hidden="false" customHeight="true" outlineLevel="0" collapsed="false">
      <c r="A180" s="24"/>
      <c r="B180" s="34"/>
      <c r="C180" s="35" t="s">
        <v>34</v>
      </c>
      <c r="D180" s="22" t="n">
        <f aca="false">SUM(D172+D176+D179)</f>
        <v>0</v>
      </c>
      <c r="E180" s="22" t="n">
        <f aca="false">SUM(E172+E176+E179)</f>
        <v>0</v>
      </c>
      <c r="F180" s="22" t="n">
        <f aca="false">SUM(F172+F176+F179)</f>
        <v>0</v>
      </c>
      <c r="G180" s="22" t="n">
        <f aca="false">SUM(G172+G176+G179)</f>
        <v>0</v>
      </c>
      <c r="H180" s="22" t="n">
        <f aca="false">SUM(H172+H176+H179)</f>
        <v>0</v>
      </c>
      <c r="I180" s="22" t="n">
        <f aca="false">SUM(I172+I176+I179)</f>
        <v>0</v>
      </c>
      <c r="J180" s="22" t="n">
        <f aca="false">SUM(J172+J176+J179)</f>
        <v>0</v>
      </c>
      <c r="K180" s="22" t="n">
        <f aca="false">SUM(K172+K176+K179)</f>
        <v>0</v>
      </c>
      <c r="L180" s="22" t="n">
        <f aca="false">SUM(L172+L176+L179)</f>
        <v>0</v>
      </c>
      <c r="M180" s="22" t="n">
        <f aca="false">SUM(M172+M176+M179)</f>
        <v>0</v>
      </c>
      <c r="N180" s="22" t="n">
        <f aca="false">SUM(N172+N176+N179)</f>
        <v>0</v>
      </c>
      <c r="O180" s="22" t="n">
        <f aca="false">SUM(O172+O176+O179)</f>
        <v>0</v>
      </c>
      <c r="P180" s="22" t="n">
        <f aca="false">SUM(P172+P176+P179)</f>
        <v>0</v>
      </c>
      <c r="Q180" s="22" t="n">
        <f aca="false">SUM(Q172+Q176+Q179)</f>
        <v>0</v>
      </c>
    </row>
    <row r="181" customFormat="false" ht="8.25" hidden="false" customHeight="true" outlineLevel="0" collapsed="false">
      <c r="A181" s="36"/>
      <c r="B181" s="3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</row>
    <row r="182" customFormat="false" ht="17.25" hidden="false" customHeight="true" outlineLevel="0" collapsed="false">
      <c r="A182" s="9" t="s">
        <v>35</v>
      </c>
      <c r="B182" s="9" t="s">
        <v>5</v>
      </c>
      <c r="C182" s="10" t="s">
        <v>6</v>
      </c>
      <c r="D182" s="11" t="str">
        <f aca="false">D4</f>
        <v>मंजूर पदे</v>
      </c>
      <c r="E182" s="11" t="str">
        <f aca="false">E4</f>
        <v>मंजूर पदे</v>
      </c>
      <c r="F182" s="12" t="str">
        <f aca="false">F4</f>
        <v>विशेष वेतन</v>
      </c>
      <c r="G182" s="12" t="str">
        <f aca="false">G4</f>
        <v>मुळ वेतन</v>
      </c>
      <c r="H182" s="12" t="str">
        <f aca="false">H4</f>
        <v>ग्रेड वेतन</v>
      </c>
      <c r="I182" s="12" t="str">
        <f aca="false">I4</f>
        <v>एकूण</v>
      </c>
      <c r="J182" s="12" t="str">
        <f aca="false">J4</f>
        <v>महागाई भत्ता 25%</v>
      </c>
      <c r="K182" s="12" t="s">
        <v>13</v>
      </c>
      <c r="L182" s="12" t="s">
        <v>14</v>
      </c>
      <c r="M182" s="12" t="s">
        <v>15</v>
      </c>
      <c r="N182" s="12" t="s">
        <v>16</v>
      </c>
      <c r="O182" s="12" t="s">
        <v>17</v>
      </c>
      <c r="P182" s="12" t="s">
        <v>18</v>
      </c>
      <c r="Q182" s="12" t="s">
        <v>11</v>
      </c>
    </row>
    <row r="183" customFormat="false" ht="15.75" hidden="false" customHeight="false" outlineLevel="0" collapsed="false">
      <c r="A183" s="9"/>
      <c r="B183" s="9"/>
      <c r="C183" s="10"/>
      <c r="D183" s="61" t="str">
        <f aca="false">D5</f>
        <v>2020-2021</v>
      </c>
      <c r="E183" s="61" t="str">
        <f aca="false">E5</f>
        <v>2021-2022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 customFormat="false" ht="15.75" hidden="false" customHeight="false" outlineLevel="0" collapsed="false">
      <c r="A184" s="9"/>
      <c r="B184" s="9"/>
      <c r="C184" s="13" t="s">
        <v>36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customFormat="false" ht="15.75" hidden="false" customHeight="true" outlineLevel="0" collapsed="false">
      <c r="A185" s="14" t="n">
        <v>1</v>
      </c>
      <c r="B185" s="38" t="s">
        <v>22</v>
      </c>
      <c r="C185" s="39" t="s">
        <v>37</v>
      </c>
      <c r="D185" s="27" t="n">
        <v>0</v>
      </c>
      <c r="E185" s="27" t="n">
        <v>0</v>
      </c>
      <c r="F185" s="27" t="n">
        <v>0</v>
      </c>
      <c r="G185" s="27" t="n">
        <v>0</v>
      </c>
      <c r="H185" s="27" t="n">
        <v>0</v>
      </c>
      <c r="I185" s="54" t="n">
        <v>0</v>
      </c>
      <c r="J185" s="27" t="n">
        <v>0</v>
      </c>
      <c r="K185" s="27" t="n">
        <v>0</v>
      </c>
      <c r="L185" s="27" t="n">
        <v>0</v>
      </c>
      <c r="M185" s="27" t="n">
        <v>0</v>
      </c>
      <c r="N185" s="27" t="n">
        <v>0</v>
      </c>
      <c r="O185" s="27" t="n">
        <v>0</v>
      </c>
      <c r="P185" s="27" t="n">
        <v>0</v>
      </c>
      <c r="Q185" s="40" t="n">
        <v>0</v>
      </c>
    </row>
    <row r="186" customFormat="false" ht="15.75" hidden="false" customHeight="false" outlineLevel="0" collapsed="false">
      <c r="A186" s="14"/>
      <c r="B186" s="38"/>
      <c r="C186" s="30" t="s">
        <v>38</v>
      </c>
      <c r="D186" s="27" t="n">
        <v>0</v>
      </c>
      <c r="E186" s="27" t="n">
        <v>0</v>
      </c>
      <c r="F186" s="27" t="n">
        <v>0</v>
      </c>
      <c r="G186" s="27" t="n">
        <v>0</v>
      </c>
      <c r="H186" s="27" t="n">
        <v>0</v>
      </c>
      <c r="I186" s="54" t="n">
        <v>0</v>
      </c>
      <c r="J186" s="27" t="n">
        <v>0</v>
      </c>
      <c r="K186" s="27" t="n">
        <v>0</v>
      </c>
      <c r="L186" s="27" t="n">
        <v>0</v>
      </c>
      <c r="M186" s="27" t="n">
        <v>0</v>
      </c>
      <c r="N186" s="27" t="n">
        <v>0</v>
      </c>
      <c r="O186" s="27" t="n">
        <v>0</v>
      </c>
      <c r="P186" s="27" t="n">
        <v>0</v>
      </c>
      <c r="Q186" s="40" t="n">
        <v>0</v>
      </c>
    </row>
    <row r="187" customFormat="false" ht="16.5" hidden="false" customHeight="false" outlineLevel="0" collapsed="false">
      <c r="A187" s="14"/>
      <c r="B187" s="38"/>
      <c r="C187" s="45" t="s">
        <v>39</v>
      </c>
      <c r="D187" s="16" t="n">
        <v>0</v>
      </c>
      <c r="E187" s="16" t="n">
        <v>0</v>
      </c>
      <c r="F187" s="16" t="n">
        <v>0</v>
      </c>
      <c r="G187" s="16" t="n">
        <v>0</v>
      </c>
      <c r="H187" s="16" t="n">
        <v>0</v>
      </c>
      <c r="I187" s="47" t="n">
        <v>0</v>
      </c>
      <c r="J187" s="16" t="n">
        <v>0</v>
      </c>
      <c r="K187" s="16" t="n">
        <v>0</v>
      </c>
      <c r="L187" s="16" t="n">
        <v>0</v>
      </c>
      <c r="M187" s="16" t="n">
        <v>0</v>
      </c>
      <c r="N187" s="16" t="n">
        <v>0</v>
      </c>
      <c r="O187" s="16" t="n">
        <v>0</v>
      </c>
      <c r="P187" s="16" t="n">
        <v>0</v>
      </c>
      <c r="Q187" s="18" t="n">
        <v>0</v>
      </c>
    </row>
    <row r="188" customFormat="false" ht="17.25" hidden="false" customHeight="false" outlineLevel="0" collapsed="false">
      <c r="A188" s="24"/>
      <c r="B188" s="25"/>
      <c r="C188" s="48" t="s">
        <v>40</v>
      </c>
      <c r="D188" s="49" t="n">
        <v>0</v>
      </c>
      <c r="E188" s="49" t="n">
        <v>0</v>
      </c>
      <c r="F188" s="49" t="n">
        <v>0</v>
      </c>
      <c r="G188" s="49" t="n">
        <v>0</v>
      </c>
      <c r="H188" s="49" t="n">
        <v>0</v>
      </c>
      <c r="I188" s="49" t="n">
        <v>0</v>
      </c>
      <c r="J188" s="49" t="n">
        <v>0</v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</row>
    <row r="189" customFormat="false" ht="16.5" hidden="false" customHeight="true" outlineLevel="0" collapsed="false">
      <c r="A189" s="24" t="n">
        <v>2</v>
      </c>
      <c r="B189" s="25" t="s">
        <v>25</v>
      </c>
      <c r="C189" s="26" t="s">
        <v>26</v>
      </c>
      <c r="D189" s="27" t="n">
        <v>0</v>
      </c>
      <c r="E189" s="27" t="n">
        <v>0</v>
      </c>
      <c r="F189" s="27" t="n">
        <v>0</v>
      </c>
      <c r="G189" s="27" t="n">
        <v>0</v>
      </c>
      <c r="H189" s="27" t="n">
        <v>0</v>
      </c>
      <c r="I189" s="54" t="n">
        <v>0</v>
      </c>
      <c r="J189" s="27" t="n">
        <v>0</v>
      </c>
      <c r="K189" s="27" t="n">
        <v>0</v>
      </c>
      <c r="L189" s="27" t="n">
        <v>0</v>
      </c>
      <c r="M189" s="27" t="n">
        <v>0</v>
      </c>
      <c r="N189" s="27" t="n">
        <v>0</v>
      </c>
      <c r="O189" s="27" t="n">
        <v>0</v>
      </c>
      <c r="P189" s="27" t="n">
        <v>0</v>
      </c>
      <c r="Q189" s="40" t="n">
        <v>0</v>
      </c>
    </row>
    <row r="190" customFormat="false" ht="15.75" hidden="false" customHeight="false" outlineLevel="0" collapsed="false">
      <c r="A190" s="24"/>
      <c r="B190" s="25"/>
      <c r="C190" s="30" t="s">
        <v>41</v>
      </c>
      <c r="D190" s="27" t="n">
        <v>0</v>
      </c>
      <c r="E190" s="27" t="n">
        <v>0</v>
      </c>
      <c r="F190" s="27" t="n">
        <v>0</v>
      </c>
      <c r="G190" s="27" t="n">
        <v>0</v>
      </c>
      <c r="H190" s="27" t="n">
        <v>0</v>
      </c>
      <c r="I190" s="54" t="n">
        <v>0</v>
      </c>
      <c r="J190" s="27" t="n">
        <v>0</v>
      </c>
      <c r="K190" s="27" t="n">
        <v>0</v>
      </c>
      <c r="L190" s="27" t="n">
        <v>0</v>
      </c>
      <c r="M190" s="27" t="n">
        <v>0</v>
      </c>
      <c r="N190" s="27" t="n">
        <v>0</v>
      </c>
      <c r="O190" s="27" t="n">
        <v>0</v>
      </c>
      <c r="P190" s="27" t="n">
        <v>0</v>
      </c>
      <c r="Q190" s="40" t="n">
        <v>0</v>
      </c>
    </row>
    <row r="191" customFormat="false" ht="15.75" hidden="false" customHeight="false" outlineLevel="0" collapsed="false">
      <c r="A191" s="24"/>
      <c r="B191" s="25"/>
      <c r="C191" s="30" t="s">
        <v>27</v>
      </c>
      <c r="D191" s="27" t="n">
        <v>0</v>
      </c>
      <c r="E191" s="27" t="n">
        <v>0</v>
      </c>
      <c r="F191" s="27" t="n">
        <v>0</v>
      </c>
      <c r="G191" s="27" t="n">
        <v>0</v>
      </c>
      <c r="H191" s="27" t="n">
        <v>0</v>
      </c>
      <c r="I191" s="54" t="n">
        <v>0</v>
      </c>
      <c r="J191" s="27" t="n">
        <v>0</v>
      </c>
      <c r="K191" s="27" t="n">
        <v>0</v>
      </c>
      <c r="L191" s="27" t="n">
        <v>0</v>
      </c>
      <c r="M191" s="27" t="n">
        <v>0</v>
      </c>
      <c r="N191" s="27" t="n">
        <v>0</v>
      </c>
      <c r="O191" s="27" t="n">
        <v>0</v>
      </c>
      <c r="P191" s="27" t="n">
        <v>0</v>
      </c>
      <c r="Q191" s="40" t="n">
        <v>0</v>
      </c>
    </row>
    <row r="192" customFormat="false" ht="16.5" hidden="false" customHeight="false" outlineLevel="0" collapsed="false">
      <c r="A192" s="24"/>
      <c r="B192" s="25"/>
      <c r="C192" s="31" t="s">
        <v>42</v>
      </c>
      <c r="D192" s="16" t="n">
        <v>0</v>
      </c>
      <c r="E192" s="16" t="n">
        <v>0</v>
      </c>
      <c r="F192" s="16" t="n">
        <v>0</v>
      </c>
      <c r="G192" s="16" t="n">
        <v>0</v>
      </c>
      <c r="H192" s="16" t="n">
        <v>0</v>
      </c>
      <c r="I192" s="47" t="n">
        <v>0</v>
      </c>
      <c r="J192" s="16" t="n">
        <v>0</v>
      </c>
      <c r="K192" s="16" t="n">
        <v>0</v>
      </c>
      <c r="L192" s="16" t="n">
        <v>0</v>
      </c>
      <c r="M192" s="16" t="n">
        <v>0</v>
      </c>
      <c r="N192" s="16" t="n">
        <v>0</v>
      </c>
      <c r="O192" s="16" t="n">
        <v>0</v>
      </c>
      <c r="P192" s="16" t="n">
        <v>0</v>
      </c>
      <c r="Q192" s="18" t="n">
        <v>0</v>
      </c>
    </row>
    <row r="193" customFormat="false" ht="17.25" hidden="false" customHeight="false" outlineLevel="0" collapsed="false">
      <c r="A193" s="24"/>
      <c r="B193" s="25"/>
      <c r="C193" s="32" t="s">
        <v>29</v>
      </c>
      <c r="D193" s="49" t="n">
        <v>0</v>
      </c>
      <c r="E193" s="49" t="n">
        <v>0</v>
      </c>
      <c r="F193" s="49" t="n">
        <v>0</v>
      </c>
      <c r="G193" s="49" t="n">
        <v>0</v>
      </c>
      <c r="H193" s="49" t="n">
        <v>0</v>
      </c>
      <c r="I193" s="49" t="n">
        <v>0</v>
      </c>
      <c r="J193" s="49" t="n">
        <v>0</v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</row>
    <row r="194" customFormat="false" ht="17.25" hidden="false" customHeight="false" outlineLevel="0" collapsed="false">
      <c r="A194" s="24" t="n">
        <v>3</v>
      </c>
      <c r="B194" s="34" t="s">
        <v>30</v>
      </c>
      <c r="C194" s="51" t="s">
        <v>32</v>
      </c>
      <c r="D194" s="67" t="n">
        <v>0</v>
      </c>
      <c r="E194" s="67" t="n">
        <v>0</v>
      </c>
      <c r="F194" s="67" t="n">
        <v>0</v>
      </c>
      <c r="G194" s="67" t="n">
        <v>0</v>
      </c>
      <c r="H194" s="67" t="n">
        <v>0</v>
      </c>
      <c r="I194" s="67" t="n">
        <v>0</v>
      </c>
      <c r="J194" s="67" t="n">
        <v>0</v>
      </c>
      <c r="K194" s="67" t="n">
        <v>0</v>
      </c>
      <c r="L194" s="67" t="n">
        <v>0</v>
      </c>
      <c r="M194" s="67" t="n">
        <v>0</v>
      </c>
      <c r="N194" s="67" t="n">
        <v>0</v>
      </c>
      <c r="O194" s="67" t="n">
        <v>0</v>
      </c>
      <c r="P194" s="67" t="n">
        <v>0</v>
      </c>
      <c r="Q194" s="22" t="n">
        <v>0</v>
      </c>
    </row>
    <row r="195" customFormat="false" ht="18.75" hidden="false" customHeight="true" outlineLevel="0" collapsed="false">
      <c r="A195" s="24"/>
      <c r="B195" s="34"/>
      <c r="C195" s="32" t="s">
        <v>33</v>
      </c>
      <c r="D195" s="49" t="n">
        <v>0</v>
      </c>
      <c r="E195" s="49" t="n">
        <v>0</v>
      </c>
      <c r="F195" s="49" t="n">
        <v>0</v>
      </c>
      <c r="G195" s="49" t="n">
        <v>0</v>
      </c>
      <c r="H195" s="49" t="n">
        <v>0</v>
      </c>
      <c r="I195" s="49" t="n">
        <v>0</v>
      </c>
      <c r="J195" s="49" t="n">
        <v>0</v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</row>
    <row r="196" customFormat="false" ht="18.75" hidden="false" customHeight="true" outlineLevel="0" collapsed="false">
      <c r="A196" s="24"/>
      <c r="B196" s="34"/>
      <c r="C196" s="32" t="s">
        <v>34</v>
      </c>
      <c r="D196" s="49" t="n">
        <v>0</v>
      </c>
      <c r="E196" s="49" t="n">
        <v>0</v>
      </c>
      <c r="F196" s="49" t="n">
        <v>0</v>
      </c>
      <c r="G196" s="49" t="n">
        <v>0</v>
      </c>
      <c r="H196" s="49" t="n">
        <v>0</v>
      </c>
      <c r="I196" s="49" t="n">
        <v>0</v>
      </c>
      <c r="J196" s="49" t="n">
        <v>0</v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</row>
    <row r="197" customFormat="false" ht="16.5" hidden="false" customHeight="false" outlineLevel="0" collapsed="false">
      <c r="A197" s="70" t="s">
        <v>51</v>
      </c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</row>
    <row r="198" customFormat="false" ht="15.75" hidden="false" customHeight="false" outlineLevel="0" collapsed="false">
      <c r="A198" s="5" t="str">
        <f aca="false">$A$1</f>
        <v>प्रपत्र - ड  -  अर्थसंकल्पीय अंदाजपत्रक सन 2021-2022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customFormat="false" ht="15.75" hidden="false" customHeight="false" outlineLevel="0" collapsed="false">
      <c r="A199" s="5" t="s">
        <v>1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customFormat="false" ht="15.75" hidden="false" customHeight="false" outlineLevel="0" collapsed="false">
      <c r="A200" s="6" t="s">
        <v>52</v>
      </c>
      <c r="B200" s="6"/>
      <c r="C200" s="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8" t="s">
        <v>3</v>
      </c>
      <c r="P200" s="8"/>
      <c r="Q200" s="8"/>
    </row>
    <row r="201" customFormat="false" ht="17.25" hidden="false" customHeight="true" outlineLevel="0" collapsed="false">
      <c r="A201" s="9" t="s">
        <v>4</v>
      </c>
      <c r="B201" s="9" t="s">
        <v>5</v>
      </c>
      <c r="C201" s="10" t="s">
        <v>6</v>
      </c>
      <c r="D201" s="11" t="str">
        <f aca="false">D4</f>
        <v>मंजूर पदे</v>
      </c>
      <c r="E201" s="11" t="str">
        <f aca="false">E4</f>
        <v>मंजूर पदे</v>
      </c>
      <c r="F201" s="12" t="str">
        <f aca="false">F4</f>
        <v>विशेष वेतन</v>
      </c>
      <c r="G201" s="12" t="str">
        <f aca="false">G4</f>
        <v>मुळ वेतन</v>
      </c>
      <c r="H201" s="12" t="str">
        <f aca="false">H4</f>
        <v>ग्रेड वेतन</v>
      </c>
      <c r="I201" s="12" t="str">
        <f aca="false">I4</f>
        <v>एकूण</v>
      </c>
      <c r="J201" s="12" t="str">
        <f aca="false">J4</f>
        <v>महागाई भत्ता 25%</v>
      </c>
      <c r="K201" s="12" t="s">
        <v>13</v>
      </c>
      <c r="L201" s="12" t="s">
        <v>14</v>
      </c>
      <c r="M201" s="12" t="s">
        <v>15</v>
      </c>
      <c r="N201" s="12" t="s">
        <v>16</v>
      </c>
      <c r="O201" s="12" t="s">
        <v>17</v>
      </c>
      <c r="P201" s="12" t="s">
        <v>18</v>
      </c>
      <c r="Q201" s="12" t="s">
        <v>11</v>
      </c>
    </row>
    <row r="202" customFormat="false" ht="15.75" hidden="false" customHeight="false" outlineLevel="0" collapsed="false">
      <c r="A202" s="9"/>
      <c r="B202" s="9"/>
      <c r="C202" s="10"/>
      <c r="D202" s="61" t="str">
        <f aca="false">D5</f>
        <v>2020-2021</v>
      </c>
      <c r="E202" s="61" t="str">
        <f aca="false">E5</f>
        <v>2021-2022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 customFormat="false" ht="15.75" hidden="false" customHeight="false" outlineLevel="0" collapsed="false">
      <c r="A203" s="9"/>
      <c r="B203" s="9"/>
      <c r="C203" s="13" t="s">
        <v>21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Format="false" ht="20.25" hidden="false" customHeight="true" outlineLevel="0" collapsed="false">
      <c r="A204" s="14" t="n">
        <v>1</v>
      </c>
      <c r="B204" s="15" t="s">
        <v>53</v>
      </c>
      <c r="C204" s="15" t="s">
        <v>37</v>
      </c>
      <c r="D204" s="16" t="n">
        <v>0</v>
      </c>
      <c r="E204" s="16" t="n">
        <v>0</v>
      </c>
      <c r="F204" s="16" t="n">
        <v>0</v>
      </c>
      <c r="G204" s="16" t="n">
        <v>0</v>
      </c>
      <c r="H204" s="16" t="n">
        <v>0</v>
      </c>
      <c r="I204" s="47" t="n">
        <v>0</v>
      </c>
      <c r="J204" s="16" t="n">
        <v>0</v>
      </c>
      <c r="K204" s="16" t="n">
        <v>0</v>
      </c>
      <c r="L204" s="16" t="n">
        <v>0</v>
      </c>
      <c r="M204" s="16" t="n">
        <v>0</v>
      </c>
      <c r="N204" s="16" t="n">
        <v>0</v>
      </c>
      <c r="O204" s="16" t="n">
        <v>0</v>
      </c>
      <c r="P204" s="16" t="n">
        <v>0</v>
      </c>
      <c r="Q204" s="18" t="n">
        <v>0</v>
      </c>
    </row>
    <row r="205" customFormat="false" ht="17.25" hidden="false" customHeight="false" outlineLevel="0" collapsed="false">
      <c r="A205" s="24"/>
      <c r="B205" s="34"/>
      <c r="C205" s="25" t="s">
        <v>24</v>
      </c>
      <c r="D205" s="33" t="n">
        <v>0</v>
      </c>
      <c r="E205" s="33" t="n">
        <v>0</v>
      </c>
      <c r="F205" s="33" t="n">
        <v>0</v>
      </c>
      <c r="G205" s="33" t="n">
        <v>0</v>
      </c>
      <c r="H205" s="33" t="n">
        <v>0</v>
      </c>
      <c r="I205" s="33" t="n">
        <v>0</v>
      </c>
      <c r="J205" s="33" t="n">
        <v>0</v>
      </c>
      <c r="K205" s="33" t="n">
        <v>0</v>
      </c>
      <c r="L205" s="33" t="n">
        <v>0</v>
      </c>
      <c r="M205" s="33" t="n">
        <v>0</v>
      </c>
      <c r="N205" s="33" t="n">
        <v>0</v>
      </c>
      <c r="O205" s="33" t="n">
        <v>0</v>
      </c>
      <c r="P205" s="33" t="n">
        <v>0</v>
      </c>
      <c r="Q205" s="33" t="n">
        <v>0</v>
      </c>
    </row>
    <row r="206" customFormat="false" ht="16.5" hidden="false" customHeight="true" outlineLevel="0" collapsed="false">
      <c r="A206" s="24" t="n">
        <v>2</v>
      </c>
      <c r="B206" s="25" t="s">
        <v>25</v>
      </c>
      <c r="C206" s="26" t="s">
        <v>26</v>
      </c>
      <c r="D206" s="27" t="n">
        <v>0</v>
      </c>
      <c r="E206" s="27" t="n">
        <v>0</v>
      </c>
      <c r="F206" s="27" t="n">
        <v>0</v>
      </c>
      <c r="G206" s="27" t="n">
        <v>0</v>
      </c>
      <c r="H206" s="27" t="n">
        <v>0</v>
      </c>
      <c r="I206" s="54" t="n">
        <v>0</v>
      </c>
      <c r="J206" s="27" t="n">
        <v>0</v>
      </c>
      <c r="K206" s="27" t="n">
        <v>0</v>
      </c>
      <c r="L206" s="27" t="n">
        <v>0</v>
      </c>
      <c r="M206" s="27" t="n">
        <v>0</v>
      </c>
      <c r="N206" s="27" t="n">
        <v>0</v>
      </c>
      <c r="O206" s="27" t="n">
        <v>0</v>
      </c>
      <c r="P206" s="27" t="n">
        <v>0</v>
      </c>
      <c r="Q206" s="40" t="n">
        <v>0</v>
      </c>
    </row>
    <row r="207" customFormat="false" ht="15.75" hidden="false" customHeight="false" outlineLevel="0" collapsed="false">
      <c r="A207" s="24"/>
      <c r="B207" s="25"/>
      <c r="C207" s="30" t="s">
        <v>27</v>
      </c>
      <c r="D207" s="27" t="n">
        <v>0</v>
      </c>
      <c r="E207" s="27" t="n">
        <v>0</v>
      </c>
      <c r="F207" s="27" t="n">
        <v>0</v>
      </c>
      <c r="G207" s="27" t="n">
        <v>0</v>
      </c>
      <c r="H207" s="27" t="n">
        <v>0</v>
      </c>
      <c r="I207" s="54" t="n">
        <v>0</v>
      </c>
      <c r="J207" s="27" t="n">
        <v>0</v>
      </c>
      <c r="K207" s="27" t="n">
        <v>0</v>
      </c>
      <c r="L207" s="27" t="n">
        <v>0</v>
      </c>
      <c r="M207" s="27" t="n">
        <v>0</v>
      </c>
      <c r="N207" s="27" t="n">
        <v>0</v>
      </c>
      <c r="O207" s="27" t="n">
        <v>0</v>
      </c>
      <c r="P207" s="27" t="n">
        <v>0</v>
      </c>
      <c r="Q207" s="40" t="n">
        <v>0</v>
      </c>
    </row>
    <row r="208" customFormat="false" ht="16.5" hidden="false" customHeight="false" outlineLevel="0" collapsed="false">
      <c r="A208" s="24"/>
      <c r="B208" s="25"/>
      <c r="C208" s="31" t="s">
        <v>28</v>
      </c>
      <c r="D208" s="16" t="n">
        <v>0</v>
      </c>
      <c r="E208" s="16" t="n">
        <v>0</v>
      </c>
      <c r="F208" s="16" t="n">
        <v>0</v>
      </c>
      <c r="G208" s="16" t="n">
        <v>0</v>
      </c>
      <c r="H208" s="16" t="n">
        <v>0</v>
      </c>
      <c r="I208" s="47" t="n">
        <v>0</v>
      </c>
      <c r="J208" s="16" t="n">
        <v>0</v>
      </c>
      <c r="K208" s="16" t="n">
        <v>0</v>
      </c>
      <c r="L208" s="16" t="n">
        <v>0</v>
      </c>
      <c r="M208" s="16" t="n">
        <v>0</v>
      </c>
      <c r="N208" s="16" t="n">
        <v>0</v>
      </c>
      <c r="O208" s="16" t="n">
        <v>0</v>
      </c>
      <c r="P208" s="16" t="n">
        <v>0</v>
      </c>
      <c r="Q208" s="18" t="n">
        <v>0</v>
      </c>
    </row>
    <row r="209" customFormat="false" ht="17.25" hidden="false" customHeight="false" outlineLevel="0" collapsed="false">
      <c r="A209" s="24"/>
      <c r="B209" s="25"/>
      <c r="C209" s="32" t="s">
        <v>29</v>
      </c>
      <c r="D209" s="33" t="n">
        <v>0</v>
      </c>
      <c r="E209" s="33" t="n">
        <v>0</v>
      </c>
      <c r="F209" s="33" t="n">
        <v>0</v>
      </c>
      <c r="G209" s="33" t="n">
        <v>0</v>
      </c>
      <c r="H209" s="33" t="n">
        <v>0</v>
      </c>
      <c r="I209" s="33" t="n">
        <v>0</v>
      </c>
      <c r="J209" s="33" t="n">
        <v>0</v>
      </c>
      <c r="K209" s="33" t="n">
        <v>0</v>
      </c>
      <c r="L209" s="33" t="n">
        <v>0</v>
      </c>
      <c r="M209" s="33" t="n">
        <v>0</v>
      </c>
      <c r="N209" s="33" t="n">
        <v>0</v>
      </c>
      <c r="O209" s="33" t="n">
        <v>0</v>
      </c>
      <c r="P209" s="33" t="n">
        <v>0</v>
      </c>
      <c r="Q209" s="33" t="n">
        <v>0</v>
      </c>
    </row>
    <row r="210" customFormat="false" ht="16.5" hidden="false" customHeight="true" outlineLevel="0" collapsed="false">
      <c r="A210" s="24" t="n">
        <v>3</v>
      </c>
      <c r="B210" s="25" t="s">
        <v>30</v>
      </c>
      <c r="C210" s="26" t="s">
        <v>31</v>
      </c>
      <c r="D210" s="27" t="n">
        <v>0</v>
      </c>
      <c r="E210" s="27" t="n">
        <v>0</v>
      </c>
      <c r="F210" s="27" t="n">
        <v>0</v>
      </c>
      <c r="G210" s="27" t="n">
        <v>0</v>
      </c>
      <c r="H210" s="27" t="n">
        <v>0</v>
      </c>
      <c r="I210" s="27" t="n">
        <v>0</v>
      </c>
      <c r="J210" s="27" t="n">
        <v>0</v>
      </c>
      <c r="K210" s="27" t="n">
        <v>0</v>
      </c>
      <c r="L210" s="27" t="n">
        <v>0</v>
      </c>
      <c r="M210" s="27" t="n">
        <v>0</v>
      </c>
      <c r="N210" s="27" t="n">
        <v>0</v>
      </c>
      <c r="O210" s="27" t="n">
        <v>0</v>
      </c>
      <c r="P210" s="27" t="n">
        <v>0</v>
      </c>
      <c r="Q210" s="40" t="n">
        <v>0</v>
      </c>
    </row>
    <row r="211" customFormat="false" ht="16.5" hidden="false" customHeight="false" outlineLevel="0" collapsed="false">
      <c r="A211" s="24"/>
      <c r="B211" s="25"/>
      <c r="C211" s="31" t="s">
        <v>32</v>
      </c>
      <c r="D211" s="16" t="n">
        <v>0</v>
      </c>
      <c r="E211" s="16" t="n">
        <v>0</v>
      </c>
      <c r="F211" s="16" t="n">
        <v>0</v>
      </c>
      <c r="G211" s="16" t="n">
        <v>0</v>
      </c>
      <c r="H211" s="16" t="n">
        <v>0</v>
      </c>
      <c r="I211" s="16" t="n">
        <v>0</v>
      </c>
      <c r="J211" s="16" t="n">
        <v>0</v>
      </c>
      <c r="K211" s="16" t="n">
        <v>0</v>
      </c>
      <c r="L211" s="16" t="n">
        <v>0</v>
      </c>
      <c r="M211" s="16" t="n">
        <v>0</v>
      </c>
      <c r="N211" s="16" t="n">
        <v>0</v>
      </c>
      <c r="O211" s="16" t="n">
        <v>0</v>
      </c>
      <c r="P211" s="16" t="n">
        <v>0</v>
      </c>
      <c r="Q211" s="18" t="n">
        <v>0</v>
      </c>
    </row>
    <row r="212" customFormat="false" ht="17.25" hidden="false" customHeight="false" outlineLevel="0" collapsed="false">
      <c r="A212" s="24"/>
      <c r="B212" s="25"/>
      <c r="C212" s="32" t="s">
        <v>33</v>
      </c>
      <c r="D212" s="33" t="n">
        <v>0</v>
      </c>
      <c r="E212" s="33" t="n">
        <v>0</v>
      </c>
      <c r="F212" s="33" t="n">
        <v>0</v>
      </c>
      <c r="G212" s="33" t="n">
        <v>0</v>
      </c>
      <c r="H212" s="33" t="n">
        <v>0</v>
      </c>
      <c r="I212" s="33" t="n">
        <v>0</v>
      </c>
      <c r="J212" s="33" t="n">
        <v>0</v>
      </c>
      <c r="K212" s="33" t="n">
        <v>0</v>
      </c>
      <c r="L212" s="33" t="n">
        <v>0</v>
      </c>
      <c r="M212" s="33" t="n">
        <v>0</v>
      </c>
      <c r="N212" s="33" t="n">
        <v>0</v>
      </c>
      <c r="O212" s="33" t="n">
        <v>0</v>
      </c>
      <c r="P212" s="33" t="n">
        <v>0</v>
      </c>
      <c r="Q212" s="33" t="n">
        <v>0</v>
      </c>
    </row>
    <row r="213" customFormat="false" ht="17.25" hidden="false" customHeight="false" outlineLevel="0" collapsed="false">
      <c r="A213" s="24"/>
      <c r="B213" s="34"/>
      <c r="C213" s="35" t="s">
        <v>34</v>
      </c>
      <c r="D213" s="22" t="n">
        <v>0</v>
      </c>
      <c r="E213" s="22" t="n">
        <v>0</v>
      </c>
      <c r="F213" s="22" t="n">
        <v>0</v>
      </c>
      <c r="G213" s="22" t="n">
        <v>0</v>
      </c>
      <c r="H213" s="22" t="n">
        <v>0</v>
      </c>
      <c r="I213" s="22" t="n">
        <v>0</v>
      </c>
      <c r="J213" s="22" t="n">
        <v>0</v>
      </c>
      <c r="K213" s="22" t="n">
        <v>0</v>
      </c>
      <c r="L213" s="22" t="n">
        <v>0</v>
      </c>
      <c r="M213" s="22" t="n">
        <v>0</v>
      </c>
      <c r="N213" s="22" t="n">
        <v>0</v>
      </c>
      <c r="O213" s="22" t="n">
        <v>0</v>
      </c>
      <c r="P213" s="22" t="n">
        <v>0</v>
      </c>
      <c r="Q213" s="22" t="n">
        <v>0</v>
      </c>
    </row>
    <row r="214" customFormat="false" ht="16.5" hidden="false" customHeight="false" outlineLevel="0" collapsed="false">
      <c r="A214" s="36"/>
      <c r="B214" s="3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</row>
    <row r="215" customFormat="false" ht="17.25" hidden="false" customHeight="true" outlineLevel="0" collapsed="false">
      <c r="A215" s="9" t="s">
        <v>35</v>
      </c>
      <c r="B215" s="9" t="s">
        <v>5</v>
      </c>
      <c r="C215" s="10" t="s">
        <v>6</v>
      </c>
      <c r="D215" s="11" t="str">
        <f aca="false">D4</f>
        <v>मंजूर पदे</v>
      </c>
      <c r="E215" s="11" t="str">
        <f aca="false">E4</f>
        <v>मंजूर पदे</v>
      </c>
      <c r="F215" s="12" t="str">
        <f aca="false">F4</f>
        <v>विशेष वेतन</v>
      </c>
      <c r="G215" s="12" t="str">
        <f aca="false">G4</f>
        <v>मुळ वेतन</v>
      </c>
      <c r="H215" s="12" t="str">
        <f aca="false">H4</f>
        <v>ग्रेड वेतन</v>
      </c>
      <c r="I215" s="12" t="str">
        <f aca="false">I4</f>
        <v>एकूण</v>
      </c>
      <c r="J215" s="12" t="str">
        <f aca="false">J4</f>
        <v>महागाई भत्ता 25%</v>
      </c>
      <c r="K215" s="12" t="s">
        <v>13</v>
      </c>
      <c r="L215" s="12" t="s">
        <v>14</v>
      </c>
      <c r="M215" s="12" t="s">
        <v>15</v>
      </c>
      <c r="N215" s="12" t="s">
        <v>16</v>
      </c>
      <c r="O215" s="12" t="s">
        <v>17</v>
      </c>
      <c r="P215" s="12" t="s">
        <v>18</v>
      </c>
      <c r="Q215" s="12" t="s">
        <v>11</v>
      </c>
    </row>
    <row r="216" customFormat="false" ht="15.75" hidden="false" customHeight="false" outlineLevel="0" collapsed="false">
      <c r="A216" s="9"/>
      <c r="B216" s="9"/>
      <c r="C216" s="10"/>
      <c r="D216" s="61" t="str">
        <f aca="false">D5</f>
        <v>2020-2021</v>
      </c>
      <c r="E216" s="61" t="str">
        <f aca="false">E5</f>
        <v>2021-2022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 customFormat="false" ht="15.75" hidden="false" customHeight="false" outlineLevel="0" collapsed="false">
      <c r="A217" s="9"/>
      <c r="B217" s="9"/>
      <c r="C217" s="13" t="s">
        <v>36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</row>
    <row r="218" customFormat="false" ht="15.75" hidden="false" customHeight="true" outlineLevel="0" collapsed="false">
      <c r="A218" s="14" t="n">
        <v>1</v>
      </c>
      <c r="B218" s="38" t="s">
        <v>22</v>
      </c>
      <c r="C218" s="39" t="s">
        <v>37</v>
      </c>
      <c r="D218" s="27" t="n">
        <v>0</v>
      </c>
      <c r="E218" s="27" t="n">
        <v>0</v>
      </c>
      <c r="F218" s="27" t="n">
        <v>0</v>
      </c>
      <c r="G218" s="27" t="n">
        <v>0</v>
      </c>
      <c r="H218" s="27" t="n">
        <v>0</v>
      </c>
      <c r="I218" s="54" t="n">
        <v>0</v>
      </c>
      <c r="J218" s="27" t="n">
        <v>0</v>
      </c>
      <c r="K218" s="27" t="n">
        <v>0</v>
      </c>
      <c r="L218" s="27" t="n">
        <v>0</v>
      </c>
      <c r="M218" s="27" t="n">
        <v>0</v>
      </c>
      <c r="N218" s="27" t="n">
        <v>0</v>
      </c>
      <c r="O218" s="27" t="n">
        <v>0</v>
      </c>
      <c r="P218" s="27" t="n">
        <v>0</v>
      </c>
      <c r="Q218" s="40" t="n">
        <v>0</v>
      </c>
    </row>
    <row r="219" customFormat="false" ht="15.75" hidden="false" customHeight="false" outlineLevel="0" collapsed="false">
      <c r="A219" s="14"/>
      <c r="B219" s="38"/>
      <c r="C219" s="30" t="s">
        <v>38</v>
      </c>
      <c r="D219" s="27" t="n">
        <v>0</v>
      </c>
      <c r="E219" s="27" t="n">
        <v>0</v>
      </c>
      <c r="F219" s="27" t="n">
        <v>0</v>
      </c>
      <c r="G219" s="27" t="n">
        <v>0</v>
      </c>
      <c r="H219" s="27" t="n">
        <v>0</v>
      </c>
      <c r="I219" s="54" t="n">
        <v>0</v>
      </c>
      <c r="J219" s="27" t="n">
        <v>0</v>
      </c>
      <c r="K219" s="27" t="n">
        <v>0</v>
      </c>
      <c r="L219" s="27" t="n">
        <v>0</v>
      </c>
      <c r="M219" s="27" t="n">
        <v>0</v>
      </c>
      <c r="N219" s="27" t="n">
        <v>0</v>
      </c>
      <c r="O219" s="27" t="n">
        <v>0</v>
      </c>
      <c r="P219" s="27" t="n">
        <v>0</v>
      </c>
      <c r="Q219" s="40" t="n">
        <v>0</v>
      </c>
    </row>
    <row r="220" customFormat="false" ht="16.5" hidden="false" customHeight="false" outlineLevel="0" collapsed="false">
      <c r="A220" s="14"/>
      <c r="B220" s="38"/>
      <c r="C220" s="45" t="s">
        <v>39</v>
      </c>
      <c r="D220" s="16" t="n">
        <v>0</v>
      </c>
      <c r="E220" s="16" t="n">
        <v>0</v>
      </c>
      <c r="F220" s="16" t="n">
        <v>0</v>
      </c>
      <c r="G220" s="16" t="n">
        <v>0</v>
      </c>
      <c r="H220" s="16" t="n">
        <v>0</v>
      </c>
      <c r="I220" s="47" t="n">
        <v>0</v>
      </c>
      <c r="J220" s="16" t="n">
        <v>0</v>
      </c>
      <c r="K220" s="16" t="n">
        <v>0</v>
      </c>
      <c r="L220" s="16" t="n">
        <v>0</v>
      </c>
      <c r="M220" s="16" t="n">
        <v>0</v>
      </c>
      <c r="N220" s="16" t="n">
        <v>0</v>
      </c>
      <c r="O220" s="16" t="n">
        <v>0</v>
      </c>
      <c r="P220" s="16" t="n">
        <v>0</v>
      </c>
      <c r="Q220" s="18" t="n">
        <v>0</v>
      </c>
    </row>
    <row r="221" customFormat="false" ht="17.25" hidden="false" customHeight="false" outlineLevel="0" collapsed="false">
      <c r="A221" s="24"/>
      <c r="B221" s="25"/>
      <c r="C221" s="48" t="s">
        <v>40</v>
      </c>
      <c r="D221" s="49"/>
      <c r="E221" s="49" t="n">
        <v>0</v>
      </c>
      <c r="F221" s="49" t="n">
        <v>0</v>
      </c>
      <c r="G221" s="49" t="n">
        <v>0</v>
      </c>
      <c r="H221" s="49" t="n">
        <v>0</v>
      </c>
      <c r="I221" s="49" t="n">
        <v>0</v>
      </c>
      <c r="J221" s="49" t="n">
        <v>0</v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</row>
    <row r="222" customFormat="false" ht="16.5" hidden="false" customHeight="true" outlineLevel="0" collapsed="false">
      <c r="A222" s="24" t="n">
        <v>2</v>
      </c>
      <c r="B222" s="25" t="s">
        <v>25</v>
      </c>
      <c r="C222" s="26" t="s">
        <v>26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54" t="n">
        <v>0</v>
      </c>
      <c r="J222" s="27" t="n">
        <v>0</v>
      </c>
      <c r="K222" s="27" t="n">
        <v>0</v>
      </c>
      <c r="L222" s="27" t="n">
        <v>0</v>
      </c>
      <c r="M222" s="27" t="n">
        <v>0</v>
      </c>
      <c r="N222" s="27" t="n">
        <v>0</v>
      </c>
      <c r="O222" s="27" t="n">
        <v>0</v>
      </c>
      <c r="P222" s="27" t="n">
        <v>0</v>
      </c>
      <c r="Q222" s="40" t="n">
        <v>0</v>
      </c>
    </row>
    <row r="223" customFormat="false" ht="15.75" hidden="false" customHeight="false" outlineLevel="0" collapsed="false">
      <c r="A223" s="24"/>
      <c r="B223" s="25"/>
      <c r="C223" s="30" t="s">
        <v>41</v>
      </c>
      <c r="D223" s="27" t="n">
        <v>0</v>
      </c>
      <c r="E223" s="27" t="n">
        <v>0</v>
      </c>
      <c r="F223" s="27" t="n">
        <v>0</v>
      </c>
      <c r="G223" s="27" t="n">
        <v>0</v>
      </c>
      <c r="H223" s="27" t="n">
        <v>0</v>
      </c>
      <c r="I223" s="54" t="n">
        <v>0</v>
      </c>
      <c r="J223" s="27" t="n">
        <v>0</v>
      </c>
      <c r="K223" s="27" t="n">
        <v>0</v>
      </c>
      <c r="L223" s="27" t="n">
        <v>0</v>
      </c>
      <c r="M223" s="27" t="n">
        <v>0</v>
      </c>
      <c r="N223" s="27" t="n">
        <v>0</v>
      </c>
      <c r="O223" s="27" t="n">
        <v>0</v>
      </c>
      <c r="P223" s="27" t="n">
        <v>0</v>
      </c>
      <c r="Q223" s="40" t="n">
        <v>0</v>
      </c>
    </row>
    <row r="224" customFormat="false" ht="15.75" hidden="false" customHeight="false" outlineLevel="0" collapsed="false">
      <c r="A224" s="24"/>
      <c r="B224" s="25"/>
      <c r="C224" s="30" t="s">
        <v>27</v>
      </c>
      <c r="D224" s="27" t="n">
        <v>0</v>
      </c>
      <c r="E224" s="27" t="n">
        <v>0</v>
      </c>
      <c r="F224" s="27" t="n">
        <v>0</v>
      </c>
      <c r="G224" s="27" t="n">
        <v>0</v>
      </c>
      <c r="H224" s="27" t="n">
        <v>0</v>
      </c>
      <c r="I224" s="54" t="n">
        <v>0</v>
      </c>
      <c r="J224" s="27" t="n">
        <v>0</v>
      </c>
      <c r="K224" s="27" t="n">
        <v>0</v>
      </c>
      <c r="L224" s="27" t="n">
        <v>0</v>
      </c>
      <c r="M224" s="27" t="n">
        <v>0</v>
      </c>
      <c r="N224" s="27" t="n">
        <v>0</v>
      </c>
      <c r="O224" s="27" t="n">
        <v>0</v>
      </c>
      <c r="P224" s="27" t="n">
        <v>0</v>
      </c>
      <c r="Q224" s="40" t="n">
        <v>0</v>
      </c>
    </row>
    <row r="225" customFormat="false" ht="16.5" hidden="false" customHeight="false" outlineLevel="0" collapsed="false">
      <c r="A225" s="24"/>
      <c r="B225" s="25"/>
      <c r="C225" s="31" t="s">
        <v>42</v>
      </c>
      <c r="D225" s="16" t="n">
        <v>0</v>
      </c>
      <c r="E225" s="16" t="n">
        <v>0</v>
      </c>
      <c r="F225" s="16" t="n">
        <v>0</v>
      </c>
      <c r="G225" s="16" t="n">
        <v>0</v>
      </c>
      <c r="H225" s="16" t="n">
        <v>0</v>
      </c>
      <c r="I225" s="47" t="n">
        <v>0</v>
      </c>
      <c r="J225" s="16" t="n">
        <v>0</v>
      </c>
      <c r="K225" s="16" t="n">
        <v>0</v>
      </c>
      <c r="L225" s="16" t="n">
        <v>0</v>
      </c>
      <c r="M225" s="16" t="n">
        <v>0</v>
      </c>
      <c r="N225" s="16" t="n">
        <v>0</v>
      </c>
      <c r="O225" s="16" t="n">
        <v>0</v>
      </c>
      <c r="P225" s="16" t="n">
        <v>0</v>
      </c>
      <c r="Q225" s="18" t="n">
        <v>0</v>
      </c>
    </row>
    <row r="226" customFormat="false" ht="17.25" hidden="false" customHeight="false" outlineLevel="0" collapsed="false">
      <c r="A226" s="24"/>
      <c r="B226" s="25"/>
      <c r="C226" s="32" t="s">
        <v>29</v>
      </c>
      <c r="D226" s="49" t="n">
        <v>0</v>
      </c>
      <c r="E226" s="49" t="n">
        <v>0</v>
      </c>
      <c r="F226" s="49" t="n">
        <v>0</v>
      </c>
      <c r="G226" s="49" t="n">
        <v>0</v>
      </c>
      <c r="H226" s="49" t="n">
        <v>0</v>
      </c>
      <c r="I226" s="49" t="n">
        <v>0</v>
      </c>
      <c r="J226" s="49" t="n">
        <v>0</v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</row>
    <row r="227" customFormat="false" ht="17.25" hidden="false" customHeight="false" outlineLevel="0" collapsed="false">
      <c r="A227" s="24" t="n">
        <v>3</v>
      </c>
      <c r="B227" s="34" t="s">
        <v>30</v>
      </c>
      <c r="C227" s="51" t="s">
        <v>32</v>
      </c>
      <c r="D227" s="67" t="n">
        <v>0</v>
      </c>
      <c r="E227" s="67" t="n">
        <v>0</v>
      </c>
      <c r="F227" s="67" t="n">
        <v>0</v>
      </c>
      <c r="G227" s="67" t="n">
        <v>0</v>
      </c>
      <c r="H227" s="67" t="n">
        <v>0</v>
      </c>
      <c r="I227" s="67" t="n">
        <v>0</v>
      </c>
      <c r="J227" s="67" t="n">
        <v>0</v>
      </c>
      <c r="K227" s="67" t="n">
        <v>0</v>
      </c>
      <c r="L227" s="67" t="n">
        <v>0</v>
      </c>
      <c r="M227" s="67" t="n">
        <v>0</v>
      </c>
      <c r="N227" s="67" t="n">
        <v>0</v>
      </c>
      <c r="O227" s="67" t="n">
        <v>0</v>
      </c>
      <c r="P227" s="67" t="n">
        <v>0</v>
      </c>
      <c r="Q227" s="60" t="n">
        <v>0</v>
      </c>
    </row>
    <row r="228" customFormat="false" ht="17.25" hidden="false" customHeight="false" outlineLevel="0" collapsed="false">
      <c r="A228" s="24"/>
      <c r="B228" s="34"/>
      <c r="C228" s="32" t="s">
        <v>33</v>
      </c>
      <c r="D228" s="49" t="n">
        <v>0</v>
      </c>
      <c r="E228" s="49" t="n">
        <v>0</v>
      </c>
      <c r="F228" s="49" t="n">
        <v>0</v>
      </c>
      <c r="G228" s="49" t="n">
        <v>0</v>
      </c>
      <c r="H228" s="49" t="n">
        <v>0</v>
      </c>
      <c r="I228" s="49" t="n">
        <v>0</v>
      </c>
      <c r="J228" s="49" t="n">
        <v>0</v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</row>
    <row r="229" customFormat="false" ht="17.25" hidden="false" customHeight="false" outlineLevel="0" collapsed="false">
      <c r="A229" s="24"/>
      <c r="B229" s="34"/>
      <c r="C229" s="32" t="s">
        <v>34</v>
      </c>
      <c r="D229" s="49" t="n">
        <v>0</v>
      </c>
      <c r="E229" s="49" t="n">
        <v>0</v>
      </c>
      <c r="F229" s="49" t="n">
        <v>0</v>
      </c>
      <c r="G229" s="49" t="n">
        <v>0</v>
      </c>
      <c r="H229" s="49" t="n">
        <v>0</v>
      </c>
      <c r="I229" s="49" t="n">
        <v>0</v>
      </c>
      <c r="J229" s="49" t="n">
        <v>0</v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</row>
    <row r="230" customFormat="false" ht="16.5" hidden="false" customHeight="false" outlineLevel="0" collapsed="false">
      <c r="A230" s="70" t="s">
        <v>54</v>
      </c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</row>
    <row r="231" customFormat="false" ht="15.75" hidden="false" customHeight="false" outlineLevel="0" collapsed="false">
      <c r="A231" s="5" t="str">
        <f aca="false">$A$1</f>
        <v>प्रपत्र - ड  -  अर्थसंकल्पीय अंदाजपत्रक सन 2021-2022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customFormat="false" ht="15.75" hidden="false" customHeight="false" outlineLevel="0" collapsed="false">
      <c r="A232" s="5" t="s">
        <v>1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customFormat="false" ht="15.75" hidden="false" customHeight="false" outlineLevel="0" collapsed="false">
      <c r="A233" s="6" t="s">
        <v>55</v>
      </c>
      <c r="B233" s="6"/>
      <c r="C233" s="6"/>
      <c r="D233" s="6"/>
      <c r="E233" s="6"/>
      <c r="F233" s="7"/>
      <c r="G233" s="7"/>
      <c r="H233" s="7"/>
      <c r="I233" s="7"/>
      <c r="J233" s="7"/>
      <c r="K233" s="7"/>
      <c r="L233" s="7"/>
      <c r="M233" s="7"/>
      <c r="N233" s="7"/>
      <c r="O233" s="8" t="s">
        <v>3</v>
      </c>
      <c r="P233" s="8"/>
      <c r="Q233" s="8"/>
    </row>
    <row r="234" customFormat="false" ht="17.25" hidden="false" customHeight="true" outlineLevel="0" collapsed="false">
      <c r="A234" s="9" t="s">
        <v>4</v>
      </c>
      <c r="B234" s="9" t="s">
        <v>5</v>
      </c>
      <c r="C234" s="10" t="s">
        <v>6</v>
      </c>
      <c r="D234" s="11" t="str">
        <f aca="false">D4</f>
        <v>मंजूर पदे</v>
      </c>
      <c r="E234" s="11" t="str">
        <f aca="false">E4</f>
        <v>मंजूर पदे</v>
      </c>
      <c r="F234" s="12" t="str">
        <f aca="false">F4</f>
        <v>विशेष वेतन</v>
      </c>
      <c r="G234" s="12" t="str">
        <f aca="false">G4</f>
        <v>मुळ वेतन</v>
      </c>
      <c r="H234" s="12" t="str">
        <f aca="false">H4</f>
        <v>ग्रेड वेतन</v>
      </c>
      <c r="I234" s="12" t="str">
        <f aca="false">I4</f>
        <v>एकूण</v>
      </c>
      <c r="J234" s="12" t="str">
        <f aca="false">J4</f>
        <v>महागाई भत्ता 25%</v>
      </c>
      <c r="K234" s="12" t="s">
        <v>13</v>
      </c>
      <c r="L234" s="12" t="s">
        <v>14</v>
      </c>
      <c r="M234" s="12" t="s">
        <v>15</v>
      </c>
      <c r="N234" s="12" t="s">
        <v>16</v>
      </c>
      <c r="O234" s="12" t="s">
        <v>17</v>
      </c>
      <c r="P234" s="12" t="s">
        <v>18</v>
      </c>
      <c r="Q234" s="12" t="s">
        <v>11</v>
      </c>
    </row>
    <row r="235" customFormat="false" ht="15.75" hidden="false" customHeight="false" outlineLevel="0" collapsed="false">
      <c r="A235" s="9"/>
      <c r="B235" s="9"/>
      <c r="C235" s="10"/>
      <c r="D235" s="61" t="str">
        <f aca="false">D5</f>
        <v>2020-2021</v>
      </c>
      <c r="E235" s="61" t="str">
        <f aca="false">E5</f>
        <v>2021-2022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 customFormat="false" ht="15.75" hidden="false" customHeight="false" outlineLevel="0" collapsed="false">
      <c r="A236" s="9"/>
      <c r="B236" s="9"/>
      <c r="C236" s="13" t="s">
        <v>21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 customFormat="false" ht="18" hidden="false" customHeight="true" outlineLevel="0" collapsed="false">
      <c r="A237" s="14" t="n">
        <v>1</v>
      </c>
      <c r="B237" s="15" t="s">
        <v>22</v>
      </c>
      <c r="C237" s="15" t="s">
        <v>37</v>
      </c>
      <c r="D237" s="16" t="n">
        <v>0</v>
      </c>
      <c r="E237" s="16" t="n">
        <v>0</v>
      </c>
      <c r="F237" s="16" t="n">
        <v>0</v>
      </c>
      <c r="G237" s="16" t="n">
        <v>0</v>
      </c>
      <c r="H237" s="16" t="n">
        <v>0</v>
      </c>
      <c r="I237" s="17" t="n">
        <v>0</v>
      </c>
      <c r="J237" s="16" t="n">
        <v>0</v>
      </c>
      <c r="K237" s="16" t="n">
        <v>0</v>
      </c>
      <c r="L237" s="16" t="n">
        <v>0</v>
      </c>
      <c r="M237" s="16" t="n">
        <v>0</v>
      </c>
      <c r="N237" s="16" t="n">
        <v>0</v>
      </c>
      <c r="O237" s="16" t="n">
        <v>0</v>
      </c>
      <c r="P237" s="16" t="n">
        <v>0</v>
      </c>
      <c r="Q237" s="18" t="n">
        <v>0</v>
      </c>
    </row>
    <row r="238" customFormat="false" ht="17.25" hidden="false" customHeight="false" outlineLevel="0" collapsed="false">
      <c r="A238" s="24"/>
      <c r="B238" s="34"/>
      <c r="C238" s="25" t="s">
        <v>24</v>
      </c>
      <c r="D238" s="33" t="n">
        <v>0</v>
      </c>
      <c r="E238" s="33" t="n">
        <v>0</v>
      </c>
      <c r="F238" s="33" t="n">
        <v>0</v>
      </c>
      <c r="G238" s="33" t="n">
        <v>0</v>
      </c>
      <c r="H238" s="33" t="n">
        <v>0</v>
      </c>
      <c r="I238" s="33" t="n">
        <v>0</v>
      </c>
      <c r="J238" s="33" t="n">
        <v>0</v>
      </c>
      <c r="K238" s="33" t="n">
        <v>0</v>
      </c>
      <c r="L238" s="33" t="n">
        <v>0</v>
      </c>
      <c r="M238" s="33" t="n">
        <v>0</v>
      </c>
      <c r="N238" s="33" t="n">
        <v>0</v>
      </c>
      <c r="O238" s="33" t="n">
        <v>0</v>
      </c>
      <c r="P238" s="33" t="n">
        <v>0</v>
      </c>
      <c r="Q238" s="33" t="n">
        <v>0</v>
      </c>
    </row>
    <row r="239" customFormat="false" ht="16.5" hidden="false" customHeight="true" outlineLevel="0" collapsed="false">
      <c r="A239" s="24" t="n">
        <v>2</v>
      </c>
      <c r="B239" s="25" t="s">
        <v>25</v>
      </c>
      <c r="C239" s="26" t="s">
        <v>26</v>
      </c>
      <c r="D239" s="27" t="n">
        <v>0</v>
      </c>
      <c r="E239" s="27" t="n">
        <v>0</v>
      </c>
      <c r="F239" s="27" t="n">
        <v>0</v>
      </c>
      <c r="G239" s="27" t="n">
        <v>0</v>
      </c>
      <c r="H239" s="71" t="n">
        <v>0</v>
      </c>
      <c r="I239" s="28" t="n">
        <v>0</v>
      </c>
      <c r="J239" s="27" t="n">
        <v>0</v>
      </c>
      <c r="K239" s="27" t="n">
        <v>0</v>
      </c>
      <c r="L239" s="27" t="n">
        <v>0</v>
      </c>
      <c r="M239" s="27" t="n">
        <v>0</v>
      </c>
      <c r="N239" s="27" t="n">
        <v>0</v>
      </c>
      <c r="O239" s="27" t="n">
        <v>0</v>
      </c>
      <c r="P239" s="27" t="n">
        <v>0</v>
      </c>
      <c r="Q239" s="29" t="n">
        <v>0</v>
      </c>
    </row>
    <row r="240" customFormat="false" ht="15.75" hidden="false" customHeight="false" outlineLevel="0" collapsed="false">
      <c r="A240" s="24"/>
      <c r="B240" s="25"/>
      <c r="C240" s="30" t="s">
        <v>27</v>
      </c>
      <c r="D240" s="42" t="n">
        <v>0</v>
      </c>
      <c r="E240" s="42" t="n">
        <v>0</v>
      </c>
      <c r="F240" s="42" t="n">
        <v>0</v>
      </c>
      <c r="G240" s="42" t="n">
        <v>0</v>
      </c>
      <c r="H240" s="42" t="n">
        <v>0</v>
      </c>
      <c r="I240" s="64" t="n">
        <v>0</v>
      </c>
      <c r="J240" s="42" t="n">
        <v>0</v>
      </c>
      <c r="K240" s="42" t="n">
        <v>0</v>
      </c>
      <c r="L240" s="42" t="n">
        <v>0</v>
      </c>
      <c r="M240" s="42" t="n">
        <v>0</v>
      </c>
      <c r="N240" s="42" t="n">
        <v>0</v>
      </c>
      <c r="O240" s="42" t="n">
        <v>0</v>
      </c>
      <c r="P240" s="42" t="n">
        <v>0</v>
      </c>
      <c r="Q240" s="40" t="n">
        <v>0</v>
      </c>
    </row>
    <row r="241" customFormat="false" ht="16.5" hidden="false" customHeight="false" outlineLevel="0" collapsed="false">
      <c r="A241" s="24"/>
      <c r="B241" s="25"/>
      <c r="C241" s="31" t="s">
        <v>28</v>
      </c>
      <c r="D241" s="16" t="n">
        <v>0</v>
      </c>
      <c r="E241" s="16" t="n">
        <v>0</v>
      </c>
      <c r="F241" s="16" t="n">
        <v>0</v>
      </c>
      <c r="G241" s="16" t="n">
        <v>0</v>
      </c>
      <c r="H241" s="16" t="n">
        <v>0</v>
      </c>
      <c r="I241" s="17" t="n">
        <v>0</v>
      </c>
      <c r="J241" s="16" t="n">
        <v>0</v>
      </c>
      <c r="K241" s="16" t="n">
        <v>0</v>
      </c>
      <c r="L241" s="16" t="n">
        <v>0</v>
      </c>
      <c r="M241" s="16" t="n">
        <v>0</v>
      </c>
      <c r="N241" s="16" t="n">
        <v>0</v>
      </c>
      <c r="O241" s="16" t="n">
        <v>0</v>
      </c>
      <c r="P241" s="16" t="n">
        <v>0</v>
      </c>
      <c r="Q241" s="18" t="n">
        <v>0</v>
      </c>
    </row>
    <row r="242" customFormat="false" ht="17.25" hidden="false" customHeight="false" outlineLevel="0" collapsed="false">
      <c r="A242" s="24"/>
      <c r="B242" s="25"/>
      <c r="C242" s="32" t="s">
        <v>29</v>
      </c>
      <c r="D242" s="33" t="n">
        <v>0</v>
      </c>
      <c r="E242" s="33" t="n">
        <v>0</v>
      </c>
      <c r="F242" s="33" t="n">
        <v>0</v>
      </c>
      <c r="G242" s="33" t="n">
        <v>0</v>
      </c>
      <c r="H242" s="33" t="n">
        <v>0</v>
      </c>
      <c r="I242" s="33" t="n">
        <v>0</v>
      </c>
      <c r="J242" s="33" t="n">
        <v>0</v>
      </c>
      <c r="K242" s="33" t="n">
        <v>0</v>
      </c>
      <c r="L242" s="33" t="n">
        <v>0</v>
      </c>
      <c r="M242" s="33" t="n">
        <v>0</v>
      </c>
      <c r="N242" s="33" t="n">
        <v>0</v>
      </c>
      <c r="O242" s="33" t="n">
        <v>0</v>
      </c>
      <c r="P242" s="33" t="n">
        <v>0</v>
      </c>
      <c r="Q242" s="33" t="n">
        <v>0</v>
      </c>
    </row>
    <row r="243" customFormat="false" ht="16.5" hidden="false" customHeight="true" outlineLevel="0" collapsed="false">
      <c r="A243" s="24" t="n">
        <v>3</v>
      </c>
      <c r="B243" s="25" t="s">
        <v>30</v>
      </c>
      <c r="C243" s="26" t="s">
        <v>31</v>
      </c>
      <c r="D243" s="27" t="n">
        <v>0</v>
      </c>
      <c r="E243" s="27" t="n">
        <v>0</v>
      </c>
      <c r="F243" s="27" t="n">
        <v>0</v>
      </c>
      <c r="G243" s="27" t="n">
        <v>0</v>
      </c>
      <c r="H243" s="27" t="n">
        <v>0</v>
      </c>
      <c r="I243" s="28" t="n">
        <v>0</v>
      </c>
      <c r="J243" s="27" t="n">
        <v>0</v>
      </c>
      <c r="K243" s="27" t="n">
        <v>0</v>
      </c>
      <c r="L243" s="27" t="n">
        <v>0</v>
      </c>
      <c r="M243" s="27" t="n">
        <v>0</v>
      </c>
      <c r="N243" s="27" t="n">
        <v>0</v>
      </c>
      <c r="O243" s="27" t="n">
        <v>0</v>
      </c>
      <c r="P243" s="27" t="n">
        <v>0</v>
      </c>
      <c r="Q243" s="29" t="n">
        <v>0</v>
      </c>
    </row>
    <row r="244" customFormat="false" ht="16.5" hidden="false" customHeight="false" outlineLevel="0" collapsed="false">
      <c r="A244" s="24"/>
      <c r="B244" s="25"/>
      <c r="C244" s="31" t="s">
        <v>32</v>
      </c>
      <c r="D244" s="16" t="n">
        <v>0</v>
      </c>
      <c r="E244" s="16" t="n">
        <v>0</v>
      </c>
      <c r="F244" s="16" t="n">
        <v>0</v>
      </c>
      <c r="G244" s="16" t="n">
        <v>0</v>
      </c>
      <c r="H244" s="16" t="n">
        <v>0</v>
      </c>
      <c r="I244" s="17" t="n">
        <v>0</v>
      </c>
      <c r="J244" s="16" t="n">
        <v>0</v>
      </c>
      <c r="K244" s="16" t="n">
        <v>0</v>
      </c>
      <c r="L244" s="16" t="n">
        <v>0</v>
      </c>
      <c r="M244" s="16" t="n">
        <v>0</v>
      </c>
      <c r="N244" s="16" t="n">
        <v>0</v>
      </c>
      <c r="O244" s="16" t="n">
        <v>0</v>
      </c>
      <c r="P244" s="16" t="n">
        <v>0</v>
      </c>
      <c r="Q244" s="18" t="n">
        <v>0</v>
      </c>
    </row>
    <row r="245" customFormat="false" ht="17.25" hidden="false" customHeight="false" outlineLevel="0" collapsed="false">
      <c r="A245" s="24"/>
      <c r="B245" s="25"/>
      <c r="C245" s="32" t="s">
        <v>33</v>
      </c>
      <c r="D245" s="33" t="n">
        <v>0</v>
      </c>
      <c r="E245" s="33" t="n">
        <v>0</v>
      </c>
      <c r="F245" s="33" t="n">
        <v>0</v>
      </c>
      <c r="G245" s="33" t="n">
        <v>0</v>
      </c>
      <c r="H245" s="33" t="n">
        <v>0</v>
      </c>
      <c r="I245" s="33" t="n">
        <v>0</v>
      </c>
      <c r="J245" s="33" t="n">
        <v>0</v>
      </c>
      <c r="K245" s="33" t="n">
        <v>0</v>
      </c>
      <c r="L245" s="33" t="n">
        <v>0</v>
      </c>
      <c r="M245" s="33" t="n">
        <v>0</v>
      </c>
      <c r="N245" s="33" t="n">
        <v>0</v>
      </c>
      <c r="O245" s="33" t="n">
        <v>0</v>
      </c>
      <c r="P245" s="33" t="n">
        <v>0</v>
      </c>
      <c r="Q245" s="33" t="n">
        <v>0</v>
      </c>
    </row>
    <row r="246" customFormat="false" ht="17.25" hidden="false" customHeight="false" outlineLevel="0" collapsed="false">
      <c r="A246" s="24"/>
      <c r="B246" s="34"/>
      <c r="C246" s="35" t="s">
        <v>43</v>
      </c>
      <c r="D246" s="22" t="n">
        <v>0</v>
      </c>
      <c r="E246" s="22" t="n">
        <v>0</v>
      </c>
      <c r="F246" s="22" t="n">
        <v>0</v>
      </c>
      <c r="G246" s="22" t="n">
        <v>0</v>
      </c>
      <c r="H246" s="22" t="n">
        <v>0</v>
      </c>
      <c r="I246" s="22" t="n">
        <v>0</v>
      </c>
      <c r="J246" s="22" t="n">
        <v>0</v>
      </c>
      <c r="K246" s="22" t="n">
        <v>0</v>
      </c>
      <c r="L246" s="22" t="n">
        <v>0</v>
      </c>
      <c r="M246" s="22" t="n">
        <v>0</v>
      </c>
      <c r="N246" s="22" t="n">
        <v>0</v>
      </c>
      <c r="O246" s="22" t="n">
        <v>0</v>
      </c>
      <c r="P246" s="22" t="n">
        <v>0</v>
      </c>
      <c r="Q246" s="22" t="n">
        <v>0</v>
      </c>
    </row>
    <row r="247" customFormat="false" ht="16.5" hidden="false" customHeight="false" outlineLevel="0" collapsed="false">
      <c r="A247" s="36"/>
      <c r="B247" s="37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</row>
    <row r="248" customFormat="false" ht="17.25" hidden="false" customHeight="true" outlineLevel="0" collapsed="false">
      <c r="A248" s="9" t="s">
        <v>35</v>
      </c>
      <c r="B248" s="9" t="s">
        <v>5</v>
      </c>
      <c r="C248" s="10" t="s">
        <v>6</v>
      </c>
      <c r="D248" s="11" t="str">
        <f aca="false">D4</f>
        <v>मंजूर पदे</v>
      </c>
      <c r="E248" s="11" t="str">
        <f aca="false">E4</f>
        <v>मंजूर पदे</v>
      </c>
      <c r="F248" s="12" t="str">
        <f aca="false">F4</f>
        <v>विशेष वेतन</v>
      </c>
      <c r="G248" s="12" t="str">
        <f aca="false">G4</f>
        <v>मुळ वेतन</v>
      </c>
      <c r="H248" s="12" t="str">
        <f aca="false">H4</f>
        <v>ग्रेड वेतन</v>
      </c>
      <c r="I248" s="12" t="str">
        <f aca="false">I4</f>
        <v>एकूण</v>
      </c>
      <c r="J248" s="12" t="str">
        <f aca="false">J4</f>
        <v>महागाई भत्ता 25%</v>
      </c>
      <c r="K248" s="12" t="s">
        <v>13</v>
      </c>
      <c r="L248" s="12" t="s">
        <v>14</v>
      </c>
      <c r="M248" s="12" t="s">
        <v>15</v>
      </c>
      <c r="N248" s="12" t="s">
        <v>16</v>
      </c>
      <c r="O248" s="12" t="s">
        <v>17</v>
      </c>
      <c r="P248" s="12" t="s">
        <v>18</v>
      </c>
      <c r="Q248" s="12" t="s">
        <v>11</v>
      </c>
    </row>
    <row r="249" customFormat="false" ht="15.75" hidden="false" customHeight="false" outlineLevel="0" collapsed="false">
      <c r="A249" s="9"/>
      <c r="B249" s="9"/>
      <c r="C249" s="10"/>
      <c r="D249" s="61" t="str">
        <f aca="false">D5</f>
        <v>2020-2021</v>
      </c>
      <c r="E249" s="61" t="str">
        <f aca="false">E5</f>
        <v>2021-2022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 customFormat="false" ht="15.75" hidden="false" customHeight="false" outlineLevel="0" collapsed="false">
      <c r="A250" s="9"/>
      <c r="B250" s="9"/>
      <c r="C250" s="13" t="s">
        <v>36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</row>
    <row r="251" customFormat="false" ht="21" hidden="false" customHeight="true" outlineLevel="0" collapsed="false">
      <c r="A251" s="14" t="n">
        <v>1</v>
      </c>
      <c r="B251" s="38" t="s">
        <v>22</v>
      </c>
      <c r="C251" s="39" t="s">
        <v>46</v>
      </c>
      <c r="D251" s="44" t="n">
        <v>1</v>
      </c>
      <c r="E251" s="44" t="n">
        <v>1</v>
      </c>
      <c r="F251" s="44" t="n">
        <v>0</v>
      </c>
      <c r="G251" s="44" t="n">
        <v>1148</v>
      </c>
      <c r="H251" s="44" t="n">
        <v>0</v>
      </c>
      <c r="I251" s="72" t="n">
        <f aca="false">SUM(G251:H251)</f>
        <v>1148</v>
      </c>
      <c r="J251" s="42" t="n">
        <f aca="false">ROUND(I251*0.25,0)</f>
        <v>287</v>
      </c>
      <c r="K251" s="44" t="n">
        <v>4</v>
      </c>
      <c r="L251" s="44" t="n">
        <v>310</v>
      </c>
      <c r="M251" s="44" t="n">
        <v>29</v>
      </c>
      <c r="N251" s="44" t="n">
        <v>0</v>
      </c>
      <c r="O251" s="44" t="n">
        <v>0</v>
      </c>
      <c r="P251" s="44" t="n">
        <v>0</v>
      </c>
      <c r="Q251" s="40" t="n">
        <f aca="false">SUM(I251:P251)+F251</f>
        <v>1778</v>
      </c>
    </row>
    <row r="252" customFormat="false" ht="15.75" hidden="false" customHeight="false" outlineLevel="0" collapsed="false">
      <c r="A252" s="14"/>
      <c r="B252" s="38"/>
      <c r="C252" s="30" t="s">
        <v>38</v>
      </c>
      <c r="D252" s="44" t="n">
        <v>1</v>
      </c>
      <c r="E252" s="44" t="n">
        <v>1</v>
      </c>
      <c r="F252" s="44" t="n">
        <v>0</v>
      </c>
      <c r="G252" s="44" t="n">
        <v>828</v>
      </c>
      <c r="H252" s="44" t="n">
        <v>0</v>
      </c>
      <c r="I252" s="72" t="n">
        <f aca="false">SUM(G252:H252)</f>
        <v>828</v>
      </c>
      <c r="J252" s="42" t="n">
        <f aca="false">ROUND(I252*0.25,0)</f>
        <v>207</v>
      </c>
      <c r="K252" s="44" t="n">
        <v>4</v>
      </c>
      <c r="L252" s="44" t="n">
        <v>224</v>
      </c>
      <c r="M252" s="44" t="n">
        <v>29</v>
      </c>
      <c r="N252" s="44" t="n">
        <v>0</v>
      </c>
      <c r="O252" s="44" t="n">
        <v>0</v>
      </c>
      <c r="P252" s="44" t="n">
        <v>0</v>
      </c>
      <c r="Q252" s="40" t="n">
        <f aca="false">SUM(I252:P252)+F252</f>
        <v>1292</v>
      </c>
    </row>
    <row r="253" customFormat="false" ht="16.5" hidden="false" customHeight="false" outlineLevel="0" collapsed="false">
      <c r="A253" s="14"/>
      <c r="B253" s="38"/>
      <c r="C253" s="45" t="s">
        <v>39</v>
      </c>
      <c r="D253" s="47" t="n">
        <v>0</v>
      </c>
      <c r="E253" s="47" t="n">
        <v>0</v>
      </c>
      <c r="F253" s="47" t="n">
        <v>0</v>
      </c>
      <c r="G253" s="47" t="n">
        <v>0</v>
      </c>
      <c r="H253" s="47" t="n">
        <v>0</v>
      </c>
      <c r="I253" s="73" t="n">
        <f aca="false">SUM(G253:H253)</f>
        <v>0</v>
      </c>
      <c r="J253" s="16" t="n">
        <f aca="false">ROUND(I253*0.25,0)</f>
        <v>0</v>
      </c>
      <c r="K253" s="47" t="n">
        <v>0</v>
      </c>
      <c r="L253" s="47" t="n">
        <v>0</v>
      </c>
      <c r="M253" s="47" t="n">
        <v>0</v>
      </c>
      <c r="N253" s="47" t="n">
        <v>0</v>
      </c>
      <c r="O253" s="47" t="n">
        <v>0</v>
      </c>
      <c r="P253" s="47" t="n">
        <v>0</v>
      </c>
      <c r="Q253" s="18" t="n">
        <f aca="false">SUM(I253:P253)+F253</f>
        <v>0</v>
      </c>
    </row>
    <row r="254" customFormat="false" ht="17.25" hidden="false" customHeight="false" outlineLevel="0" collapsed="false">
      <c r="A254" s="24"/>
      <c r="B254" s="25"/>
      <c r="C254" s="25" t="s">
        <v>24</v>
      </c>
      <c r="D254" s="52" t="n">
        <f aca="false">SUM(D251:D253)</f>
        <v>2</v>
      </c>
      <c r="E254" s="52" t="n">
        <f aca="false">SUM(E251:E253)</f>
        <v>2</v>
      </c>
      <c r="F254" s="52" t="n">
        <f aca="false">SUM(F251:F253)</f>
        <v>0</v>
      </c>
      <c r="G254" s="52" t="n">
        <f aca="false">SUM(G251:G253)</f>
        <v>1976</v>
      </c>
      <c r="H254" s="52" t="n">
        <f aca="false">SUM(H251:H253)</f>
        <v>0</v>
      </c>
      <c r="I254" s="52" t="n">
        <f aca="false">SUM(I251:I253)</f>
        <v>1976</v>
      </c>
      <c r="J254" s="52" t="n">
        <f aca="false">SUM(J251:J253)</f>
        <v>494</v>
      </c>
      <c r="K254" s="52" t="n">
        <f aca="false">SUM(K251:K253)</f>
        <v>8</v>
      </c>
      <c r="L254" s="52" t="n">
        <f aca="false">SUM(L251:L253)</f>
        <v>534</v>
      </c>
      <c r="M254" s="52" t="n">
        <f aca="false">SUM(M251:M253)</f>
        <v>58</v>
      </c>
      <c r="N254" s="52" t="n">
        <f aca="false">SUM(N251:N253)</f>
        <v>0</v>
      </c>
      <c r="O254" s="52" t="n">
        <f aca="false">SUM(O251:O253)</f>
        <v>0</v>
      </c>
      <c r="P254" s="52" t="n">
        <f aca="false">SUM(P251:P253)</f>
        <v>0</v>
      </c>
      <c r="Q254" s="52" t="n">
        <f aca="false">SUM(Q251:Q253)</f>
        <v>3070</v>
      </c>
    </row>
    <row r="255" customFormat="false" ht="16.5" hidden="false" customHeight="true" outlineLevel="0" collapsed="false">
      <c r="A255" s="24" t="n">
        <v>2</v>
      </c>
      <c r="B255" s="25" t="s">
        <v>25</v>
      </c>
      <c r="C255" s="26" t="s">
        <v>26</v>
      </c>
      <c r="D255" s="54" t="n">
        <v>2</v>
      </c>
      <c r="E255" s="54" t="n">
        <v>2</v>
      </c>
      <c r="F255" s="54" t="n">
        <v>0</v>
      </c>
      <c r="G255" s="54" t="n">
        <v>972</v>
      </c>
      <c r="H255" s="54" t="n">
        <v>0</v>
      </c>
      <c r="I255" s="72" t="n">
        <f aca="false">SUM(G255:H255)</f>
        <v>972</v>
      </c>
      <c r="J255" s="42" t="n">
        <f aca="false">ROUND(I255*0.25,0)</f>
        <v>243</v>
      </c>
      <c r="K255" s="54" t="n">
        <v>7</v>
      </c>
      <c r="L255" s="54" t="n">
        <v>139</v>
      </c>
      <c r="M255" s="54" t="n">
        <v>10</v>
      </c>
      <c r="N255" s="54" t="n">
        <v>0</v>
      </c>
      <c r="O255" s="54" t="n">
        <v>0</v>
      </c>
      <c r="P255" s="54" t="n">
        <v>0</v>
      </c>
      <c r="Q255" s="40" t="n">
        <f aca="false">SUM(I255:P255)+F255</f>
        <v>1371</v>
      </c>
    </row>
    <row r="256" customFormat="false" ht="15.75" hidden="false" customHeight="false" outlineLevel="0" collapsed="false">
      <c r="A256" s="24"/>
      <c r="B256" s="25"/>
      <c r="C256" s="30" t="s">
        <v>41</v>
      </c>
      <c r="D256" s="44" t="n">
        <v>0</v>
      </c>
      <c r="E256" s="44" t="n">
        <v>0</v>
      </c>
      <c r="F256" s="44" t="n">
        <v>0</v>
      </c>
      <c r="G256" s="44" t="n">
        <v>0</v>
      </c>
      <c r="H256" s="44" t="n">
        <v>0</v>
      </c>
      <c r="I256" s="72" t="n">
        <f aca="false">SUM(G256:H256)</f>
        <v>0</v>
      </c>
      <c r="J256" s="42" t="n">
        <f aca="false">ROUND(I256*0.25,0)</f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0" t="n">
        <f aca="false">SUM(I256:P256)+F256</f>
        <v>0</v>
      </c>
    </row>
    <row r="257" customFormat="false" ht="15.75" hidden="false" customHeight="false" outlineLevel="0" collapsed="false">
      <c r="A257" s="24"/>
      <c r="B257" s="25"/>
      <c r="C257" s="30" t="s">
        <v>27</v>
      </c>
      <c r="D257" s="44" t="n">
        <v>2</v>
      </c>
      <c r="E257" s="44" t="n">
        <v>2</v>
      </c>
      <c r="F257" s="44" t="n">
        <v>0</v>
      </c>
      <c r="G257" s="44" t="n">
        <v>668</v>
      </c>
      <c r="H257" s="44" t="n">
        <v>0</v>
      </c>
      <c r="I257" s="72" t="n">
        <f aca="false">SUM(G257:H257)</f>
        <v>668</v>
      </c>
      <c r="J257" s="42" t="n">
        <f aca="false">ROUND(I257*0.25,0)</f>
        <v>167</v>
      </c>
      <c r="K257" s="44" t="n">
        <v>7</v>
      </c>
      <c r="L257" s="44" t="n">
        <v>180</v>
      </c>
      <c r="M257" s="44" t="n">
        <v>10</v>
      </c>
      <c r="N257" s="44" t="n">
        <v>0</v>
      </c>
      <c r="O257" s="44" t="n">
        <v>0</v>
      </c>
      <c r="P257" s="44" t="n">
        <v>0</v>
      </c>
      <c r="Q257" s="40" t="n">
        <f aca="false">SUM(I257:P257)+F257</f>
        <v>1032</v>
      </c>
    </row>
    <row r="258" customFormat="false" ht="16.5" hidden="false" customHeight="false" outlineLevel="0" collapsed="false">
      <c r="A258" s="24"/>
      <c r="B258" s="25"/>
      <c r="C258" s="31" t="s">
        <v>42</v>
      </c>
      <c r="D258" s="47" t="n">
        <v>0</v>
      </c>
      <c r="E258" s="47" t="n">
        <v>0</v>
      </c>
      <c r="F258" s="47" t="n">
        <v>0</v>
      </c>
      <c r="G258" s="47" t="n">
        <v>0</v>
      </c>
      <c r="H258" s="47" t="n">
        <v>0</v>
      </c>
      <c r="I258" s="73" t="n">
        <f aca="false">SUM(G258:H258)</f>
        <v>0</v>
      </c>
      <c r="J258" s="16" t="n">
        <f aca="false">ROUND(I258*0.25,0)</f>
        <v>0</v>
      </c>
      <c r="K258" s="47" t="n">
        <v>0</v>
      </c>
      <c r="L258" s="47" t="n">
        <v>0</v>
      </c>
      <c r="M258" s="47" t="n">
        <v>0</v>
      </c>
      <c r="N258" s="47" t="n">
        <v>0</v>
      </c>
      <c r="O258" s="47" t="n">
        <v>0</v>
      </c>
      <c r="P258" s="47" t="n">
        <v>0</v>
      </c>
      <c r="Q258" s="18" t="n">
        <f aca="false">SUM(I258:P258)+F258</f>
        <v>0</v>
      </c>
    </row>
    <row r="259" customFormat="false" ht="17.25" hidden="false" customHeight="false" outlineLevel="0" collapsed="false">
      <c r="A259" s="24"/>
      <c r="B259" s="25"/>
      <c r="C259" s="32" t="s">
        <v>29</v>
      </c>
      <c r="D259" s="52" t="n">
        <f aca="false">SUM(D255:D258)</f>
        <v>4</v>
      </c>
      <c r="E259" s="52" t="n">
        <f aca="false">SUM(E255:E258)</f>
        <v>4</v>
      </c>
      <c r="F259" s="52" t="n">
        <f aca="false">SUM(F255:F258)</f>
        <v>0</v>
      </c>
      <c r="G259" s="52" t="n">
        <f aca="false">SUM(G255:G258)</f>
        <v>1640</v>
      </c>
      <c r="H259" s="52" t="n">
        <f aca="false">SUM(H255:H258)</f>
        <v>0</v>
      </c>
      <c r="I259" s="52" t="n">
        <f aca="false">SUM(I255:I258)</f>
        <v>1640</v>
      </c>
      <c r="J259" s="52" t="n">
        <f aca="false">SUM(J255:J258)</f>
        <v>410</v>
      </c>
      <c r="K259" s="52" t="n">
        <f aca="false">SUM(K255:K258)</f>
        <v>14</v>
      </c>
      <c r="L259" s="52" t="n">
        <f aca="false">SUM(L255:L258)</f>
        <v>319</v>
      </c>
      <c r="M259" s="52" t="n">
        <f aca="false">SUM(M255:M258)</f>
        <v>20</v>
      </c>
      <c r="N259" s="52" t="n">
        <f aca="false">SUM(N255:N258)</f>
        <v>0</v>
      </c>
      <c r="O259" s="52" t="n">
        <f aca="false">SUM(O255:O258)</f>
        <v>0</v>
      </c>
      <c r="P259" s="52" t="n">
        <f aca="false">SUM(P255:P258)</f>
        <v>0</v>
      </c>
      <c r="Q259" s="52" t="n">
        <f aca="false">SUM(Q255:Q258)</f>
        <v>2403</v>
      </c>
    </row>
    <row r="260" customFormat="false" ht="17.25" hidden="false" customHeight="false" outlineLevel="0" collapsed="false">
      <c r="A260" s="24" t="n">
        <v>3</v>
      </c>
      <c r="B260" s="34" t="s">
        <v>30</v>
      </c>
      <c r="C260" s="51" t="s">
        <v>32</v>
      </c>
      <c r="D260" s="52" t="n">
        <v>1</v>
      </c>
      <c r="E260" s="52" t="n">
        <v>1</v>
      </c>
      <c r="F260" s="52" t="n">
        <v>0</v>
      </c>
      <c r="G260" s="52" t="n">
        <v>263</v>
      </c>
      <c r="H260" s="52" t="n">
        <v>0</v>
      </c>
      <c r="I260" s="74" t="n">
        <f aca="false">SUM(G260:H260)</f>
        <v>263</v>
      </c>
      <c r="J260" s="67" t="n">
        <f aca="false">ROUND(I260*0.25,0)</f>
        <v>66</v>
      </c>
      <c r="K260" s="52" t="n">
        <v>4</v>
      </c>
      <c r="L260" s="52" t="n">
        <v>71</v>
      </c>
      <c r="M260" s="52" t="n">
        <v>5</v>
      </c>
      <c r="N260" s="52" t="n">
        <v>1</v>
      </c>
      <c r="O260" s="52" t="n">
        <v>0</v>
      </c>
      <c r="P260" s="52" t="n">
        <v>0</v>
      </c>
      <c r="Q260" s="40" t="n">
        <f aca="false">SUM(I260:P260)+F260</f>
        <v>410</v>
      </c>
    </row>
    <row r="261" customFormat="false" ht="17.25" hidden="false" customHeight="false" outlineLevel="0" collapsed="false">
      <c r="A261" s="24"/>
      <c r="B261" s="34"/>
      <c r="C261" s="32" t="s">
        <v>33</v>
      </c>
      <c r="D261" s="52" t="n">
        <f aca="false">SUM(D260)</f>
        <v>1</v>
      </c>
      <c r="E261" s="52" t="n">
        <f aca="false">SUM(E260)</f>
        <v>1</v>
      </c>
      <c r="F261" s="52" t="n">
        <f aca="false">SUM(F260)</f>
        <v>0</v>
      </c>
      <c r="G261" s="52" t="n">
        <f aca="false">SUM(G260)</f>
        <v>263</v>
      </c>
      <c r="H261" s="52" t="n">
        <f aca="false">SUM(H260)</f>
        <v>0</v>
      </c>
      <c r="I261" s="52" t="n">
        <f aca="false">SUM(I260)</f>
        <v>263</v>
      </c>
      <c r="J261" s="52" t="n">
        <f aca="false">SUM(J260)</f>
        <v>66</v>
      </c>
      <c r="K261" s="52" t="n">
        <f aca="false">SUM(K260)</f>
        <v>4</v>
      </c>
      <c r="L261" s="52" t="n">
        <f aca="false">SUM(L260)</f>
        <v>71</v>
      </c>
      <c r="M261" s="52" t="n">
        <f aca="false">SUM(M260)</f>
        <v>5</v>
      </c>
      <c r="N261" s="52" t="n">
        <f aca="false">SUM(N260)</f>
        <v>1</v>
      </c>
      <c r="O261" s="52" t="n">
        <f aca="false">SUM(O260)</f>
        <v>0</v>
      </c>
      <c r="P261" s="52" t="n">
        <f aca="false">SUM(P260)</f>
        <v>0</v>
      </c>
      <c r="Q261" s="52" t="n">
        <f aca="false">SUM(Q260)</f>
        <v>410</v>
      </c>
    </row>
    <row r="262" customFormat="false" ht="17.25" hidden="false" customHeight="false" outlineLevel="0" collapsed="false">
      <c r="A262" s="24"/>
      <c r="B262" s="34"/>
      <c r="C262" s="35" t="s">
        <v>43</v>
      </c>
      <c r="D262" s="49" t="n">
        <f aca="false">SUM(D261,D259,D254)</f>
        <v>7</v>
      </c>
      <c r="E262" s="49" t="n">
        <f aca="false">SUM(E261,E259,E254)</f>
        <v>7</v>
      </c>
      <c r="F262" s="49" t="n">
        <f aca="false">SUM(F261,F259,F254)</f>
        <v>0</v>
      </c>
      <c r="G262" s="49" t="n">
        <f aca="false">SUM(G261,G259,G254)</f>
        <v>3879</v>
      </c>
      <c r="H262" s="49" t="n">
        <f aca="false">SUM(H261,H259,H254)</f>
        <v>0</v>
      </c>
      <c r="I262" s="49" t="n">
        <f aca="false">SUM(I261,I259,I254)</f>
        <v>3879</v>
      </c>
      <c r="J262" s="49" t="n">
        <f aca="false">SUM(J261,J259,J254)</f>
        <v>970</v>
      </c>
      <c r="K262" s="49" t="n">
        <f aca="false">SUM(K261,K259,K254)</f>
        <v>26</v>
      </c>
      <c r="L262" s="49" t="n">
        <f aca="false">SUM(L261,L259,L254)</f>
        <v>924</v>
      </c>
      <c r="M262" s="49" t="n">
        <f aca="false">SUM(M261,M259,M254)</f>
        <v>83</v>
      </c>
      <c r="N262" s="49" t="n">
        <f aca="false">SUM(N261,N259,N254)</f>
        <v>1</v>
      </c>
      <c r="O262" s="49" t="n">
        <f aca="false">SUM(O261,O259,O254)</f>
        <v>0</v>
      </c>
      <c r="P262" s="49" t="n">
        <f aca="false">SUM(P261,P259,P254)</f>
        <v>0</v>
      </c>
      <c r="Q262" s="49" t="n">
        <f aca="false">SUM(Q261,Q259,Q254)</f>
        <v>5883</v>
      </c>
    </row>
    <row r="263" customFormat="false" ht="16.5" hidden="false" customHeight="false" outlineLevel="0" collapsed="false">
      <c r="C263" s="2"/>
    </row>
    <row r="264" customFormat="false" ht="15.75" hidden="false" customHeight="false" outlineLevel="0" collapsed="false">
      <c r="A264" s="5" t="str">
        <f aca="false">$A$1</f>
        <v>प्रपत्र - ड  -  अर्थसंकल्पीय अंदाजपत्रक सन 2021-2022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customFormat="false" ht="15.75" hidden="false" customHeight="false" outlineLevel="0" collapsed="false">
      <c r="A265" s="5" t="s">
        <v>1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customFormat="false" ht="15.75" hidden="false" customHeight="false" outlineLevel="0" collapsed="false">
      <c r="A266" s="75" t="s">
        <v>56</v>
      </c>
      <c r="B266" s="75"/>
      <c r="C266" s="75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8" t="s">
        <v>3</v>
      </c>
      <c r="P266" s="8"/>
      <c r="Q266" s="8"/>
    </row>
    <row r="267" customFormat="false" ht="17.25" hidden="false" customHeight="true" outlineLevel="0" collapsed="false">
      <c r="A267" s="9" t="s">
        <v>4</v>
      </c>
      <c r="B267" s="9" t="s">
        <v>5</v>
      </c>
      <c r="C267" s="10" t="s">
        <v>6</v>
      </c>
      <c r="D267" s="11" t="str">
        <f aca="false">D4</f>
        <v>मंजूर पदे</v>
      </c>
      <c r="E267" s="11" t="str">
        <f aca="false">E4</f>
        <v>मंजूर पदे</v>
      </c>
      <c r="F267" s="12" t="str">
        <f aca="false">F4</f>
        <v>विशेष वेतन</v>
      </c>
      <c r="G267" s="12" t="str">
        <f aca="false">G4</f>
        <v>मुळ वेतन</v>
      </c>
      <c r="H267" s="12" t="str">
        <f aca="false">H4</f>
        <v>ग्रेड वेतन</v>
      </c>
      <c r="I267" s="12" t="str">
        <f aca="false">I4</f>
        <v>एकूण</v>
      </c>
      <c r="J267" s="12" t="str">
        <f aca="false">J4</f>
        <v>महागाई भत्ता 25%</v>
      </c>
      <c r="K267" s="12" t="s">
        <v>13</v>
      </c>
      <c r="L267" s="12" t="s">
        <v>14</v>
      </c>
      <c r="M267" s="12" t="s">
        <v>15</v>
      </c>
      <c r="N267" s="12" t="s">
        <v>16</v>
      </c>
      <c r="O267" s="12" t="s">
        <v>17</v>
      </c>
      <c r="P267" s="12" t="s">
        <v>18</v>
      </c>
      <c r="Q267" s="12" t="s">
        <v>11</v>
      </c>
    </row>
    <row r="268" customFormat="false" ht="15.75" hidden="false" customHeight="false" outlineLevel="0" collapsed="false">
      <c r="A268" s="9"/>
      <c r="B268" s="9"/>
      <c r="C268" s="10"/>
      <c r="D268" s="61" t="str">
        <f aca="false">D5</f>
        <v>2020-2021</v>
      </c>
      <c r="E268" s="61" t="str">
        <f aca="false">E5</f>
        <v>2021-2022</v>
      </c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 customFormat="false" ht="15.75" hidden="false" customHeight="false" outlineLevel="0" collapsed="false">
      <c r="A269" s="9"/>
      <c r="B269" s="9"/>
      <c r="C269" s="13" t="s">
        <v>21</v>
      </c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</row>
    <row r="270" customFormat="false" ht="21" hidden="false" customHeight="true" outlineLevel="0" collapsed="false">
      <c r="A270" s="14" t="n">
        <v>1</v>
      </c>
      <c r="B270" s="15" t="s">
        <v>22</v>
      </c>
      <c r="C270" s="15" t="s">
        <v>46</v>
      </c>
      <c r="D270" s="16" t="n">
        <f aca="false">SUM(D7+D40+D73+D105+D138+D171+D204+D237)</f>
        <v>1</v>
      </c>
      <c r="E270" s="16" t="n">
        <f aca="false">SUM(E7+E40+E73+E105+E138+E171+E204+E237)</f>
        <v>1</v>
      </c>
      <c r="F270" s="16" t="n">
        <f aca="false">SUM(F7+F40+F73+F105+F138+F171+F204+F237)</f>
        <v>0</v>
      </c>
      <c r="G270" s="16" t="n">
        <f aca="false">SUM(G7+G40+G73+G105+G138+G171+G204+G237)</f>
        <v>904</v>
      </c>
      <c r="H270" s="16" t="n">
        <f aca="false">SUM(H7+H40+H73+H105+H138+H171+H204+H237)</f>
        <v>0</v>
      </c>
      <c r="I270" s="16" t="n">
        <f aca="false">SUM(I7+I40+I73+I105+I138+I171+I204+I237)</f>
        <v>904</v>
      </c>
      <c r="J270" s="16" t="n">
        <f aca="false">SUM(J7+J40+J73+J105+J138+J171+J204+J237)</f>
        <v>226</v>
      </c>
      <c r="K270" s="16" t="n">
        <f aca="false">SUM(K7+K40+K73+K105+K138+K171+K204+K237)</f>
        <v>4</v>
      </c>
      <c r="L270" s="16" t="n">
        <f aca="false">SUM(L7+L40+L73+L105+L138+L171+L204+L237)</f>
        <v>244</v>
      </c>
      <c r="M270" s="16" t="n">
        <f aca="false">SUM(M7+M40+M73+M105+M138+M171+M204+M237)</f>
        <v>29</v>
      </c>
      <c r="N270" s="16" t="n">
        <f aca="false">SUM(N7+N40+N73+N105+N138+N171+N204+N237)</f>
        <v>0</v>
      </c>
      <c r="O270" s="16" t="n">
        <f aca="false">SUM(O7+O40+O73+O105+O138+O171+O204+O237)</f>
        <v>0</v>
      </c>
      <c r="P270" s="16" t="n">
        <f aca="false">SUM(P7+P40+P73+P105+P138+P171+P204+P237)</f>
        <v>0</v>
      </c>
      <c r="Q270" s="16" t="n">
        <f aca="false">SUM(Q7+Q40+Q73+Q105+Q138+Q171+Q204+Q237)</f>
        <v>1407</v>
      </c>
    </row>
    <row r="271" customFormat="false" ht="17.25" hidden="false" customHeight="false" outlineLevel="0" collapsed="false">
      <c r="A271" s="24"/>
      <c r="B271" s="34"/>
      <c r="C271" s="25" t="s">
        <v>24</v>
      </c>
      <c r="D271" s="33" t="n">
        <f aca="false">SUM(D8+D41+D74+D106+D139+D172+D205+D238)</f>
        <v>1</v>
      </c>
      <c r="E271" s="33" t="n">
        <f aca="false">SUM(E8+E41+E74+E106+E139+E172+E205+E238)</f>
        <v>1</v>
      </c>
      <c r="F271" s="33" t="n">
        <f aca="false">SUM(F8+F41+F74+F106+F139+F172+F205+F238)</f>
        <v>0</v>
      </c>
      <c r="G271" s="33" t="n">
        <f aca="false">SUM(G8+G41+G74+G106+G139+G172+G205+G238)</f>
        <v>904</v>
      </c>
      <c r="H271" s="33" t="n">
        <f aca="false">SUM(H8+H41+H74+H106+H139+H172+H205+H238)</f>
        <v>0</v>
      </c>
      <c r="I271" s="33" t="n">
        <f aca="false">SUM(I8+I41+I74+I106+I139+I172+I205+I238)</f>
        <v>904</v>
      </c>
      <c r="J271" s="33" t="n">
        <f aca="false">SUM(J8+J41+J74+J106+J139+J172+J205+J238)</f>
        <v>226</v>
      </c>
      <c r="K271" s="33" t="n">
        <f aca="false">SUM(K8+K41+K74+K106+K139+K172+K205+K238)</f>
        <v>4</v>
      </c>
      <c r="L271" s="33" t="n">
        <f aca="false">SUM(L8+L41+L74+L106+L139+L172+L205+L238)</f>
        <v>244</v>
      </c>
      <c r="M271" s="33" t="n">
        <f aca="false">SUM(M8+M41+M74+M106+M139+M172+M205+M238)</f>
        <v>29</v>
      </c>
      <c r="N271" s="33" t="n">
        <f aca="false">SUM(N8+N41+N74+N106+N139+N172+N205+N238)</f>
        <v>0</v>
      </c>
      <c r="O271" s="33" t="n">
        <f aca="false">SUM(O8+O41+O74+O106+O139+O172+O205+O238)</f>
        <v>0</v>
      </c>
      <c r="P271" s="33" t="n">
        <f aca="false">SUM(P8+P41+P74+P106+P139+P172+P205+P238)</f>
        <v>0</v>
      </c>
      <c r="Q271" s="33" t="n">
        <f aca="false">SUM(Q8+Q41+Q74+Q106+Q139+Q172+Q205+Q238)</f>
        <v>1407</v>
      </c>
    </row>
    <row r="272" customFormat="false" ht="16.5" hidden="false" customHeight="true" outlineLevel="0" collapsed="false">
      <c r="A272" s="24" t="n">
        <v>2</v>
      </c>
      <c r="B272" s="25" t="s">
        <v>25</v>
      </c>
      <c r="C272" s="26" t="s">
        <v>26</v>
      </c>
      <c r="D272" s="41" t="n">
        <f aca="false">SUM(D9+D42+D75+D107+D140+D173+D206+D239)</f>
        <v>3</v>
      </c>
      <c r="E272" s="41" t="n">
        <f aca="false">SUM(E9+E42+E75+E107+E140+E173+E206+E239)</f>
        <v>3</v>
      </c>
      <c r="F272" s="41" t="n">
        <f aca="false">SUM(F9+F42+F75+F107+F140+F173+F206+F239)</f>
        <v>0</v>
      </c>
      <c r="G272" s="41" t="n">
        <f aca="false">SUM(G9+G42+G75+G107+G140+G173+G206+G239)</f>
        <v>1414</v>
      </c>
      <c r="H272" s="41" t="n">
        <f aca="false">SUM(H9+H42+H75+H107+H140+H173+H206+H239)</f>
        <v>0</v>
      </c>
      <c r="I272" s="41" t="n">
        <f aca="false">SUM(I9+I42+I75+I107+I140+I173+I206+I239)</f>
        <v>1414</v>
      </c>
      <c r="J272" s="41" t="n">
        <f aca="false">SUM(J9+J42+J75+J107+J140+J173+J206+J239)</f>
        <v>354</v>
      </c>
      <c r="K272" s="41" t="n">
        <f aca="false">SUM(K9+K42+K75+K107+K140+K173+K206+K239)</f>
        <v>8</v>
      </c>
      <c r="L272" s="41" t="n">
        <f aca="false">SUM(L9+L42+L75+L107+L140+L173+L206+L239)</f>
        <v>306</v>
      </c>
      <c r="M272" s="41" t="n">
        <f aca="false">SUM(M9+M42+M75+M107+M140+M173+M206+M239)</f>
        <v>15</v>
      </c>
      <c r="N272" s="41" t="n">
        <f aca="false">SUM(N9+N42+N75+N107+N140+N173+N206+N239)</f>
        <v>0</v>
      </c>
      <c r="O272" s="41" t="n">
        <f aca="false">SUM(O9+O42+O75+O107+O140+O173+O206+O239)</f>
        <v>0</v>
      </c>
      <c r="P272" s="41" t="n">
        <f aca="false">SUM(P9+P42+P75+P107+P140+P173+P206+P239)</f>
        <v>0</v>
      </c>
      <c r="Q272" s="41" t="n">
        <f aca="false">SUM(Q9+Q42+Q75+Q107+Q140+Q173+Q206+Q239)</f>
        <v>2097</v>
      </c>
    </row>
    <row r="273" customFormat="false" ht="15.75" hidden="false" customHeight="false" outlineLevel="0" collapsed="false">
      <c r="A273" s="24"/>
      <c r="B273" s="25"/>
      <c r="C273" s="30" t="s">
        <v>27</v>
      </c>
      <c r="D273" s="42" t="n">
        <f aca="false">SUM(D10+D43+D76+D108+D141+D174+D207+D240)</f>
        <v>6</v>
      </c>
      <c r="E273" s="42" t="n">
        <f aca="false">SUM(E10+E43+E76+E108+E141+E174+E207+E240)</f>
        <v>6</v>
      </c>
      <c r="F273" s="42" t="n">
        <f aca="false">SUM(F10+F43+F76+F108+F141+F174+F207+F240)</f>
        <v>0</v>
      </c>
      <c r="G273" s="42" t="n">
        <f aca="false">SUM(G10+G43+G76+G108+G141+G174+G207+G240)</f>
        <v>1611</v>
      </c>
      <c r="H273" s="42" t="n">
        <f aca="false">SUM(H10+H43+H76+H108+H141+H174+H207+H240)</f>
        <v>0</v>
      </c>
      <c r="I273" s="42" t="n">
        <f aca="false">SUM(I10+I43+I76+I108+I141+I174+I207+I240)</f>
        <v>1611</v>
      </c>
      <c r="J273" s="42" t="n">
        <f aca="false">SUM(J10+J43+J76+J108+J141+J174+J207+J240)</f>
        <v>403</v>
      </c>
      <c r="K273" s="42" t="n">
        <f aca="false">SUM(K10+K43+K76+K108+K141+K174+K207+K240)</f>
        <v>16</v>
      </c>
      <c r="L273" s="42" t="n">
        <f aca="false">SUM(L10+L43+L76+L108+L141+L174+L207+L240)</f>
        <v>384</v>
      </c>
      <c r="M273" s="42" t="n">
        <f aca="false">SUM(M10+M43+M76+M108+M141+M174+M207+M240)</f>
        <v>29</v>
      </c>
      <c r="N273" s="42" t="n">
        <f aca="false">SUM(N10+N43+N76+N108+N141+N174+N207+N240)</f>
        <v>0</v>
      </c>
      <c r="O273" s="42" t="n">
        <f aca="false">SUM(O10+O43+O76+O108+O141+O174+O207+O240)</f>
        <v>0</v>
      </c>
      <c r="P273" s="42" t="n">
        <f aca="false">SUM(P10+P43+P76+P108+P141+P174+P207+P240)</f>
        <v>0</v>
      </c>
      <c r="Q273" s="42" t="n">
        <f aca="false">SUM(Q10+Q43+Q76+Q108+Q141+Q174+Q207+Q240)</f>
        <v>2443</v>
      </c>
    </row>
    <row r="274" customFormat="false" ht="16.5" hidden="false" customHeight="false" outlineLevel="0" collapsed="false">
      <c r="A274" s="24"/>
      <c r="B274" s="25"/>
      <c r="C274" s="31" t="s">
        <v>28</v>
      </c>
      <c r="D274" s="33" t="n">
        <f aca="false">SUM(D11+D44+D77+D109+D142+D175+D208+D241)</f>
        <v>0</v>
      </c>
      <c r="E274" s="33" t="n">
        <f aca="false">SUM(E11+E44+E77+E109+E142+E175+E208+E241)</f>
        <v>0</v>
      </c>
      <c r="F274" s="33" t="n">
        <f aca="false">SUM(F11+F44+F77+F109+F142+F175+F208+F241)</f>
        <v>0</v>
      </c>
      <c r="G274" s="33" t="n">
        <f aca="false">SUM(G11+G44+G77+G109+G142+G175+G208+G241)</f>
        <v>0</v>
      </c>
      <c r="H274" s="33" t="n">
        <f aca="false">SUM(H11+H44+H77+H109+H142+H175+H208+H241)</f>
        <v>0</v>
      </c>
      <c r="I274" s="33" t="n">
        <f aca="false">SUM(I11+I44+I77+I109+I142+I175+I208+I241)</f>
        <v>0</v>
      </c>
      <c r="J274" s="33" t="n">
        <f aca="false">SUM(J11+J44+J77+J109+J142+J175+J208+J241)</f>
        <v>0</v>
      </c>
      <c r="K274" s="33" t="n">
        <f aca="false">SUM(K11+K44+K77+K109+K142+K175+K208+K241)</f>
        <v>0</v>
      </c>
      <c r="L274" s="33" t="n">
        <f aca="false">SUM(L11+L44+L77+L109+L142+L175+L208+L241)</f>
        <v>0</v>
      </c>
      <c r="M274" s="33" t="n">
        <f aca="false">SUM(M11+M44+M77+M109+M142+M175+M208+M241)</f>
        <v>0</v>
      </c>
      <c r="N274" s="33" t="n">
        <f aca="false">SUM(N11+N44+N77+N109+N142+N175+N208+N241)</f>
        <v>0</v>
      </c>
      <c r="O274" s="33" t="n">
        <f aca="false">SUM(O11+O44+O77+O109+O142+O175+O208+O241)</f>
        <v>0</v>
      </c>
      <c r="P274" s="33" t="n">
        <f aca="false">SUM(P11+P44+P77+P109+P142+P175+P208+P241)</f>
        <v>0</v>
      </c>
      <c r="Q274" s="33" t="n">
        <f aca="false">SUM(Q11+Q44+Q77+Q109+Q142+Q175+Q208+Q241)</f>
        <v>0</v>
      </c>
    </row>
    <row r="275" customFormat="false" ht="17.25" hidden="false" customHeight="false" outlineLevel="0" collapsed="false">
      <c r="A275" s="24"/>
      <c r="B275" s="25"/>
      <c r="C275" s="32" t="s">
        <v>29</v>
      </c>
      <c r="D275" s="33" t="n">
        <f aca="false">SUM(D12+D45+D78+D110+D143+D176+D209+D242)</f>
        <v>9</v>
      </c>
      <c r="E275" s="33" t="n">
        <f aca="false">SUM(E12+E45+E78+E110+E143+E176+E209+E242)</f>
        <v>9</v>
      </c>
      <c r="F275" s="33" t="n">
        <f aca="false">SUM(F12+F45+F78+F110+F143+F176+F209+F242)</f>
        <v>0</v>
      </c>
      <c r="G275" s="33" t="n">
        <f aca="false">SUM(G12+G45+G78+G110+G143+G176+G209+G242)</f>
        <v>3025</v>
      </c>
      <c r="H275" s="33" t="n">
        <f aca="false">SUM(H12+H45+H78+H110+H143+H176+H209+H242)</f>
        <v>0</v>
      </c>
      <c r="I275" s="33" t="n">
        <f aca="false">SUM(I12+I45+I78+I110+I143+I176+I209+I242)</f>
        <v>3025</v>
      </c>
      <c r="J275" s="33" t="n">
        <f aca="false">SUM(J12+J45+J78+J110+J143+J176+J209+J242)</f>
        <v>757</v>
      </c>
      <c r="K275" s="33" t="n">
        <f aca="false">SUM(K12+K45+K78+K110+K143+K176+K209+K242)</f>
        <v>24</v>
      </c>
      <c r="L275" s="33" t="n">
        <f aca="false">SUM(L12+L45+L78+L110+L143+L176+L209+L242)</f>
        <v>690</v>
      </c>
      <c r="M275" s="33" t="n">
        <f aca="false">SUM(M12+M45+M78+M110+M143+M176+M209+M242)</f>
        <v>44</v>
      </c>
      <c r="N275" s="33" t="n">
        <f aca="false">SUM(N12+N45+N78+N110+N143+N176+N209+N242)</f>
        <v>0</v>
      </c>
      <c r="O275" s="33" t="n">
        <f aca="false">SUM(O12+O45+O78+O110+O143+O176+O209+O242)</f>
        <v>0</v>
      </c>
      <c r="P275" s="33" t="n">
        <f aca="false">SUM(P12+P45+P78+P110+P143+P176+P209+P242)</f>
        <v>0</v>
      </c>
      <c r="Q275" s="33" t="n">
        <f aca="false">SUM(Q12+Q45+Q78+Q110+Q143+Q176+Q209+Q242)</f>
        <v>4540</v>
      </c>
    </row>
    <row r="276" customFormat="false" ht="16.5" hidden="false" customHeight="true" outlineLevel="0" collapsed="false">
      <c r="A276" s="24" t="n">
        <v>3</v>
      </c>
      <c r="B276" s="25" t="s">
        <v>30</v>
      </c>
      <c r="C276" s="26" t="s">
        <v>31</v>
      </c>
      <c r="D276" s="41" t="n">
        <f aca="false">SUM(D13+D46+D79+D111+D144+D177+D210+D243)</f>
        <v>1</v>
      </c>
      <c r="E276" s="41" t="n">
        <f aca="false">SUM(E13+E46+E79+E111+E144+E177+E210+E243)</f>
        <v>1</v>
      </c>
      <c r="F276" s="41" t="n">
        <f aca="false">SUM(F13+F46+F79+F111+F144+F177+F210+F243)</f>
        <v>0</v>
      </c>
      <c r="G276" s="41" t="n">
        <f aca="false">SUM(G13+G46+G79+G111+G144+G177+G210+G243)</f>
        <v>280</v>
      </c>
      <c r="H276" s="41" t="n">
        <f aca="false">SUM(H13+H46+H79+H111+H144+H177+H210+H243)</f>
        <v>0</v>
      </c>
      <c r="I276" s="41" t="n">
        <f aca="false">SUM(I13+I46+I79+I111+I144+I177+I210+I243)</f>
        <v>280</v>
      </c>
      <c r="J276" s="41" t="n">
        <f aca="false">SUM(J13+J46+J79+J111+J144+J177+J210+J243)</f>
        <v>70</v>
      </c>
      <c r="K276" s="41" t="n">
        <f aca="false">SUM(K13+K46+K79+K111+K144+K177+K210+K243)</f>
        <v>2</v>
      </c>
      <c r="L276" s="41" t="n">
        <f aca="false">SUM(L13+L46+L79+L111+L144+L177+L210+L243)</f>
        <v>76</v>
      </c>
      <c r="M276" s="41" t="n">
        <f aca="false">SUM(M13+M46+M79+M111+M144+M177+M210+M243)</f>
        <v>5</v>
      </c>
      <c r="N276" s="41" t="n">
        <f aca="false">SUM(N13+N46+N79+N111+N144+N177+N210+N243)</f>
        <v>0</v>
      </c>
      <c r="O276" s="41" t="n">
        <f aca="false">SUM(O13+O46+O79+O111+O144+O177+O210+O243)</f>
        <v>0</v>
      </c>
      <c r="P276" s="41" t="n">
        <f aca="false">SUM(P13+P46+P79+P111+P144+P177+P210+P243)</f>
        <v>0</v>
      </c>
      <c r="Q276" s="41" t="n">
        <f aca="false">SUM(Q13+Q46+Q79+Q111+Q144+Q177+Q210+Q243)</f>
        <v>433</v>
      </c>
    </row>
    <row r="277" customFormat="false" ht="16.5" hidden="false" customHeight="false" outlineLevel="0" collapsed="false">
      <c r="A277" s="24"/>
      <c r="B277" s="25"/>
      <c r="C277" s="31" t="s">
        <v>32</v>
      </c>
      <c r="D277" s="16" t="n">
        <f aca="false">SUM(D14+D47+D80+D112+D145+D178+D211+D244)</f>
        <v>7</v>
      </c>
      <c r="E277" s="16" t="n">
        <f aca="false">SUM(E14+E47+E80+E112+E145+E178+E211+E244)</f>
        <v>7</v>
      </c>
      <c r="F277" s="16" t="n">
        <f aca="false">SUM(F14+F47+F80+F112+F145+F178+F211+F244)</f>
        <v>0</v>
      </c>
      <c r="G277" s="16" t="n">
        <f aca="false">SUM(G14+G47+G80+G112+G145+G178+G211+G244)</f>
        <v>2309</v>
      </c>
      <c r="H277" s="16" t="n">
        <f aca="false">SUM(H14+H47+H80+H112+H145+H178+H211+H244)</f>
        <v>0</v>
      </c>
      <c r="I277" s="16" t="n">
        <f aca="false">SUM(I14+I47+I80+I112+I145+I178+I211+I244)</f>
        <v>2309</v>
      </c>
      <c r="J277" s="16" t="n">
        <f aca="false">SUM(J14+J47+J80+J112+J145+J178+J211+J244)</f>
        <v>577</v>
      </c>
      <c r="K277" s="16" t="n">
        <f aca="false">SUM(K14+K47+K80+K112+K145+K178+K211+K244)</f>
        <v>10</v>
      </c>
      <c r="L277" s="16" t="n">
        <f aca="false">SUM(L14+L47+L80+L112+L145+L178+L211+L244)</f>
        <v>424</v>
      </c>
      <c r="M277" s="16" t="n">
        <f aca="false">SUM(M14+M47+M80+M112+M145+M178+M211+M244)</f>
        <v>33</v>
      </c>
      <c r="N277" s="16" t="n">
        <f aca="false">SUM(N14+N47+N80+N112+N145+N178+N211+N244)</f>
        <v>4</v>
      </c>
      <c r="O277" s="16" t="n">
        <f aca="false">SUM(O14+O47+O80+O112+O145+O178+O211+O244)</f>
        <v>0</v>
      </c>
      <c r="P277" s="16" t="n">
        <f aca="false">SUM(P14+P47+P80+P112+P145+P178+P211+P244)</f>
        <v>0</v>
      </c>
      <c r="Q277" s="16" t="n">
        <f aca="false">SUM(Q14+Q47+Q80+Q112+Q145+Q178+Q211+Q244)</f>
        <v>3357</v>
      </c>
    </row>
    <row r="278" customFormat="false" ht="18.75" hidden="false" customHeight="true" outlineLevel="0" collapsed="false">
      <c r="A278" s="24"/>
      <c r="B278" s="25"/>
      <c r="C278" s="32" t="s">
        <v>33</v>
      </c>
      <c r="D278" s="33" t="n">
        <f aca="false">SUM(D15+D48+D81+D113+D146+D179+D212+D245)</f>
        <v>8</v>
      </c>
      <c r="E278" s="33" t="n">
        <f aca="false">SUM(E15+E48+E81+E113+E146+E179+E212+E245)</f>
        <v>8</v>
      </c>
      <c r="F278" s="33" t="n">
        <f aca="false">SUM(F15+F48+F81+F113+F146+F179+F212+F245)</f>
        <v>0</v>
      </c>
      <c r="G278" s="33" t="n">
        <f aca="false">SUM(G15+G48+G81+G113+G146+G179+G212+G245)</f>
        <v>2589</v>
      </c>
      <c r="H278" s="33" t="n">
        <f aca="false">SUM(H15+H48+H81+H113+H146+H179+H212+H245)</f>
        <v>0</v>
      </c>
      <c r="I278" s="33" t="n">
        <f aca="false">SUM(I15+I48+I81+I113+I146+I179+I212+I245)</f>
        <v>2589</v>
      </c>
      <c r="J278" s="33" t="n">
        <f aca="false">SUM(J15+J48+J81+J113+J146+J179+J212+J245)</f>
        <v>647</v>
      </c>
      <c r="K278" s="33" t="n">
        <f aca="false">SUM(K15+K48+K81+K113+K146+K179+K212+K245)</f>
        <v>12</v>
      </c>
      <c r="L278" s="33" t="n">
        <f aca="false">SUM(L15+L48+L81+L113+L146+L179+L212+L245)</f>
        <v>500</v>
      </c>
      <c r="M278" s="33" t="n">
        <f aca="false">SUM(M15+M48+M81+M113+M146+M179+M212+M245)</f>
        <v>38</v>
      </c>
      <c r="N278" s="33" t="n">
        <f aca="false">SUM(N15+N48+N81+N113+N146+N179+N212+N245)</f>
        <v>4</v>
      </c>
      <c r="O278" s="33" t="n">
        <f aca="false">SUM(O15+O48+O81+O113+O146+O179+O212+O245)</f>
        <v>0</v>
      </c>
      <c r="P278" s="33" t="n">
        <f aca="false">SUM(P15+P48+P81+P113+P146+P179+P212+P245)</f>
        <v>0</v>
      </c>
      <c r="Q278" s="33" t="n">
        <f aca="false">SUM(Q15+Q48+Q81+Q113+Q146+Q179+Q212+Q245)</f>
        <v>3790</v>
      </c>
    </row>
    <row r="279" customFormat="false" ht="18.75" hidden="false" customHeight="true" outlineLevel="0" collapsed="false">
      <c r="A279" s="24"/>
      <c r="B279" s="34"/>
      <c r="C279" s="35" t="s">
        <v>34</v>
      </c>
      <c r="D279" s="33" t="n">
        <f aca="false">SUM(D16+D49+D82+D114+D147+D180+D213+D246)</f>
        <v>18</v>
      </c>
      <c r="E279" s="33" t="n">
        <f aca="false">SUM(E16+E49+E82+E114+E147+E180+E213+E246)</f>
        <v>18</v>
      </c>
      <c r="F279" s="33" t="n">
        <f aca="false">SUM(F16+F49+F82+F114+F147+F180+F213+F246)</f>
        <v>0</v>
      </c>
      <c r="G279" s="33" t="n">
        <f aca="false">SUM(G16+G49+G82+G114+G147+G180+G213+G246)</f>
        <v>6518</v>
      </c>
      <c r="H279" s="33" t="n">
        <f aca="false">SUM(H16+H49+H82+H114+H147+H180+H213+H246)</f>
        <v>0</v>
      </c>
      <c r="I279" s="33" t="n">
        <f aca="false">SUM(I16+I49+I82+I114+I147+I180+I213+I246)</f>
        <v>6518</v>
      </c>
      <c r="J279" s="33" t="n">
        <f aca="false">SUM(J16+J49+J82+J114+J147+J180+J213+J246)</f>
        <v>1630</v>
      </c>
      <c r="K279" s="33" t="n">
        <f aca="false">SUM(K16+K49+K82+K114+K147+K180+K213+K246)</f>
        <v>40</v>
      </c>
      <c r="L279" s="33" t="n">
        <f aca="false">SUM(L16+L49+L82+L114+L147+L180+L213+L246)</f>
        <v>1434</v>
      </c>
      <c r="M279" s="33" t="n">
        <f aca="false">SUM(M16+M49+M82+M114+M147+M180+M213+M246)</f>
        <v>111</v>
      </c>
      <c r="N279" s="33" t="n">
        <f aca="false">SUM(N16+N49+N82+N114+N147+N180+N213+N246)</f>
        <v>4</v>
      </c>
      <c r="O279" s="33" t="n">
        <f aca="false">SUM(O16+O49+O82+O114+O147+O180+O213+O246)</f>
        <v>0</v>
      </c>
      <c r="P279" s="33" t="n">
        <f aca="false">SUM(P16+P49+P82+P114+P147+P180+P213+P246)</f>
        <v>0</v>
      </c>
      <c r="Q279" s="33" t="n">
        <f aca="false">SUM(Q16+Q49+Q82+Q114+Q147+Q180+Q213+Q246)</f>
        <v>9737</v>
      </c>
    </row>
    <row r="280" customFormat="false" ht="9.75" hidden="false" customHeight="true" outlineLevel="0" collapsed="false">
      <c r="A280" s="36"/>
      <c r="B280" s="37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</row>
    <row r="281" customFormat="false" ht="17.25" hidden="false" customHeight="true" outlineLevel="0" collapsed="false">
      <c r="A281" s="9" t="s">
        <v>35</v>
      </c>
      <c r="B281" s="9" t="s">
        <v>5</v>
      </c>
      <c r="C281" s="10" t="s">
        <v>6</v>
      </c>
      <c r="D281" s="11" t="str">
        <f aca="false">D4</f>
        <v>मंजूर पदे</v>
      </c>
      <c r="E281" s="11" t="str">
        <f aca="false">E4</f>
        <v>मंजूर पदे</v>
      </c>
      <c r="F281" s="12" t="str">
        <f aca="false">F4</f>
        <v>विशेष वेतन</v>
      </c>
      <c r="G281" s="12" t="str">
        <f aca="false">G4</f>
        <v>मुळ वेतन</v>
      </c>
      <c r="H281" s="12" t="str">
        <f aca="false">H4</f>
        <v>ग्रेड वेतन</v>
      </c>
      <c r="I281" s="12" t="str">
        <f aca="false">I4</f>
        <v>एकूण</v>
      </c>
      <c r="J281" s="12" t="str">
        <f aca="false">J4</f>
        <v>महागाई भत्ता 25%</v>
      </c>
      <c r="K281" s="12" t="s">
        <v>13</v>
      </c>
      <c r="L281" s="12" t="s">
        <v>14</v>
      </c>
      <c r="M281" s="12" t="s">
        <v>15</v>
      </c>
      <c r="N281" s="12" t="s">
        <v>16</v>
      </c>
      <c r="O281" s="12" t="s">
        <v>17</v>
      </c>
      <c r="P281" s="12" t="s">
        <v>18</v>
      </c>
      <c r="Q281" s="12" t="s">
        <v>11</v>
      </c>
    </row>
    <row r="282" customFormat="false" ht="15.75" hidden="false" customHeight="false" outlineLevel="0" collapsed="false">
      <c r="A282" s="9"/>
      <c r="B282" s="9"/>
      <c r="C282" s="10"/>
      <c r="D282" s="61" t="str">
        <f aca="false">D5</f>
        <v>2020-2021</v>
      </c>
      <c r="E282" s="61" t="str">
        <f aca="false">E5</f>
        <v>2021-2022</v>
      </c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 customFormat="false" ht="15.75" hidden="false" customHeight="false" outlineLevel="0" collapsed="false">
      <c r="A283" s="9"/>
      <c r="B283" s="9"/>
      <c r="C283" s="13" t="s">
        <v>36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</row>
    <row r="284" customFormat="false" ht="15.75" hidden="false" customHeight="true" outlineLevel="0" collapsed="false">
      <c r="A284" s="14" t="n">
        <v>1</v>
      </c>
      <c r="B284" s="38" t="s">
        <v>22</v>
      </c>
      <c r="C284" s="39" t="s">
        <v>37</v>
      </c>
      <c r="D284" s="41" t="n">
        <f aca="false">SUM(D21+D54+D87+D119+D152+D185+D218+D251)</f>
        <v>5</v>
      </c>
      <c r="E284" s="41" t="n">
        <f aca="false">SUM(E21+E54+E87+E119+E152+E185+E218+E251)</f>
        <v>5</v>
      </c>
      <c r="F284" s="41" t="n">
        <f aca="false">SUM(F21+F54+F87+F119+F152+F185+F218+F251)</f>
        <v>0</v>
      </c>
      <c r="G284" s="41" t="n">
        <f aca="false">SUM(G21+G54+G87+G119+G152+G185+G218+G251)</f>
        <v>5236</v>
      </c>
      <c r="H284" s="41" t="n">
        <f aca="false">SUM(H21+H54+H87+H119+H152+H185+H218+H251)</f>
        <v>0</v>
      </c>
      <c r="I284" s="41" t="n">
        <f aca="false">SUM(I21+I54+I87+I119+I152+I185+I218+I251)</f>
        <v>5236</v>
      </c>
      <c r="J284" s="41" t="n">
        <f aca="false">SUM(J21+J54+J87+J119+J152+J185+J218+J251)</f>
        <v>1310</v>
      </c>
      <c r="K284" s="41" t="n">
        <f aca="false">SUM(K21+K54+K87+K119+K152+K185+K218+K251)</f>
        <v>26</v>
      </c>
      <c r="L284" s="41" t="n">
        <f aca="false">SUM(L21+L54+L87+L119+L152+L185+L218+L251)</f>
        <v>822</v>
      </c>
      <c r="M284" s="41" t="n">
        <f aca="false">SUM(M21+M54+M87+M119+M152+M185+M218+M251)</f>
        <v>105</v>
      </c>
      <c r="N284" s="41" t="n">
        <f aca="false">SUM(N21+N54+N87+N119+N152+N185+N218+N251)</f>
        <v>0</v>
      </c>
      <c r="O284" s="41" t="n">
        <f aca="false">SUM(O21+O54+O87+O119+O152+O185+O218+O251)</f>
        <v>5</v>
      </c>
      <c r="P284" s="41" t="n">
        <f aca="false">SUM(P21+P54+P87+P119+P152+P185+P218+P251)</f>
        <v>0</v>
      </c>
      <c r="Q284" s="41" t="n">
        <f aca="false">SUM(Q21+Q54+Q87+Q119+Q152+Q185+Q218+Q251)</f>
        <v>7504</v>
      </c>
    </row>
    <row r="285" customFormat="false" ht="15.75" hidden="false" customHeight="false" outlineLevel="0" collapsed="false">
      <c r="A285" s="14"/>
      <c r="B285" s="38"/>
      <c r="C285" s="30" t="s">
        <v>38</v>
      </c>
      <c r="D285" s="42" t="n">
        <f aca="false">SUM(D22+D55+D88+D120+D153+D186+D219+D252)</f>
        <v>3</v>
      </c>
      <c r="E285" s="42" t="n">
        <f aca="false">SUM(E22+E55+E88+E120+E153+E186+E219+E252)</f>
        <v>3</v>
      </c>
      <c r="F285" s="42" t="n">
        <f aca="false">SUM(F22+F55+F88+F120+F153+F186+F219+F252)</f>
        <v>0</v>
      </c>
      <c r="G285" s="42" t="n">
        <f aca="false">SUM(G22+G55+G88+G120+G153+G186+G219+G252)</f>
        <v>2491</v>
      </c>
      <c r="H285" s="42" t="n">
        <f aca="false">SUM(H22+H55+H88+H120+H153+H186+H219+H252)</f>
        <v>0</v>
      </c>
      <c r="I285" s="42" t="n">
        <f aca="false">SUM(I22+I55+I88+I120+I153+I186+I219+I252)</f>
        <v>2491</v>
      </c>
      <c r="J285" s="42" t="n">
        <f aca="false">SUM(J22+J55+J88+J120+J153+J186+J219+J252)</f>
        <v>623</v>
      </c>
      <c r="K285" s="42" t="n">
        <f aca="false">SUM(K22+K55+K88+K120+K153+K186+K219+K252)</f>
        <v>12</v>
      </c>
      <c r="L285" s="42" t="n">
        <f aca="false">SUM(L22+L55+L88+L120+L153+L186+L219+L252)</f>
        <v>673</v>
      </c>
      <c r="M285" s="42" t="n">
        <f aca="false">SUM(M22+M55+M88+M120+M153+M186+M219+M252)</f>
        <v>63</v>
      </c>
      <c r="N285" s="42" t="n">
        <f aca="false">SUM(N22+N55+N88+N120+N153+N186+N219+N252)</f>
        <v>0</v>
      </c>
      <c r="O285" s="42" t="n">
        <f aca="false">SUM(O22+O55+O88+O120+O153+O186+O219+O252)</f>
        <v>0</v>
      </c>
      <c r="P285" s="42" t="n">
        <f aca="false">SUM(P22+P55+P88+P120+P153+P186+P219+P252)</f>
        <v>0</v>
      </c>
      <c r="Q285" s="42" t="n">
        <f aca="false">SUM(Q22+Q55+Q88+Q120+Q153+Q186+Q219+Q252)</f>
        <v>3862</v>
      </c>
    </row>
    <row r="286" customFormat="false" ht="16.5" hidden="false" customHeight="false" outlineLevel="0" collapsed="false">
      <c r="A286" s="14"/>
      <c r="B286" s="38"/>
      <c r="C286" s="45" t="s">
        <v>39</v>
      </c>
      <c r="D286" s="16" t="n">
        <f aca="false">SUM(D23+D56+D89+D121+D154+D187+D220+D253)</f>
        <v>1</v>
      </c>
      <c r="E286" s="16" t="n">
        <f aca="false">SUM(E23+E56+E89+E121+E154+E187+E220+E253)</f>
        <v>1</v>
      </c>
      <c r="F286" s="16" t="n">
        <f aca="false">SUM(F23+F56+F89+F121+F154+F187+F220+F253)</f>
        <v>0</v>
      </c>
      <c r="G286" s="16" t="n">
        <f aca="false">SUM(G23+G56+G89+G121+G154+G187+G220+G253)</f>
        <v>990</v>
      </c>
      <c r="H286" s="16" t="n">
        <f aca="false">SUM(H23+H56+H89+H121+H154+H187+H220+H253)</f>
        <v>0</v>
      </c>
      <c r="I286" s="16" t="n">
        <f aca="false">SUM(I23+I56+I89+I121+I154+I187+I220+I253)</f>
        <v>990</v>
      </c>
      <c r="J286" s="16" t="n">
        <f aca="false">SUM(J23+J56+J89+J121+J154+J187+J220+J253)</f>
        <v>248</v>
      </c>
      <c r="K286" s="16" t="n">
        <f aca="false">SUM(K23+K56+K89+K121+K154+K187+K220+K253)</f>
        <v>4</v>
      </c>
      <c r="L286" s="16" t="n">
        <f aca="false">SUM(L23+L56+L89+L121+L154+L187+L220+L253)</f>
        <v>268</v>
      </c>
      <c r="M286" s="16" t="n">
        <f aca="false">SUM(M23+M56+M89+M121+M154+M187+M220+M253)</f>
        <v>5</v>
      </c>
      <c r="N286" s="16" t="n">
        <f aca="false">SUM(N23+N56+N89+N121+N154+N187+N220+N253)</f>
        <v>0</v>
      </c>
      <c r="O286" s="16" t="n">
        <f aca="false">SUM(O23+O56+O89+O121+O154+O187+O220+O253)</f>
        <v>0</v>
      </c>
      <c r="P286" s="16" t="n">
        <f aca="false">SUM(P23+P56+P89+P121+P154+P187+P220+P253)</f>
        <v>0</v>
      </c>
      <c r="Q286" s="16" t="n">
        <f aca="false">SUM(Q23+Q56+Q89+Q121+Q154+Q187+Q220+Q253)</f>
        <v>1515</v>
      </c>
    </row>
    <row r="287" customFormat="false" ht="17.25" hidden="false" customHeight="false" outlineLevel="0" collapsed="false">
      <c r="A287" s="24"/>
      <c r="B287" s="25"/>
      <c r="C287" s="48" t="s">
        <v>40</v>
      </c>
      <c r="D287" s="76" t="n">
        <f aca="false">SUM(D24+D57+D90+D122+D155+D188+D221+D254)</f>
        <v>9</v>
      </c>
      <c r="E287" s="76" t="n">
        <f aca="false">SUM(E24+E57+E90+E122+E155+E188+E221+E254)</f>
        <v>9</v>
      </c>
      <c r="F287" s="76" t="n">
        <f aca="false">SUM(F24+F57+F90+F122+F155+F188+F221+F254)</f>
        <v>0</v>
      </c>
      <c r="G287" s="76" t="n">
        <f aca="false">SUM(G24+G57+G90+G122+G155+G188+G221+G254)</f>
        <v>8717</v>
      </c>
      <c r="H287" s="76" t="n">
        <f aca="false">SUM(H24+H57+H90+H122+H155+H188+H221+H254)</f>
        <v>0</v>
      </c>
      <c r="I287" s="76" t="n">
        <f aca="false">SUM(I24+I57+I90+I122+I155+I188+I221+I254)</f>
        <v>8717</v>
      </c>
      <c r="J287" s="76" t="n">
        <f aca="false">SUM(J24+J57+J90+J122+J155+J188+J221+J254)</f>
        <v>2181</v>
      </c>
      <c r="K287" s="76" t="n">
        <f aca="false">SUM(K24+K57+K90+K122+K155+K188+K221+K254)</f>
        <v>42</v>
      </c>
      <c r="L287" s="76" t="n">
        <f aca="false">SUM(L24+L57+L90+L122+L155+L188+L221+L254)</f>
        <v>1763</v>
      </c>
      <c r="M287" s="76" t="n">
        <f aca="false">SUM(M24+M57+M90+M122+M155+M188+M221+M254)</f>
        <v>173</v>
      </c>
      <c r="N287" s="76" t="n">
        <f aca="false">SUM(N24+N57+N90+N122+N155+N188+N221+N254)</f>
        <v>0</v>
      </c>
      <c r="O287" s="76" t="n">
        <f aca="false">SUM(O24+O57+O90+O122+O155+O188+O221+O254)</f>
        <v>5</v>
      </c>
      <c r="P287" s="76" t="n">
        <f aca="false">SUM(P24+P57+P90+P122+P155+P188+P221+P254)</f>
        <v>0</v>
      </c>
      <c r="Q287" s="76" t="n">
        <f aca="false">SUM(Q24+Q57+Q90+Q122+Q155+Q188+Q221+Q254)</f>
        <v>12881</v>
      </c>
    </row>
    <row r="288" customFormat="false" ht="16.5" hidden="false" customHeight="true" outlineLevel="0" collapsed="false">
      <c r="A288" s="24" t="n">
        <v>2</v>
      </c>
      <c r="B288" s="25" t="s">
        <v>25</v>
      </c>
      <c r="C288" s="26" t="s">
        <v>26</v>
      </c>
      <c r="D288" s="42" t="n">
        <f aca="false">SUM(D25+D58+D91+D123+D156+D189+D222+D255)</f>
        <v>6</v>
      </c>
      <c r="E288" s="42" t="n">
        <f aca="false">SUM(E25+E58+E91+E123+E156+E189+E222+E255)</f>
        <v>6</v>
      </c>
      <c r="F288" s="42" t="n">
        <f aca="false">SUM(F25+F58+F91+F123+F156+F189+F222+F255)</f>
        <v>0</v>
      </c>
      <c r="G288" s="42" t="n">
        <f aca="false">SUM(G25+G58+G91+G123+G156+G189+G222+G255)</f>
        <v>3045</v>
      </c>
      <c r="H288" s="42" t="n">
        <f aca="false">SUM(H25+H58+H91+H123+H156+H189+H222+H255)</f>
        <v>0</v>
      </c>
      <c r="I288" s="42" t="n">
        <f aca="false">SUM(I25+I58+I91+I123+I156+I189+I222+I255)</f>
        <v>3045</v>
      </c>
      <c r="J288" s="42" t="n">
        <f aca="false">SUM(J25+J58+J91+J123+J156+J189+J222+J255)</f>
        <v>761</v>
      </c>
      <c r="K288" s="42" t="n">
        <f aca="false">SUM(K25+K58+K91+K123+K156+K189+K222+K255)</f>
        <v>31</v>
      </c>
      <c r="L288" s="42" t="n">
        <f aca="false">SUM(L25+L58+L91+L123+L156+L189+L222+L255)</f>
        <v>416</v>
      </c>
      <c r="M288" s="42" t="n">
        <f aca="false">SUM(M25+M58+M91+M123+M156+M189+M222+M255)</f>
        <v>30</v>
      </c>
      <c r="N288" s="42" t="n">
        <f aca="false">SUM(N25+N58+N91+N123+N156+N189+N222+N255)</f>
        <v>0</v>
      </c>
      <c r="O288" s="42" t="n">
        <f aca="false">SUM(O25+O58+O91+O123+O156+O189+O222+O255)</f>
        <v>10</v>
      </c>
      <c r="P288" s="42" t="n">
        <f aca="false">SUM(P25+P58+P91+P123+P156+P189+P222+P255)</f>
        <v>0</v>
      </c>
      <c r="Q288" s="42" t="n">
        <f aca="false">SUM(Q25+Q58+Q91+Q123+Q156+Q189+Q222+Q255)</f>
        <v>4293</v>
      </c>
    </row>
    <row r="289" customFormat="false" ht="15.75" hidden="false" customHeight="false" outlineLevel="0" collapsed="false">
      <c r="A289" s="24"/>
      <c r="B289" s="25"/>
      <c r="C289" s="30" t="s">
        <v>41</v>
      </c>
      <c r="D289" s="42" t="n">
        <f aca="false">SUM(D26+D59+D92+D124+D157+D190+D223+D256)</f>
        <v>4</v>
      </c>
      <c r="E289" s="42" t="n">
        <f aca="false">SUM(E26+E59+E92+E124+E157+E190+E223+E256)</f>
        <v>4</v>
      </c>
      <c r="F289" s="42" t="n">
        <f aca="false">SUM(F26+F59+F92+F124+F157+F190+F223+F256)</f>
        <v>0</v>
      </c>
      <c r="G289" s="42" t="n">
        <f aca="false">SUM(G26+G59+G92+G124+G157+G190+G223+G256)</f>
        <v>2466</v>
      </c>
      <c r="H289" s="42" t="n">
        <f aca="false">SUM(H26+H59+H92+H124+H157+H190+H223+H256)</f>
        <v>0</v>
      </c>
      <c r="I289" s="42" t="n">
        <f aca="false">SUM(I26+I59+I92+I124+I157+I190+I223+I256)</f>
        <v>2466</v>
      </c>
      <c r="J289" s="42" t="n">
        <f aca="false">SUM(J26+J59+J92+J124+J157+J190+J223+J256)</f>
        <v>617</v>
      </c>
      <c r="K289" s="42" t="n">
        <f aca="false">SUM(K26+K59+K92+K124+K157+K190+K223+K256)</f>
        <v>20</v>
      </c>
      <c r="L289" s="42" t="n">
        <f aca="false">SUM(L26+L59+L92+L124+L157+L190+L223+L256)</f>
        <v>221</v>
      </c>
      <c r="M289" s="42" t="n">
        <f aca="false">SUM(M26+M59+M92+M124+M157+M190+M223+M256)</f>
        <v>20</v>
      </c>
      <c r="N289" s="42" t="n">
        <f aca="false">SUM(N26+N59+N92+N124+N157+N190+N223+N256)</f>
        <v>0</v>
      </c>
      <c r="O289" s="42" t="n">
        <f aca="false">SUM(O26+O59+O92+O124+O157+O190+O223+O256)</f>
        <v>10</v>
      </c>
      <c r="P289" s="42" t="n">
        <f aca="false">SUM(P26+P59+P92+P124+P157+P190+P223+P256)</f>
        <v>0</v>
      </c>
      <c r="Q289" s="42" t="n">
        <f aca="false">SUM(Q26+Q59+Q92+Q124+Q157+Q190+Q223+Q256)</f>
        <v>3354</v>
      </c>
    </row>
    <row r="290" customFormat="false" ht="15.75" hidden="false" customHeight="false" outlineLevel="0" collapsed="false">
      <c r="A290" s="24"/>
      <c r="B290" s="25"/>
      <c r="C290" s="30" t="s">
        <v>27</v>
      </c>
      <c r="D290" s="42" t="n">
        <f aca="false">SUM(D27+D60+D93+D125+D158+D191+D224+D257)</f>
        <v>10</v>
      </c>
      <c r="E290" s="42" t="n">
        <f aca="false">SUM(E27+E60+E93+E125+E158+E191+E224+E257)</f>
        <v>10</v>
      </c>
      <c r="F290" s="42" t="n">
        <f aca="false">SUM(F27+F60+F93+F125+F158+F191+F224+F257)</f>
        <v>0</v>
      </c>
      <c r="G290" s="42" t="n">
        <f aca="false">SUM(G27+G60+G93+G125+G158+G191+G224+G257)</f>
        <v>3952</v>
      </c>
      <c r="H290" s="42" t="n">
        <f aca="false">SUM(H27+H60+H93+H125+H158+H191+H224+H257)</f>
        <v>0</v>
      </c>
      <c r="I290" s="42" t="n">
        <f aca="false">SUM(I27+I60+I93+I125+I158+I191+I224+I257)</f>
        <v>3952</v>
      </c>
      <c r="J290" s="42" t="n">
        <f aca="false">SUM(J27+J60+J93+J125+J158+J191+J224+J257)</f>
        <v>989</v>
      </c>
      <c r="K290" s="42" t="n">
        <f aca="false">SUM(K27+K60+K93+K125+K158+K191+K224+K257)</f>
        <v>39</v>
      </c>
      <c r="L290" s="42" t="n">
        <f aca="false">SUM(L27+L60+L93+L125+L158+L191+L224+L257)</f>
        <v>750</v>
      </c>
      <c r="M290" s="42" t="n">
        <f aca="false">SUM(M27+M60+M93+M125+M158+M191+M224+M257)</f>
        <v>49</v>
      </c>
      <c r="N290" s="42" t="n">
        <f aca="false">SUM(N27+N60+N93+N125+N158+N191+N224+N257)</f>
        <v>0</v>
      </c>
      <c r="O290" s="42" t="n">
        <f aca="false">SUM(O27+O60+O93+O125+O158+O191+O224+O257)</f>
        <v>15</v>
      </c>
      <c r="P290" s="42" t="n">
        <f aca="false">SUM(P27+P60+P93+P125+P158+P191+P224+P257)</f>
        <v>0</v>
      </c>
      <c r="Q290" s="42" t="n">
        <f aca="false">SUM(Q27+Q60+Q93+Q125+Q158+Q191+Q224+Q257)</f>
        <v>5794</v>
      </c>
    </row>
    <row r="291" customFormat="false" ht="16.5" hidden="false" customHeight="false" outlineLevel="0" collapsed="false">
      <c r="A291" s="24"/>
      <c r="B291" s="25"/>
      <c r="C291" s="31" t="s">
        <v>42</v>
      </c>
      <c r="D291" s="16" t="n">
        <f aca="false">SUM(D28+D61+D94+D126+D159+D192+D225+D258)</f>
        <v>0</v>
      </c>
      <c r="E291" s="16" t="n">
        <f aca="false">SUM(E28+E61+E94+E126+E159+E192+E225+E258)</f>
        <v>0</v>
      </c>
      <c r="F291" s="16" t="n">
        <f aca="false">SUM(F28+F61+F94+F126+F159+F192+F225+F258)</f>
        <v>0</v>
      </c>
      <c r="G291" s="16" t="n">
        <f aca="false">SUM(G28+G61+G94+G126+G159+G192+G225+G258)</f>
        <v>0</v>
      </c>
      <c r="H291" s="16" t="n">
        <f aca="false">SUM(H28+H61+H94+H126+H159+H192+H225+H258)</f>
        <v>0</v>
      </c>
      <c r="I291" s="16" t="n">
        <f aca="false">SUM(I28+I61+I94+I126+I159+I192+I225+I258)</f>
        <v>0</v>
      </c>
      <c r="J291" s="16" t="n">
        <f aca="false">SUM(J28+J61+J94+J126+J159+J192+J225+J258)</f>
        <v>0</v>
      </c>
      <c r="K291" s="16" t="n">
        <f aca="false">SUM(K28+K61+K94+K126+K159+K192+K225+K258)</f>
        <v>0</v>
      </c>
      <c r="L291" s="16" t="n">
        <f aca="false">SUM(L28+L61+L94+L126+L159+L192+L225+L258)</f>
        <v>0</v>
      </c>
      <c r="M291" s="16" t="n">
        <f aca="false">SUM(M28+M61+M94+M126+M159+M192+M225+M258)</f>
        <v>0</v>
      </c>
      <c r="N291" s="16" t="n">
        <f aca="false">SUM(N28+N61+N94+N126+N159+N192+N225+N258)</f>
        <v>0</v>
      </c>
      <c r="O291" s="16" t="n">
        <f aca="false">SUM(O28+O61+O94+O126+O159+O192+O225+O258)</f>
        <v>0</v>
      </c>
      <c r="P291" s="16" t="n">
        <f aca="false">SUM(P28+P61+P94+P126+P159+P192+P225+P258)</f>
        <v>0</v>
      </c>
      <c r="Q291" s="16" t="n">
        <f aca="false">SUM(Q28+Q61+Q94+Q126+Q159+Q192+Q225+Q258)</f>
        <v>0</v>
      </c>
    </row>
    <row r="292" customFormat="false" ht="17.25" hidden="false" customHeight="false" outlineLevel="0" collapsed="false">
      <c r="A292" s="24"/>
      <c r="B292" s="25"/>
      <c r="C292" s="32" t="s">
        <v>29</v>
      </c>
      <c r="D292" s="77" t="n">
        <f aca="false">SUM(D29+D62+D95+D127+D160+D193+D226+D259)</f>
        <v>20</v>
      </c>
      <c r="E292" s="77" t="n">
        <f aca="false">SUM(E29+E62+E95+E127+E160+E193+E226+E259)</f>
        <v>20</v>
      </c>
      <c r="F292" s="77" t="n">
        <f aca="false">SUM(F29+F62+F95+F127+F160+F193+F226+F259)</f>
        <v>0</v>
      </c>
      <c r="G292" s="77" t="n">
        <f aca="false">SUM(G29+G62+G95+G127+G160+G193+G226+G259)</f>
        <v>9463</v>
      </c>
      <c r="H292" s="77" t="n">
        <f aca="false">SUM(H29+H62+H95+H127+H160+H193+H226+H259)</f>
        <v>0</v>
      </c>
      <c r="I292" s="77" t="n">
        <f aca="false">SUM(I29+I62+I95+I127+I160+I193+I226+I259)</f>
        <v>9463</v>
      </c>
      <c r="J292" s="77" t="n">
        <f aca="false">SUM(J29+J62+J95+J127+J160+J193+J226+J259)</f>
        <v>2367</v>
      </c>
      <c r="K292" s="77" t="n">
        <f aca="false">SUM(K29+K62+K95+K127+K160+K193+K226+K259)</f>
        <v>90</v>
      </c>
      <c r="L292" s="77" t="n">
        <f aca="false">SUM(L29+L62+L95+L127+L160+L193+L226+L259)</f>
        <v>1387</v>
      </c>
      <c r="M292" s="77" t="n">
        <f aca="false">SUM(M29+M62+M95+M127+M160+M193+M226+M259)</f>
        <v>99</v>
      </c>
      <c r="N292" s="77" t="n">
        <f aca="false">SUM(N29+N62+N95+N127+N160+N193+N226+N259)</f>
        <v>0</v>
      </c>
      <c r="O292" s="77" t="n">
        <f aca="false">SUM(O29+O62+O95+O127+O160+O193+O226+O259)</f>
        <v>35</v>
      </c>
      <c r="P292" s="77" t="n">
        <f aca="false">SUM(P29+P62+P95+P127+P160+P193+P226+P259)</f>
        <v>0</v>
      </c>
      <c r="Q292" s="77" t="n">
        <f aca="false">SUM(Q29+Q62+Q95+Q127+Q160+Q193+Q226+Q259)</f>
        <v>13441</v>
      </c>
    </row>
    <row r="293" customFormat="false" ht="17.25" hidden="false" customHeight="false" outlineLevel="0" collapsed="false">
      <c r="A293" s="24" t="n">
        <v>3</v>
      </c>
      <c r="B293" s="34" t="s">
        <v>30</v>
      </c>
      <c r="C293" s="51" t="s">
        <v>32</v>
      </c>
      <c r="D293" s="33" t="n">
        <f aca="false">SUM(D30+D63+D96+D128+D161+D194+D227+D260)</f>
        <v>6</v>
      </c>
      <c r="E293" s="33" t="n">
        <f aca="false">SUM(E30+E63+E96+E128+E161+E194+E227+E260)</f>
        <v>6</v>
      </c>
      <c r="F293" s="33" t="n">
        <f aca="false">SUM(F30+F63+F96+F128+F161+F194+F227+F260)</f>
        <v>0</v>
      </c>
      <c r="G293" s="33" t="n">
        <f aca="false">SUM(G30+G63+G96+G128+G161+G194+G227+G260)</f>
        <v>1492</v>
      </c>
      <c r="H293" s="33" t="n">
        <f aca="false">SUM(H30+H63+H96+H128+H161+H194+H227+H260)</f>
        <v>0</v>
      </c>
      <c r="I293" s="33" t="n">
        <f aca="false">SUM(I30+I63+I96+I128+I161+I194+I227+I260)</f>
        <v>1492</v>
      </c>
      <c r="J293" s="78" t="n">
        <f aca="false">SUM(J30+J63+J96+J128+J161+J194+J227+J260)</f>
        <v>373</v>
      </c>
      <c r="K293" s="33" t="n">
        <f aca="false">SUM(K30+K63+K96+K128+K161+K194+K227+K260)</f>
        <v>15</v>
      </c>
      <c r="L293" s="33" t="n">
        <f aca="false">SUM(L30+L63+L96+L128+L161+L194+L227+L260)</f>
        <v>302</v>
      </c>
      <c r="M293" s="33" t="n">
        <f aca="false">SUM(M30+M63+M96+M128+M161+M194+M227+M260)</f>
        <v>30</v>
      </c>
      <c r="N293" s="33" t="n">
        <f aca="false">SUM(N30+N63+N96+N128+N161+N194+N227+N260)</f>
        <v>4</v>
      </c>
      <c r="O293" s="33" t="n">
        <f aca="false">SUM(O30+O63+O96+O128+O161+O194+O227+O260)</f>
        <v>5</v>
      </c>
      <c r="P293" s="33" t="n">
        <f aca="false">SUM(P30+P63+P96+P128+P161+P194+P227+P260)</f>
        <v>0</v>
      </c>
      <c r="Q293" s="33" t="n">
        <f aca="false">SUM(Q30+Q63+Q96+Q128+Q161+Q194+Q227+Q260)</f>
        <v>2221</v>
      </c>
    </row>
    <row r="294" customFormat="false" ht="17.25" hidden="false" customHeight="false" outlineLevel="0" collapsed="false">
      <c r="A294" s="24"/>
      <c r="B294" s="34"/>
      <c r="C294" s="32" t="s">
        <v>33</v>
      </c>
      <c r="D294" s="77" t="n">
        <f aca="false">SUM(D31+D64+D97+D129+D162+D195+D228+D261)</f>
        <v>6</v>
      </c>
      <c r="E294" s="77" t="n">
        <f aca="false">SUM(E31+E64+E97+E129+E162+E195+E228+E261)</f>
        <v>6</v>
      </c>
      <c r="F294" s="77" t="n">
        <f aca="false">SUM(F31+F64+F97+F129+F162+F195+F228+F261)</f>
        <v>0</v>
      </c>
      <c r="G294" s="77" t="n">
        <f aca="false">SUM(G31+G64+G97+G129+G162+G195+G228+G261)</f>
        <v>1492</v>
      </c>
      <c r="H294" s="77" t="n">
        <f aca="false">SUM(H31+H64+H97+H129+H162+H195+H228+H261)</f>
        <v>0</v>
      </c>
      <c r="I294" s="77" t="n">
        <f aca="false">SUM(I31+I64+I97+I129+I162+I195+I228+I261)</f>
        <v>1492</v>
      </c>
      <c r="J294" s="77" t="n">
        <f aca="false">SUM(J31+J64+J97+J129+J162+J195+J228+J261)</f>
        <v>373</v>
      </c>
      <c r="K294" s="77" t="n">
        <f aca="false">SUM(K31+K64+K97+K129+K162+K195+K228+K261)</f>
        <v>15</v>
      </c>
      <c r="L294" s="77" t="n">
        <f aca="false">SUM(L31+L64+L97+L129+L162+L195+L228+L261)</f>
        <v>302</v>
      </c>
      <c r="M294" s="77" t="n">
        <f aca="false">SUM(M31+M64+M97+M129+M162+M195+M228+M261)</f>
        <v>30</v>
      </c>
      <c r="N294" s="77" t="n">
        <f aca="false">SUM(N31+N64+N97+N129+N162+N195+N228+N261)</f>
        <v>4</v>
      </c>
      <c r="O294" s="77" t="n">
        <f aca="false">SUM(O31+O64+O97+O129+O162+O195+O228+O261)</f>
        <v>5</v>
      </c>
      <c r="P294" s="77" t="n">
        <f aca="false">SUM(P31+P64+P97+P129+P162+P195+P228+P261)</f>
        <v>0</v>
      </c>
      <c r="Q294" s="77" t="n">
        <f aca="false">SUM(Q31+Q64+Q97+Q129+Q162+Q195+Q228+Q261)</f>
        <v>2221</v>
      </c>
    </row>
    <row r="295" customFormat="false" ht="17.25" hidden="false" customHeight="false" outlineLevel="0" collapsed="false">
      <c r="A295" s="24"/>
      <c r="B295" s="34"/>
      <c r="C295" s="32" t="s">
        <v>34</v>
      </c>
      <c r="D295" s="77" t="n">
        <f aca="false">SUM(D32+D65+D98+D130+D163+D196+D229+D262)</f>
        <v>35</v>
      </c>
      <c r="E295" s="77" t="n">
        <f aca="false">SUM(E32+E65+E98+E130+E163+E196+E229+E262)</f>
        <v>35</v>
      </c>
      <c r="F295" s="77" t="n">
        <f aca="false">SUM(F32+F65+F98+F130+F163+F196+F229+F262)</f>
        <v>0</v>
      </c>
      <c r="G295" s="77" t="n">
        <f aca="false">SUM(G32+G65+G98+G130+G163+G196+G229+G262)</f>
        <v>19672</v>
      </c>
      <c r="H295" s="77" t="n">
        <f aca="false">SUM(H32+H65+H98+H130+H163+H196+H229+H262)</f>
        <v>0</v>
      </c>
      <c r="I295" s="77" t="n">
        <f aca="false">SUM(I32+I65+I98+I130+I163+I196+I229+I262)</f>
        <v>19672</v>
      </c>
      <c r="J295" s="77" t="n">
        <f aca="false">SUM(J32+J65+J98+J130+J163+J196+J229+J262)</f>
        <v>4921</v>
      </c>
      <c r="K295" s="77" t="n">
        <f aca="false">SUM(K32+K65+K98+K130+K163+K196+K229+K262)</f>
        <v>147</v>
      </c>
      <c r="L295" s="77" t="n">
        <f aca="false">SUM(L32+L65+L98+L130+L163+L196+L229+L262)</f>
        <v>3452</v>
      </c>
      <c r="M295" s="77" t="n">
        <f aca="false">SUM(M32+M65+M98+M130+M163+M196+M229+M262)</f>
        <v>302</v>
      </c>
      <c r="N295" s="77" t="n">
        <f aca="false">SUM(N32+N65+N98+N130+N163+N196+N229+N262)</f>
        <v>4</v>
      </c>
      <c r="O295" s="77" t="n">
        <f aca="false">SUM(O32+O65+O98+O130+O163+O196+O229+O262)</f>
        <v>45</v>
      </c>
      <c r="P295" s="77" t="n">
        <f aca="false">SUM(P32+P65+P98+P130+P163+P196+P229+P262)</f>
        <v>0</v>
      </c>
      <c r="Q295" s="77" t="n">
        <f aca="false">SUM(Q32+Q65+Q98+Q130+Q163+Q196+Q229+Q262)</f>
        <v>28543</v>
      </c>
    </row>
    <row r="296" customFormat="false" ht="11.25" hidden="false" customHeight="true" outlineLevel="0" collapsed="false">
      <c r="A296" s="79"/>
      <c r="B296" s="80"/>
      <c r="C296" s="81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</row>
    <row r="297" customFormat="false" ht="16.5" hidden="false" customHeight="true" outlineLevel="0" collapsed="false">
      <c r="N297" s="83"/>
      <c r="P297" s="84" t="s">
        <v>57</v>
      </c>
      <c r="Q297" s="84"/>
    </row>
    <row r="298" customFormat="false" ht="16.5" hidden="false" customHeight="true" outlineLevel="0" collapsed="false">
      <c r="P298" s="84" t="s">
        <v>58</v>
      </c>
      <c r="Q298" s="84"/>
    </row>
    <row r="299" customFormat="false" ht="16.5" hidden="false" customHeight="true" outlineLevel="0" collapsed="false">
      <c r="P299" s="84" t="s">
        <v>56</v>
      </c>
      <c r="Q299" s="84"/>
    </row>
  </sheetData>
  <mergeCells count="401">
    <mergeCell ref="A1:Q1"/>
    <mergeCell ref="A2:Q2"/>
    <mergeCell ref="A3:C3"/>
    <mergeCell ref="O3:Q3"/>
    <mergeCell ref="A4:A6"/>
    <mergeCell ref="B4:B6"/>
    <mergeCell ref="C4:C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C6:Q6"/>
    <mergeCell ref="A9:A11"/>
    <mergeCell ref="B9:B11"/>
    <mergeCell ref="A13:A14"/>
    <mergeCell ref="B13:B14"/>
    <mergeCell ref="A18:A20"/>
    <mergeCell ref="B18:B20"/>
    <mergeCell ref="C18:C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C20:Q20"/>
    <mergeCell ref="A21:A23"/>
    <mergeCell ref="B21:B23"/>
    <mergeCell ref="A25:A28"/>
    <mergeCell ref="B25:B28"/>
    <mergeCell ref="A34:Q34"/>
    <mergeCell ref="A35:Q35"/>
    <mergeCell ref="A36:C36"/>
    <mergeCell ref="O36:Q36"/>
    <mergeCell ref="A37:A39"/>
    <mergeCell ref="B37:B39"/>
    <mergeCell ref="C37:C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C39:Q39"/>
    <mergeCell ref="A42:A44"/>
    <mergeCell ref="B42:B44"/>
    <mergeCell ref="A46:A47"/>
    <mergeCell ref="B46:B47"/>
    <mergeCell ref="A51:A53"/>
    <mergeCell ref="B51:B53"/>
    <mergeCell ref="C51:C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O51:O52"/>
    <mergeCell ref="P51:P52"/>
    <mergeCell ref="Q51:Q52"/>
    <mergeCell ref="C53:Q53"/>
    <mergeCell ref="A54:A56"/>
    <mergeCell ref="B54:B56"/>
    <mergeCell ref="A58:A61"/>
    <mergeCell ref="B58:B61"/>
    <mergeCell ref="A67:Q67"/>
    <mergeCell ref="A68:Q68"/>
    <mergeCell ref="A69:C69"/>
    <mergeCell ref="O69:Q69"/>
    <mergeCell ref="A70:A72"/>
    <mergeCell ref="B70:B72"/>
    <mergeCell ref="C70:C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C72:Q72"/>
    <mergeCell ref="A75:A77"/>
    <mergeCell ref="B75:B77"/>
    <mergeCell ref="A79:A80"/>
    <mergeCell ref="B79:B80"/>
    <mergeCell ref="A84:A86"/>
    <mergeCell ref="B84:B86"/>
    <mergeCell ref="C84:C85"/>
    <mergeCell ref="F84:F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C86:Q86"/>
    <mergeCell ref="A87:A89"/>
    <mergeCell ref="B87:B89"/>
    <mergeCell ref="A91:A94"/>
    <mergeCell ref="B91:B94"/>
    <mergeCell ref="A99:Q99"/>
    <mergeCell ref="A100:Q100"/>
    <mergeCell ref="A101:C101"/>
    <mergeCell ref="O101:Q101"/>
    <mergeCell ref="A102:A104"/>
    <mergeCell ref="B102:B104"/>
    <mergeCell ref="C102:C103"/>
    <mergeCell ref="F102:F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C104:Q104"/>
    <mergeCell ref="A107:A109"/>
    <mergeCell ref="B107:B109"/>
    <mergeCell ref="A111:A112"/>
    <mergeCell ref="B111:B112"/>
    <mergeCell ref="A116:A118"/>
    <mergeCell ref="B116:B118"/>
    <mergeCell ref="C116:C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C118:Q118"/>
    <mergeCell ref="A119:A121"/>
    <mergeCell ref="B119:B121"/>
    <mergeCell ref="A123:A126"/>
    <mergeCell ref="B123:B126"/>
    <mergeCell ref="A132:Q132"/>
    <mergeCell ref="A133:Q133"/>
    <mergeCell ref="A134:C134"/>
    <mergeCell ref="O134:Q134"/>
    <mergeCell ref="A135:A137"/>
    <mergeCell ref="B135:B137"/>
    <mergeCell ref="C135:C136"/>
    <mergeCell ref="F135:F136"/>
    <mergeCell ref="G135:G136"/>
    <mergeCell ref="H135:H136"/>
    <mergeCell ref="I135:I136"/>
    <mergeCell ref="J135:J136"/>
    <mergeCell ref="K135:K136"/>
    <mergeCell ref="L135:L136"/>
    <mergeCell ref="M135:M136"/>
    <mergeCell ref="N135:N136"/>
    <mergeCell ref="O135:O136"/>
    <mergeCell ref="P135:P136"/>
    <mergeCell ref="Q135:Q136"/>
    <mergeCell ref="C137:Q137"/>
    <mergeCell ref="A140:A142"/>
    <mergeCell ref="B140:B142"/>
    <mergeCell ref="A144:A145"/>
    <mergeCell ref="B144:B145"/>
    <mergeCell ref="A149:A151"/>
    <mergeCell ref="B149:B151"/>
    <mergeCell ref="C149:C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Q149:Q150"/>
    <mergeCell ref="C151:Q151"/>
    <mergeCell ref="A152:A154"/>
    <mergeCell ref="B152:B154"/>
    <mergeCell ref="A156:A159"/>
    <mergeCell ref="B156:B159"/>
    <mergeCell ref="A165:Q165"/>
    <mergeCell ref="A166:Q166"/>
    <mergeCell ref="A167:C167"/>
    <mergeCell ref="O167:Q167"/>
    <mergeCell ref="A168:A170"/>
    <mergeCell ref="B168:B170"/>
    <mergeCell ref="C168:C169"/>
    <mergeCell ref="F168:F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C170:Q170"/>
    <mergeCell ref="A173:A175"/>
    <mergeCell ref="B173:B175"/>
    <mergeCell ref="A177:A178"/>
    <mergeCell ref="B177:B178"/>
    <mergeCell ref="A182:A184"/>
    <mergeCell ref="B182:B184"/>
    <mergeCell ref="C182:C183"/>
    <mergeCell ref="F182:F183"/>
    <mergeCell ref="G182:G183"/>
    <mergeCell ref="H182:H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Q182:Q183"/>
    <mergeCell ref="C184:Q184"/>
    <mergeCell ref="A185:A187"/>
    <mergeCell ref="B185:B187"/>
    <mergeCell ref="A189:A192"/>
    <mergeCell ref="B189:B192"/>
    <mergeCell ref="A197:Q197"/>
    <mergeCell ref="A198:Q198"/>
    <mergeCell ref="A199:Q199"/>
    <mergeCell ref="A200:C200"/>
    <mergeCell ref="O200:Q200"/>
    <mergeCell ref="A201:A203"/>
    <mergeCell ref="B201:B203"/>
    <mergeCell ref="C201:C202"/>
    <mergeCell ref="F201:F202"/>
    <mergeCell ref="G201:G202"/>
    <mergeCell ref="H201:H202"/>
    <mergeCell ref="I201:I202"/>
    <mergeCell ref="J201:J202"/>
    <mergeCell ref="K201:K202"/>
    <mergeCell ref="L201:L202"/>
    <mergeCell ref="M201:M202"/>
    <mergeCell ref="N201:N202"/>
    <mergeCell ref="O201:O202"/>
    <mergeCell ref="P201:P202"/>
    <mergeCell ref="Q201:Q202"/>
    <mergeCell ref="C203:Q203"/>
    <mergeCell ref="A206:A208"/>
    <mergeCell ref="B206:B208"/>
    <mergeCell ref="A210:A211"/>
    <mergeCell ref="B210:B211"/>
    <mergeCell ref="A215:A217"/>
    <mergeCell ref="B215:B217"/>
    <mergeCell ref="C215:C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N215:N216"/>
    <mergeCell ref="O215:O216"/>
    <mergeCell ref="P215:P216"/>
    <mergeCell ref="Q215:Q216"/>
    <mergeCell ref="C217:Q217"/>
    <mergeCell ref="A218:A220"/>
    <mergeCell ref="B218:B220"/>
    <mergeCell ref="A222:A225"/>
    <mergeCell ref="B222:B225"/>
    <mergeCell ref="A230:Q230"/>
    <mergeCell ref="A231:Q231"/>
    <mergeCell ref="A232:Q232"/>
    <mergeCell ref="A233:E233"/>
    <mergeCell ref="O233:Q233"/>
    <mergeCell ref="A234:A236"/>
    <mergeCell ref="B234:B236"/>
    <mergeCell ref="C234:C235"/>
    <mergeCell ref="F234:F235"/>
    <mergeCell ref="G234:G235"/>
    <mergeCell ref="H234:H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Q234:Q235"/>
    <mergeCell ref="C236:Q236"/>
    <mergeCell ref="A239:A241"/>
    <mergeCell ref="B239:B241"/>
    <mergeCell ref="A243:A244"/>
    <mergeCell ref="B243:B244"/>
    <mergeCell ref="A248:A250"/>
    <mergeCell ref="B248:B250"/>
    <mergeCell ref="C248:C249"/>
    <mergeCell ref="F248:F249"/>
    <mergeCell ref="G248:G249"/>
    <mergeCell ref="H248:H249"/>
    <mergeCell ref="I248:I249"/>
    <mergeCell ref="J248:J249"/>
    <mergeCell ref="K248:K249"/>
    <mergeCell ref="L248:L249"/>
    <mergeCell ref="M248:M249"/>
    <mergeCell ref="N248:N249"/>
    <mergeCell ref="O248:O249"/>
    <mergeCell ref="P248:P249"/>
    <mergeCell ref="Q248:Q249"/>
    <mergeCell ref="C250:Q250"/>
    <mergeCell ref="A251:A253"/>
    <mergeCell ref="B251:B253"/>
    <mergeCell ref="A255:A258"/>
    <mergeCell ref="B255:B258"/>
    <mergeCell ref="A264:Q264"/>
    <mergeCell ref="A265:Q265"/>
    <mergeCell ref="A266:C266"/>
    <mergeCell ref="O266:Q266"/>
    <mergeCell ref="A267:A269"/>
    <mergeCell ref="B267:B269"/>
    <mergeCell ref="C267:C268"/>
    <mergeCell ref="F267:F268"/>
    <mergeCell ref="G267:G268"/>
    <mergeCell ref="H267:H268"/>
    <mergeCell ref="I267:I268"/>
    <mergeCell ref="J267:J268"/>
    <mergeCell ref="K267:K268"/>
    <mergeCell ref="L267:L268"/>
    <mergeCell ref="M267:M268"/>
    <mergeCell ref="N267:N268"/>
    <mergeCell ref="O267:O268"/>
    <mergeCell ref="P267:P268"/>
    <mergeCell ref="Q267:Q268"/>
    <mergeCell ref="C269:Q269"/>
    <mergeCell ref="A272:A274"/>
    <mergeCell ref="B272:B274"/>
    <mergeCell ref="A276:A277"/>
    <mergeCell ref="B276:B277"/>
    <mergeCell ref="A281:A283"/>
    <mergeCell ref="B281:B283"/>
    <mergeCell ref="C281:C282"/>
    <mergeCell ref="F281:F282"/>
    <mergeCell ref="G281:G282"/>
    <mergeCell ref="H281:H282"/>
    <mergeCell ref="I281:I282"/>
    <mergeCell ref="J281:J282"/>
    <mergeCell ref="K281:K282"/>
    <mergeCell ref="L281:L282"/>
    <mergeCell ref="M281:M282"/>
    <mergeCell ref="N281:N282"/>
    <mergeCell ref="O281:O282"/>
    <mergeCell ref="P281:P282"/>
    <mergeCell ref="Q281:Q282"/>
    <mergeCell ref="C283:Q283"/>
    <mergeCell ref="A284:A286"/>
    <mergeCell ref="B284:B286"/>
    <mergeCell ref="A288:A291"/>
    <mergeCell ref="B288:B291"/>
    <mergeCell ref="P297:Q297"/>
    <mergeCell ref="P298:Q298"/>
    <mergeCell ref="P299:Q299"/>
  </mergeCells>
  <printOptions headings="false" gridLines="false" gridLinesSet="true" horizontalCentered="false" verticalCentered="false"/>
  <pageMargins left="0.670138888888889" right="0.170138888888889" top="0.2" bottom="0.340277777777778" header="0.511811023622047" footer="0.170138888888889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&amp;C&amp;Z&amp;F&amp;RPage &amp;P</oddFooter>
  </headerFooter>
  <rowBreaks count="8" manualBreakCount="8">
    <brk id="33" man="true" max="16383" min="0"/>
    <brk id="66" man="true" max="16383" min="0"/>
    <brk id="98" man="true" max="16383" min="0"/>
    <brk id="131" man="true" max="16383" min="0"/>
    <brk id="164" man="true" max="16383" min="0"/>
    <brk id="197" man="true" max="16383" min="0"/>
    <brk id="230" man="true" max="16383" min="0"/>
    <brk id="263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8"/>
  <sheetViews>
    <sheetView showFormulas="false" showGridLines="true" showRowColHeaders="true" showZeros="true" rightToLeft="false" tabSelected="false" showOutlineSymbols="true" defaultGridColor="true" view="pageBreakPreview" topLeftCell="A37" colorId="64" zoomScale="100" zoomScaleNormal="75" zoomScalePageLayoutView="100" workbookViewId="0">
      <selection pane="topLeft" activeCell="A1" activeCellId="0" sqref="A1:P1"/>
    </sheetView>
  </sheetViews>
  <sheetFormatPr defaultColWidth="9.13671875" defaultRowHeight="15.75" customHeight="true" zeroHeight="false" outlineLevelRow="0" outlineLevelCol="0"/>
  <cols>
    <col collapsed="false" customWidth="true" hidden="false" outlineLevel="0" max="1" min="1" style="4" width="8.56"/>
    <col collapsed="false" customWidth="true" hidden="false" outlineLevel="0" max="2" min="2" style="4" width="12.85"/>
    <col collapsed="false" customWidth="true" hidden="false" outlineLevel="0" max="3" min="3" style="4" width="11.85"/>
    <col collapsed="false" customWidth="true" hidden="false" outlineLevel="0" max="4" min="4" style="4" width="9.56"/>
    <col collapsed="false" customWidth="true" hidden="false" outlineLevel="0" max="5" min="5" style="4" width="8.7"/>
    <col collapsed="false" customWidth="true" hidden="false" outlineLevel="0" max="6" min="6" style="4" width="12.14"/>
    <col collapsed="false" customWidth="true" hidden="false" outlineLevel="0" max="7" min="7" style="4" width="12.56"/>
    <col collapsed="false" customWidth="true" hidden="false" outlineLevel="0" max="8" min="8" style="4" width="10.99"/>
    <col collapsed="false" customWidth="true" hidden="false" outlineLevel="0" max="9" min="9" style="4" width="10.13"/>
    <col collapsed="false" customWidth="true" hidden="false" outlineLevel="0" max="10" min="10" style="4" width="9.99"/>
    <col collapsed="false" customWidth="true" hidden="false" outlineLevel="0" max="11" min="11" style="4" width="11.56"/>
    <col collapsed="false" customWidth="true" hidden="false" outlineLevel="0" max="12" min="12" style="4" width="1.28"/>
    <col collapsed="false" customWidth="true" hidden="false" outlineLevel="0" max="13" min="13" style="4" width="13.14"/>
    <col collapsed="false" customWidth="true" hidden="false" outlineLevel="0" max="14" min="14" style="4" width="11.56"/>
    <col collapsed="false" customWidth="true" hidden="false" outlineLevel="0" max="15" min="15" style="4" width="12.28"/>
    <col collapsed="false" customWidth="true" hidden="false" outlineLevel="0" max="16" min="16" style="4" width="11.7"/>
    <col collapsed="false" customWidth="false" hidden="false" outlineLevel="0" max="257" min="17" style="4" width="9.14"/>
  </cols>
  <sheetData>
    <row r="1" customFormat="false" ht="15.75" hidden="false" customHeight="false" outlineLevel="0" collapsed="false">
      <c r="A1" s="85" t="s">
        <v>59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customFormat="false" ht="24" hidden="false" customHeight="tru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86"/>
    </row>
    <row r="3" customFormat="false" ht="21" hidden="false" customHeight="true" outlineLevel="0" collapsed="false">
      <c r="A3" s="87" t="s">
        <v>3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customFormat="false" ht="15.75" hidden="false" customHeight="true" outlineLevel="0" collapsed="false">
      <c r="A4" s="88" t="s">
        <v>60</v>
      </c>
      <c r="B4" s="89" t="s">
        <v>61</v>
      </c>
      <c r="C4" s="89"/>
      <c r="D4" s="89"/>
      <c r="E4" s="89"/>
      <c r="F4" s="89"/>
      <c r="G4" s="89"/>
      <c r="H4" s="89"/>
      <c r="I4" s="89"/>
      <c r="J4" s="89"/>
      <c r="K4" s="89"/>
    </row>
    <row r="5" customFormat="false" ht="15.75" hidden="false" customHeight="true" outlineLevel="0" collapsed="false">
      <c r="A5" s="88"/>
      <c r="B5" s="90"/>
      <c r="C5" s="89" t="s">
        <v>62</v>
      </c>
      <c r="D5" s="89"/>
      <c r="E5" s="89"/>
      <c r="F5" s="89"/>
      <c r="G5" s="89" t="s">
        <v>63</v>
      </c>
      <c r="H5" s="89"/>
      <c r="I5" s="89"/>
      <c r="J5" s="89"/>
      <c r="K5" s="89" t="s">
        <v>64</v>
      </c>
    </row>
    <row r="6" customFormat="false" ht="15.75" hidden="false" customHeight="true" outlineLevel="0" collapsed="false">
      <c r="A6" s="91" t="s">
        <v>65</v>
      </c>
      <c r="B6" s="90" t="s">
        <v>5</v>
      </c>
      <c r="C6" s="88" t="s">
        <v>22</v>
      </c>
      <c r="D6" s="88" t="s">
        <v>25</v>
      </c>
      <c r="E6" s="88" t="s">
        <v>30</v>
      </c>
      <c r="F6" s="88" t="s">
        <v>64</v>
      </c>
      <c r="G6" s="88" t="s">
        <v>22</v>
      </c>
      <c r="H6" s="88" t="s">
        <v>25</v>
      </c>
      <c r="I6" s="88" t="s">
        <v>30</v>
      </c>
      <c r="J6" s="88" t="s">
        <v>64</v>
      </c>
      <c r="K6" s="88" t="s">
        <v>64</v>
      </c>
    </row>
    <row r="7" customFormat="false" ht="15.75" hidden="false" customHeight="false" outlineLevel="0" collapsed="false">
      <c r="A7" s="91"/>
      <c r="B7" s="92" t="s">
        <v>66</v>
      </c>
      <c r="C7" s="93" t="n">
        <v>0</v>
      </c>
      <c r="D7" s="93" t="n">
        <v>0</v>
      </c>
      <c r="E7" s="93" t="n">
        <v>0</v>
      </c>
      <c r="F7" s="90" t="n">
        <v>0</v>
      </c>
      <c r="G7" s="93" t="n">
        <v>0</v>
      </c>
      <c r="H7" s="93" t="n">
        <v>0</v>
      </c>
      <c r="I7" s="93" t="n">
        <v>0</v>
      </c>
      <c r="J7" s="90" t="n">
        <v>0</v>
      </c>
      <c r="K7" s="90" t="n">
        <v>0</v>
      </c>
    </row>
    <row r="8" customFormat="false" ht="15.75" hidden="false" customHeight="false" outlineLevel="0" collapsed="false">
      <c r="A8" s="91"/>
      <c r="B8" s="90" t="s">
        <v>67</v>
      </c>
      <c r="C8" s="93" t="n">
        <v>0</v>
      </c>
      <c r="D8" s="93" t="n">
        <v>0</v>
      </c>
      <c r="E8" s="93" t="n">
        <v>0</v>
      </c>
      <c r="F8" s="90" t="n">
        <v>0</v>
      </c>
      <c r="G8" s="93" t="n">
        <v>0</v>
      </c>
      <c r="H8" s="93" t="n">
        <v>0</v>
      </c>
      <c r="I8" s="93" t="n">
        <v>0</v>
      </c>
      <c r="J8" s="90" t="n">
        <v>0</v>
      </c>
      <c r="K8" s="90" t="n">
        <v>0</v>
      </c>
    </row>
    <row r="9" customFormat="false" ht="15.75" hidden="false" customHeight="false" outlineLevel="0" collapsed="false">
      <c r="A9" s="91"/>
      <c r="B9" s="90" t="s">
        <v>68</v>
      </c>
      <c r="C9" s="93" t="n">
        <v>0</v>
      </c>
      <c r="D9" s="93" t="n">
        <v>0</v>
      </c>
      <c r="E9" s="93" t="n">
        <v>0</v>
      </c>
      <c r="F9" s="90" t="n">
        <v>0</v>
      </c>
      <c r="G9" s="93" t="n">
        <v>0</v>
      </c>
      <c r="H9" s="93" t="n">
        <v>0</v>
      </c>
      <c r="I9" s="93" t="n">
        <v>0</v>
      </c>
      <c r="J9" s="90" t="n">
        <v>0</v>
      </c>
      <c r="K9" s="90" t="n">
        <v>0</v>
      </c>
    </row>
    <row r="10" customFormat="false" ht="16.5" hidden="false" customHeight="false" outlineLevel="0" collapsed="false">
      <c r="A10" s="91"/>
      <c r="B10" s="94" t="s">
        <v>64</v>
      </c>
      <c r="C10" s="94" t="n">
        <v>0</v>
      </c>
      <c r="D10" s="94" t="n">
        <v>0</v>
      </c>
      <c r="E10" s="94" t="n">
        <v>0</v>
      </c>
      <c r="F10" s="94" t="n">
        <v>0</v>
      </c>
      <c r="G10" s="94" t="n">
        <v>0</v>
      </c>
      <c r="H10" s="94" t="n">
        <v>0</v>
      </c>
      <c r="I10" s="94" t="n">
        <v>0</v>
      </c>
      <c r="J10" s="94" t="n">
        <v>0</v>
      </c>
      <c r="K10" s="94" t="n">
        <v>0</v>
      </c>
    </row>
    <row r="11" customFormat="false" ht="16.5" hidden="false" customHeight="false" outlineLevel="0" collapsed="false">
      <c r="A11" s="91"/>
      <c r="B11" s="95" t="s">
        <v>8</v>
      </c>
      <c r="C11" s="93" t="n">
        <v>0</v>
      </c>
      <c r="D11" s="93" t="n">
        <v>0</v>
      </c>
      <c r="E11" s="93" t="n">
        <v>0</v>
      </c>
      <c r="F11" s="90" t="n">
        <v>0</v>
      </c>
      <c r="G11" s="93" t="n">
        <v>0</v>
      </c>
      <c r="H11" s="93" t="n">
        <v>0</v>
      </c>
      <c r="I11" s="93" t="n">
        <v>0</v>
      </c>
      <c r="J11" s="90" t="n">
        <v>0</v>
      </c>
      <c r="K11" s="90" t="n">
        <v>0</v>
      </c>
    </row>
    <row r="12" customFormat="false" ht="15.75" hidden="false" customHeight="false" outlineLevel="0" collapsed="false">
      <c r="A12" s="91"/>
      <c r="B12" s="90" t="s">
        <v>69</v>
      </c>
      <c r="C12" s="93" t="n">
        <v>0</v>
      </c>
      <c r="D12" s="93" t="n">
        <v>0</v>
      </c>
      <c r="E12" s="93" t="n">
        <v>0</v>
      </c>
      <c r="F12" s="90" t="n">
        <v>0</v>
      </c>
      <c r="G12" s="93" t="n">
        <v>0</v>
      </c>
      <c r="H12" s="93" t="n">
        <v>0</v>
      </c>
      <c r="I12" s="93" t="n">
        <v>0</v>
      </c>
      <c r="J12" s="90" t="n">
        <v>0</v>
      </c>
      <c r="K12" s="90" t="n">
        <v>0</v>
      </c>
    </row>
    <row r="13" customFormat="false" ht="15.75" hidden="false" customHeight="false" outlineLevel="0" collapsed="false">
      <c r="A13" s="91"/>
      <c r="B13" s="90" t="s">
        <v>70</v>
      </c>
      <c r="C13" s="93" t="n">
        <v>0</v>
      </c>
      <c r="D13" s="93" t="n">
        <v>0</v>
      </c>
      <c r="E13" s="93" t="n">
        <v>0</v>
      </c>
      <c r="F13" s="90" t="n">
        <v>0</v>
      </c>
      <c r="G13" s="93" t="n">
        <v>0</v>
      </c>
      <c r="H13" s="93" t="n">
        <v>0</v>
      </c>
      <c r="I13" s="93" t="n">
        <v>0</v>
      </c>
      <c r="J13" s="90" t="n">
        <v>0</v>
      </c>
      <c r="K13" s="90" t="n">
        <v>0</v>
      </c>
    </row>
    <row r="14" customFormat="false" ht="15.75" hidden="false" customHeight="false" outlineLevel="0" collapsed="false">
      <c r="A14" s="91"/>
      <c r="B14" s="90" t="s">
        <v>71</v>
      </c>
      <c r="C14" s="93" t="n">
        <v>0</v>
      </c>
      <c r="D14" s="93" t="n">
        <v>0</v>
      </c>
      <c r="E14" s="93" t="n">
        <v>0</v>
      </c>
      <c r="F14" s="90" t="n">
        <v>0</v>
      </c>
      <c r="G14" s="93" t="n">
        <v>0</v>
      </c>
      <c r="H14" s="93" t="n">
        <v>0</v>
      </c>
      <c r="I14" s="93" t="n">
        <v>0</v>
      </c>
      <c r="J14" s="90" t="n">
        <v>0</v>
      </c>
      <c r="K14" s="90" t="n">
        <v>0</v>
      </c>
    </row>
    <row r="15" customFormat="false" ht="15.75" hidden="false" customHeight="false" outlineLevel="0" collapsed="false">
      <c r="A15" s="91"/>
      <c r="B15" s="90" t="s">
        <v>72</v>
      </c>
      <c r="C15" s="93" t="n">
        <v>0</v>
      </c>
      <c r="D15" s="93" t="n">
        <v>0</v>
      </c>
      <c r="E15" s="93" t="n">
        <v>0</v>
      </c>
      <c r="F15" s="90" t="n">
        <v>0</v>
      </c>
      <c r="G15" s="93" t="n">
        <v>0</v>
      </c>
      <c r="H15" s="93" t="n">
        <v>0</v>
      </c>
      <c r="I15" s="93" t="n">
        <v>0</v>
      </c>
      <c r="J15" s="90" t="n">
        <v>0</v>
      </c>
      <c r="K15" s="90" t="n">
        <v>0</v>
      </c>
    </row>
    <row r="16" customFormat="false" ht="15.75" hidden="false" customHeight="false" outlineLevel="0" collapsed="false">
      <c r="A16" s="91"/>
      <c r="B16" s="90" t="s">
        <v>73</v>
      </c>
      <c r="C16" s="93" t="n">
        <v>0</v>
      </c>
      <c r="D16" s="93" t="n">
        <v>0</v>
      </c>
      <c r="E16" s="93" t="n">
        <v>0</v>
      </c>
      <c r="F16" s="90" t="n">
        <v>0</v>
      </c>
      <c r="G16" s="93" t="n">
        <v>0</v>
      </c>
      <c r="H16" s="93" t="n">
        <v>0</v>
      </c>
      <c r="I16" s="93" t="n">
        <v>0</v>
      </c>
      <c r="J16" s="90" t="n">
        <v>0</v>
      </c>
      <c r="K16" s="90" t="n">
        <v>0</v>
      </c>
    </row>
    <row r="17" customFormat="false" ht="16.5" hidden="false" customHeight="false" outlineLevel="0" collapsed="false">
      <c r="A17" s="91"/>
      <c r="B17" s="96" t="s">
        <v>64</v>
      </c>
      <c r="C17" s="94" t="n">
        <v>0</v>
      </c>
      <c r="D17" s="94" t="n">
        <v>0</v>
      </c>
      <c r="E17" s="94" t="n">
        <v>0</v>
      </c>
      <c r="F17" s="94" t="n">
        <v>0</v>
      </c>
      <c r="G17" s="94" t="n">
        <v>0</v>
      </c>
      <c r="H17" s="94" t="n">
        <v>0</v>
      </c>
      <c r="I17" s="94" t="n">
        <v>0</v>
      </c>
      <c r="J17" s="94" t="n">
        <v>0</v>
      </c>
      <c r="K17" s="94" t="n">
        <v>0</v>
      </c>
    </row>
    <row r="18" customFormat="false" ht="17.25" hidden="false" customHeight="true" outlineLevel="0" collapsed="false"/>
    <row r="19" customFormat="false" ht="15.75" hidden="false" customHeight="true" outlineLevel="0" collapsed="false">
      <c r="A19" s="88" t="s">
        <v>60</v>
      </c>
      <c r="B19" s="89" t="s">
        <v>74</v>
      </c>
      <c r="C19" s="89"/>
      <c r="D19" s="89"/>
      <c r="E19" s="89"/>
      <c r="F19" s="89"/>
      <c r="G19" s="89"/>
      <c r="H19" s="89"/>
      <c r="I19" s="89"/>
      <c r="J19" s="89"/>
      <c r="K19" s="89"/>
      <c r="M19" s="97" t="s">
        <v>75</v>
      </c>
      <c r="N19" s="97"/>
      <c r="O19" s="97"/>
      <c r="P19" s="97"/>
    </row>
    <row r="20" customFormat="false" ht="15.75" hidden="false" customHeight="false" outlineLevel="0" collapsed="false">
      <c r="A20" s="88"/>
      <c r="B20" s="90"/>
      <c r="C20" s="89" t="s">
        <v>62</v>
      </c>
      <c r="D20" s="89"/>
      <c r="E20" s="89"/>
      <c r="F20" s="89"/>
      <c r="G20" s="89" t="s">
        <v>63</v>
      </c>
      <c r="H20" s="89"/>
      <c r="I20" s="89"/>
      <c r="J20" s="89"/>
      <c r="K20" s="89" t="s">
        <v>64</v>
      </c>
      <c r="M20" s="90" t="s">
        <v>5</v>
      </c>
      <c r="N20" s="44" t="s">
        <v>61</v>
      </c>
      <c r="O20" s="44" t="s">
        <v>74</v>
      </c>
      <c r="P20" s="89" t="s">
        <v>64</v>
      </c>
    </row>
    <row r="21" customFormat="false" ht="15.75" hidden="false" customHeight="true" outlineLevel="0" collapsed="false">
      <c r="A21" s="91" t="s">
        <v>65</v>
      </c>
      <c r="B21" s="90" t="s">
        <v>5</v>
      </c>
      <c r="C21" s="88" t="s">
        <v>22</v>
      </c>
      <c r="D21" s="88" t="s">
        <v>25</v>
      </c>
      <c r="E21" s="88" t="s">
        <v>30</v>
      </c>
      <c r="F21" s="88" t="s">
        <v>64</v>
      </c>
      <c r="G21" s="88" t="s">
        <v>22</v>
      </c>
      <c r="H21" s="88" t="s">
        <v>25</v>
      </c>
      <c r="I21" s="88" t="s">
        <v>30</v>
      </c>
      <c r="J21" s="88" t="s">
        <v>64</v>
      </c>
      <c r="K21" s="88"/>
      <c r="M21" s="92" t="s">
        <v>66</v>
      </c>
      <c r="N21" s="44" t="n">
        <v>0</v>
      </c>
      <c r="O21" s="44" t="n">
        <f aca="false">SUM(K22)</f>
        <v>2</v>
      </c>
      <c r="P21" s="72" t="n">
        <f aca="false">SUM(N21:O21)</f>
        <v>2</v>
      </c>
    </row>
    <row r="22" customFormat="false" ht="15.75" hidden="false" customHeight="false" outlineLevel="0" collapsed="false">
      <c r="A22" s="91"/>
      <c r="B22" s="92" t="s">
        <v>66</v>
      </c>
      <c r="C22" s="93" t="n">
        <v>0</v>
      </c>
      <c r="D22" s="93" t="n">
        <v>1</v>
      </c>
      <c r="E22" s="93" t="n">
        <v>0</v>
      </c>
      <c r="F22" s="93" t="n">
        <f aca="false">SUM(C22:E22)</f>
        <v>1</v>
      </c>
      <c r="G22" s="93" t="n">
        <v>1</v>
      </c>
      <c r="H22" s="93" t="n">
        <v>0</v>
      </c>
      <c r="I22" s="93" t="n">
        <v>0</v>
      </c>
      <c r="J22" s="93" t="n">
        <f aca="false">SUM(G22:I22)</f>
        <v>1</v>
      </c>
      <c r="K22" s="93" t="n">
        <f aca="false">SUM(F22+J22)</f>
        <v>2</v>
      </c>
      <c r="M22" s="90" t="s">
        <v>67</v>
      </c>
      <c r="N22" s="44" t="n">
        <v>0</v>
      </c>
      <c r="O22" s="44" t="n">
        <f aca="false">SUM(K23)</f>
        <v>1160</v>
      </c>
      <c r="P22" s="72" t="n">
        <f aca="false">SUM(N22:O22)</f>
        <v>1160</v>
      </c>
    </row>
    <row r="23" customFormat="false" ht="15.75" hidden="false" customHeight="false" outlineLevel="0" collapsed="false">
      <c r="A23" s="91"/>
      <c r="B23" s="90" t="s">
        <v>67</v>
      </c>
      <c r="C23" s="93" t="n">
        <v>0</v>
      </c>
      <c r="D23" s="93" t="n">
        <v>487</v>
      </c>
      <c r="E23" s="93" t="n">
        <v>0</v>
      </c>
      <c r="F23" s="93" t="n">
        <f aca="false">SUM(C23:E23)</f>
        <v>487</v>
      </c>
      <c r="G23" s="93" t="n">
        <v>673</v>
      </c>
      <c r="H23" s="93" t="n">
        <v>0</v>
      </c>
      <c r="I23" s="93" t="n">
        <v>0</v>
      </c>
      <c r="J23" s="93" t="n">
        <f aca="false">SUM(G23:I23)</f>
        <v>673</v>
      </c>
      <c r="K23" s="93" t="n">
        <f aca="false">SUM(F23+J23)</f>
        <v>1160</v>
      </c>
      <c r="M23" s="90" t="s">
        <v>68</v>
      </c>
      <c r="N23" s="44" t="n">
        <v>0</v>
      </c>
      <c r="O23" s="44" t="n">
        <f aca="false">SUM(K24)</f>
        <v>0</v>
      </c>
      <c r="P23" s="72" t="n">
        <f aca="false">SUM(N23:O23)</f>
        <v>0</v>
      </c>
    </row>
    <row r="24" customFormat="false" ht="16.5" hidden="false" customHeight="false" outlineLevel="0" collapsed="false">
      <c r="A24" s="91"/>
      <c r="B24" s="90" t="s">
        <v>68</v>
      </c>
      <c r="C24" s="93" t="n">
        <v>0</v>
      </c>
      <c r="D24" s="93" t="n">
        <v>0</v>
      </c>
      <c r="E24" s="93" t="n">
        <v>0</v>
      </c>
      <c r="F24" s="93" t="n">
        <f aca="false">SUM(C24:E24)</f>
        <v>0</v>
      </c>
      <c r="G24" s="93" t="n">
        <v>0</v>
      </c>
      <c r="H24" s="93" t="n">
        <v>0</v>
      </c>
      <c r="I24" s="93" t="n">
        <v>0</v>
      </c>
      <c r="J24" s="93" t="n">
        <f aca="false">SUM(G24:I24)</f>
        <v>0</v>
      </c>
      <c r="K24" s="93" t="n">
        <f aca="false">SUM(F24+J24)</f>
        <v>0</v>
      </c>
      <c r="M24" s="94" t="s">
        <v>64</v>
      </c>
      <c r="N24" s="47" t="n">
        <f aca="false">SUM(N22:N23)</f>
        <v>0</v>
      </c>
      <c r="O24" s="47" t="n">
        <f aca="false">SUM(O22:O23)</f>
        <v>1160</v>
      </c>
      <c r="P24" s="47" t="n">
        <f aca="false">SUM(P22:P23)</f>
        <v>1160</v>
      </c>
    </row>
    <row r="25" customFormat="false" ht="17.25" hidden="false" customHeight="false" outlineLevel="0" collapsed="false">
      <c r="A25" s="91"/>
      <c r="B25" s="94" t="s">
        <v>64</v>
      </c>
      <c r="C25" s="94" t="n">
        <f aca="false">SUM(C23:C24)</f>
        <v>0</v>
      </c>
      <c r="D25" s="94" t="n">
        <f aca="false">SUM(D23:D24)</f>
        <v>487</v>
      </c>
      <c r="E25" s="94" t="n">
        <f aca="false">SUM(E23:E24)</f>
        <v>0</v>
      </c>
      <c r="F25" s="94" t="n">
        <f aca="false">SUM(F23:F24)</f>
        <v>487</v>
      </c>
      <c r="G25" s="94" t="n">
        <f aca="false">SUM(G23:G24)</f>
        <v>673</v>
      </c>
      <c r="H25" s="94" t="n">
        <f aca="false">SUM(H23:H24)</f>
        <v>0</v>
      </c>
      <c r="I25" s="94" t="n">
        <f aca="false">SUM(I23:I24)</f>
        <v>0</v>
      </c>
      <c r="J25" s="94" t="n">
        <f aca="false">SUM(J23:J24)</f>
        <v>673</v>
      </c>
      <c r="K25" s="94" t="n">
        <f aca="false">SUM(K23:K24)</f>
        <v>1160</v>
      </c>
      <c r="M25" s="95" t="s">
        <v>69</v>
      </c>
      <c r="N25" s="54" t="n">
        <v>0</v>
      </c>
      <c r="O25" s="44" t="n">
        <f aca="false">SUM(K27)</f>
        <v>290</v>
      </c>
      <c r="P25" s="72" t="n">
        <f aca="false">SUM(N25:O25)</f>
        <v>290</v>
      </c>
    </row>
    <row r="26" customFormat="false" ht="16.5" hidden="false" customHeight="false" outlineLevel="0" collapsed="false">
      <c r="A26" s="91"/>
      <c r="B26" s="95" t="s">
        <v>8</v>
      </c>
      <c r="C26" s="98" t="n">
        <v>0</v>
      </c>
      <c r="D26" s="98" t="n">
        <v>0</v>
      </c>
      <c r="E26" s="98" t="n">
        <v>0</v>
      </c>
      <c r="F26" s="93" t="n">
        <f aca="false">SUM(C26:E26)</f>
        <v>0</v>
      </c>
      <c r="G26" s="98" t="n">
        <v>0</v>
      </c>
      <c r="H26" s="98" t="n">
        <v>0</v>
      </c>
      <c r="I26" s="98" t="n">
        <v>0</v>
      </c>
      <c r="J26" s="93" t="n">
        <f aca="false">SUM(G26:I26)</f>
        <v>0</v>
      </c>
      <c r="K26" s="93" t="n">
        <f aca="false">SUM(F26+J26)</f>
        <v>0</v>
      </c>
      <c r="M26" s="95" t="s">
        <v>8</v>
      </c>
      <c r="N26" s="44" t="n">
        <v>0</v>
      </c>
      <c r="O26" s="44" t="n">
        <f aca="false">SUM(K26)</f>
        <v>0</v>
      </c>
      <c r="P26" s="72" t="n">
        <f aca="false">SUM(N26:O26)</f>
        <v>0</v>
      </c>
    </row>
    <row r="27" customFormat="false" ht="15.75" hidden="false" customHeight="false" outlineLevel="0" collapsed="false">
      <c r="A27" s="91"/>
      <c r="B27" s="90" t="s">
        <v>69</v>
      </c>
      <c r="C27" s="93" t="n">
        <v>0</v>
      </c>
      <c r="D27" s="93" t="n">
        <v>122</v>
      </c>
      <c r="E27" s="93" t="n">
        <v>0</v>
      </c>
      <c r="F27" s="93" t="n">
        <f aca="false">SUM(C27:E27)</f>
        <v>122</v>
      </c>
      <c r="G27" s="93" t="n">
        <v>168</v>
      </c>
      <c r="H27" s="93" t="n">
        <v>0</v>
      </c>
      <c r="I27" s="93" t="n">
        <v>0</v>
      </c>
      <c r="J27" s="93" t="n">
        <f aca="false">SUM(G27:I27)</f>
        <v>168</v>
      </c>
      <c r="K27" s="93" t="n">
        <f aca="false">SUM(F27+J27)</f>
        <v>290</v>
      </c>
      <c r="M27" s="90" t="s">
        <v>70</v>
      </c>
      <c r="N27" s="44" t="n">
        <v>0</v>
      </c>
      <c r="O27" s="44" t="n">
        <f aca="false">SUM(K28)</f>
        <v>6</v>
      </c>
      <c r="P27" s="72" t="n">
        <f aca="false">SUM(N27:O27)</f>
        <v>6</v>
      </c>
    </row>
    <row r="28" customFormat="false" ht="15.75" hidden="false" customHeight="false" outlineLevel="0" collapsed="false">
      <c r="A28" s="91"/>
      <c r="B28" s="90" t="s">
        <v>70</v>
      </c>
      <c r="C28" s="93" t="n">
        <v>0</v>
      </c>
      <c r="D28" s="93" t="n">
        <v>2</v>
      </c>
      <c r="E28" s="93" t="n">
        <v>0</v>
      </c>
      <c r="F28" s="93" t="n">
        <f aca="false">SUM(C28:E28)</f>
        <v>2</v>
      </c>
      <c r="G28" s="93" t="n">
        <v>4</v>
      </c>
      <c r="H28" s="93" t="n">
        <v>0</v>
      </c>
      <c r="I28" s="93" t="n">
        <v>0</v>
      </c>
      <c r="J28" s="93" t="n">
        <f aca="false">SUM(G28:I28)</f>
        <v>4</v>
      </c>
      <c r="K28" s="93" t="n">
        <f aca="false">SUM(F28+J28)</f>
        <v>6</v>
      </c>
      <c r="M28" s="90" t="s">
        <v>71</v>
      </c>
      <c r="N28" s="44" t="n">
        <v>0</v>
      </c>
      <c r="O28" s="44" t="n">
        <f aca="false">SUM(K29)</f>
        <v>313</v>
      </c>
      <c r="P28" s="72" t="n">
        <f aca="false">SUM(N28:O28)</f>
        <v>313</v>
      </c>
    </row>
    <row r="29" customFormat="false" ht="15.75" hidden="false" customHeight="false" outlineLevel="0" collapsed="false">
      <c r="A29" s="91"/>
      <c r="B29" s="90" t="s">
        <v>71</v>
      </c>
      <c r="C29" s="93" t="n">
        <v>0</v>
      </c>
      <c r="D29" s="93" t="n">
        <v>131</v>
      </c>
      <c r="E29" s="93" t="n">
        <v>0</v>
      </c>
      <c r="F29" s="93" t="n">
        <f aca="false">SUM(C29:E29)</f>
        <v>131</v>
      </c>
      <c r="G29" s="93" t="n">
        <v>182</v>
      </c>
      <c r="H29" s="93" t="n">
        <v>0</v>
      </c>
      <c r="I29" s="93" t="n">
        <v>0</v>
      </c>
      <c r="J29" s="93" t="n">
        <f aca="false">SUM(G29:I29)</f>
        <v>182</v>
      </c>
      <c r="K29" s="93" t="n">
        <f aca="false">SUM(F29+J29)</f>
        <v>313</v>
      </c>
      <c r="M29" s="90" t="s">
        <v>72</v>
      </c>
      <c r="N29" s="44" t="n">
        <v>0</v>
      </c>
      <c r="O29" s="44" t="n">
        <f aca="false">SUM(K30)</f>
        <v>34</v>
      </c>
      <c r="P29" s="72" t="n">
        <f aca="false">SUM(N29:O29)</f>
        <v>34</v>
      </c>
    </row>
    <row r="30" customFormat="false" ht="15.75" hidden="false" customHeight="false" outlineLevel="0" collapsed="false">
      <c r="A30" s="91"/>
      <c r="B30" s="90" t="s">
        <v>72</v>
      </c>
      <c r="C30" s="93" t="n">
        <v>0</v>
      </c>
      <c r="D30" s="93" t="n">
        <v>5</v>
      </c>
      <c r="E30" s="93" t="n">
        <v>0</v>
      </c>
      <c r="F30" s="93" t="n">
        <f aca="false">SUM(C30:E30)</f>
        <v>5</v>
      </c>
      <c r="G30" s="93" t="n">
        <v>29</v>
      </c>
      <c r="H30" s="93" t="n">
        <v>0</v>
      </c>
      <c r="I30" s="93" t="n">
        <v>0</v>
      </c>
      <c r="J30" s="93" t="n">
        <f aca="false">SUM(G30:I30)</f>
        <v>29</v>
      </c>
      <c r="K30" s="93" t="n">
        <f aca="false">SUM(F30+J30)</f>
        <v>34</v>
      </c>
      <c r="M30" s="90" t="s">
        <v>73</v>
      </c>
      <c r="N30" s="44" t="n">
        <v>0</v>
      </c>
      <c r="O30" s="44" t="n">
        <f aca="false">SUM(K31)</f>
        <v>0</v>
      </c>
      <c r="P30" s="72" t="n">
        <f aca="false">SUM(N30:O30)</f>
        <v>0</v>
      </c>
    </row>
    <row r="31" customFormat="false" ht="16.5" hidden="false" customHeight="false" outlineLevel="0" collapsed="false">
      <c r="A31" s="91"/>
      <c r="B31" s="90" t="s">
        <v>73</v>
      </c>
      <c r="C31" s="93" t="n">
        <v>0</v>
      </c>
      <c r="D31" s="93" t="n">
        <v>0</v>
      </c>
      <c r="E31" s="93" t="n">
        <v>0</v>
      </c>
      <c r="F31" s="93" t="n">
        <f aca="false">SUM(C31:E31)</f>
        <v>0</v>
      </c>
      <c r="G31" s="93" t="n">
        <v>0</v>
      </c>
      <c r="H31" s="93" t="n">
        <v>0</v>
      </c>
      <c r="I31" s="93" t="n">
        <v>0</v>
      </c>
      <c r="J31" s="93" t="n">
        <f aca="false">SUM(G31:I31)</f>
        <v>0</v>
      </c>
      <c r="K31" s="93" t="n">
        <f aca="false">SUM(F31+J31)</f>
        <v>0</v>
      </c>
      <c r="M31" s="96" t="s">
        <v>64</v>
      </c>
      <c r="N31" s="73" t="n">
        <f aca="false">SUM(N24:N30)</f>
        <v>0</v>
      </c>
      <c r="O31" s="73" t="n">
        <f aca="false">SUM(O24:O30)</f>
        <v>1803</v>
      </c>
      <c r="P31" s="73" t="n">
        <f aca="false">SUM(P24:P30)</f>
        <v>1803</v>
      </c>
    </row>
    <row r="32" customFormat="false" ht="17.25" hidden="false" customHeight="false" outlineLevel="0" collapsed="false">
      <c r="A32" s="91"/>
      <c r="B32" s="96" t="s">
        <v>64</v>
      </c>
      <c r="C32" s="94" t="n">
        <f aca="false">SUM(C25:C31)</f>
        <v>0</v>
      </c>
      <c r="D32" s="94" t="n">
        <f aca="false">SUM(D25:D31)</f>
        <v>747</v>
      </c>
      <c r="E32" s="94" t="n">
        <f aca="false">SUM(E25:E31)</f>
        <v>0</v>
      </c>
      <c r="F32" s="94" t="n">
        <f aca="false">SUM(F25:F31)</f>
        <v>747</v>
      </c>
      <c r="G32" s="94" t="n">
        <f aca="false">SUM(G25:G31)</f>
        <v>1056</v>
      </c>
      <c r="H32" s="94" t="n">
        <f aca="false">SUM(H25:H31)</f>
        <v>0</v>
      </c>
      <c r="I32" s="94" t="n">
        <f aca="false">SUM(I25:I31)</f>
        <v>0</v>
      </c>
      <c r="J32" s="94" t="n">
        <f aca="false">SUM(J25:J31)</f>
        <v>1056</v>
      </c>
      <c r="K32" s="94" t="n">
        <f aca="false">SUM(K25:K31)</f>
        <v>1803</v>
      </c>
      <c r="M32" s="99"/>
      <c r="N32" s="99"/>
      <c r="O32" s="99"/>
      <c r="P32" s="99"/>
    </row>
    <row r="33" customFormat="false" ht="18" hidden="false" customHeight="true" outlineLevel="0" collapsed="false">
      <c r="A33" s="100"/>
      <c r="B33" s="101"/>
      <c r="C33" s="102"/>
      <c r="D33" s="102"/>
      <c r="E33" s="102"/>
      <c r="F33" s="102"/>
      <c r="G33" s="102"/>
      <c r="H33" s="102"/>
      <c r="I33" s="102"/>
      <c r="J33" s="102"/>
      <c r="K33" s="102"/>
      <c r="M33" s="99"/>
      <c r="N33" s="99"/>
      <c r="O33" s="99"/>
      <c r="P33" s="99"/>
    </row>
    <row r="34" customFormat="false" ht="15.75" hidden="false" customHeight="false" outlineLevel="0" collapsed="false">
      <c r="A34" s="85" t="str">
        <f aca="false">$A$1</f>
        <v>प्रपत्र - क  -  अर्थसंकल्पीय अंदाजपत्रक सन 2021-2022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</row>
    <row r="35" customFormat="false" ht="15.75" hidden="false" customHeight="false" outlineLevel="0" collapsed="false">
      <c r="A35" s="5" t="s">
        <v>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customFormat="false" ht="15.75" hidden="false" customHeight="false" outlineLevel="0" collapsed="false">
      <c r="A36" s="87" t="s">
        <v>3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</row>
    <row r="37" customFormat="false" ht="15.75" hidden="false" customHeight="true" outlineLevel="0" collapsed="false">
      <c r="A37" s="88" t="s">
        <v>60</v>
      </c>
      <c r="B37" s="89" t="s">
        <v>61</v>
      </c>
      <c r="C37" s="89"/>
      <c r="D37" s="89"/>
      <c r="E37" s="89"/>
      <c r="F37" s="89"/>
      <c r="G37" s="89"/>
      <c r="H37" s="89"/>
      <c r="I37" s="89"/>
      <c r="J37" s="89"/>
      <c r="K37" s="89"/>
    </row>
    <row r="38" customFormat="false" ht="15.75" hidden="false" customHeight="true" outlineLevel="0" collapsed="false">
      <c r="A38" s="88"/>
      <c r="B38" s="90"/>
      <c r="C38" s="89" t="s">
        <v>62</v>
      </c>
      <c r="D38" s="89"/>
      <c r="E38" s="89"/>
      <c r="F38" s="89"/>
      <c r="G38" s="89" t="s">
        <v>63</v>
      </c>
      <c r="H38" s="89"/>
      <c r="I38" s="89"/>
      <c r="J38" s="89"/>
      <c r="K38" s="89" t="s">
        <v>64</v>
      </c>
    </row>
    <row r="39" customFormat="false" ht="21" hidden="false" customHeight="true" outlineLevel="0" collapsed="false">
      <c r="A39" s="91" t="s">
        <v>76</v>
      </c>
      <c r="B39" s="90" t="s">
        <v>5</v>
      </c>
      <c r="C39" s="88" t="s">
        <v>22</v>
      </c>
      <c r="D39" s="88" t="s">
        <v>25</v>
      </c>
      <c r="E39" s="88" t="s">
        <v>30</v>
      </c>
      <c r="F39" s="88" t="s">
        <v>64</v>
      </c>
      <c r="G39" s="88" t="s">
        <v>22</v>
      </c>
      <c r="H39" s="88" t="s">
        <v>25</v>
      </c>
      <c r="I39" s="88" t="s">
        <v>30</v>
      </c>
      <c r="J39" s="88" t="s">
        <v>64</v>
      </c>
      <c r="K39" s="88" t="s">
        <v>64</v>
      </c>
    </row>
    <row r="40" customFormat="false" ht="15.75" hidden="false" customHeight="false" outlineLevel="0" collapsed="false">
      <c r="A40" s="91"/>
      <c r="B40" s="90" t="s">
        <v>66</v>
      </c>
      <c r="C40" s="103" t="n">
        <v>1</v>
      </c>
      <c r="D40" s="103" t="n">
        <v>2</v>
      </c>
      <c r="E40" s="103" t="n">
        <v>4</v>
      </c>
      <c r="F40" s="104" t="n">
        <f aca="false">SUM(C40:E40)</f>
        <v>7</v>
      </c>
      <c r="G40" s="103" t="n">
        <v>0</v>
      </c>
      <c r="H40" s="103" t="n">
        <v>1</v>
      </c>
      <c r="I40" s="103" t="n">
        <v>1</v>
      </c>
      <c r="J40" s="104" t="n">
        <f aca="false">SUM(G40:I40)</f>
        <v>2</v>
      </c>
      <c r="K40" s="104" t="n">
        <f aca="false">SUM(J40,F40)</f>
        <v>9</v>
      </c>
    </row>
    <row r="41" customFormat="false" ht="15.75" hidden="false" customHeight="false" outlineLevel="0" collapsed="false">
      <c r="A41" s="91"/>
      <c r="B41" s="90" t="s">
        <v>67</v>
      </c>
      <c r="C41" s="42" t="n">
        <v>904</v>
      </c>
      <c r="D41" s="103" t="n">
        <v>788</v>
      </c>
      <c r="E41" s="103" t="n">
        <v>900</v>
      </c>
      <c r="F41" s="104" t="n">
        <f aca="false">SUM(C41:E41)</f>
        <v>2592</v>
      </c>
      <c r="G41" s="103" t="n">
        <v>0</v>
      </c>
      <c r="H41" s="103" t="n">
        <v>283</v>
      </c>
      <c r="I41" s="103" t="n">
        <v>580</v>
      </c>
      <c r="J41" s="104" t="n">
        <f aca="false">SUM(G41:I41)</f>
        <v>863</v>
      </c>
      <c r="K41" s="104" t="n">
        <f aca="false">SUM(J41,F41)</f>
        <v>3455</v>
      </c>
    </row>
    <row r="42" customFormat="false" ht="15.75" hidden="false" customHeight="false" outlineLevel="0" collapsed="false">
      <c r="A42" s="91"/>
      <c r="B42" s="90" t="s">
        <v>68</v>
      </c>
      <c r="C42" s="103" t="n">
        <v>0</v>
      </c>
      <c r="D42" s="103" t="n">
        <v>0</v>
      </c>
      <c r="E42" s="103" t="n">
        <v>0</v>
      </c>
      <c r="F42" s="104" t="n">
        <f aca="false">SUM(C42:E42)</f>
        <v>0</v>
      </c>
      <c r="G42" s="103" t="n">
        <v>0</v>
      </c>
      <c r="H42" s="103" t="n">
        <v>0</v>
      </c>
      <c r="I42" s="103" t="n">
        <v>0</v>
      </c>
      <c r="J42" s="104" t="n">
        <f aca="false">SUM(G42:I42)</f>
        <v>0</v>
      </c>
      <c r="K42" s="104" t="n">
        <f aca="false">SUM(J42,F42)</f>
        <v>0</v>
      </c>
    </row>
    <row r="43" customFormat="false" ht="16.5" hidden="false" customHeight="false" outlineLevel="0" collapsed="false">
      <c r="A43" s="91"/>
      <c r="B43" s="94" t="s">
        <v>64</v>
      </c>
      <c r="C43" s="94" t="n">
        <f aca="false">SUM(C41:C42)</f>
        <v>904</v>
      </c>
      <c r="D43" s="94" t="n">
        <f aca="false">SUM(D41:D42)</f>
        <v>788</v>
      </c>
      <c r="E43" s="94" t="n">
        <f aca="false">SUM(E41:E42)</f>
        <v>900</v>
      </c>
      <c r="F43" s="94" t="n">
        <f aca="false">SUM(F41:F42)</f>
        <v>2592</v>
      </c>
      <c r="G43" s="94" t="n">
        <f aca="false">SUM(G41:G42)</f>
        <v>0</v>
      </c>
      <c r="H43" s="94" t="n">
        <f aca="false">SUM(H41:H42)</f>
        <v>283</v>
      </c>
      <c r="I43" s="94" t="n">
        <f aca="false">SUM(I41:I42)</f>
        <v>580</v>
      </c>
      <c r="J43" s="94" t="n">
        <f aca="false">SUM(J41:J42)</f>
        <v>863</v>
      </c>
      <c r="K43" s="94" t="n">
        <f aca="false">SUM(K41:K42)</f>
        <v>3455</v>
      </c>
    </row>
    <row r="44" customFormat="false" ht="16.5" hidden="false" customHeight="false" outlineLevel="0" collapsed="false">
      <c r="A44" s="91"/>
      <c r="B44" s="95" t="s">
        <v>8</v>
      </c>
      <c r="C44" s="98" t="n">
        <v>0</v>
      </c>
      <c r="D44" s="98" t="n">
        <v>0</v>
      </c>
      <c r="E44" s="98" t="n">
        <v>0</v>
      </c>
      <c r="F44" s="104" t="n">
        <f aca="false">SUM(C44:E44)</f>
        <v>0</v>
      </c>
      <c r="G44" s="103" t="n">
        <v>0</v>
      </c>
      <c r="H44" s="103" t="n">
        <v>0</v>
      </c>
      <c r="I44" s="103" t="n">
        <v>0</v>
      </c>
      <c r="J44" s="104" t="n">
        <f aca="false">SUM(G44:I44)</f>
        <v>0</v>
      </c>
      <c r="K44" s="104" t="n">
        <f aca="false">SUM(J44,F44)</f>
        <v>0</v>
      </c>
    </row>
    <row r="45" customFormat="false" ht="15.75" hidden="false" customHeight="false" outlineLevel="0" collapsed="false">
      <c r="A45" s="91"/>
      <c r="B45" s="90" t="s">
        <v>69</v>
      </c>
      <c r="C45" s="93" t="n">
        <v>226</v>
      </c>
      <c r="D45" s="93" t="n">
        <v>197</v>
      </c>
      <c r="E45" s="93" t="n">
        <v>225</v>
      </c>
      <c r="F45" s="104" t="n">
        <f aca="false">SUM(C45:E45)</f>
        <v>648</v>
      </c>
      <c r="G45" s="103" t="n">
        <v>0</v>
      </c>
      <c r="H45" s="103" t="n">
        <v>71</v>
      </c>
      <c r="I45" s="103" t="n">
        <v>145</v>
      </c>
      <c r="J45" s="104" t="n">
        <f aca="false">SUM(G45:I45)</f>
        <v>216</v>
      </c>
      <c r="K45" s="104" t="n">
        <f aca="false">SUM(J45,F45)</f>
        <v>864</v>
      </c>
    </row>
    <row r="46" customFormat="false" ht="15.75" hidden="false" customHeight="false" outlineLevel="0" collapsed="false">
      <c r="A46" s="91"/>
      <c r="B46" s="90" t="s">
        <v>70</v>
      </c>
      <c r="C46" s="93" t="n">
        <v>4</v>
      </c>
      <c r="D46" s="93" t="n">
        <v>5</v>
      </c>
      <c r="E46" s="93" t="n">
        <v>10</v>
      </c>
      <c r="F46" s="104" t="n">
        <f aca="false">SUM(C46:E46)</f>
        <v>19</v>
      </c>
      <c r="G46" s="103" t="n">
        <v>0</v>
      </c>
      <c r="H46" s="103" t="n">
        <v>4</v>
      </c>
      <c r="I46" s="103" t="n">
        <v>2</v>
      </c>
      <c r="J46" s="104" t="n">
        <f aca="false">SUM(G46:I46)</f>
        <v>6</v>
      </c>
      <c r="K46" s="104" t="n">
        <f aca="false">SUM(J46,F46)</f>
        <v>25</v>
      </c>
    </row>
    <row r="47" customFormat="false" ht="15.75" hidden="false" customHeight="false" outlineLevel="0" collapsed="false">
      <c r="A47" s="91"/>
      <c r="B47" s="90" t="s">
        <v>71</v>
      </c>
      <c r="C47" s="93" t="n">
        <v>244</v>
      </c>
      <c r="D47" s="93" t="n">
        <v>213</v>
      </c>
      <c r="E47" s="93" t="n">
        <v>243</v>
      </c>
      <c r="F47" s="104" t="n">
        <f aca="false">SUM(C47:E47)</f>
        <v>700</v>
      </c>
      <c r="G47" s="103" t="n">
        <v>0</v>
      </c>
      <c r="H47" s="103" t="n">
        <v>76</v>
      </c>
      <c r="I47" s="103" t="n">
        <v>157</v>
      </c>
      <c r="J47" s="104" t="n">
        <f aca="false">SUM(G47:I47)</f>
        <v>233</v>
      </c>
      <c r="K47" s="104" t="n">
        <f aca="false">SUM(J47,F47)</f>
        <v>933</v>
      </c>
    </row>
    <row r="48" customFormat="false" ht="15.75" hidden="false" customHeight="false" outlineLevel="0" collapsed="false">
      <c r="A48" s="91"/>
      <c r="B48" s="90" t="s">
        <v>72</v>
      </c>
      <c r="C48" s="93" t="n">
        <v>29</v>
      </c>
      <c r="D48" s="93" t="n">
        <v>10</v>
      </c>
      <c r="E48" s="93" t="n">
        <v>19</v>
      </c>
      <c r="F48" s="104" t="n">
        <f aca="false">SUM(C48:E48)</f>
        <v>58</v>
      </c>
      <c r="G48" s="103" t="n">
        <v>0</v>
      </c>
      <c r="H48" s="103" t="n">
        <v>5</v>
      </c>
      <c r="I48" s="103" t="n">
        <v>5</v>
      </c>
      <c r="J48" s="104" t="n">
        <f aca="false">SUM(G48:I48)</f>
        <v>10</v>
      </c>
      <c r="K48" s="104" t="n">
        <f aca="false">SUM(J48,F48)</f>
        <v>68</v>
      </c>
    </row>
    <row r="49" customFormat="false" ht="15.75" hidden="false" customHeight="false" outlineLevel="0" collapsed="false">
      <c r="A49" s="91"/>
      <c r="B49" s="90" t="s">
        <v>73</v>
      </c>
      <c r="C49" s="93" t="n">
        <v>0</v>
      </c>
      <c r="D49" s="93" t="n">
        <v>0</v>
      </c>
      <c r="E49" s="93" t="n">
        <v>1</v>
      </c>
      <c r="F49" s="104" t="n">
        <f aca="false">SUM(C49:E49)</f>
        <v>1</v>
      </c>
      <c r="G49" s="103" t="n">
        <v>0</v>
      </c>
      <c r="H49" s="103" t="n">
        <v>0</v>
      </c>
      <c r="I49" s="103" t="n">
        <v>1</v>
      </c>
      <c r="J49" s="104" t="n">
        <f aca="false">SUM(G49:I49)</f>
        <v>1</v>
      </c>
      <c r="K49" s="104" t="n">
        <f aca="false">SUM(J49,F49)</f>
        <v>2</v>
      </c>
    </row>
    <row r="50" customFormat="false" ht="16.5" hidden="false" customHeight="false" outlineLevel="0" collapsed="false">
      <c r="A50" s="91"/>
      <c r="B50" s="96" t="s">
        <v>64</v>
      </c>
      <c r="C50" s="94" t="n">
        <f aca="false">SUM(C43:C49)</f>
        <v>1407</v>
      </c>
      <c r="D50" s="94" t="n">
        <f aca="false">SUM(D43:D49)</f>
        <v>1213</v>
      </c>
      <c r="E50" s="94" t="n">
        <f aca="false">SUM(E43:E49)</f>
        <v>1398</v>
      </c>
      <c r="F50" s="94" t="n">
        <f aca="false">SUM(F43:F49)</f>
        <v>4018</v>
      </c>
      <c r="G50" s="94" t="n">
        <f aca="false">SUM(G43:G49)</f>
        <v>0</v>
      </c>
      <c r="H50" s="94" t="n">
        <f aca="false">SUM(H43:H49)</f>
        <v>439</v>
      </c>
      <c r="I50" s="94" t="n">
        <f aca="false">SUM(I43:I49)</f>
        <v>890</v>
      </c>
      <c r="J50" s="94" t="n">
        <f aca="false">SUM(J43:J49)</f>
        <v>1329</v>
      </c>
      <c r="K50" s="94" t="n">
        <f aca="false">SUM(K43:K49)</f>
        <v>5347</v>
      </c>
    </row>
    <row r="51" customFormat="false" ht="16.5" hidden="false" customHeight="false" outlineLevel="0" collapsed="false"/>
    <row r="52" customFormat="false" ht="15.75" hidden="false" customHeight="true" outlineLevel="0" collapsed="false">
      <c r="A52" s="88" t="s">
        <v>60</v>
      </c>
      <c r="B52" s="89" t="s">
        <v>74</v>
      </c>
      <c r="C52" s="89"/>
      <c r="D52" s="89"/>
      <c r="E52" s="89"/>
      <c r="F52" s="89"/>
      <c r="G52" s="89"/>
      <c r="H52" s="89"/>
      <c r="I52" s="89"/>
      <c r="J52" s="89"/>
      <c r="K52" s="89"/>
      <c r="M52" s="97" t="s">
        <v>75</v>
      </c>
      <c r="N52" s="97"/>
      <c r="O52" s="97"/>
      <c r="P52" s="97"/>
    </row>
    <row r="53" customFormat="false" ht="15.75" hidden="false" customHeight="false" outlineLevel="0" collapsed="false">
      <c r="A53" s="88"/>
      <c r="B53" s="90"/>
      <c r="C53" s="89" t="s">
        <v>62</v>
      </c>
      <c r="D53" s="89"/>
      <c r="E53" s="89"/>
      <c r="F53" s="89"/>
      <c r="G53" s="89" t="s">
        <v>63</v>
      </c>
      <c r="H53" s="89"/>
      <c r="I53" s="89"/>
      <c r="J53" s="89"/>
      <c r="K53" s="89" t="s">
        <v>64</v>
      </c>
      <c r="M53" s="90" t="s">
        <v>5</v>
      </c>
      <c r="N53" s="44" t="s">
        <v>61</v>
      </c>
      <c r="O53" s="44" t="s">
        <v>74</v>
      </c>
      <c r="P53" s="89" t="s">
        <v>64</v>
      </c>
    </row>
    <row r="54" customFormat="false" ht="21" hidden="false" customHeight="true" outlineLevel="0" collapsed="false">
      <c r="A54" s="91" t="s">
        <v>76</v>
      </c>
      <c r="B54" s="90" t="s">
        <v>5</v>
      </c>
      <c r="C54" s="88" t="s">
        <v>22</v>
      </c>
      <c r="D54" s="88" t="s">
        <v>25</v>
      </c>
      <c r="E54" s="88" t="s">
        <v>30</v>
      </c>
      <c r="F54" s="88" t="s">
        <v>64</v>
      </c>
      <c r="G54" s="88" t="s">
        <v>22</v>
      </c>
      <c r="H54" s="88" t="s">
        <v>25</v>
      </c>
      <c r="I54" s="88" t="s">
        <v>30</v>
      </c>
      <c r="J54" s="88" t="s">
        <v>64</v>
      </c>
      <c r="K54" s="88"/>
      <c r="M54" s="92" t="s">
        <v>66</v>
      </c>
      <c r="N54" s="44" t="n">
        <f aca="false">K40</f>
        <v>9</v>
      </c>
      <c r="O54" s="44" t="n">
        <f aca="false">K55</f>
        <v>6</v>
      </c>
      <c r="P54" s="72" t="n">
        <f aca="false">SUM(N54:O54)</f>
        <v>15</v>
      </c>
    </row>
    <row r="55" customFormat="false" ht="15.75" hidden="false" customHeight="false" outlineLevel="0" collapsed="false">
      <c r="A55" s="91"/>
      <c r="B55" s="92" t="s">
        <v>66</v>
      </c>
      <c r="C55" s="103" t="n">
        <v>0</v>
      </c>
      <c r="D55" s="103" t="n">
        <v>4</v>
      </c>
      <c r="E55" s="103" t="n">
        <v>1</v>
      </c>
      <c r="F55" s="90" t="n">
        <f aca="false">SUM(C55:E55)</f>
        <v>5</v>
      </c>
      <c r="G55" s="103" t="n">
        <v>1</v>
      </c>
      <c r="H55" s="103" t="n">
        <v>0</v>
      </c>
      <c r="I55" s="103" t="n">
        <v>0</v>
      </c>
      <c r="J55" s="90" t="n">
        <f aca="false">SUM(G55:I55)</f>
        <v>1</v>
      </c>
      <c r="K55" s="90" t="n">
        <f aca="false">SUM(F55+J55)</f>
        <v>6</v>
      </c>
      <c r="M55" s="90" t="s">
        <v>67</v>
      </c>
      <c r="N55" s="44" t="n">
        <f aca="false">K41</f>
        <v>3455</v>
      </c>
      <c r="O55" s="44" t="n">
        <f aca="false">K56</f>
        <v>2628</v>
      </c>
      <c r="P55" s="72" t="n">
        <f aca="false">SUM(N55:O55)</f>
        <v>6083</v>
      </c>
    </row>
    <row r="56" customFormat="false" ht="15.75" hidden="false" customHeight="false" outlineLevel="0" collapsed="false">
      <c r="A56" s="91"/>
      <c r="B56" s="90" t="s">
        <v>67</v>
      </c>
      <c r="C56" s="93" t="n">
        <v>0</v>
      </c>
      <c r="D56" s="93" t="n">
        <v>1548</v>
      </c>
      <c r="E56" s="93" t="n">
        <v>280</v>
      </c>
      <c r="F56" s="90" t="n">
        <f aca="false">SUM(C56:E56)</f>
        <v>1828</v>
      </c>
      <c r="G56" s="103" t="n">
        <v>800</v>
      </c>
      <c r="H56" s="103" t="n">
        <v>0</v>
      </c>
      <c r="I56" s="103" t="n">
        <v>0</v>
      </c>
      <c r="J56" s="90" t="n">
        <f aca="false">SUM(G56:I56)</f>
        <v>800</v>
      </c>
      <c r="K56" s="90" t="n">
        <f aca="false">SUM(F56+J56)</f>
        <v>2628</v>
      </c>
      <c r="M56" s="90" t="s">
        <v>68</v>
      </c>
      <c r="N56" s="44" t="n">
        <f aca="false">K42</f>
        <v>0</v>
      </c>
      <c r="O56" s="44" t="n">
        <f aca="false">K57</f>
        <v>0</v>
      </c>
      <c r="P56" s="72" t="n">
        <f aca="false">SUM(N56:O56)</f>
        <v>0</v>
      </c>
    </row>
    <row r="57" customFormat="false" ht="16.5" hidden="false" customHeight="false" outlineLevel="0" collapsed="false">
      <c r="A57" s="91"/>
      <c r="B57" s="90" t="s">
        <v>68</v>
      </c>
      <c r="C57" s="93" t="n">
        <v>0</v>
      </c>
      <c r="D57" s="93" t="n">
        <v>0</v>
      </c>
      <c r="E57" s="93" t="n">
        <v>0</v>
      </c>
      <c r="F57" s="90" t="n">
        <f aca="false">SUM(C57:E57)</f>
        <v>0</v>
      </c>
      <c r="G57" s="103" t="n">
        <v>0</v>
      </c>
      <c r="H57" s="103" t="n">
        <v>0</v>
      </c>
      <c r="I57" s="103" t="n">
        <v>0</v>
      </c>
      <c r="J57" s="90" t="n">
        <f aca="false">SUM(G57:I57)</f>
        <v>0</v>
      </c>
      <c r="K57" s="90" t="n">
        <f aca="false">SUM(F57+J57)</f>
        <v>0</v>
      </c>
      <c r="M57" s="94" t="s">
        <v>64</v>
      </c>
      <c r="N57" s="47" t="n">
        <f aca="false">SUM(N55:N56)</f>
        <v>3455</v>
      </c>
      <c r="O57" s="47" t="n">
        <f aca="false">SUM(O55:O56)</f>
        <v>2628</v>
      </c>
      <c r="P57" s="47" t="n">
        <f aca="false">SUM(P55:P56)</f>
        <v>6083</v>
      </c>
    </row>
    <row r="58" customFormat="false" ht="17.25" hidden="false" customHeight="false" outlineLevel="0" collapsed="false">
      <c r="A58" s="91"/>
      <c r="B58" s="94" t="s">
        <v>64</v>
      </c>
      <c r="C58" s="94" t="n">
        <f aca="false">SUM(C56:C57)</f>
        <v>0</v>
      </c>
      <c r="D58" s="94" t="n">
        <f aca="false">SUM(D56:D57)</f>
        <v>1548</v>
      </c>
      <c r="E58" s="94" t="n">
        <f aca="false">SUM(E56:E57)</f>
        <v>280</v>
      </c>
      <c r="F58" s="94" t="n">
        <f aca="false">SUM(F56:F57)</f>
        <v>1828</v>
      </c>
      <c r="G58" s="94" t="n">
        <f aca="false">SUM(G56:G57)</f>
        <v>800</v>
      </c>
      <c r="H58" s="94" t="n">
        <f aca="false">SUM(H56:H57)</f>
        <v>0</v>
      </c>
      <c r="I58" s="94" t="n">
        <f aca="false">SUM(I56:I57)</f>
        <v>0</v>
      </c>
      <c r="J58" s="94" t="n">
        <f aca="false">SUM(J56:J57)</f>
        <v>800</v>
      </c>
      <c r="K58" s="94" t="n">
        <f aca="false">SUM(K56:K57)</f>
        <v>2628</v>
      </c>
      <c r="M58" s="95" t="s">
        <v>69</v>
      </c>
      <c r="N58" s="54" t="n">
        <f aca="false">SUM(K45)</f>
        <v>864</v>
      </c>
      <c r="O58" s="54" t="n">
        <f aca="false">SUM(K60)</f>
        <v>657</v>
      </c>
      <c r="P58" s="72" t="n">
        <f aca="false">SUM(N58:O58)</f>
        <v>1521</v>
      </c>
    </row>
    <row r="59" customFormat="false" ht="16.5" hidden="false" customHeight="false" outlineLevel="0" collapsed="false">
      <c r="A59" s="91"/>
      <c r="B59" s="95" t="s">
        <v>8</v>
      </c>
      <c r="C59" s="98" t="n">
        <v>0</v>
      </c>
      <c r="D59" s="98" t="n">
        <v>0</v>
      </c>
      <c r="E59" s="98" t="n">
        <v>0</v>
      </c>
      <c r="F59" s="90" t="n">
        <f aca="false">SUM(C59:E59)</f>
        <v>0</v>
      </c>
      <c r="G59" s="103" t="n">
        <v>0</v>
      </c>
      <c r="H59" s="103" t="n">
        <v>0</v>
      </c>
      <c r="I59" s="103" t="n">
        <v>0</v>
      </c>
      <c r="J59" s="90" t="n">
        <f aca="false">SUM(G59:I59)</f>
        <v>0</v>
      </c>
      <c r="K59" s="90" t="n">
        <f aca="false">SUM(F59+J59)</f>
        <v>0</v>
      </c>
      <c r="M59" s="95" t="s">
        <v>8</v>
      </c>
      <c r="N59" s="44" t="n">
        <f aca="false">SUM(K44)</f>
        <v>0</v>
      </c>
      <c r="O59" s="44" t="n">
        <f aca="false">SUM(K59)</f>
        <v>0</v>
      </c>
      <c r="P59" s="72" t="n">
        <f aca="false">SUM(N59:O59)</f>
        <v>0</v>
      </c>
    </row>
    <row r="60" customFormat="false" ht="15.75" hidden="false" customHeight="false" outlineLevel="0" collapsed="false">
      <c r="A60" s="91"/>
      <c r="B60" s="90" t="s">
        <v>69</v>
      </c>
      <c r="C60" s="93" t="n">
        <v>0</v>
      </c>
      <c r="D60" s="93" t="n">
        <v>387</v>
      </c>
      <c r="E60" s="93" t="n">
        <v>70</v>
      </c>
      <c r="F60" s="90" t="n">
        <f aca="false">SUM(C60:E60)</f>
        <v>457</v>
      </c>
      <c r="G60" s="103" t="n">
        <v>200</v>
      </c>
      <c r="H60" s="103" t="n">
        <v>0</v>
      </c>
      <c r="I60" s="103" t="n">
        <v>0</v>
      </c>
      <c r="J60" s="90" t="n">
        <f aca="false">SUM(G60:I60)</f>
        <v>200</v>
      </c>
      <c r="K60" s="90" t="n">
        <f aca="false">SUM(F60+J60)</f>
        <v>657</v>
      </c>
      <c r="M60" s="90" t="s">
        <v>70</v>
      </c>
      <c r="N60" s="44" t="n">
        <f aca="false">SUM(K46)</f>
        <v>25</v>
      </c>
      <c r="O60" s="44" t="n">
        <f aca="false">SUM(K61)</f>
        <v>18</v>
      </c>
      <c r="P60" s="72" t="n">
        <f aca="false">SUM(N60:O60)</f>
        <v>43</v>
      </c>
    </row>
    <row r="61" customFormat="false" ht="15.75" hidden="false" customHeight="false" outlineLevel="0" collapsed="false">
      <c r="A61" s="91"/>
      <c r="B61" s="90" t="s">
        <v>70</v>
      </c>
      <c r="C61" s="93" t="n">
        <v>0</v>
      </c>
      <c r="D61" s="93" t="n">
        <v>12</v>
      </c>
      <c r="E61" s="93" t="n">
        <v>2</v>
      </c>
      <c r="F61" s="90" t="n">
        <f aca="false">SUM(C61:E61)</f>
        <v>14</v>
      </c>
      <c r="G61" s="103" t="n">
        <v>4</v>
      </c>
      <c r="H61" s="103" t="n">
        <v>0</v>
      </c>
      <c r="I61" s="103" t="n">
        <v>0</v>
      </c>
      <c r="J61" s="90" t="n">
        <f aca="false">SUM(G61:I61)</f>
        <v>4</v>
      </c>
      <c r="K61" s="90" t="n">
        <f aca="false">SUM(F61+J61)</f>
        <v>18</v>
      </c>
      <c r="M61" s="90" t="s">
        <v>71</v>
      </c>
      <c r="N61" s="44" t="n">
        <f aca="false">SUM(K47)</f>
        <v>933</v>
      </c>
      <c r="O61" s="44" t="n">
        <f aca="false">SUM(K62)</f>
        <v>710</v>
      </c>
      <c r="P61" s="72" t="n">
        <f aca="false">SUM(N61:O61)</f>
        <v>1643</v>
      </c>
    </row>
    <row r="62" customFormat="false" ht="15.75" hidden="false" customHeight="false" outlineLevel="0" collapsed="false">
      <c r="A62" s="91"/>
      <c r="B62" s="90" t="s">
        <v>71</v>
      </c>
      <c r="C62" s="93" t="n">
        <v>0</v>
      </c>
      <c r="D62" s="93" t="n">
        <v>418</v>
      </c>
      <c r="E62" s="93" t="n">
        <v>76</v>
      </c>
      <c r="F62" s="90" t="n">
        <f aca="false">SUM(C62:E62)</f>
        <v>494</v>
      </c>
      <c r="G62" s="103" t="n">
        <v>216</v>
      </c>
      <c r="H62" s="103" t="n">
        <v>0</v>
      </c>
      <c r="I62" s="103" t="n">
        <v>0</v>
      </c>
      <c r="J62" s="90" t="n">
        <f aca="false">SUM(G62:I62)</f>
        <v>216</v>
      </c>
      <c r="K62" s="90" t="n">
        <f aca="false">SUM(F62+J62)</f>
        <v>710</v>
      </c>
      <c r="M62" s="90" t="s">
        <v>72</v>
      </c>
      <c r="N62" s="44" t="n">
        <f aca="false">SUM(K48)</f>
        <v>68</v>
      </c>
      <c r="O62" s="44" t="n">
        <f aca="false">SUM(K63)</f>
        <v>53</v>
      </c>
      <c r="P62" s="72" t="n">
        <f aca="false">SUM(N62:O62)</f>
        <v>121</v>
      </c>
    </row>
    <row r="63" customFormat="false" ht="15.75" hidden="false" customHeight="false" outlineLevel="0" collapsed="false">
      <c r="A63" s="91"/>
      <c r="B63" s="90" t="s">
        <v>72</v>
      </c>
      <c r="C63" s="93" t="n">
        <v>0</v>
      </c>
      <c r="D63" s="93" t="n">
        <v>19</v>
      </c>
      <c r="E63" s="93" t="n">
        <v>5</v>
      </c>
      <c r="F63" s="90" t="n">
        <f aca="false">SUM(C63:E63)</f>
        <v>24</v>
      </c>
      <c r="G63" s="103" t="n">
        <v>29</v>
      </c>
      <c r="H63" s="103" t="n">
        <v>0</v>
      </c>
      <c r="I63" s="103" t="n">
        <v>0</v>
      </c>
      <c r="J63" s="90" t="n">
        <f aca="false">SUM(G63:I63)</f>
        <v>29</v>
      </c>
      <c r="K63" s="90" t="n">
        <f aca="false">SUM(F63+J63)</f>
        <v>53</v>
      </c>
      <c r="M63" s="90" t="s">
        <v>73</v>
      </c>
      <c r="N63" s="44" t="n">
        <f aca="false">SUM(K49)</f>
        <v>2</v>
      </c>
      <c r="O63" s="44" t="n">
        <f aca="false">SUM(K64)</f>
        <v>1</v>
      </c>
      <c r="P63" s="72" t="n">
        <f aca="false">SUM(N63:O63)</f>
        <v>3</v>
      </c>
    </row>
    <row r="64" customFormat="false" ht="16.5" hidden="false" customHeight="false" outlineLevel="0" collapsed="false">
      <c r="A64" s="91"/>
      <c r="B64" s="90" t="s">
        <v>73</v>
      </c>
      <c r="C64" s="93" t="n">
        <v>0</v>
      </c>
      <c r="D64" s="93" t="n">
        <v>0</v>
      </c>
      <c r="E64" s="93" t="n">
        <v>1</v>
      </c>
      <c r="F64" s="90" t="n">
        <f aca="false">SUM(C64:E64)</f>
        <v>1</v>
      </c>
      <c r="G64" s="103" t="n">
        <v>0</v>
      </c>
      <c r="H64" s="103" t="n">
        <v>0</v>
      </c>
      <c r="I64" s="103" t="n">
        <v>0</v>
      </c>
      <c r="J64" s="90" t="n">
        <f aca="false">SUM(G64:I64)</f>
        <v>0</v>
      </c>
      <c r="K64" s="90" t="n">
        <f aca="false">SUM(F64+J64)</f>
        <v>1</v>
      </c>
      <c r="M64" s="96" t="s">
        <v>64</v>
      </c>
      <c r="N64" s="73" t="n">
        <f aca="false">SUM(N57:N63)</f>
        <v>5347</v>
      </c>
      <c r="O64" s="73" t="n">
        <f aca="false">SUM(O57:O63)</f>
        <v>4067</v>
      </c>
      <c r="P64" s="73" t="n">
        <f aca="false">SUM(P57:P63)</f>
        <v>9414</v>
      </c>
    </row>
    <row r="65" customFormat="false" ht="17.25" hidden="false" customHeight="false" outlineLevel="0" collapsed="false">
      <c r="A65" s="91"/>
      <c r="B65" s="96" t="s">
        <v>64</v>
      </c>
      <c r="C65" s="94" t="n">
        <f aca="false">SUM(C58:C64)</f>
        <v>0</v>
      </c>
      <c r="D65" s="94" t="n">
        <f aca="false">SUM(D58:D64)</f>
        <v>2384</v>
      </c>
      <c r="E65" s="94" t="n">
        <f aca="false">SUM(E58:E64)</f>
        <v>434</v>
      </c>
      <c r="F65" s="94" t="n">
        <f aca="false">SUM(F58:F64)</f>
        <v>2818</v>
      </c>
      <c r="G65" s="94" t="n">
        <f aca="false">SUM(G58:G64)</f>
        <v>1249</v>
      </c>
      <c r="H65" s="94" t="n">
        <f aca="false">SUM(H58:H64)</f>
        <v>0</v>
      </c>
      <c r="I65" s="94" t="n">
        <f aca="false">SUM(I58:I64)</f>
        <v>0</v>
      </c>
      <c r="J65" s="94" t="n">
        <f aca="false">SUM(J58:J64)</f>
        <v>1249</v>
      </c>
      <c r="K65" s="94" t="n">
        <f aca="false">SUM(K58:K64)</f>
        <v>4067</v>
      </c>
      <c r="M65" s="99"/>
      <c r="N65" s="99"/>
      <c r="O65" s="99"/>
      <c r="P65" s="99"/>
    </row>
    <row r="66" customFormat="false" ht="16.5" hidden="false" customHeight="false" outlineLevel="0" collapsed="false">
      <c r="A66" s="100"/>
      <c r="B66" s="101"/>
      <c r="C66" s="102"/>
      <c r="D66" s="102"/>
      <c r="E66" s="102"/>
      <c r="F66" s="102"/>
      <c r="G66" s="102"/>
      <c r="H66" s="102"/>
      <c r="I66" s="102"/>
      <c r="J66" s="102"/>
      <c r="K66" s="102"/>
      <c r="M66" s="99"/>
      <c r="N66" s="99"/>
      <c r="O66" s="99"/>
      <c r="P66" s="99"/>
    </row>
    <row r="67" customFormat="false" ht="15.75" hidden="false" customHeight="false" outlineLevel="0" collapsed="false">
      <c r="A67" s="85" t="str">
        <f aca="false">$A$1</f>
        <v>प्रपत्र - क  -  अर्थसंकल्पीय अंदाजपत्रक सन 2021-2022</v>
      </c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</row>
    <row r="68" customFormat="false" ht="15.75" hidden="false" customHeight="false" outlineLevel="0" collapsed="false">
      <c r="A68" s="5" t="s">
        <v>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customFormat="false" ht="15.75" hidden="false" customHeight="false" outlineLevel="0" collapsed="false">
      <c r="A69" s="87" t="s">
        <v>3</v>
      </c>
      <c r="B69" s="87"/>
      <c r="C69" s="87"/>
      <c r="D69" s="87"/>
      <c r="E69" s="87"/>
      <c r="F69" s="87"/>
      <c r="G69" s="87"/>
      <c r="H69" s="87"/>
      <c r="I69" s="87"/>
      <c r="J69" s="87"/>
      <c r="K69" s="87"/>
    </row>
    <row r="70" customFormat="false" ht="15.75" hidden="false" customHeight="true" outlineLevel="0" collapsed="false">
      <c r="A70" s="88" t="s">
        <v>60</v>
      </c>
      <c r="B70" s="89" t="s">
        <v>61</v>
      </c>
      <c r="C70" s="89"/>
      <c r="D70" s="89"/>
      <c r="E70" s="89"/>
      <c r="F70" s="89"/>
      <c r="G70" s="89"/>
      <c r="H70" s="89"/>
      <c r="I70" s="89"/>
      <c r="J70" s="89"/>
      <c r="K70" s="89"/>
    </row>
    <row r="71" customFormat="false" ht="15.75" hidden="false" customHeight="true" outlineLevel="0" collapsed="false">
      <c r="A71" s="88"/>
      <c r="B71" s="90"/>
      <c r="C71" s="89" t="s">
        <v>62</v>
      </c>
      <c r="D71" s="89"/>
      <c r="E71" s="89"/>
      <c r="F71" s="89"/>
      <c r="G71" s="89" t="s">
        <v>63</v>
      </c>
      <c r="H71" s="89"/>
      <c r="I71" s="89"/>
      <c r="J71" s="89"/>
      <c r="K71" s="89" t="s">
        <v>64</v>
      </c>
    </row>
    <row r="72" customFormat="false" ht="15.75" hidden="false" customHeight="true" outlineLevel="0" collapsed="false">
      <c r="A72" s="91" t="s">
        <v>77</v>
      </c>
      <c r="B72" s="90" t="s">
        <v>5</v>
      </c>
      <c r="C72" s="88" t="s">
        <v>22</v>
      </c>
      <c r="D72" s="88" t="s">
        <v>25</v>
      </c>
      <c r="E72" s="88" t="s">
        <v>30</v>
      </c>
      <c r="F72" s="88" t="s">
        <v>64</v>
      </c>
      <c r="G72" s="88" t="s">
        <v>22</v>
      </c>
      <c r="H72" s="88" t="s">
        <v>25</v>
      </c>
      <c r="I72" s="88" t="s">
        <v>30</v>
      </c>
      <c r="J72" s="88" t="s">
        <v>64</v>
      </c>
      <c r="K72" s="88" t="s">
        <v>64</v>
      </c>
    </row>
    <row r="73" customFormat="false" ht="15.75" hidden="false" customHeight="false" outlineLevel="0" collapsed="false">
      <c r="A73" s="91"/>
      <c r="B73" s="92" t="s">
        <v>66</v>
      </c>
      <c r="C73" s="42" t="n">
        <v>0</v>
      </c>
      <c r="D73" s="93" t="n">
        <v>2</v>
      </c>
      <c r="E73" s="93" t="n">
        <v>0</v>
      </c>
      <c r="F73" s="90" t="n">
        <f aca="false">SUM(C73:E73)</f>
        <v>2</v>
      </c>
      <c r="G73" s="93" t="n">
        <v>0</v>
      </c>
      <c r="H73" s="93" t="n">
        <v>2</v>
      </c>
      <c r="I73" s="93" t="n">
        <v>0</v>
      </c>
      <c r="J73" s="90" t="n">
        <f aca="false">SUM(G73:I73)</f>
        <v>2</v>
      </c>
      <c r="K73" s="90" t="n">
        <f aca="false">SUM(F73+J73)</f>
        <v>4</v>
      </c>
    </row>
    <row r="74" customFormat="false" ht="15.75" hidden="false" customHeight="false" outlineLevel="0" collapsed="false">
      <c r="A74" s="91"/>
      <c r="B74" s="90" t="s">
        <v>67</v>
      </c>
      <c r="C74" s="42" t="n">
        <v>0</v>
      </c>
      <c r="D74" s="93" t="n">
        <v>507</v>
      </c>
      <c r="E74" s="93" t="n">
        <v>0</v>
      </c>
      <c r="F74" s="90" t="n">
        <f aca="false">SUM(C74:E74)</f>
        <v>507</v>
      </c>
      <c r="G74" s="93" t="n">
        <v>0</v>
      </c>
      <c r="H74" s="93" t="n">
        <v>740</v>
      </c>
      <c r="I74" s="93" t="n">
        <v>0</v>
      </c>
      <c r="J74" s="90" t="n">
        <f aca="false">SUM(G74:I74)</f>
        <v>740</v>
      </c>
      <c r="K74" s="90" t="n">
        <f aca="false">SUM(F74+J74)</f>
        <v>1247</v>
      </c>
    </row>
    <row r="75" customFormat="false" ht="15.75" hidden="false" customHeight="false" outlineLevel="0" collapsed="false">
      <c r="A75" s="91"/>
      <c r="B75" s="90" t="s">
        <v>68</v>
      </c>
      <c r="C75" s="93" t="n">
        <v>0</v>
      </c>
      <c r="D75" s="93" t="n">
        <v>0</v>
      </c>
      <c r="E75" s="93" t="n">
        <v>0</v>
      </c>
      <c r="F75" s="90" t="n">
        <f aca="false">SUM(C75:E75)</f>
        <v>0</v>
      </c>
      <c r="G75" s="93" t="n">
        <v>0</v>
      </c>
      <c r="H75" s="93" t="n">
        <v>0</v>
      </c>
      <c r="I75" s="93" t="n">
        <v>0</v>
      </c>
      <c r="J75" s="90" t="n">
        <f aca="false">SUM(G75:I75)</f>
        <v>0</v>
      </c>
      <c r="K75" s="90" t="n">
        <f aca="false">SUM(F75+J75)</f>
        <v>0</v>
      </c>
    </row>
    <row r="76" customFormat="false" ht="16.5" hidden="false" customHeight="false" outlineLevel="0" collapsed="false">
      <c r="A76" s="91"/>
      <c r="B76" s="94" t="s">
        <v>64</v>
      </c>
      <c r="C76" s="94" t="n">
        <f aca="false">SUM(C74:C75)</f>
        <v>0</v>
      </c>
      <c r="D76" s="94" t="n">
        <f aca="false">SUM(D74:D75)</f>
        <v>507</v>
      </c>
      <c r="E76" s="94" t="n">
        <f aca="false">SUM(E74:E75)</f>
        <v>0</v>
      </c>
      <c r="F76" s="94" t="n">
        <f aca="false">SUM(F74:F75)</f>
        <v>507</v>
      </c>
      <c r="G76" s="94" t="n">
        <f aca="false">SUM(G74:G75)</f>
        <v>0</v>
      </c>
      <c r="H76" s="94" t="n">
        <f aca="false">SUM(H74:H75)</f>
        <v>740</v>
      </c>
      <c r="I76" s="94" t="n">
        <f aca="false">SUM(I74:I75)</f>
        <v>0</v>
      </c>
      <c r="J76" s="94" t="n">
        <f aca="false">SUM(J74:J75)</f>
        <v>740</v>
      </c>
      <c r="K76" s="94" t="n">
        <f aca="false">SUM(K74:K75)</f>
        <v>1247</v>
      </c>
    </row>
    <row r="77" customFormat="false" ht="16.5" hidden="false" customHeight="false" outlineLevel="0" collapsed="false">
      <c r="A77" s="91"/>
      <c r="B77" s="95" t="s">
        <v>8</v>
      </c>
      <c r="C77" s="98" t="n">
        <v>0</v>
      </c>
      <c r="D77" s="98" t="n">
        <v>0</v>
      </c>
      <c r="E77" s="98" t="n">
        <v>0</v>
      </c>
      <c r="F77" s="90" t="n">
        <f aca="false">SUM(C77:E77)</f>
        <v>0</v>
      </c>
      <c r="G77" s="98" t="n">
        <v>0</v>
      </c>
      <c r="H77" s="98" t="n">
        <v>0</v>
      </c>
      <c r="I77" s="98" t="n">
        <v>0</v>
      </c>
      <c r="J77" s="90" t="n">
        <f aca="false">SUM(G77:I77)</f>
        <v>0</v>
      </c>
      <c r="K77" s="90" t="n">
        <f aca="false">SUM(F77+J77)</f>
        <v>0</v>
      </c>
    </row>
    <row r="78" customFormat="false" ht="15.75" hidden="false" customHeight="false" outlineLevel="0" collapsed="false">
      <c r="A78" s="91"/>
      <c r="B78" s="90" t="s">
        <v>69</v>
      </c>
      <c r="C78" s="93" t="n">
        <v>0</v>
      </c>
      <c r="D78" s="93" t="n">
        <v>127</v>
      </c>
      <c r="E78" s="93" t="n">
        <v>0</v>
      </c>
      <c r="F78" s="90" t="n">
        <f aca="false">SUM(C78:E78)</f>
        <v>127</v>
      </c>
      <c r="G78" s="93" t="n">
        <v>0</v>
      </c>
      <c r="H78" s="93" t="n">
        <v>185</v>
      </c>
      <c r="I78" s="93" t="n">
        <v>0</v>
      </c>
      <c r="J78" s="90" t="n">
        <f aca="false">SUM(G78:I78)</f>
        <v>185</v>
      </c>
      <c r="K78" s="90" t="n">
        <f aca="false">SUM(F78+J78)</f>
        <v>312</v>
      </c>
    </row>
    <row r="79" customFormat="false" ht="15.75" hidden="false" customHeight="false" outlineLevel="0" collapsed="false">
      <c r="A79" s="91"/>
      <c r="B79" s="90" t="s">
        <v>70</v>
      </c>
      <c r="C79" s="93" t="n">
        <v>0</v>
      </c>
      <c r="D79" s="93" t="n">
        <v>7</v>
      </c>
      <c r="E79" s="93" t="n">
        <v>0</v>
      </c>
      <c r="F79" s="90" t="n">
        <f aca="false">SUM(C79:E79)</f>
        <v>7</v>
      </c>
      <c r="G79" s="93" t="n">
        <v>0</v>
      </c>
      <c r="H79" s="93" t="n">
        <v>8</v>
      </c>
      <c r="I79" s="93" t="n">
        <v>0</v>
      </c>
      <c r="J79" s="90" t="n">
        <f aca="false">SUM(G79:I79)</f>
        <v>8</v>
      </c>
      <c r="K79" s="90" t="n">
        <f aca="false">SUM(F79+J79)</f>
        <v>15</v>
      </c>
    </row>
    <row r="80" customFormat="false" ht="15.75" hidden="false" customHeight="false" outlineLevel="0" collapsed="false">
      <c r="A80" s="91"/>
      <c r="B80" s="90" t="s">
        <v>71</v>
      </c>
      <c r="C80" s="93" t="n">
        <v>0</v>
      </c>
      <c r="D80" s="93" t="n">
        <v>137</v>
      </c>
      <c r="E80" s="93" t="n">
        <v>0</v>
      </c>
      <c r="F80" s="90" t="n">
        <f aca="false">SUM(C80:E80)</f>
        <v>137</v>
      </c>
      <c r="G80" s="93" t="n">
        <v>0</v>
      </c>
      <c r="H80" s="93" t="n">
        <v>200</v>
      </c>
      <c r="I80" s="93" t="n">
        <v>0</v>
      </c>
      <c r="J80" s="90" t="n">
        <f aca="false">SUM(G80:I80)</f>
        <v>200</v>
      </c>
      <c r="K80" s="90" t="n">
        <f aca="false">SUM(F80+J80)</f>
        <v>337</v>
      </c>
    </row>
    <row r="81" customFormat="false" ht="15.75" hidden="false" customHeight="false" outlineLevel="0" collapsed="false">
      <c r="A81" s="91"/>
      <c r="B81" s="90" t="s">
        <v>72</v>
      </c>
      <c r="C81" s="93" t="n">
        <v>0</v>
      </c>
      <c r="D81" s="93" t="n">
        <v>9</v>
      </c>
      <c r="E81" s="93" t="n">
        <v>0</v>
      </c>
      <c r="F81" s="90" t="n">
        <f aca="false">SUM(C81:E81)</f>
        <v>9</v>
      </c>
      <c r="G81" s="93" t="n">
        <v>0</v>
      </c>
      <c r="H81" s="93" t="n">
        <v>10</v>
      </c>
      <c r="I81" s="93" t="n">
        <v>0</v>
      </c>
      <c r="J81" s="90" t="n">
        <f aca="false">SUM(G81:I81)</f>
        <v>10</v>
      </c>
      <c r="K81" s="90" t="n">
        <f aca="false">SUM(F81+J81)</f>
        <v>19</v>
      </c>
    </row>
    <row r="82" customFormat="false" ht="15.75" hidden="false" customHeight="false" outlineLevel="0" collapsed="false">
      <c r="A82" s="91"/>
      <c r="B82" s="90" t="s">
        <v>73</v>
      </c>
      <c r="C82" s="93" t="n">
        <v>0</v>
      </c>
      <c r="D82" s="93" t="n">
        <v>0</v>
      </c>
      <c r="E82" s="93" t="n">
        <v>0</v>
      </c>
      <c r="F82" s="90" t="n">
        <f aca="false">SUM(C82:E82)</f>
        <v>0</v>
      </c>
      <c r="G82" s="93" t="n">
        <v>0</v>
      </c>
      <c r="H82" s="93" t="n">
        <v>0</v>
      </c>
      <c r="I82" s="93" t="n">
        <v>0</v>
      </c>
      <c r="J82" s="90" t="n">
        <f aca="false">SUM(G82:I82)</f>
        <v>0</v>
      </c>
      <c r="K82" s="90" t="n">
        <f aca="false">SUM(F82+J82)</f>
        <v>0</v>
      </c>
    </row>
    <row r="83" customFormat="false" ht="16.5" hidden="false" customHeight="false" outlineLevel="0" collapsed="false">
      <c r="A83" s="91"/>
      <c r="B83" s="96" t="s">
        <v>64</v>
      </c>
      <c r="C83" s="94" t="n">
        <f aca="false">SUM(C76:C82)</f>
        <v>0</v>
      </c>
      <c r="D83" s="94" t="n">
        <f aca="false">SUM(D76:D82)</f>
        <v>787</v>
      </c>
      <c r="E83" s="94" t="n">
        <f aca="false">SUM(E76:E82)</f>
        <v>0</v>
      </c>
      <c r="F83" s="94" t="n">
        <f aca="false">SUM(F76:F82)</f>
        <v>787</v>
      </c>
      <c r="G83" s="94" t="n">
        <f aca="false">SUM(G76:G82)</f>
        <v>0</v>
      </c>
      <c r="H83" s="94" t="n">
        <f aca="false">SUM(H76:H82)</f>
        <v>1143</v>
      </c>
      <c r="I83" s="94" t="n">
        <f aca="false">SUM(I76:I82)</f>
        <v>0</v>
      </c>
      <c r="J83" s="94" t="n">
        <f aca="false">SUM(J76:J82)</f>
        <v>1143</v>
      </c>
      <c r="K83" s="94" t="n">
        <f aca="false">SUM(K76:K82)</f>
        <v>1930</v>
      </c>
    </row>
    <row r="84" customFormat="false" ht="16.5" hidden="false" customHeight="false" outlineLevel="0" collapsed="false"/>
    <row r="85" customFormat="false" ht="15.75" hidden="false" customHeight="true" outlineLevel="0" collapsed="false">
      <c r="A85" s="88" t="s">
        <v>60</v>
      </c>
      <c r="B85" s="89" t="s">
        <v>74</v>
      </c>
      <c r="C85" s="89"/>
      <c r="D85" s="89"/>
      <c r="E85" s="89"/>
      <c r="F85" s="89"/>
      <c r="G85" s="89"/>
      <c r="H85" s="89"/>
      <c r="I85" s="89"/>
      <c r="J85" s="89"/>
      <c r="K85" s="89"/>
      <c r="M85" s="97" t="s">
        <v>75</v>
      </c>
      <c r="N85" s="97"/>
      <c r="O85" s="97"/>
      <c r="P85" s="97"/>
    </row>
    <row r="86" customFormat="false" ht="15.75" hidden="false" customHeight="false" outlineLevel="0" collapsed="false">
      <c r="A86" s="88"/>
      <c r="B86" s="90"/>
      <c r="C86" s="89" t="s">
        <v>62</v>
      </c>
      <c r="D86" s="89"/>
      <c r="E86" s="89"/>
      <c r="F86" s="89"/>
      <c r="G86" s="89" t="s">
        <v>63</v>
      </c>
      <c r="H86" s="89"/>
      <c r="I86" s="89"/>
      <c r="J86" s="89"/>
      <c r="K86" s="89" t="s">
        <v>64</v>
      </c>
      <c r="M86" s="90" t="s">
        <v>5</v>
      </c>
      <c r="N86" s="44" t="s">
        <v>61</v>
      </c>
      <c r="O86" s="44" t="s">
        <v>74</v>
      </c>
      <c r="P86" s="89" t="s">
        <v>64</v>
      </c>
    </row>
    <row r="87" customFormat="false" ht="15.75" hidden="false" customHeight="true" outlineLevel="0" collapsed="false">
      <c r="A87" s="91" t="s">
        <v>77</v>
      </c>
      <c r="B87" s="90" t="s">
        <v>5</v>
      </c>
      <c r="C87" s="88" t="s">
        <v>22</v>
      </c>
      <c r="D87" s="88" t="s">
        <v>25</v>
      </c>
      <c r="E87" s="88" t="s">
        <v>30</v>
      </c>
      <c r="F87" s="88" t="s">
        <v>64</v>
      </c>
      <c r="G87" s="88" t="s">
        <v>22</v>
      </c>
      <c r="H87" s="88" t="s">
        <v>25</v>
      </c>
      <c r="I87" s="88" t="s">
        <v>30</v>
      </c>
      <c r="J87" s="88" t="s">
        <v>64</v>
      </c>
      <c r="K87" s="88"/>
      <c r="M87" s="92" t="s">
        <v>66</v>
      </c>
      <c r="N87" s="44" t="n">
        <f aca="false">K73</f>
        <v>4</v>
      </c>
      <c r="O87" s="44" t="n">
        <f aca="false">K88</f>
        <v>4</v>
      </c>
      <c r="P87" s="72" t="n">
        <f aca="false">SUM(N87:O87)</f>
        <v>8</v>
      </c>
    </row>
    <row r="88" customFormat="false" ht="15.75" hidden="false" customHeight="false" outlineLevel="0" collapsed="false">
      <c r="A88" s="91"/>
      <c r="B88" s="92" t="s">
        <v>66</v>
      </c>
      <c r="C88" s="93" t="n">
        <v>2</v>
      </c>
      <c r="D88" s="93" t="n">
        <v>0</v>
      </c>
      <c r="E88" s="93" t="n">
        <v>0</v>
      </c>
      <c r="F88" s="90" t="n">
        <f aca="false">SUM(C88:E88)</f>
        <v>2</v>
      </c>
      <c r="G88" s="93" t="n">
        <v>0</v>
      </c>
      <c r="H88" s="93" t="n">
        <v>0</v>
      </c>
      <c r="I88" s="93" t="n">
        <v>2</v>
      </c>
      <c r="J88" s="90" t="n">
        <f aca="false">SUM(G88:I88)</f>
        <v>2</v>
      </c>
      <c r="K88" s="90" t="n">
        <f aca="false">SUM(F88+J88)</f>
        <v>4</v>
      </c>
      <c r="M88" s="90" t="s">
        <v>67</v>
      </c>
      <c r="N88" s="44" t="n">
        <f aca="false">K74</f>
        <v>1247</v>
      </c>
      <c r="O88" s="44" t="n">
        <f aca="false">K89</f>
        <v>2340</v>
      </c>
      <c r="P88" s="72" t="n">
        <f aca="false">SUM(N88:O88)</f>
        <v>3587</v>
      </c>
    </row>
    <row r="89" customFormat="false" ht="15.75" hidden="false" customHeight="false" outlineLevel="0" collapsed="false">
      <c r="A89" s="91"/>
      <c r="B89" s="90" t="s">
        <v>67</v>
      </c>
      <c r="C89" s="93" t="n">
        <v>1980</v>
      </c>
      <c r="D89" s="93" t="n">
        <v>0</v>
      </c>
      <c r="E89" s="93" t="n">
        <v>0</v>
      </c>
      <c r="F89" s="90" t="n">
        <f aca="false">SUM(C89:E89)</f>
        <v>1980</v>
      </c>
      <c r="G89" s="93" t="n">
        <v>0</v>
      </c>
      <c r="H89" s="93" t="n">
        <v>0</v>
      </c>
      <c r="I89" s="93" t="n">
        <v>360</v>
      </c>
      <c r="J89" s="90" t="n">
        <f aca="false">SUM(G89:I89)</f>
        <v>360</v>
      </c>
      <c r="K89" s="90" t="n">
        <f aca="false">SUM(F89+J89)</f>
        <v>2340</v>
      </c>
      <c r="M89" s="90" t="s">
        <v>68</v>
      </c>
      <c r="N89" s="44" t="n">
        <f aca="false">K75</f>
        <v>0</v>
      </c>
      <c r="O89" s="44" t="n">
        <f aca="false">K90</f>
        <v>0</v>
      </c>
      <c r="P89" s="72" t="n">
        <f aca="false">SUM(N89:O89)</f>
        <v>0</v>
      </c>
    </row>
    <row r="90" customFormat="false" ht="16.5" hidden="false" customHeight="false" outlineLevel="0" collapsed="false">
      <c r="A90" s="91"/>
      <c r="B90" s="90" t="s">
        <v>68</v>
      </c>
      <c r="C90" s="93" t="n">
        <v>0</v>
      </c>
      <c r="D90" s="93" t="n">
        <v>0</v>
      </c>
      <c r="E90" s="93" t="n">
        <v>0</v>
      </c>
      <c r="F90" s="90" t="n">
        <f aca="false">SUM(C90:E90)</f>
        <v>0</v>
      </c>
      <c r="G90" s="93" t="n">
        <v>0</v>
      </c>
      <c r="H90" s="93" t="n">
        <v>0</v>
      </c>
      <c r="I90" s="93" t="n">
        <v>0</v>
      </c>
      <c r="J90" s="90" t="n">
        <f aca="false">SUM(G90:I90)</f>
        <v>0</v>
      </c>
      <c r="K90" s="90" t="n">
        <f aca="false">SUM(F90+J90)</f>
        <v>0</v>
      </c>
      <c r="M90" s="94" t="s">
        <v>64</v>
      </c>
      <c r="N90" s="47" t="n">
        <f aca="false">K76</f>
        <v>1247</v>
      </c>
      <c r="O90" s="47" t="n">
        <f aca="false">K91</f>
        <v>2340</v>
      </c>
      <c r="P90" s="72" t="n">
        <f aca="false">SUM(N90:O90)</f>
        <v>3587</v>
      </c>
    </row>
    <row r="91" customFormat="false" ht="17.25" hidden="false" customHeight="false" outlineLevel="0" collapsed="false">
      <c r="A91" s="91"/>
      <c r="B91" s="94" t="s">
        <v>64</v>
      </c>
      <c r="C91" s="94" t="n">
        <f aca="false">SUM(C89:C90)</f>
        <v>1980</v>
      </c>
      <c r="D91" s="94" t="n">
        <f aca="false">SUM(D89:D90)</f>
        <v>0</v>
      </c>
      <c r="E91" s="94" t="n">
        <f aca="false">SUM(E89:E90)</f>
        <v>0</v>
      </c>
      <c r="F91" s="94" t="n">
        <f aca="false">SUM(F89:F90)</f>
        <v>1980</v>
      </c>
      <c r="G91" s="94" t="n">
        <f aca="false">SUM(G89:G90)</f>
        <v>0</v>
      </c>
      <c r="H91" s="94" t="n">
        <f aca="false">SUM(H89:H90)</f>
        <v>0</v>
      </c>
      <c r="I91" s="94" t="n">
        <f aca="false">SUM(I89:I90)</f>
        <v>360</v>
      </c>
      <c r="J91" s="94" t="n">
        <f aca="false">SUM(J89:J90)</f>
        <v>360</v>
      </c>
      <c r="K91" s="94" t="n">
        <f aca="false">SUM(K89:K90)</f>
        <v>2340</v>
      </c>
      <c r="M91" s="95" t="s">
        <v>69</v>
      </c>
      <c r="N91" s="54" t="n">
        <f aca="false">SUM(K78)</f>
        <v>312</v>
      </c>
      <c r="O91" s="54" t="n">
        <f aca="false">SUM(K93)</f>
        <v>586</v>
      </c>
      <c r="P91" s="72" t="n">
        <f aca="false">SUM(N91:O91)</f>
        <v>898</v>
      </c>
    </row>
    <row r="92" customFormat="false" ht="16.5" hidden="false" customHeight="false" outlineLevel="0" collapsed="false">
      <c r="A92" s="91"/>
      <c r="B92" s="95" t="s">
        <v>8</v>
      </c>
      <c r="C92" s="98" t="n">
        <v>0</v>
      </c>
      <c r="D92" s="98" t="n">
        <v>0</v>
      </c>
      <c r="E92" s="98" t="n">
        <v>0</v>
      </c>
      <c r="F92" s="90" t="n">
        <f aca="false">SUM(C92:E92)</f>
        <v>0</v>
      </c>
      <c r="G92" s="98" t="n">
        <v>0</v>
      </c>
      <c r="H92" s="98" t="n">
        <v>0</v>
      </c>
      <c r="I92" s="98" t="n">
        <v>0</v>
      </c>
      <c r="J92" s="90" t="n">
        <f aca="false">SUM(G92:I92)</f>
        <v>0</v>
      </c>
      <c r="K92" s="90" t="n">
        <f aca="false">SUM(F92+J92)</f>
        <v>0</v>
      </c>
      <c r="M92" s="95" t="s">
        <v>8</v>
      </c>
      <c r="N92" s="44" t="n">
        <f aca="false">SUM(K77)</f>
        <v>0</v>
      </c>
      <c r="O92" s="44" t="n">
        <f aca="false">SUM(K92)</f>
        <v>0</v>
      </c>
      <c r="P92" s="72" t="n">
        <f aca="false">SUM(N92:O92)</f>
        <v>0</v>
      </c>
    </row>
    <row r="93" customFormat="false" ht="15.75" hidden="false" customHeight="false" outlineLevel="0" collapsed="false">
      <c r="A93" s="91"/>
      <c r="B93" s="90" t="s">
        <v>69</v>
      </c>
      <c r="C93" s="93" t="n">
        <v>496</v>
      </c>
      <c r="D93" s="93" t="n">
        <v>0</v>
      </c>
      <c r="E93" s="93" t="n">
        <v>0</v>
      </c>
      <c r="F93" s="90" t="n">
        <f aca="false">SUM(C93:E93)</f>
        <v>496</v>
      </c>
      <c r="G93" s="93" t="n">
        <v>0</v>
      </c>
      <c r="H93" s="93" t="n">
        <v>0</v>
      </c>
      <c r="I93" s="93" t="n">
        <v>90</v>
      </c>
      <c r="J93" s="90" t="n">
        <f aca="false">SUM(G93:I93)</f>
        <v>90</v>
      </c>
      <c r="K93" s="90" t="n">
        <f aca="false">SUM(F93+J93)</f>
        <v>586</v>
      </c>
      <c r="M93" s="90" t="s">
        <v>70</v>
      </c>
      <c r="N93" s="44" t="n">
        <f aca="false">SUM(K79)</f>
        <v>15</v>
      </c>
      <c r="O93" s="44" t="n">
        <f aca="false">SUM(K94)</f>
        <v>12</v>
      </c>
      <c r="P93" s="72" t="n">
        <f aca="false">SUM(N93:O93)</f>
        <v>27</v>
      </c>
    </row>
    <row r="94" customFormat="false" ht="15.75" hidden="false" customHeight="false" outlineLevel="0" collapsed="false">
      <c r="A94" s="91"/>
      <c r="B94" s="90" t="s">
        <v>70</v>
      </c>
      <c r="C94" s="93" t="n">
        <f aca="false">4*2</f>
        <v>8</v>
      </c>
      <c r="D94" s="93" t="n">
        <v>0</v>
      </c>
      <c r="E94" s="93" t="n">
        <v>0</v>
      </c>
      <c r="F94" s="90" t="n">
        <f aca="false">SUM(C94:E94)</f>
        <v>8</v>
      </c>
      <c r="G94" s="93" t="n">
        <v>0</v>
      </c>
      <c r="H94" s="93" t="n">
        <v>0</v>
      </c>
      <c r="I94" s="93" t="n">
        <v>4</v>
      </c>
      <c r="J94" s="90" t="n">
        <f aca="false">SUM(G94:I94)</f>
        <v>4</v>
      </c>
      <c r="K94" s="90" t="n">
        <f aca="false">SUM(F94+J94)</f>
        <v>12</v>
      </c>
      <c r="M94" s="90" t="s">
        <v>71</v>
      </c>
      <c r="N94" s="44" t="n">
        <f aca="false">SUM(K80)</f>
        <v>337</v>
      </c>
      <c r="O94" s="44" t="n">
        <f aca="false">SUM(K95)</f>
        <v>632</v>
      </c>
      <c r="P94" s="72" t="n">
        <f aca="false">SUM(N94:O94)</f>
        <v>969</v>
      </c>
    </row>
    <row r="95" customFormat="false" ht="15.75" hidden="false" customHeight="false" outlineLevel="0" collapsed="false">
      <c r="A95" s="91"/>
      <c r="B95" s="90" t="s">
        <v>71</v>
      </c>
      <c r="C95" s="93" t="n">
        <v>535</v>
      </c>
      <c r="D95" s="93" t="n">
        <v>0</v>
      </c>
      <c r="E95" s="93" t="n">
        <v>0</v>
      </c>
      <c r="F95" s="90" t="n">
        <f aca="false">SUM(C95:E95)</f>
        <v>535</v>
      </c>
      <c r="G95" s="93" t="n">
        <v>0</v>
      </c>
      <c r="H95" s="93" t="n">
        <v>0</v>
      </c>
      <c r="I95" s="93" t="n">
        <v>97</v>
      </c>
      <c r="J95" s="90" t="n">
        <f aca="false">SUM(G95:I95)</f>
        <v>97</v>
      </c>
      <c r="K95" s="90" t="n">
        <f aca="false">SUM(F95+J95)</f>
        <v>632</v>
      </c>
      <c r="M95" s="90" t="s">
        <v>72</v>
      </c>
      <c r="N95" s="44" t="n">
        <f aca="false">SUM(K81)</f>
        <v>19</v>
      </c>
      <c r="O95" s="44" t="n">
        <f aca="false">SUM(K96)</f>
        <v>20</v>
      </c>
      <c r="P95" s="72" t="n">
        <f aca="false">SUM(N95:O95)</f>
        <v>39</v>
      </c>
    </row>
    <row r="96" customFormat="false" ht="15.75" hidden="false" customHeight="false" outlineLevel="0" collapsed="false">
      <c r="A96" s="91"/>
      <c r="B96" s="90" t="s">
        <v>72</v>
      </c>
      <c r="C96" s="93" t="n">
        <v>10</v>
      </c>
      <c r="D96" s="93" t="n">
        <v>0</v>
      </c>
      <c r="E96" s="93" t="n">
        <v>0</v>
      </c>
      <c r="F96" s="90" t="n">
        <f aca="false">SUM(C96:E96)</f>
        <v>10</v>
      </c>
      <c r="G96" s="93" t="n">
        <v>0</v>
      </c>
      <c r="H96" s="93" t="n">
        <v>0</v>
      </c>
      <c r="I96" s="93" t="n">
        <v>10</v>
      </c>
      <c r="J96" s="90" t="n">
        <f aca="false">SUM(G96:I96)</f>
        <v>10</v>
      </c>
      <c r="K96" s="90" t="n">
        <f aca="false">SUM(F96+J96)</f>
        <v>20</v>
      </c>
      <c r="M96" s="90" t="s">
        <v>73</v>
      </c>
      <c r="N96" s="44" t="n">
        <f aca="false">SUM(K82)</f>
        <v>0</v>
      </c>
      <c r="O96" s="44" t="n">
        <f aca="false">SUM(K97)</f>
        <v>1</v>
      </c>
      <c r="P96" s="72" t="n">
        <f aca="false">SUM(N96:O96)</f>
        <v>1</v>
      </c>
    </row>
    <row r="97" customFormat="false" ht="16.5" hidden="false" customHeight="false" outlineLevel="0" collapsed="false">
      <c r="A97" s="91"/>
      <c r="B97" s="90" t="s">
        <v>73</v>
      </c>
      <c r="C97" s="93" t="n">
        <v>0</v>
      </c>
      <c r="D97" s="93" t="n">
        <v>0</v>
      </c>
      <c r="E97" s="93" t="n">
        <v>0</v>
      </c>
      <c r="F97" s="90" t="n">
        <f aca="false">SUM(C97:E97)</f>
        <v>0</v>
      </c>
      <c r="G97" s="93" t="n">
        <v>0</v>
      </c>
      <c r="H97" s="93" t="n">
        <v>0</v>
      </c>
      <c r="I97" s="93" t="n">
        <v>1</v>
      </c>
      <c r="J97" s="90" t="n">
        <f aca="false">SUM(G97:I97)</f>
        <v>1</v>
      </c>
      <c r="K97" s="90" t="n">
        <f aca="false">SUM(F97+J97)</f>
        <v>1</v>
      </c>
      <c r="M97" s="96" t="s">
        <v>64</v>
      </c>
      <c r="N97" s="73" t="n">
        <f aca="false">SUM(N90:N96)</f>
        <v>1930</v>
      </c>
      <c r="O97" s="73" t="n">
        <f aca="false">SUM(O90:O96)</f>
        <v>3591</v>
      </c>
      <c r="P97" s="73" t="n">
        <f aca="false">SUM(P90:P96)</f>
        <v>5521</v>
      </c>
    </row>
    <row r="98" customFormat="false" ht="17.25" hidden="false" customHeight="false" outlineLevel="0" collapsed="false">
      <c r="A98" s="91"/>
      <c r="B98" s="96" t="s">
        <v>64</v>
      </c>
      <c r="C98" s="94" t="n">
        <f aca="false">SUM(C91:C97)</f>
        <v>3029</v>
      </c>
      <c r="D98" s="94" t="n">
        <f aca="false">SUM(D91:D97)</f>
        <v>0</v>
      </c>
      <c r="E98" s="94" t="n">
        <f aca="false">SUM(E91:E97)</f>
        <v>0</v>
      </c>
      <c r="F98" s="94" t="n">
        <f aca="false">SUM(F91:F97)</f>
        <v>3029</v>
      </c>
      <c r="G98" s="94" t="n">
        <f aca="false">SUM(G91:G97)</f>
        <v>0</v>
      </c>
      <c r="H98" s="94" t="n">
        <f aca="false">SUM(H91:H97)</f>
        <v>0</v>
      </c>
      <c r="I98" s="94" t="n">
        <f aca="false">SUM(I91:I97)</f>
        <v>562</v>
      </c>
      <c r="J98" s="94" t="n">
        <f aca="false">SUM(J91:J97)</f>
        <v>562</v>
      </c>
      <c r="K98" s="94" t="n">
        <f aca="false">SUM(K91:K97)</f>
        <v>3591</v>
      </c>
      <c r="M98" s="99"/>
      <c r="N98" s="99"/>
      <c r="O98" s="99"/>
      <c r="P98" s="99"/>
    </row>
    <row r="99" customFormat="false" ht="16.5" hidden="false" customHeight="false" outlineLevel="0" collapsed="false">
      <c r="A99" s="85" t="str">
        <f aca="false">$A$1</f>
        <v>प्रपत्र - क  -  अर्थसंकल्पीय अंदाजपत्रक सन 2021-2022</v>
      </c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</row>
    <row r="100" customFormat="false" ht="15.75" hidden="false" customHeight="false" outlineLevel="0" collapsed="false">
      <c r="A100" s="5" t="s">
        <v>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customFormat="false" ht="15.75" hidden="false" customHeight="false" outlineLevel="0" collapsed="false">
      <c r="A101" s="87" t="s">
        <v>3</v>
      </c>
      <c r="B101" s="87"/>
      <c r="C101" s="87"/>
      <c r="D101" s="87"/>
      <c r="E101" s="87"/>
      <c r="F101" s="87"/>
      <c r="G101" s="87"/>
      <c r="H101" s="87"/>
      <c r="I101" s="87"/>
      <c r="J101" s="87"/>
      <c r="K101" s="87"/>
    </row>
    <row r="102" customFormat="false" ht="15.75" hidden="false" customHeight="true" outlineLevel="0" collapsed="false">
      <c r="A102" s="88" t="s">
        <v>60</v>
      </c>
      <c r="B102" s="89" t="s">
        <v>61</v>
      </c>
      <c r="C102" s="89"/>
      <c r="D102" s="89"/>
      <c r="E102" s="89"/>
      <c r="F102" s="89"/>
      <c r="G102" s="89"/>
      <c r="H102" s="89"/>
      <c r="I102" s="89"/>
      <c r="J102" s="89"/>
      <c r="K102" s="89"/>
    </row>
    <row r="103" customFormat="false" ht="15.75" hidden="false" customHeight="true" outlineLevel="0" collapsed="false">
      <c r="A103" s="88"/>
      <c r="B103" s="90"/>
      <c r="C103" s="89" t="s">
        <v>62</v>
      </c>
      <c r="D103" s="89"/>
      <c r="E103" s="89"/>
      <c r="F103" s="89"/>
      <c r="G103" s="89" t="s">
        <v>63</v>
      </c>
      <c r="H103" s="89"/>
      <c r="I103" s="89"/>
      <c r="J103" s="89"/>
      <c r="K103" s="89" t="s">
        <v>64</v>
      </c>
    </row>
    <row r="104" customFormat="false" ht="15.75" hidden="false" customHeight="true" outlineLevel="0" collapsed="false">
      <c r="A104" s="91" t="s">
        <v>78</v>
      </c>
      <c r="B104" s="90" t="s">
        <v>5</v>
      </c>
      <c r="C104" s="88" t="s">
        <v>22</v>
      </c>
      <c r="D104" s="88" t="s">
        <v>25</v>
      </c>
      <c r="E104" s="88" t="s">
        <v>30</v>
      </c>
      <c r="F104" s="88" t="s">
        <v>64</v>
      </c>
      <c r="G104" s="88" t="s">
        <v>22</v>
      </c>
      <c r="H104" s="88" t="s">
        <v>25</v>
      </c>
      <c r="I104" s="88" t="s">
        <v>30</v>
      </c>
      <c r="J104" s="88" t="s">
        <v>64</v>
      </c>
      <c r="K104" s="88" t="s">
        <v>64</v>
      </c>
    </row>
    <row r="105" customFormat="false" ht="15.75" hidden="false" customHeight="false" outlineLevel="0" collapsed="false">
      <c r="A105" s="91"/>
      <c r="B105" s="92" t="s">
        <v>66</v>
      </c>
      <c r="C105" s="42"/>
      <c r="D105" s="93"/>
      <c r="E105" s="93"/>
      <c r="F105" s="90" t="n">
        <v>0</v>
      </c>
      <c r="G105" s="93"/>
      <c r="H105" s="93"/>
      <c r="I105" s="93"/>
      <c r="J105" s="90" t="n">
        <f aca="false">SUM(G105:I105)</f>
        <v>0</v>
      </c>
      <c r="K105" s="90" t="n">
        <v>0</v>
      </c>
    </row>
    <row r="106" customFormat="false" ht="15.75" hidden="false" customHeight="false" outlineLevel="0" collapsed="false">
      <c r="A106" s="91"/>
      <c r="B106" s="90" t="s">
        <v>67</v>
      </c>
      <c r="C106" s="42"/>
      <c r="D106" s="93"/>
      <c r="E106" s="93"/>
      <c r="F106" s="90" t="n">
        <v>0</v>
      </c>
      <c r="G106" s="93"/>
      <c r="H106" s="93"/>
      <c r="I106" s="93"/>
      <c r="J106" s="90" t="n">
        <f aca="false">SUM(G106:I106)</f>
        <v>0</v>
      </c>
      <c r="K106" s="90" t="n">
        <v>0</v>
      </c>
    </row>
    <row r="107" customFormat="false" ht="15.75" hidden="false" customHeight="false" outlineLevel="0" collapsed="false">
      <c r="A107" s="91"/>
      <c r="B107" s="90" t="s">
        <v>68</v>
      </c>
      <c r="C107" s="93"/>
      <c r="D107" s="93"/>
      <c r="E107" s="93"/>
      <c r="F107" s="90" t="n">
        <v>0</v>
      </c>
      <c r="G107" s="93"/>
      <c r="H107" s="93"/>
      <c r="I107" s="93"/>
      <c r="J107" s="90" t="n">
        <f aca="false">SUM(G107:I107)</f>
        <v>0</v>
      </c>
      <c r="K107" s="90" t="n">
        <v>0</v>
      </c>
    </row>
    <row r="108" customFormat="false" ht="16.5" hidden="false" customHeight="false" outlineLevel="0" collapsed="false">
      <c r="A108" s="91"/>
      <c r="B108" s="94" t="s">
        <v>64</v>
      </c>
      <c r="C108" s="94" t="n">
        <v>0</v>
      </c>
      <c r="D108" s="94" t="n">
        <v>0</v>
      </c>
      <c r="E108" s="94" t="n">
        <v>0</v>
      </c>
      <c r="F108" s="94" t="n">
        <v>0</v>
      </c>
      <c r="G108" s="94" t="n">
        <v>0</v>
      </c>
      <c r="H108" s="94" t="n">
        <v>0</v>
      </c>
      <c r="I108" s="94" t="n">
        <v>0</v>
      </c>
      <c r="J108" s="94" t="n">
        <v>0</v>
      </c>
      <c r="K108" s="94" t="n">
        <v>0</v>
      </c>
    </row>
    <row r="109" customFormat="false" ht="16.5" hidden="false" customHeight="false" outlineLevel="0" collapsed="false">
      <c r="A109" s="91"/>
      <c r="B109" s="95" t="s">
        <v>8</v>
      </c>
      <c r="C109" s="98"/>
      <c r="D109" s="98"/>
      <c r="E109" s="98"/>
      <c r="F109" s="90" t="n">
        <v>0</v>
      </c>
      <c r="G109" s="98"/>
      <c r="H109" s="98"/>
      <c r="I109" s="98"/>
      <c r="J109" s="90" t="n">
        <f aca="false">SUM(G109:I109)</f>
        <v>0</v>
      </c>
      <c r="K109" s="90" t="n">
        <v>0</v>
      </c>
    </row>
    <row r="110" customFormat="false" ht="15.75" hidden="false" customHeight="false" outlineLevel="0" collapsed="false">
      <c r="A110" s="91"/>
      <c r="B110" s="90" t="s">
        <v>69</v>
      </c>
      <c r="C110" s="93"/>
      <c r="D110" s="93"/>
      <c r="E110" s="93"/>
      <c r="F110" s="90" t="n">
        <v>0</v>
      </c>
      <c r="G110" s="93"/>
      <c r="H110" s="93"/>
      <c r="I110" s="93"/>
      <c r="J110" s="90" t="n">
        <f aca="false">SUM(G110:I110)</f>
        <v>0</v>
      </c>
      <c r="K110" s="90" t="n">
        <v>0</v>
      </c>
    </row>
    <row r="111" customFormat="false" ht="15.75" hidden="false" customHeight="false" outlineLevel="0" collapsed="false">
      <c r="A111" s="91"/>
      <c r="B111" s="90" t="s">
        <v>70</v>
      </c>
      <c r="C111" s="93"/>
      <c r="D111" s="93"/>
      <c r="E111" s="93"/>
      <c r="F111" s="90" t="n">
        <v>0</v>
      </c>
      <c r="G111" s="93"/>
      <c r="H111" s="93"/>
      <c r="I111" s="93"/>
      <c r="J111" s="90" t="n">
        <f aca="false">SUM(G111:I111)</f>
        <v>0</v>
      </c>
      <c r="K111" s="90" t="n">
        <v>0</v>
      </c>
    </row>
    <row r="112" customFormat="false" ht="15.75" hidden="false" customHeight="false" outlineLevel="0" collapsed="false">
      <c r="A112" s="91"/>
      <c r="B112" s="90" t="s">
        <v>71</v>
      </c>
      <c r="C112" s="93"/>
      <c r="D112" s="93"/>
      <c r="E112" s="93"/>
      <c r="F112" s="90" t="n">
        <v>0</v>
      </c>
      <c r="G112" s="93"/>
      <c r="H112" s="93"/>
      <c r="I112" s="93"/>
      <c r="J112" s="90" t="n">
        <f aca="false">SUM(G112:I112)</f>
        <v>0</v>
      </c>
      <c r="K112" s="90" t="n">
        <v>0</v>
      </c>
    </row>
    <row r="113" customFormat="false" ht="15.75" hidden="false" customHeight="false" outlineLevel="0" collapsed="false">
      <c r="A113" s="91"/>
      <c r="B113" s="90" t="s">
        <v>72</v>
      </c>
      <c r="C113" s="93"/>
      <c r="D113" s="93"/>
      <c r="E113" s="93"/>
      <c r="F113" s="90" t="n">
        <v>0</v>
      </c>
      <c r="G113" s="93"/>
      <c r="H113" s="93"/>
      <c r="I113" s="93"/>
      <c r="J113" s="90" t="n">
        <f aca="false">SUM(G113:I113)</f>
        <v>0</v>
      </c>
      <c r="K113" s="90" t="n">
        <v>0</v>
      </c>
    </row>
    <row r="114" customFormat="false" ht="15.75" hidden="false" customHeight="false" outlineLevel="0" collapsed="false">
      <c r="A114" s="91"/>
      <c r="B114" s="90" t="s">
        <v>73</v>
      </c>
      <c r="C114" s="93"/>
      <c r="D114" s="93"/>
      <c r="E114" s="93"/>
      <c r="F114" s="90" t="n">
        <v>0</v>
      </c>
      <c r="G114" s="93"/>
      <c r="H114" s="93"/>
      <c r="I114" s="93"/>
      <c r="J114" s="90" t="n">
        <f aca="false">SUM(G114:I114)</f>
        <v>0</v>
      </c>
      <c r="K114" s="90" t="n">
        <v>0</v>
      </c>
    </row>
    <row r="115" customFormat="false" ht="16.5" hidden="false" customHeight="false" outlineLevel="0" collapsed="false">
      <c r="A115" s="91"/>
      <c r="B115" s="96" t="s">
        <v>64</v>
      </c>
      <c r="C115" s="94" t="n">
        <v>0</v>
      </c>
      <c r="D115" s="94" t="n">
        <v>0</v>
      </c>
      <c r="E115" s="94" t="n">
        <v>0</v>
      </c>
      <c r="F115" s="94" t="n">
        <v>0</v>
      </c>
      <c r="G115" s="94" t="n">
        <v>0</v>
      </c>
      <c r="H115" s="94" t="n">
        <v>0</v>
      </c>
      <c r="I115" s="94" t="n">
        <v>0</v>
      </c>
      <c r="J115" s="94" t="n">
        <v>0</v>
      </c>
      <c r="K115" s="94" t="n">
        <v>0</v>
      </c>
    </row>
    <row r="116" customFormat="false" ht="16.5" hidden="false" customHeight="false" outlineLevel="0" collapsed="false"/>
    <row r="117" customFormat="false" ht="15.75" hidden="false" customHeight="true" outlineLevel="0" collapsed="false">
      <c r="A117" s="88" t="s">
        <v>60</v>
      </c>
      <c r="B117" s="89" t="s">
        <v>74</v>
      </c>
      <c r="C117" s="89"/>
      <c r="D117" s="89"/>
      <c r="E117" s="89"/>
      <c r="F117" s="89"/>
      <c r="G117" s="89"/>
      <c r="H117" s="89"/>
      <c r="I117" s="89"/>
      <c r="J117" s="89"/>
      <c r="K117" s="89"/>
      <c r="M117" s="97" t="s">
        <v>75</v>
      </c>
      <c r="N117" s="97"/>
      <c r="O117" s="97"/>
      <c r="P117" s="97"/>
    </row>
    <row r="118" customFormat="false" ht="15.75" hidden="false" customHeight="false" outlineLevel="0" collapsed="false">
      <c r="A118" s="88"/>
      <c r="B118" s="90"/>
      <c r="C118" s="89" t="s">
        <v>62</v>
      </c>
      <c r="D118" s="89"/>
      <c r="E118" s="89"/>
      <c r="F118" s="89"/>
      <c r="G118" s="89" t="s">
        <v>63</v>
      </c>
      <c r="H118" s="89"/>
      <c r="I118" s="89"/>
      <c r="J118" s="89"/>
      <c r="K118" s="89" t="s">
        <v>64</v>
      </c>
      <c r="M118" s="90" t="s">
        <v>5</v>
      </c>
      <c r="N118" s="44" t="s">
        <v>61</v>
      </c>
      <c r="O118" s="44" t="s">
        <v>74</v>
      </c>
      <c r="P118" s="89" t="s">
        <v>64</v>
      </c>
    </row>
    <row r="119" customFormat="false" ht="15.75" hidden="false" customHeight="true" outlineLevel="0" collapsed="false">
      <c r="A119" s="91" t="s">
        <v>78</v>
      </c>
      <c r="B119" s="90" t="s">
        <v>5</v>
      </c>
      <c r="C119" s="88" t="s">
        <v>22</v>
      </c>
      <c r="D119" s="88" t="s">
        <v>25</v>
      </c>
      <c r="E119" s="88" t="s">
        <v>30</v>
      </c>
      <c r="F119" s="88" t="s">
        <v>64</v>
      </c>
      <c r="G119" s="88" t="s">
        <v>22</v>
      </c>
      <c r="H119" s="88" t="s">
        <v>25</v>
      </c>
      <c r="I119" s="88" t="s">
        <v>30</v>
      </c>
      <c r="J119" s="88" t="s">
        <v>64</v>
      </c>
      <c r="K119" s="88"/>
      <c r="M119" s="92" t="s">
        <v>66</v>
      </c>
      <c r="N119" s="44" t="n">
        <v>0</v>
      </c>
      <c r="O119" s="44" t="n">
        <f aca="false">SUM(K120)</f>
        <v>9</v>
      </c>
      <c r="P119" s="72" t="n">
        <f aca="false">SUM(N119:O119)</f>
        <v>9</v>
      </c>
    </row>
    <row r="120" customFormat="false" ht="15.75" hidden="false" customHeight="false" outlineLevel="0" collapsed="false">
      <c r="A120" s="91"/>
      <c r="B120" s="92" t="s">
        <v>66</v>
      </c>
      <c r="C120" s="44" t="n">
        <v>0</v>
      </c>
      <c r="D120" s="44" t="n">
        <v>4</v>
      </c>
      <c r="E120" s="44" t="n">
        <v>1</v>
      </c>
      <c r="F120" s="90" t="n">
        <f aca="false">SUM(C120:E120)</f>
        <v>5</v>
      </c>
      <c r="G120" s="90" t="n">
        <v>1</v>
      </c>
      <c r="H120" s="90" t="n">
        <v>3</v>
      </c>
      <c r="I120" s="90" t="n">
        <v>0</v>
      </c>
      <c r="J120" s="90" t="n">
        <f aca="false">SUM(G120:I120)</f>
        <v>4</v>
      </c>
      <c r="K120" s="90" t="n">
        <f aca="false">SUM(F120+J120)</f>
        <v>9</v>
      </c>
      <c r="M120" s="90" t="s">
        <v>67</v>
      </c>
      <c r="N120" s="44" t="n">
        <v>0</v>
      </c>
      <c r="O120" s="44" t="n">
        <f aca="false">SUM(K121)</f>
        <v>5468</v>
      </c>
      <c r="P120" s="72" t="n">
        <f aca="false">SUM(N120:O120)</f>
        <v>5468</v>
      </c>
    </row>
    <row r="121" customFormat="false" ht="15.75" hidden="false" customHeight="false" outlineLevel="0" collapsed="false">
      <c r="A121" s="91"/>
      <c r="B121" s="90" t="s">
        <v>67</v>
      </c>
      <c r="C121" s="44" t="n">
        <v>0</v>
      </c>
      <c r="D121" s="44" t="n">
        <v>2247</v>
      </c>
      <c r="E121" s="44" t="n">
        <v>405</v>
      </c>
      <c r="F121" s="90" t="n">
        <f aca="false">SUM(C121:E121)</f>
        <v>2652</v>
      </c>
      <c r="G121" s="90" t="n">
        <v>1230</v>
      </c>
      <c r="H121" s="90" t="n">
        <v>1586</v>
      </c>
      <c r="I121" s="90" t="n">
        <v>0</v>
      </c>
      <c r="J121" s="90" t="n">
        <f aca="false">SUM(G121:I121)</f>
        <v>2816</v>
      </c>
      <c r="K121" s="90" t="n">
        <f aca="false">SUM(F121+J121)</f>
        <v>5468</v>
      </c>
      <c r="M121" s="90" t="s">
        <v>68</v>
      </c>
      <c r="N121" s="44" t="n">
        <v>0</v>
      </c>
      <c r="O121" s="44" t="n">
        <f aca="false">SUM(K122)</f>
        <v>0</v>
      </c>
      <c r="P121" s="72" t="n">
        <f aca="false">SUM(N121:O121)</f>
        <v>0</v>
      </c>
    </row>
    <row r="122" customFormat="false" ht="16.5" hidden="false" customHeight="false" outlineLevel="0" collapsed="false">
      <c r="A122" s="91"/>
      <c r="B122" s="90" t="s">
        <v>68</v>
      </c>
      <c r="C122" s="44" t="n">
        <v>0</v>
      </c>
      <c r="D122" s="44" t="n">
        <v>0</v>
      </c>
      <c r="E122" s="44" t="n">
        <v>0</v>
      </c>
      <c r="F122" s="90" t="n">
        <f aca="false">SUM(C122:E122)</f>
        <v>0</v>
      </c>
      <c r="G122" s="90" t="n">
        <v>0</v>
      </c>
      <c r="H122" s="90" t="n">
        <v>0</v>
      </c>
      <c r="I122" s="90" t="n">
        <v>0</v>
      </c>
      <c r="J122" s="90" t="n">
        <f aca="false">SUM(G122:I122)</f>
        <v>0</v>
      </c>
      <c r="K122" s="90" t="n">
        <f aca="false">SUM(F122+J122)</f>
        <v>0</v>
      </c>
      <c r="M122" s="94" t="s">
        <v>64</v>
      </c>
      <c r="N122" s="47" t="n">
        <f aca="false">SUM(N120:N121)</f>
        <v>0</v>
      </c>
      <c r="O122" s="47" t="n">
        <f aca="false">SUM(O120:O121)</f>
        <v>5468</v>
      </c>
      <c r="P122" s="47" t="n">
        <f aca="false">SUM(P120:P121)</f>
        <v>5468</v>
      </c>
    </row>
    <row r="123" customFormat="false" ht="17.25" hidden="false" customHeight="false" outlineLevel="0" collapsed="false">
      <c r="A123" s="91"/>
      <c r="B123" s="94" t="s">
        <v>64</v>
      </c>
      <c r="C123" s="94" t="n">
        <f aca="false">SUM(C121:C122)</f>
        <v>0</v>
      </c>
      <c r="D123" s="94" t="n">
        <f aca="false">SUM(D121:D122)</f>
        <v>2247</v>
      </c>
      <c r="E123" s="94" t="n">
        <f aca="false">SUM(E121:E122)</f>
        <v>405</v>
      </c>
      <c r="F123" s="94" t="n">
        <f aca="false">SUM(F121:F122)</f>
        <v>2652</v>
      </c>
      <c r="G123" s="94" t="n">
        <f aca="false">SUM(G121:G122)</f>
        <v>1230</v>
      </c>
      <c r="H123" s="94" t="n">
        <f aca="false">SUM(H121:H122)</f>
        <v>1586</v>
      </c>
      <c r="I123" s="94" t="n">
        <f aca="false">SUM(I121:I122)</f>
        <v>0</v>
      </c>
      <c r="J123" s="94" t="n">
        <f aca="false">SUM(J121:J122)</f>
        <v>2816</v>
      </c>
      <c r="K123" s="94" t="n">
        <f aca="false">SUM(K121:K122)</f>
        <v>5468</v>
      </c>
      <c r="M123" s="95" t="s">
        <v>69</v>
      </c>
      <c r="N123" s="54" t="n">
        <v>0</v>
      </c>
      <c r="O123" s="54" t="n">
        <f aca="false">SUM(K125)</f>
        <v>1368</v>
      </c>
      <c r="P123" s="72" t="n">
        <f aca="false">SUM(N123:O123)</f>
        <v>1368</v>
      </c>
    </row>
    <row r="124" customFormat="false" ht="16.5" hidden="false" customHeight="false" outlineLevel="0" collapsed="false">
      <c r="A124" s="91"/>
      <c r="B124" s="95" t="s">
        <v>8</v>
      </c>
      <c r="C124" s="44" t="n">
        <v>0</v>
      </c>
      <c r="D124" s="44" t="n">
        <v>0</v>
      </c>
      <c r="E124" s="44" t="n">
        <v>0</v>
      </c>
      <c r="F124" s="90" t="n">
        <f aca="false">SUM(C124:E124)</f>
        <v>0</v>
      </c>
      <c r="G124" s="90" t="n">
        <v>0</v>
      </c>
      <c r="H124" s="90" t="n">
        <v>0</v>
      </c>
      <c r="I124" s="90" t="n">
        <v>0</v>
      </c>
      <c r="J124" s="90" t="n">
        <f aca="false">SUM(G124:I124)</f>
        <v>0</v>
      </c>
      <c r="K124" s="90" t="n">
        <f aca="false">SUM(F124+J124)</f>
        <v>0</v>
      </c>
      <c r="M124" s="95" t="s">
        <v>8</v>
      </c>
      <c r="N124" s="44" t="n">
        <v>0</v>
      </c>
      <c r="O124" s="44" t="n">
        <f aca="false">SUM(K124)</f>
        <v>0</v>
      </c>
      <c r="P124" s="72" t="n">
        <f aca="false">SUM(N124:O124)</f>
        <v>0</v>
      </c>
    </row>
    <row r="125" customFormat="false" ht="15.75" hidden="false" customHeight="false" outlineLevel="0" collapsed="false">
      <c r="A125" s="91"/>
      <c r="B125" s="90" t="s">
        <v>69</v>
      </c>
      <c r="C125" s="44" t="n">
        <v>0</v>
      </c>
      <c r="D125" s="44" t="n">
        <v>562</v>
      </c>
      <c r="E125" s="44" t="n">
        <v>101</v>
      </c>
      <c r="F125" s="90" t="n">
        <f aca="false">SUM(C125:E125)</f>
        <v>663</v>
      </c>
      <c r="G125" s="90" t="n">
        <v>308</v>
      </c>
      <c r="H125" s="90" t="n">
        <v>397</v>
      </c>
      <c r="I125" s="90" t="n">
        <v>0</v>
      </c>
      <c r="J125" s="90" t="n">
        <f aca="false">SUM(G125:I125)</f>
        <v>705</v>
      </c>
      <c r="K125" s="90" t="n">
        <f aca="false">SUM(F125+J125)</f>
        <v>1368</v>
      </c>
      <c r="M125" s="90" t="s">
        <v>70</v>
      </c>
      <c r="N125" s="44" t="n">
        <v>0</v>
      </c>
      <c r="O125" s="44" t="n">
        <f aca="false">SUM(K126)</f>
        <v>85</v>
      </c>
      <c r="P125" s="72" t="n">
        <f aca="false">SUM(N125:O125)</f>
        <v>85</v>
      </c>
    </row>
    <row r="126" customFormat="false" ht="15.75" hidden="false" customHeight="false" outlineLevel="0" collapsed="false">
      <c r="A126" s="91"/>
      <c r="B126" s="90" t="s">
        <v>70</v>
      </c>
      <c r="C126" s="44" t="n">
        <v>0</v>
      </c>
      <c r="D126" s="44" t="n">
        <v>36</v>
      </c>
      <c r="E126" s="44" t="n">
        <v>5</v>
      </c>
      <c r="F126" s="90" t="n">
        <f aca="false">SUM(C126:E126)</f>
        <v>41</v>
      </c>
      <c r="G126" s="90" t="n">
        <v>18</v>
      </c>
      <c r="H126" s="90" t="n">
        <v>26</v>
      </c>
      <c r="I126" s="90" t="n">
        <v>0</v>
      </c>
      <c r="J126" s="90" t="n">
        <f aca="false">SUM(G126:I126)</f>
        <v>44</v>
      </c>
      <c r="K126" s="90" t="n">
        <f aca="false">SUM(F126+J126)</f>
        <v>85</v>
      </c>
      <c r="M126" s="90" t="s">
        <v>71</v>
      </c>
      <c r="N126" s="44" t="n">
        <v>0</v>
      </c>
      <c r="O126" s="44" t="n">
        <f aca="false">SUM(K127)</f>
        <v>490</v>
      </c>
      <c r="P126" s="72" t="n">
        <f aca="false">SUM(N126:O126)</f>
        <v>490</v>
      </c>
    </row>
    <row r="127" customFormat="false" ht="15.75" hidden="false" customHeight="false" outlineLevel="0" collapsed="false">
      <c r="A127" s="91"/>
      <c r="B127" s="90" t="s">
        <v>71</v>
      </c>
      <c r="C127" s="44" t="n">
        <v>0</v>
      </c>
      <c r="D127" s="44" t="n">
        <v>200</v>
      </c>
      <c r="E127" s="44" t="n">
        <v>36</v>
      </c>
      <c r="F127" s="90" t="n">
        <f aca="false">SUM(C127:E127)</f>
        <v>236</v>
      </c>
      <c r="G127" s="90" t="n">
        <v>111</v>
      </c>
      <c r="H127" s="90" t="n">
        <v>143</v>
      </c>
      <c r="I127" s="90" t="n">
        <v>0</v>
      </c>
      <c r="J127" s="90" t="n">
        <f aca="false">SUM(G127:I127)</f>
        <v>254</v>
      </c>
      <c r="K127" s="90" t="n">
        <f aca="false">SUM(F127+J127)</f>
        <v>490</v>
      </c>
      <c r="M127" s="90" t="s">
        <v>72</v>
      </c>
      <c r="N127" s="44" t="n">
        <v>0</v>
      </c>
      <c r="O127" s="44" t="n">
        <f aca="false">SUM(K128)</f>
        <v>58</v>
      </c>
      <c r="P127" s="72" t="n">
        <f aca="false">SUM(N127:O127)</f>
        <v>58</v>
      </c>
    </row>
    <row r="128" customFormat="false" ht="15.75" hidden="false" customHeight="false" outlineLevel="0" collapsed="false">
      <c r="A128" s="91"/>
      <c r="B128" s="90" t="s">
        <v>72</v>
      </c>
      <c r="C128" s="44" t="n">
        <v>0</v>
      </c>
      <c r="D128" s="44" t="n">
        <v>20</v>
      </c>
      <c r="E128" s="44" t="n">
        <v>5</v>
      </c>
      <c r="F128" s="90" t="n">
        <f aca="false">SUM(C128:E128)</f>
        <v>25</v>
      </c>
      <c r="G128" s="90" t="n">
        <v>18</v>
      </c>
      <c r="H128" s="90" t="n">
        <v>15</v>
      </c>
      <c r="I128" s="90" t="n">
        <v>0</v>
      </c>
      <c r="J128" s="90" t="n">
        <f aca="false">SUM(G128:I128)</f>
        <v>33</v>
      </c>
      <c r="K128" s="90" t="n">
        <f aca="false">SUM(F128+J128)</f>
        <v>58</v>
      </c>
      <c r="M128" s="90" t="s">
        <v>73</v>
      </c>
      <c r="N128" s="44" t="n">
        <f aca="false">SUM(K114)</f>
        <v>0</v>
      </c>
      <c r="O128" s="44" t="n">
        <f aca="false">SUM(K129)</f>
        <v>45</v>
      </c>
      <c r="P128" s="72" t="n">
        <f aca="false">SUM(N128:O128)</f>
        <v>45</v>
      </c>
    </row>
    <row r="129" customFormat="false" ht="16.5" hidden="false" customHeight="false" outlineLevel="0" collapsed="false">
      <c r="A129" s="91"/>
      <c r="B129" s="90" t="s">
        <v>73</v>
      </c>
      <c r="C129" s="44" t="n">
        <v>0</v>
      </c>
      <c r="D129" s="44" t="n">
        <v>20</v>
      </c>
      <c r="E129" s="44" t="n">
        <v>5</v>
      </c>
      <c r="F129" s="90" t="n">
        <f aca="false">SUM(C129:E129)</f>
        <v>25</v>
      </c>
      <c r="G129" s="90" t="n">
        <v>5</v>
      </c>
      <c r="H129" s="90" t="n">
        <v>15</v>
      </c>
      <c r="I129" s="90" t="n">
        <v>0</v>
      </c>
      <c r="J129" s="90" t="n">
        <f aca="false">SUM(G129:I129)</f>
        <v>20</v>
      </c>
      <c r="K129" s="90" t="n">
        <f aca="false">SUM(F129+J129)</f>
        <v>45</v>
      </c>
      <c r="M129" s="96" t="s">
        <v>64</v>
      </c>
      <c r="N129" s="73" t="n">
        <f aca="false">SUM(N122:N128)</f>
        <v>0</v>
      </c>
      <c r="O129" s="73" t="n">
        <f aca="false">SUM(O122:O128)</f>
        <v>7514</v>
      </c>
      <c r="P129" s="73" t="n">
        <f aca="false">SUM(P122:P128)</f>
        <v>7514</v>
      </c>
    </row>
    <row r="130" customFormat="false" ht="17.25" hidden="false" customHeight="false" outlineLevel="0" collapsed="false">
      <c r="A130" s="91"/>
      <c r="B130" s="96" t="s">
        <v>64</v>
      </c>
      <c r="C130" s="94" t="n">
        <f aca="false">SUM(C123:C129)</f>
        <v>0</v>
      </c>
      <c r="D130" s="94" t="n">
        <f aca="false">SUM(D123:D129)</f>
        <v>3085</v>
      </c>
      <c r="E130" s="94" t="n">
        <f aca="false">SUM(E123:E129)</f>
        <v>557</v>
      </c>
      <c r="F130" s="94" t="n">
        <f aca="false">SUM(F123:F129)</f>
        <v>3642</v>
      </c>
      <c r="G130" s="94" t="n">
        <f aca="false">SUM(G123:G129)</f>
        <v>1690</v>
      </c>
      <c r="H130" s="94" t="n">
        <f aca="false">SUM(H123:H129)</f>
        <v>2182</v>
      </c>
      <c r="I130" s="94" t="n">
        <f aca="false">SUM(I123:I129)</f>
        <v>0</v>
      </c>
      <c r="J130" s="94" t="n">
        <f aca="false">SUM(J123:J129)</f>
        <v>3872</v>
      </c>
      <c r="K130" s="94" t="n">
        <f aca="false">SUM(K123:K129)</f>
        <v>7514</v>
      </c>
      <c r="M130" s="99"/>
      <c r="N130" s="99"/>
      <c r="O130" s="99"/>
      <c r="P130" s="99"/>
    </row>
    <row r="131" customFormat="false" ht="16.5" hidden="false" customHeight="false" outlineLevel="0" collapsed="false">
      <c r="A131" s="85" t="str">
        <f aca="false">$A$1</f>
        <v>प्रपत्र - क  -  अर्थसंकल्पीय अंदाजपत्रक सन 2021-2022</v>
      </c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</row>
    <row r="132" customFormat="false" ht="15.75" hidden="false" customHeight="false" outlineLevel="0" collapsed="false">
      <c r="A132" s="5" t="s">
        <v>1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customFormat="false" ht="15.75" hidden="false" customHeight="false" outlineLevel="0" collapsed="false">
      <c r="A133" s="87" t="s">
        <v>3</v>
      </c>
      <c r="B133" s="87"/>
      <c r="C133" s="87"/>
      <c r="D133" s="87"/>
      <c r="E133" s="87"/>
      <c r="F133" s="87"/>
      <c r="G133" s="87"/>
      <c r="H133" s="87"/>
      <c r="I133" s="87"/>
      <c r="J133" s="87"/>
      <c r="K133" s="87"/>
    </row>
    <row r="134" customFormat="false" ht="15.75" hidden="false" customHeight="false" outlineLevel="0" collapsed="false">
      <c r="A134" s="88" t="s">
        <v>60</v>
      </c>
      <c r="B134" s="89" t="s">
        <v>61</v>
      </c>
      <c r="C134" s="89"/>
      <c r="D134" s="89"/>
      <c r="E134" s="89"/>
      <c r="F134" s="89"/>
      <c r="G134" s="89"/>
      <c r="H134" s="89"/>
      <c r="I134" s="89"/>
      <c r="J134" s="89"/>
      <c r="K134" s="89"/>
    </row>
    <row r="135" customFormat="false" ht="15.75" hidden="false" customHeight="true" outlineLevel="0" collapsed="false">
      <c r="A135" s="88"/>
      <c r="B135" s="90"/>
      <c r="C135" s="89" t="s">
        <v>62</v>
      </c>
      <c r="D135" s="89"/>
      <c r="E135" s="89"/>
      <c r="F135" s="89"/>
      <c r="G135" s="89" t="s">
        <v>63</v>
      </c>
      <c r="H135" s="89"/>
      <c r="I135" s="89"/>
      <c r="J135" s="89"/>
      <c r="K135" s="89" t="s">
        <v>64</v>
      </c>
    </row>
    <row r="136" customFormat="false" ht="15.75" hidden="false" customHeight="true" outlineLevel="0" collapsed="false">
      <c r="A136" s="91" t="s">
        <v>79</v>
      </c>
      <c r="B136" s="90" t="s">
        <v>5</v>
      </c>
      <c r="C136" s="88" t="s">
        <v>22</v>
      </c>
      <c r="D136" s="88" t="s">
        <v>25</v>
      </c>
      <c r="E136" s="88" t="s">
        <v>30</v>
      </c>
      <c r="F136" s="88" t="s">
        <v>64</v>
      </c>
      <c r="G136" s="88" t="s">
        <v>22</v>
      </c>
      <c r="H136" s="88" t="s">
        <v>25</v>
      </c>
      <c r="I136" s="88" t="s">
        <v>30</v>
      </c>
      <c r="J136" s="88" t="s">
        <v>64</v>
      </c>
      <c r="K136" s="88" t="s">
        <v>64</v>
      </c>
    </row>
    <row r="137" customFormat="false" ht="15.75" hidden="false" customHeight="false" outlineLevel="0" collapsed="false">
      <c r="A137" s="91"/>
      <c r="B137" s="92" t="s">
        <v>66</v>
      </c>
      <c r="C137" s="93" t="n">
        <v>0</v>
      </c>
      <c r="D137" s="90" t="n">
        <v>2</v>
      </c>
      <c r="E137" s="90" t="n">
        <v>3</v>
      </c>
      <c r="F137" s="90" t="n">
        <f aca="false">SUM(C137:E137)</f>
        <v>5</v>
      </c>
      <c r="G137" s="90" t="n">
        <v>0</v>
      </c>
      <c r="H137" s="90" t="n">
        <v>0</v>
      </c>
      <c r="I137" s="90" t="n">
        <v>0</v>
      </c>
      <c r="J137" s="90" t="n">
        <f aca="false">SUM(G137:I137)</f>
        <v>0</v>
      </c>
      <c r="K137" s="90" t="n">
        <f aca="false">SUM(J137,F137)</f>
        <v>5</v>
      </c>
    </row>
    <row r="138" customFormat="false" ht="15.75" hidden="false" customHeight="false" outlineLevel="0" collapsed="false">
      <c r="A138" s="91"/>
      <c r="B138" s="90" t="s">
        <v>67</v>
      </c>
      <c r="C138" s="42" t="n">
        <v>0</v>
      </c>
      <c r="D138" s="93" t="n">
        <v>707</v>
      </c>
      <c r="E138" s="93" t="n">
        <v>1109</v>
      </c>
      <c r="F138" s="90" t="n">
        <f aca="false">SUM(C138:E138)</f>
        <v>1816</v>
      </c>
      <c r="G138" s="93" t="n">
        <v>0</v>
      </c>
      <c r="H138" s="93" t="n">
        <v>0</v>
      </c>
      <c r="I138" s="93" t="n">
        <v>0</v>
      </c>
      <c r="J138" s="90" t="n">
        <f aca="false">SUM(G138:I138)</f>
        <v>0</v>
      </c>
      <c r="K138" s="90" t="n">
        <f aca="false">SUM(J138,F138)</f>
        <v>1816</v>
      </c>
    </row>
    <row r="139" customFormat="false" ht="15.75" hidden="false" customHeight="false" outlineLevel="0" collapsed="false">
      <c r="A139" s="91"/>
      <c r="B139" s="90" t="s">
        <v>68</v>
      </c>
      <c r="C139" s="42" t="n">
        <v>0</v>
      </c>
      <c r="D139" s="93" t="n">
        <v>0</v>
      </c>
      <c r="E139" s="93" t="n">
        <v>0</v>
      </c>
      <c r="F139" s="90" t="n">
        <f aca="false">SUM(C139:E139)</f>
        <v>0</v>
      </c>
      <c r="G139" s="93" t="n">
        <v>0</v>
      </c>
      <c r="H139" s="93" t="n">
        <v>0</v>
      </c>
      <c r="I139" s="93" t="n">
        <v>0</v>
      </c>
      <c r="J139" s="90" t="n">
        <f aca="false">SUM(G139:I139)</f>
        <v>0</v>
      </c>
      <c r="K139" s="90" t="n">
        <f aca="false">SUM(J139,F139)</f>
        <v>0</v>
      </c>
    </row>
    <row r="140" customFormat="false" ht="16.5" hidden="false" customHeight="false" outlineLevel="0" collapsed="false">
      <c r="A140" s="91"/>
      <c r="B140" s="94" t="s">
        <v>64</v>
      </c>
      <c r="C140" s="94" t="n">
        <f aca="false">SUM(C138:C139)</f>
        <v>0</v>
      </c>
      <c r="D140" s="94" t="n">
        <f aca="false">SUM(D138:D139)</f>
        <v>707</v>
      </c>
      <c r="E140" s="94" t="n">
        <f aca="false">SUM(E138:E139)</f>
        <v>1109</v>
      </c>
      <c r="F140" s="94" t="n">
        <f aca="false">SUM(F138:F139)</f>
        <v>1816</v>
      </c>
      <c r="G140" s="94" t="n">
        <f aca="false">SUM(G138:G139)</f>
        <v>0</v>
      </c>
      <c r="H140" s="94" t="n">
        <f aca="false">SUM(H138:H139)</f>
        <v>0</v>
      </c>
      <c r="I140" s="94" t="n">
        <f aca="false">SUM(I138:I139)</f>
        <v>0</v>
      </c>
      <c r="J140" s="94" t="n">
        <f aca="false">SUM(J138:J139)</f>
        <v>0</v>
      </c>
      <c r="K140" s="94" t="n">
        <f aca="false">SUM(K138:K139)</f>
        <v>1816</v>
      </c>
    </row>
    <row r="141" customFormat="false" ht="16.5" hidden="false" customHeight="false" outlineLevel="0" collapsed="false">
      <c r="A141" s="91"/>
      <c r="B141" s="95" t="s">
        <v>8</v>
      </c>
      <c r="C141" s="98" t="n">
        <v>0</v>
      </c>
      <c r="D141" s="98" t="n">
        <v>0</v>
      </c>
      <c r="E141" s="98" t="n">
        <v>0</v>
      </c>
      <c r="F141" s="90" t="n">
        <f aca="false">SUM(C141:E141)</f>
        <v>0</v>
      </c>
      <c r="G141" s="98" t="n">
        <v>0</v>
      </c>
      <c r="H141" s="98" t="n">
        <v>0</v>
      </c>
      <c r="I141" s="98" t="n">
        <v>0</v>
      </c>
      <c r="J141" s="90" t="n">
        <f aca="false">SUM(G141:I141)</f>
        <v>0</v>
      </c>
      <c r="K141" s="90" t="n">
        <f aca="false">SUM(J141,F141)</f>
        <v>0</v>
      </c>
    </row>
    <row r="142" customFormat="false" ht="15.75" hidden="false" customHeight="false" outlineLevel="0" collapsed="false">
      <c r="A142" s="91"/>
      <c r="B142" s="90" t="s">
        <v>69</v>
      </c>
      <c r="C142" s="98" t="n">
        <v>0</v>
      </c>
      <c r="D142" s="93" t="n">
        <v>177</v>
      </c>
      <c r="E142" s="93" t="n">
        <v>277</v>
      </c>
      <c r="F142" s="90" t="n">
        <f aca="false">SUM(C142:E142)</f>
        <v>454</v>
      </c>
      <c r="G142" s="98" t="n">
        <v>0</v>
      </c>
      <c r="H142" s="98" t="n">
        <v>0</v>
      </c>
      <c r="I142" s="98" t="n">
        <v>0</v>
      </c>
      <c r="J142" s="90" t="n">
        <f aca="false">SUM(G142:I142)</f>
        <v>0</v>
      </c>
      <c r="K142" s="90" t="n">
        <f aca="false">SUM(J142,F142)</f>
        <v>454</v>
      </c>
    </row>
    <row r="143" customFormat="false" ht="15.75" hidden="false" customHeight="false" outlineLevel="0" collapsed="false">
      <c r="A143" s="91"/>
      <c r="B143" s="90" t="s">
        <v>70</v>
      </c>
      <c r="C143" s="98" t="n">
        <v>0</v>
      </c>
      <c r="D143" s="93" t="n">
        <v>0</v>
      </c>
      <c r="E143" s="93" t="n">
        <v>0</v>
      </c>
      <c r="F143" s="90" t="n">
        <f aca="false">SUM(C143:E143)</f>
        <v>0</v>
      </c>
      <c r="G143" s="98" t="n">
        <v>0</v>
      </c>
      <c r="H143" s="98" t="n">
        <v>0</v>
      </c>
      <c r="I143" s="98" t="n">
        <v>0</v>
      </c>
      <c r="J143" s="90" t="n">
        <f aca="false">SUM(G143:I143)</f>
        <v>0</v>
      </c>
      <c r="K143" s="90" t="n">
        <f aca="false">SUM(J143,F143)</f>
        <v>0</v>
      </c>
    </row>
    <row r="144" customFormat="false" ht="15.75" hidden="false" customHeight="false" outlineLevel="0" collapsed="false">
      <c r="A144" s="91"/>
      <c r="B144" s="90" t="s">
        <v>71</v>
      </c>
      <c r="C144" s="98" t="n">
        <v>0</v>
      </c>
      <c r="D144" s="93" t="n">
        <v>64</v>
      </c>
      <c r="E144" s="93" t="n">
        <v>100</v>
      </c>
      <c r="F144" s="90" t="n">
        <f aca="false">SUM(C144:E144)</f>
        <v>164</v>
      </c>
      <c r="G144" s="98" t="n">
        <v>0</v>
      </c>
      <c r="H144" s="98" t="n">
        <v>0</v>
      </c>
      <c r="I144" s="98" t="n">
        <v>0</v>
      </c>
      <c r="J144" s="90" t="n">
        <f aca="false">SUM(G144:I144)</f>
        <v>0</v>
      </c>
      <c r="K144" s="90" t="n">
        <f aca="false">SUM(J144,F144)</f>
        <v>164</v>
      </c>
    </row>
    <row r="145" customFormat="false" ht="15.75" hidden="false" customHeight="false" outlineLevel="0" collapsed="false">
      <c r="A145" s="91"/>
      <c r="B145" s="90" t="s">
        <v>72</v>
      </c>
      <c r="C145" s="98" t="n">
        <v>0</v>
      </c>
      <c r="D145" s="93" t="n">
        <v>10</v>
      </c>
      <c r="E145" s="93" t="n">
        <v>14</v>
      </c>
      <c r="F145" s="90" t="n">
        <f aca="false">SUM(C145:E145)</f>
        <v>24</v>
      </c>
      <c r="G145" s="98" t="n">
        <v>0</v>
      </c>
      <c r="H145" s="98" t="n">
        <v>0</v>
      </c>
      <c r="I145" s="98" t="n">
        <v>0</v>
      </c>
      <c r="J145" s="90" t="n">
        <f aca="false">SUM(G145:I145)</f>
        <v>0</v>
      </c>
      <c r="K145" s="90" t="n">
        <f aca="false">SUM(J145,F145)</f>
        <v>24</v>
      </c>
    </row>
    <row r="146" customFormat="false" ht="15.75" hidden="false" customHeight="false" outlineLevel="0" collapsed="false">
      <c r="A146" s="91"/>
      <c r="B146" s="90" t="s">
        <v>73</v>
      </c>
      <c r="C146" s="98" t="n">
        <v>0</v>
      </c>
      <c r="D146" s="93" t="n">
        <v>0</v>
      </c>
      <c r="E146" s="93" t="n">
        <v>2</v>
      </c>
      <c r="F146" s="90" t="n">
        <f aca="false">SUM(C146:E146)</f>
        <v>2</v>
      </c>
      <c r="G146" s="98" t="n">
        <v>0</v>
      </c>
      <c r="H146" s="98" t="n">
        <v>0</v>
      </c>
      <c r="I146" s="98" t="n">
        <v>0</v>
      </c>
      <c r="J146" s="90" t="n">
        <f aca="false">SUM(G146:I146)</f>
        <v>0</v>
      </c>
      <c r="K146" s="90" t="n">
        <f aca="false">SUM(J146,F146)</f>
        <v>2</v>
      </c>
    </row>
    <row r="147" customFormat="false" ht="16.5" hidden="false" customHeight="false" outlineLevel="0" collapsed="false">
      <c r="A147" s="91"/>
      <c r="B147" s="96" t="s">
        <v>64</v>
      </c>
      <c r="C147" s="94" t="n">
        <f aca="false">SUM(C140:C146)</f>
        <v>0</v>
      </c>
      <c r="D147" s="94" t="n">
        <f aca="false">SUM(D140:D146)</f>
        <v>958</v>
      </c>
      <c r="E147" s="94" t="n">
        <f aca="false">SUM(E140:E146)</f>
        <v>1502</v>
      </c>
      <c r="F147" s="94" t="n">
        <f aca="false">SUM(F140:F146)</f>
        <v>2460</v>
      </c>
      <c r="G147" s="94" t="n">
        <f aca="false">SUM(G140:G146)</f>
        <v>0</v>
      </c>
      <c r="H147" s="94" t="n">
        <f aca="false">SUM(H140:H146)</f>
        <v>0</v>
      </c>
      <c r="I147" s="94" t="n">
        <f aca="false">SUM(I140:I146)</f>
        <v>0</v>
      </c>
      <c r="J147" s="94" t="n">
        <f aca="false">SUM(J140:J146)</f>
        <v>0</v>
      </c>
      <c r="K147" s="94" t="n">
        <f aca="false">SUM(K140:K146)</f>
        <v>2460</v>
      </c>
    </row>
    <row r="148" customFormat="false" ht="16.5" hidden="false" customHeight="false" outlineLevel="0" collapsed="false"/>
    <row r="149" customFormat="false" ht="15.75" hidden="false" customHeight="true" outlineLevel="0" collapsed="false">
      <c r="A149" s="88" t="s">
        <v>60</v>
      </c>
      <c r="B149" s="89" t="s">
        <v>74</v>
      </c>
      <c r="C149" s="89"/>
      <c r="D149" s="89"/>
      <c r="E149" s="89"/>
      <c r="F149" s="89"/>
      <c r="G149" s="89"/>
      <c r="H149" s="89"/>
      <c r="I149" s="89"/>
      <c r="J149" s="89"/>
      <c r="K149" s="89"/>
      <c r="M149" s="97" t="s">
        <v>75</v>
      </c>
      <c r="N149" s="97"/>
      <c r="O149" s="97"/>
      <c r="P149" s="97"/>
    </row>
    <row r="150" customFormat="false" ht="15.75" hidden="false" customHeight="true" outlineLevel="0" collapsed="false">
      <c r="A150" s="88"/>
      <c r="B150" s="90"/>
      <c r="C150" s="89" t="s">
        <v>62</v>
      </c>
      <c r="D150" s="89"/>
      <c r="E150" s="89"/>
      <c r="F150" s="89"/>
      <c r="G150" s="89" t="s">
        <v>63</v>
      </c>
      <c r="H150" s="89"/>
      <c r="I150" s="89"/>
      <c r="J150" s="89"/>
      <c r="K150" s="89" t="s">
        <v>64</v>
      </c>
      <c r="M150" s="90" t="s">
        <v>5</v>
      </c>
      <c r="N150" s="44" t="s">
        <v>61</v>
      </c>
      <c r="O150" s="44" t="s">
        <v>74</v>
      </c>
      <c r="P150" s="89" t="s">
        <v>64</v>
      </c>
    </row>
    <row r="151" customFormat="false" ht="15.75" hidden="false" customHeight="true" outlineLevel="0" collapsed="false">
      <c r="A151" s="91" t="s">
        <v>79</v>
      </c>
      <c r="B151" s="90" t="s">
        <v>5</v>
      </c>
      <c r="C151" s="88" t="s">
        <v>22</v>
      </c>
      <c r="D151" s="88" t="s">
        <v>25</v>
      </c>
      <c r="E151" s="88" t="s">
        <v>30</v>
      </c>
      <c r="F151" s="88" t="s">
        <v>64</v>
      </c>
      <c r="G151" s="88" t="s">
        <v>22</v>
      </c>
      <c r="H151" s="88" t="s">
        <v>25</v>
      </c>
      <c r="I151" s="88" t="s">
        <v>30</v>
      </c>
      <c r="J151" s="88" t="s">
        <v>64</v>
      </c>
      <c r="K151" s="88"/>
      <c r="M151" s="92" t="s">
        <v>66</v>
      </c>
      <c r="N151" s="44" t="n">
        <f aca="false">K137</f>
        <v>5</v>
      </c>
      <c r="O151" s="44" t="n">
        <f aca="false">K152</f>
        <v>7</v>
      </c>
      <c r="P151" s="72" t="n">
        <f aca="false">SUM(N151:O151)</f>
        <v>12</v>
      </c>
    </row>
    <row r="152" customFormat="false" ht="15.75" hidden="false" customHeight="false" outlineLevel="0" collapsed="false">
      <c r="A152" s="91"/>
      <c r="B152" s="92" t="s">
        <v>66</v>
      </c>
      <c r="C152" s="93" t="n">
        <v>2</v>
      </c>
      <c r="D152" s="93" t="n">
        <v>4</v>
      </c>
      <c r="E152" s="93" t="n">
        <v>0</v>
      </c>
      <c r="F152" s="90" t="n">
        <f aca="false">SUM(C152:E152)</f>
        <v>6</v>
      </c>
      <c r="G152" s="93" t="n">
        <v>0</v>
      </c>
      <c r="H152" s="93" t="n">
        <v>0</v>
      </c>
      <c r="I152" s="93" t="n">
        <v>1</v>
      </c>
      <c r="J152" s="90" t="n">
        <f aca="false">SUM(G152:I152)</f>
        <v>1</v>
      </c>
      <c r="K152" s="90" t="n">
        <f aca="false">SUM(J152,F152)</f>
        <v>7</v>
      </c>
      <c r="M152" s="90" t="s">
        <v>67</v>
      </c>
      <c r="N152" s="44" t="n">
        <f aca="false">K138</f>
        <v>1816</v>
      </c>
      <c r="O152" s="44" t="n">
        <f aca="false">K153</f>
        <v>4197</v>
      </c>
      <c r="P152" s="72" t="n">
        <f aca="false">SUM(N152:O152)</f>
        <v>6013</v>
      </c>
    </row>
    <row r="153" customFormat="false" ht="15.75" hidden="false" customHeight="false" outlineLevel="0" collapsed="false">
      <c r="A153" s="91"/>
      <c r="B153" s="90" t="s">
        <v>67</v>
      </c>
      <c r="C153" s="93" t="n">
        <v>2058</v>
      </c>
      <c r="D153" s="93" t="n">
        <v>1955</v>
      </c>
      <c r="E153" s="93" t="n">
        <v>0</v>
      </c>
      <c r="F153" s="90" t="n">
        <f aca="false">SUM(C153:E153)</f>
        <v>4013</v>
      </c>
      <c r="G153" s="93" t="n">
        <v>0</v>
      </c>
      <c r="H153" s="93" t="n">
        <v>0</v>
      </c>
      <c r="I153" s="93" t="n">
        <v>184</v>
      </c>
      <c r="J153" s="90" t="n">
        <f aca="false">SUM(G153:I153)</f>
        <v>184</v>
      </c>
      <c r="K153" s="90" t="n">
        <f aca="false">SUM(J153,F153)</f>
        <v>4197</v>
      </c>
      <c r="M153" s="90" t="s">
        <v>68</v>
      </c>
      <c r="N153" s="44" t="n">
        <f aca="false">K139</f>
        <v>0</v>
      </c>
      <c r="O153" s="44" t="n">
        <f aca="false">K154</f>
        <v>0</v>
      </c>
      <c r="P153" s="72" t="n">
        <f aca="false">SUM(N153:O153)</f>
        <v>0</v>
      </c>
    </row>
    <row r="154" customFormat="false" ht="16.5" hidden="false" customHeight="false" outlineLevel="0" collapsed="false">
      <c r="A154" s="91"/>
      <c r="B154" s="90" t="s">
        <v>68</v>
      </c>
      <c r="C154" s="93" t="n">
        <v>0</v>
      </c>
      <c r="D154" s="93" t="n">
        <v>0</v>
      </c>
      <c r="E154" s="93" t="n">
        <v>0</v>
      </c>
      <c r="F154" s="90" t="n">
        <f aca="false">SUM(C154:E154)</f>
        <v>0</v>
      </c>
      <c r="G154" s="93" t="n">
        <v>0</v>
      </c>
      <c r="H154" s="93" t="n">
        <v>0</v>
      </c>
      <c r="I154" s="93" t="n">
        <v>0</v>
      </c>
      <c r="J154" s="90" t="n">
        <f aca="false">SUM(G154:I154)</f>
        <v>0</v>
      </c>
      <c r="K154" s="90" t="n">
        <f aca="false">SUM(J154,F154)</f>
        <v>0</v>
      </c>
      <c r="M154" s="94" t="s">
        <v>64</v>
      </c>
      <c r="N154" s="47" t="n">
        <f aca="false">K140</f>
        <v>1816</v>
      </c>
      <c r="O154" s="47" t="n">
        <f aca="false">K155</f>
        <v>4197</v>
      </c>
      <c r="P154" s="73" t="n">
        <f aca="false">SUM(N154:O154)</f>
        <v>6013</v>
      </c>
    </row>
    <row r="155" customFormat="false" ht="17.25" hidden="false" customHeight="false" outlineLevel="0" collapsed="false">
      <c r="A155" s="91"/>
      <c r="B155" s="94" t="s">
        <v>64</v>
      </c>
      <c r="C155" s="94" t="n">
        <f aca="false">SUM(C153:C154)</f>
        <v>2058</v>
      </c>
      <c r="D155" s="94" t="n">
        <f aca="false">SUM(D153:D154)</f>
        <v>1955</v>
      </c>
      <c r="E155" s="94" t="n">
        <f aca="false">SUM(E153:E154)</f>
        <v>0</v>
      </c>
      <c r="F155" s="94" t="n">
        <f aca="false">SUM(F153:F154)</f>
        <v>4013</v>
      </c>
      <c r="G155" s="94" t="n">
        <f aca="false">SUM(G153:G154)</f>
        <v>0</v>
      </c>
      <c r="H155" s="94" t="n">
        <f aca="false">SUM(H153:H154)</f>
        <v>0</v>
      </c>
      <c r="I155" s="94" t="n">
        <f aca="false">SUM(I153:I154)</f>
        <v>184</v>
      </c>
      <c r="J155" s="94" t="n">
        <f aca="false">SUM(J153:J154)</f>
        <v>184</v>
      </c>
      <c r="K155" s="94" t="n">
        <f aca="false">SUM(K153:K154)</f>
        <v>4197</v>
      </c>
      <c r="M155" s="95" t="s">
        <v>69</v>
      </c>
      <c r="N155" s="54" t="n">
        <f aca="false">SUM(K142)</f>
        <v>454</v>
      </c>
      <c r="O155" s="54" t="n">
        <f aca="false">SUM(K157)</f>
        <v>1050</v>
      </c>
      <c r="P155" s="105" t="n">
        <f aca="false">SUM(N155:O155)</f>
        <v>1504</v>
      </c>
    </row>
    <row r="156" customFormat="false" ht="16.5" hidden="false" customHeight="false" outlineLevel="0" collapsed="false">
      <c r="A156" s="91"/>
      <c r="B156" s="95" t="s">
        <v>8</v>
      </c>
      <c r="C156" s="98" t="n">
        <v>0</v>
      </c>
      <c r="D156" s="98" t="n">
        <v>0</v>
      </c>
      <c r="E156" s="98" t="n">
        <v>0</v>
      </c>
      <c r="F156" s="90" t="n">
        <f aca="false">SUM(C156:E156)</f>
        <v>0</v>
      </c>
      <c r="G156" s="98" t="n">
        <v>0</v>
      </c>
      <c r="H156" s="98" t="n">
        <v>0</v>
      </c>
      <c r="I156" s="98" t="n">
        <v>0</v>
      </c>
      <c r="J156" s="90" t="n">
        <f aca="false">SUM(G156:I156)</f>
        <v>0</v>
      </c>
      <c r="K156" s="90" t="n">
        <f aca="false">SUM(J156,F156)</f>
        <v>0</v>
      </c>
      <c r="M156" s="95" t="s">
        <v>8</v>
      </c>
      <c r="N156" s="44" t="n">
        <f aca="false">SUM(K141)</f>
        <v>0</v>
      </c>
      <c r="O156" s="44" t="n">
        <f aca="false">SUM(K156)</f>
        <v>0</v>
      </c>
      <c r="P156" s="72" t="n">
        <f aca="false">SUM(N156:O156)</f>
        <v>0</v>
      </c>
    </row>
    <row r="157" customFormat="false" ht="15.75" hidden="false" customHeight="false" outlineLevel="0" collapsed="false">
      <c r="A157" s="91"/>
      <c r="B157" s="90" t="s">
        <v>69</v>
      </c>
      <c r="C157" s="93" t="n">
        <v>515</v>
      </c>
      <c r="D157" s="93" t="n">
        <v>489</v>
      </c>
      <c r="E157" s="93" t="n">
        <v>0</v>
      </c>
      <c r="F157" s="90" t="n">
        <f aca="false">SUM(C157:E157)</f>
        <v>1004</v>
      </c>
      <c r="G157" s="93" t="n">
        <v>0</v>
      </c>
      <c r="H157" s="93" t="n">
        <v>0</v>
      </c>
      <c r="I157" s="98" t="n">
        <v>46</v>
      </c>
      <c r="J157" s="90" t="n">
        <f aca="false">SUM(G157:I157)</f>
        <v>46</v>
      </c>
      <c r="K157" s="90" t="n">
        <f aca="false">SUM(J157,F157)</f>
        <v>1050</v>
      </c>
      <c r="M157" s="90" t="s">
        <v>70</v>
      </c>
      <c r="N157" s="44" t="n">
        <f aca="false">SUM(K143)</f>
        <v>0</v>
      </c>
      <c r="O157" s="44" t="n">
        <f aca="false">SUM(K158)</f>
        <v>0</v>
      </c>
      <c r="P157" s="72" t="n">
        <f aca="false">SUM(N157:O157)</f>
        <v>0</v>
      </c>
    </row>
    <row r="158" customFormat="false" ht="15.75" hidden="false" customHeight="false" outlineLevel="0" collapsed="false">
      <c r="A158" s="91"/>
      <c r="B158" s="90" t="s">
        <v>70</v>
      </c>
      <c r="C158" s="93" t="n">
        <v>0</v>
      </c>
      <c r="D158" s="93" t="n">
        <v>0</v>
      </c>
      <c r="E158" s="93" t="n">
        <v>0</v>
      </c>
      <c r="F158" s="90" t="n">
        <f aca="false">SUM(C158:E158)</f>
        <v>0</v>
      </c>
      <c r="G158" s="93" t="n">
        <v>0</v>
      </c>
      <c r="H158" s="93" t="n">
        <v>0</v>
      </c>
      <c r="I158" s="98" t="n">
        <v>0</v>
      </c>
      <c r="J158" s="90" t="n">
        <f aca="false">SUM(G158:I158)</f>
        <v>0</v>
      </c>
      <c r="K158" s="90" t="n">
        <f aca="false">SUM(J158,F158)</f>
        <v>0</v>
      </c>
      <c r="M158" s="90" t="s">
        <v>71</v>
      </c>
      <c r="N158" s="44" t="n">
        <f aca="false">SUM(K144)</f>
        <v>164</v>
      </c>
      <c r="O158" s="44" t="n">
        <f aca="false">SUM(K159)</f>
        <v>383</v>
      </c>
      <c r="P158" s="72" t="n">
        <f aca="false">SUM(N158:O158)</f>
        <v>547</v>
      </c>
    </row>
    <row r="159" customFormat="false" ht="15.75" hidden="false" customHeight="false" outlineLevel="0" collapsed="false">
      <c r="A159" s="91"/>
      <c r="B159" s="90" t="s">
        <v>71</v>
      </c>
      <c r="C159" s="93" t="n">
        <v>185</v>
      </c>
      <c r="D159" s="93" t="n">
        <v>176</v>
      </c>
      <c r="E159" s="93" t="n">
        <v>0</v>
      </c>
      <c r="F159" s="90" t="n">
        <f aca="false">SUM(C159:E159)</f>
        <v>361</v>
      </c>
      <c r="G159" s="93" t="n">
        <v>0</v>
      </c>
      <c r="H159" s="93" t="n">
        <v>0</v>
      </c>
      <c r="I159" s="98" t="n">
        <v>22</v>
      </c>
      <c r="J159" s="90" t="n">
        <f aca="false">SUM(G159:I159)</f>
        <v>22</v>
      </c>
      <c r="K159" s="90" t="n">
        <f aca="false">SUM(J159,F159)</f>
        <v>383</v>
      </c>
      <c r="M159" s="90" t="s">
        <v>72</v>
      </c>
      <c r="N159" s="44" t="n">
        <f aca="false">SUM(K145)</f>
        <v>24</v>
      </c>
      <c r="O159" s="44" t="n">
        <f aca="false">SUM(K160)</f>
        <v>54</v>
      </c>
      <c r="P159" s="72" t="n">
        <f aca="false">SUM(N159:O159)</f>
        <v>78</v>
      </c>
    </row>
    <row r="160" customFormat="false" ht="15.75" hidden="false" customHeight="false" outlineLevel="0" collapsed="false">
      <c r="A160" s="91"/>
      <c r="B160" s="90" t="s">
        <v>72</v>
      </c>
      <c r="C160" s="93" t="n">
        <v>29</v>
      </c>
      <c r="D160" s="93" t="n">
        <v>20</v>
      </c>
      <c r="E160" s="93" t="n">
        <v>0</v>
      </c>
      <c r="F160" s="90" t="n">
        <f aca="false">SUM(C160:E160)</f>
        <v>49</v>
      </c>
      <c r="G160" s="93" t="n">
        <v>0</v>
      </c>
      <c r="H160" s="93" t="n">
        <v>0</v>
      </c>
      <c r="I160" s="98" t="n">
        <v>5</v>
      </c>
      <c r="J160" s="90" t="n">
        <f aca="false">SUM(G160:I160)</f>
        <v>5</v>
      </c>
      <c r="K160" s="90" t="n">
        <f aca="false">SUM(J160,F160)</f>
        <v>54</v>
      </c>
      <c r="M160" s="90" t="s">
        <v>73</v>
      </c>
      <c r="N160" s="44" t="n">
        <f aca="false">SUM(K146)</f>
        <v>2</v>
      </c>
      <c r="O160" s="44" t="n">
        <f aca="false">SUM(K161)</f>
        <v>1</v>
      </c>
      <c r="P160" s="72" t="n">
        <f aca="false">SUM(N160:O160)</f>
        <v>3</v>
      </c>
    </row>
    <row r="161" customFormat="false" ht="16.5" hidden="false" customHeight="false" outlineLevel="0" collapsed="false">
      <c r="A161" s="91"/>
      <c r="B161" s="90" t="s">
        <v>73</v>
      </c>
      <c r="C161" s="93" t="n">
        <v>0</v>
      </c>
      <c r="D161" s="93" t="n">
        <v>0</v>
      </c>
      <c r="E161" s="93" t="n">
        <v>0</v>
      </c>
      <c r="F161" s="90" t="n">
        <f aca="false">SUM(C161:E161)</f>
        <v>0</v>
      </c>
      <c r="G161" s="93" t="n">
        <v>0</v>
      </c>
      <c r="H161" s="93" t="n">
        <v>0</v>
      </c>
      <c r="I161" s="98" t="n">
        <v>1</v>
      </c>
      <c r="J161" s="90" t="n">
        <f aca="false">SUM(G161:I161)</f>
        <v>1</v>
      </c>
      <c r="K161" s="90" t="n">
        <f aca="false">SUM(J161,F161)</f>
        <v>1</v>
      </c>
      <c r="M161" s="96" t="s">
        <v>64</v>
      </c>
      <c r="N161" s="73" t="n">
        <f aca="false">SUM(N154:N160)</f>
        <v>2460</v>
      </c>
      <c r="O161" s="73" t="n">
        <f aca="false">SUM(O154:O160)</f>
        <v>5685</v>
      </c>
      <c r="P161" s="73" t="n">
        <f aca="false">SUM(P154:P160)</f>
        <v>8145</v>
      </c>
    </row>
    <row r="162" customFormat="false" ht="17.25" hidden="false" customHeight="false" outlineLevel="0" collapsed="false">
      <c r="A162" s="91"/>
      <c r="B162" s="96" t="s">
        <v>64</v>
      </c>
      <c r="C162" s="94" t="n">
        <f aca="false">SUM(C155:C161)</f>
        <v>2787</v>
      </c>
      <c r="D162" s="94" t="n">
        <f aca="false">SUM(D155:D161)</f>
        <v>2640</v>
      </c>
      <c r="E162" s="94" t="n">
        <f aca="false">SUM(E155:E161)</f>
        <v>0</v>
      </c>
      <c r="F162" s="94" t="n">
        <f aca="false">SUM(F155:F161)</f>
        <v>5427</v>
      </c>
      <c r="G162" s="94" t="n">
        <f aca="false">SUM(G155:G161)</f>
        <v>0</v>
      </c>
      <c r="H162" s="94" t="n">
        <f aca="false">SUM(H155:H161)</f>
        <v>0</v>
      </c>
      <c r="I162" s="94" t="n">
        <f aca="false">SUM(I155:I161)</f>
        <v>258</v>
      </c>
      <c r="J162" s="94" t="n">
        <f aca="false">SUM(J155:J161)</f>
        <v>258</v>
      </c>
      <c r="K162" s="94" t="n">
        <f aca="false">SUM(K155:K161)</f>
        <v>5685</v>
      </c>
      <c r="M162" s="99"/>
      <c r="N162" s="99"/>
      <c r="O162" s="99"/>
      <c r="P162" s="99"/>
    </row>
    <row r="163" customFormat="false" ht="16.5" hidden="false" customHeight="false" outlineLevel="0" collapsed="false">
      <c r="A163" s="100"/>
      <c r="B163" s="101"/>
      <c r="C163" s="102"/>
      <c r="D163" s="102"/>
      <c r="E163" s="102"/>
      <c r="F163" s="102"/>
      <c r="G163" s="102"/>
      <c r="H163" s="102"/>
      <c r="I163" s="102"/>
      <c r="J163" s="102"/>
      <c r="K163" s="102"/>
      <c r="M163" s="99"/>
      <c r="N163" s="99"/>
      <c r="O163" s="99"/>
      <c r="P163" s="99"/>
    </row>
    <row r="164" customFormat="false" ht="15.75" hidden="false" customHeight="false" outlineLevel="0" collapsed="false">
      <c r="A164" s="85" t="str">
        <f aca="false">$A$1</f>
        <v>प्रपत्र - क  -  अर्थसंकल्पीय अंदाजपत्रक सन 2021-2022</v>
      </c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</row>
    <row r="165" customFormat="false" ht="15.75" hidden="false" customHeight="false" outlineLevel="0" collapsed="false">
      <c r="A165" s="5" t="s">
        <v>1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customFormat="false" ht="15.75" hidden="false" customHeight="false" outlineLevel="0" collapsed="false">
      <c r="A166" s="87" t="s">
        <v>3</v>
      </c>
      <c r="B166" s="87"/>
      <c r="C166" s="87"/>
      <c r="D166" s="87"/>
      <c r="E166" s="87"/>
      <c r="F166" s="87"/>
      <c r="G166" s="87"/>
      <c r="H166" s="87"/>
      <c r="I166" s="87"/>
      <c r="J166" s="87"/>
      <c r="K166" s="87"/>
    </row>
    <row r="167" customFormat="false" ht="15.75" hidden="false" customHeight="false" outlineLevel="0" collapsed="false">
      <c r="A167" s="88" t="s">
        <v>60</v>
      </c>
      <c r="B167" s="89" t="s">
        <v>61</v>
      </c>
      <c r="C167" s="89"/>
      <c r="D167" s="89"/>
      <c r="E167" s="89"/>
      <c r="F167" s="89"/>
      <c r="G167" s="89"/>
      <c r="H167" s="89"/>
      <c r="I167" s="89"/>
      <c r="J167" s="89"/>
      <c r="K167" s="89"/>
    </row>
    <row r="168" customFormat="false" ht="15.75" hidden="false" customHeight="true" outlineLevel="0" collapsed="false">
      <c r="A168" s="88"/>
      <c r="B168" s="90"/>
      <c r="C168" s="89" t="s">
        <v>62</v>
      </c>
      <c r="D168" s="89"/>
      <c r="E168" s="89"/>
      <c r="F168" s="89"/>
      <c r="G168" s="89" t="s">
        <v>63</v>
      </c>
      <c r="H168" s="89"/>
      <c r="I168" s="89"/>
      <c r="J168" s="89"/>
      <c r="K168" s="89" t="s">
        <v>64</v>
      </c>
    </row>
    <row r="169" customFormat="false" ht="15.75" hidden="false" customHeight="true" outlineLevel="0" collapsed="false">
      <c r="A169" s="91" t="s">
        <v>80</v>
      </c>
      <c r="B169" s="90" t="s">
        <v>5</v>
      </c>
      <c r="C169" s="88" t="s">
        <v>22</v>
      </c>
      <c r="D169" s="88" t="s">
        <v>25</v>
      </c>
      <c r="E169" s="88" t="s">
        <v>30</v>
      </c>
      <c r="F169" s="88" t="s">
        <v>64</v>
      </c>
      <c r="G169" s="88" t="s">
        <v>22</v>
      </c>
      <c r="H169" s="88" t="s">
        <v>25</v>
      </c>
      <c r="I169" s="88" t="s">
        <v>30</v>
      </c>
      <c r="J169" s="88" t="s">
        <v>64</v>
      </c>
      <c r="K169" s="88" t="s">
        <v>64</v>
      </c>
    </row>
    <row r="170" customFormat="false" ht="15.75" hidden="false" customHeight="false" outlineLevel="0" collapsed="false">
      <c r="A170" s="91"/>
      <c r="B170" s="92" t="s">
        <v>66</v>
      </c>
      <c r="C170" s="42" t="n">
        <v>0</v>
      </c>
      <c r="D170" s="42" t="n">
        <v>0</v>
      </c>
      <c r="E170" s="42" t="n">
        <v>0</v>
      </c>
      <c r="F170" s="90" t="n">
        <v>0</v>
      </c>
      <c r="G170" s="42" t="n">
        <v>0</v>
      </c>
      <c r="H170" s="42" t="n">
        <v>0</v>
      </c>
      <c r="I170" s="42" t="n">
        <v>0</v>
      </c>
      <c r="J170" s="90" t="n">
        <v>0</v>
      </c>
      <c r="K170" s="90" t="n">
        <v>0</v>
      </c>
    </row>
    <row r="171" customFormat="false" ht="15.75" hidden="false" customHeight="false" outlineLevel="0" collapsed="false">
      <c r="A171" s="91"/>
      <c r="B171" s="90" t="s">
        <v>67</v>
      </c>
      <c r="C171" s="42" t="n">
        <v>0</v>
      </c>
      <c r="D171" s="42" t="n">
        <v>0</v>
      </c>
      <c r="E171" s="42" t="n">
        <v>0</v>
      </c>
      <c r="F171" s="90" t="n">
        <v>0</v>
      </c>
      <c r="G171" s="42" t="n">
        <v>0</v>
      </c>
      <c r="H171" s="42" t="n">
        <v>0</v>
      </c>
      <c r="I171" s="42" t="n">
        <v>0</v>
      </c>
      <c r="J171" s="90" t="n">
        <v>0</v>
      </c>
      <c r="K171" s="90" t="n">
        <v>0</v>
      </c>
    </row>
    <row r="172" customFormat="false" ht="15.75" hidden="false" customHeight="false" outlineLevel="0" collapsed="false">
      <c r="A172" s="91"/>
      <c r="B172" s="90" t="s">
        <v>68</v>
      </c>
      <c r="C172" s="42" t="n">
        <v>0</v>
      </c>
      <c r="D172" s="42" t="n">
        <v>0</v>
      </c>
      <c r="E172" s="42" t="n">
        <v>0</v>
      </c>
      <c r="F172" s="90" t="n">
        <v>0</v>
      </c>
      <c r="G172" s="42" t="n">
        <v>0</v>
      </c>
      <c r="H172" s="42" t="n">
        <v>0</v>
      </c>
      <c r="I172" s="42" t="n">
        <v>0</v>
      </c>
      <c r="J172" s="90" t="n">
        <v>0</v>
      </c>
      <c r="K172" s="90" t="n">
        <v>0</v>
      </c>
    </row>
    <row r="173" customFormat="false" ht="16.5" hidden="false" customHeight="false" outlineLevel="0" collapsed="false">
      <c r="A173" s="91"/>
      <c r="B173" s="94" t="s">
        <v>64</v>
      </c>
      <c r="C173" s="94" t="n">
        <v>0</v>
      </c>
      <c r="D173" s="94" t="n">
        <v>0</v>
      </c>
      <c r="E173" s="94" t="n">
        <v>0</v>
      </c>
      <c r="F173" s="94" t="n">
        <v>0</v>
      </c>
      <c r="G173" s="94" t="n">
        <v>0</v>
      </c>
      <c r="H173" s="94" t="n">
        <v>0</v>
      </c>
      <c r="I173" s="94" t="n">
        <v>0</v>
      </c>
      <c r="J173" s="94" t="n">
        <v>0</v>
      </c>
      <c r="K173" s="94" t="n">
        <v>0</v>
      </c>
    </row>
    <row r="174" customFormat="false" ht="16.5" hidden="false" customHeight="false" outlineLevel="0" collapsed="false">
      <c r="A174" s="91"/>
      <c r="B174" s="95" t="s">
        <v>8</v>
      </c>
      <c r="C174" s="42" t="n">
        <v>0</v>
      </c>
      <c r="D174" s="42" t="n">
        <v>0</v>
      </c>
      <c r="E174" s="42" t="n">
        <v>0</v>
      </c>
      <c r="F174" s="90" t="n">
        <v>0</v>
      </c>
      <c r="G174" s="42" t="n">
        <v>0</v>
      </c>
      <c r="H174" s="42" t="n">
        <v>0</v>
      </c>
      <c r="I174" s="42" t="n">
        <v>0</v>
      </c>
      <c r="J174" s="90" t="n">
        <v>0</v>
      </c>
      <c r="K174" s="90" t="n">
        <v>0</v>
      </c>
    </row>
    <row r="175" customFormat="false" ht="15.75" hidden="false" customHeight="false" outlineLevel="0" collapsed="false">
      <c r="A175" s="91"/>
      <c r="B175" s="90" t="s">
        <v>69</v>
      </c>
      <c r="C175" s="42" t="n">
        <v>0</v>
      </c>
      <c r="D175" s="42" t="n">
        <v>0</v>
      </c>
      <c r="E175" s="42" t="n">
        <v>0</v>
      </c>
      <c r="F175" s="90" t="n">
        <v>0</v>
      </c>
      <c r="G175" s="42" t="n">
        <v>0</v>
      </c>
      <c r="H175" s="42" t="n">
        <v>0</v>
      </c>
      <c r="I175" s="42" t="n">
        <v>0</v>
      </c>
      <c r="J175" s="90" t="n">
        <v>0</v>
      </c>
      <c r="K175" s="90" t="n">
        <v>0</v>
      </c>
    </row>
    <row r="176" customFormat="false" ht="15.75" hidden="false" customHeight="false" outlineLevel="0" collapsed="false">
      <c r="A176" s="91"/>
      <c r="B176" s="90" t="s">
        <v>70</v>
      </c>
      <c r="C176" s="42" t="n">
        <v>0</v>
      </c>
      <c r="D176" s="42" t="n">
        <v>0</v>
      </c>
      <c r="E176" s="42" t="n">
        <v>0</v>
      </c>
      <c r="F176" s="90" t="n">
        <v>0</v>
      </c>
      <c r="G176" s="42" t="n">
        <v>0</v>
      </c>
      <c r="H176" s="42" t="n">
        <v>0</v>
      </c>
      <c r="I176" s="42" t="n">
        <v>0</v>
      </c>
      <c r="J176" s="90" t="n">
        <v>0</v>
      </c>
      <c r="K176" s="90" t="n">
        <v>0</v>
      </c>
    </row>
    <row r="177" customFormat="false" ht="15.75" hidden="false" customHeight="false" outlineLevel="0" collapsed="false">
      <c r="A177" s="91"/>
      <c r="B177" s="90" t="s">
        <v>71</v>
      </c>
      <c r="C177" s="42" t="n">
        <v>0</v>
      </c>
      <c r="D177" s="42" t="n">
        <v>0</v>
      </c>
      <c r="E177" s="42" t="n">
        <v>0</v>
      </c>
      <c r="F177" s="90" t="n">
        <v>0</v>
      </c>
      <c r="G177" s="42" t="n">
        <v>0</v>
      </c>
      <c r="H177" s="42" t="n">
        <v>0</v>
      </c>
      <c r="I177" s="42" t="n">
        <v>0</v>
      </c>
      <c r="J177" s="90" t="n">
        <v>0</v>
      </c>
      <c r="K177" s="90" t="n">
        <v>0</v>
      </c>
    </row>
    <row r="178" customFormat="false" ht="15.75" hidden="false" customHeight="false" outlineLevel="0" collapsed="false">
      <c r="A178" s="91"/>
      <c r="B178" s="90" t="s">
        <v>72</v>
      </c>
      <c r="C178" s="42" t="n">
        <v>0</v>
      </c>
      <c r="D178" s="42" t="n">
        <v>0</v>
      </c>
      <c r="E178" s="42" t="n">
        <v>0</v>
      </c>
      <c r="F178" s="90" t="n">
        <v>0</v>
      </c>
      <c r="G178" s="42" t="n">
        <v>0</v>
      </c>
      <c r="H178" s="42" t="n">
        <v>0</v>
      </c>
      <c r="I178" s="42" t="n">
        <v>0</v>
      </c>
      <c r="J178" s="90" t="n">
        <v>0</v>
      </c>
      <c r="K178" s="90" t="n">
        <v>0</v>
      </c>
    </row>
    <row r="179" customFormat="false" ht="15.75" hidden="false" customHeight="false" outlineLevel="0" collapsed="false">
      <c r="A179" s="91"/>
      <c r="B179" s="90" t="s">
        <v>73</v>
      </c>
      <c r="C179" s="42" t="n">
        <v>0</v>
      </c>
      <c r="D179" s="42" t="n">
        <v>0</v>
      </c>
      <c r="E179" s="42" t="n">
        <v>0</v>
      </c>
      <c r="F179" s="90" t="n">
        <v>0</v>
      </c>
      <c r="G179" s="42" t="n">
        <v>0</v>
      </c>
      <c r="H179" s="42" t="n">
        <v>0</v>
      </c>
      <c r="I179" s="42" t="n">
        <v>0</v>
      </c>
      <c r="J179" s="90" t="n">
        <v>0</v>
      </c>
      <c r="K179" s="90" t="n">
        <v>0</v>
      </c>
    </row>
    <row r="180" customFormat="false" ht="16.5" hidden="false" customHeight="false" outlineLevel="0" collapsed="false">
      <c r="A180" s="91"/>
      <c r="B180" s="96" t="s">
        <v>64</v>
      </c>
      <c r="C180" s="94" t="n">
        <v>0</v>
      </c>
      <c r="D180" s="94" t="n">
        <v>0</v>
      </c>
      <c r="E180" s="94" t="n">
        <v>0</v>
      </c>
      <c r="F180" s="94" t="n">
        <v>0</v>
      </c>
      <c r="G180" s="94" t="n">
        <v>0</v>
      </c>
      <c r="H180" s="94" t="n">
        <v>0</v>
      </c>
      <c r="I180" s="94" t="n">
        <v>0</v>
      </c>
      <c r="J180" s="94" t="n">
        <v>0</v>
      </c>
      <c r="K180" s="94" t="n">
        <v>0</v>
      </c>
    </row>
    <row r="181" customFormat="false" ht="16.5" hidden="false" customHeight="false" outlineLevel="0" collapsed="false"/>
    <row r="182" customFormat="false" ht="15.75" hidden="false" customHeight="true" outlineLevel="0" collapsed="false">
      <c r="A182" s="88" t="s">
        <v>60</v>
      </c>
      <c r="B182" s="89" t="s">
        <v>74</v>
      </c>
      <c r="C182" s="89"/>
      <c r="D182" s="89"/>
      <c r="E182" s="89"/>
      <c r="F182" s="89"/>
      <c r="G182" s="89"/>
      <c r="H182" s="89"/>
      <c r="I182" s="89"/>
      <c r="J182" s="89"/>
      <c r="K182" s="89"/>
      <c r="M182" s="97" t="s">
        <v>75</v>
      </c>
      <c r="N182" s="97"/>
      <c r="O182" s="97"/>
      <c r="P182" s="97"/>
    </row>
    <row r="183" customFormat="false" ht="15.75" hidden="false" customHeight="true" outlineLevel="0" collapsed="false">
      <c r="A183" s="88"/>
      <c r="B183" s="90"/>
      <c r="C183" s="89" t="s">
        <v>62</v>
      </c>
      <c r="D183" s="89"/>
      <c r="E183" s="89"/>
      <c r="F183" s="89"/>
      <c r="G183" s="89" t="s">
        <v>63</v>
      </c>
      <c r="H183" s="89"/>
      <c r="I183" s="89"/>
      <c r="J183" s="89"/>
      <c r="K183" s="89" t="s">
        <v>64</v>
      </c>
      <c r="M183" s="90" t="s">
        <v>5</v>
      </c>
      <c r="N183" s="44" t="s">
        <v>61</v>
      </c>
      <c r="O183" s="44" t="s">
        <v>74</v>
      </c>
      <c r="P183" s="89" t="s">
        <v>64</v>
      </c>
    </row>
    <row r="184" customFormat="false" ht="15.75" hidden="false" customHeight="true" outlineLevel="0" collapsed="false">
      <c r="A184" s="91" t="s">
        <v>80</v>
      </c>
      <c r="B184" s="90" t="s">
        <v>5</v>
      </c>
      <c r="C184" s="88" t="s">
        <v>22</v>
      </c>
      <c r="D184" s="88" t="s">
        <v>25</v>
      </c>
      <c r="E184" s="88" t="s">
        <v>30</v>
      </c>
      <c r="F184" s="88" t="s">
        <v>64</v>
      </c>
      <c r="G184" s="88" t="s">
        <v>22</v>
      </c>
      <c r="H184" s="88" t="s">
        <v>25</v>
      </c>
      <c r="I184" s="88" t="s">
        <v>30</v>
      </c>
      <c r="J184" s="88" t="s">
        <v>64</v>
      </c>
      <c r="K184" s="88"/>
      <c r="M184" s="92" t="s">
        <v>66</v>
      </c>
      <c r="N184" s="44" t="n">
        <v>0</v>
      </c>
      <c r="O184" s="44" t="n">
        <v>0</v>
      </c>
      <c r="P184" s="72" t="n">
        <v>0</v>
      </c>
    </row>
    <row r="185" customFormat="false" ht="15.75" hidden="false" customHeight="false" outlineLevel="0" collapsed="false">
      <c r="A185" s="91"/>
      <c r="B185" s="92" t="s">
        <v>66</v>
      </c>
      <c r="C185" s="42" t="n">
        <v>0</v>
      </c>
      <c r="D185" s="42" t="n">
        <v>0</v>
      </c>
      <c r="E185" s="42" t="n">
        <v>0</v>
      </c>
      <c r="F185" s="90" t="n">
        <v>0</v>
      </c>
      <c r="G185" s="42" t="n">
        <v>0</v>
      </c>
      <c r="H185" s="42" t="n">
        <v>0</v>
      </c>
      <c r="I185" s="42" t="n">
        <v>0</v>
      </c>
      <c r="J185" s="90" t="n">
        <v>0</v>
      </c>
      <c r="K185" s="90" t="n">
        <v>0</v>
      </c>
      <c r="M185" s="90" t="s">
        <v>67</v>
      </c>
      <c r="N185" s="44" t="n">
        <v>0</v>
      </c>
      <c r="O185" s="44" t="n">
        <v>0</v>
      </c>
      <c r="P185" s="72" t="n">
        <v>0</v>
      </c>
    </row>
    <row r="186" customFormat="false" ht="15.75" hidden="false" customHeight="false" outlineLevel="0" collapsed="false">
      <c r="A186" s="91"/>
      <c r="B186" s="90" t="s">
        <v>67</v>
      </c>
      <c r="C186" s="42" t="n">
        <v>0</v>
      </c>
      <c r="D186" s="42" t="n">
        <v>0</v>
      </c>
      <c r="E186" s="42" t="n">
        <v>0</v>
      </c>
      <c r="F186" s="90" t="n">
        <v>0</v>
      </c>
      <c r="G186" s="42" t="n">
        <v>0</v>
      </c>
      <c r="H186" s="42" t="n">
        <v>0</v>
      </c>
      <c r="I186" s="42" t="n">
        <v>0</v>
      </c>
      <c r="J186" s="90" t="n">
        <v>0</v>
      </c>
      <c r="K186" s="90" t="n">
        <v>0</v>
      </c>
      <c r="M186" s="90" t="s">
        <v>68</v>
      </c>
      <c r="N186" s="44" t="n">
        <v>0</v>
      </c>
      <c r="O186" s="44" t="n">
        <v>0</v>
      </c>
      <c r="P186" s="72" t="n">
        <v>0</v>
      </c>
    </row>
    <row r="187" customFormat="false" ht="16.5" hidden="false" customHeight="false" outlineLevel="0" collapsed="false">
      <c r="A187" s="91"/>
      <c r="B187" s="90" t="s">
        <v>68</v>
      </c>
      <c r="C187" s="42" t="n">
        <v>0</v>
      </c>
      <c r="D187" s="42" t="n">
        <v>0</v>
      </c>
      <c r="E187" s="42" t="n">
        <v>0</v>
      </c>
      <c r="F187" s="90" t="n">
        <v>0</v>
      </c>
      <c r="G187" s="42" t="n">
        <v>0</v>
      </c>
      <c r="H187" s="42" t="n">
        <v>0</v>
      </c>
      <c r="I187" s="42" t="n">
        <v>0</v>
      </c>
      <c r="J187" s="90" t="n">
        <v>0</v>
      </c>
      <c r="K187" s="90" t="n">
        <v>0</v>
      </c>
      <c r="M187" s="94" t="s">
        <v>64</v>
      </c>
      <c r="N187" s="47" t="n">
        <v>0</v>
      </c>
      <c r="O187" s="47" t="n">
        <v>0</v>
      </c>
      <c r="P187" s="73" t="n">
        <v>0</v>
      </c>
    </row>
    <row r="188" customFormat="false" ht="17.25" hidden="false" customHeight="false" outlineLevel="0" collapsed="false">
      <c r="A188" s="91"/>
      <c r="B188" s="94" t="s">
        <v>64</v>
      </c>
      <c r="C188" s="94" t="n">
        <v>0</v>
      </c>
      <c r="D188" s="94" t="n">
        <v>0</v>
      </c>
      <c r="E188" s="94" t="n">
        <v>0</v>
      </c>
      <c r="F188" s="94" t="n">
        <v>0</v>
      </c>
      <c r="G188" s="94" t="n">
        <v>0</v>
      </c>
      <c r="H188" s="94" t="n">
        <v>0</v>
      </c>
      <c r="I188" s="94" t="n">
        <v>0</v>
      </c>
      <c r="J188" s="94" t="n">
        <v>0</v>
      </c>
      <c r="K188" s="94" t="n">
        <v>0</v>
      </c>
      <c r="M188" s="95" t="s">
        <v>69</v>
      </c>
      <c r="N188" s="54" t="n">
        <v>0</v>
      </c>
      <c r="O188" s="54" t="n">
        <v>0</v>
      </c>
      <c r="P188" s="105" t="n">
        <v>0</v>
      </c>
    </row>
    <row r="189" customFormat="false" ht="16.5" hidden="false" customHeight="false" outlineLevel="0" collapsed="false">
      <c r="A189" s="91"/>
      <c r="B189" s="95" t="s">
        <v>8</v>
      </c>
      <c r="C189" s="42" t="n">
        <v>0</v>
      </c>
      <c r="D189" s="42" t="n">
        <v>0</v>
      </c>
      <c r="E189" s="42" t="n">
        <v>0</v>
      </c>
      <c r="F189" s="90" t="n">
        <v>0</v>
      </c>
      <c r="G189" s="42" t="n">
        <v>0</v>
      </c>
      <c r="H189" s="42" t="n">
        <v>0</v>
      </c>
      <c r="I189" s="42" t="n">
        <v>0</v>
      </c>
      <c r="J189" s="90" t="n">
        <v>0</v>
      </c>
      <c r="K189" s="90" t="n">
        <v>0</v>
      </c>
      <c r="M189" s="95" t="s">
        <v>8</v>
      </c>
      <c r="N189" s="44" t="n">
        <v>0</v>
      </c>
      <c r="O189" s="44" t="n">
        <v>0</v>
      </c>
      <c r="P189" s="105" t="n">
        <v>0</v>
      </c>
    </row>
    <row r="190" customFormat="false" ht="15.75" hidden="false" customHeight="false" outlineLevel="0" collapsed="false">
      <c r="A190" s="91"/>
      <c r="B190" s="90" t="s">
        <v>69</v>
      </c>
      <c r="C190" s="42" t="n">
        <v>0</v>
      </c>
      <c r="D190" s="42" t="n">
        <v>0</v>
      </c>
      <c r="E190" s="42" t="n">
        <v>0</v>
      </c>
      <c r="F190" s="90" t="n">
        <v>0</v>
      </c>
      <c r="G190" s="42" t="n">
        <v>0</v>
      </c>
      <c r="H190" s="42" t="n">
        <v>0</v>
      </c>
      <c r="I190" s="42" t="n">
        <v>0</v>
      </c>
      <c r="J190" s="90" t="n">
        <v>0</v>
      </c>
      <c r="K190" s="90" t="n">
        <v>0</v>
      </c>
      <c r="M190" s="90" t="s">
        <v>70</v>
      </c>
      <c r="N190" s="44" t="n">
        <v>0</v>
      </c>
      <c r="O190" s="44" t="n">
        <v>0</v>
      </c>
      <c r="P190" s="72" t="n">
        <v>0</v>
      </c>
    </row>
    <row r="191" customFormat="false" ht="15.75" hidden="false" customHeight="false" outlineLevel="0" collapsed="false">
      <c r="A191" s="91"/>
      <c r="B191" s="90" t="s">
        <v>70</v>
      </c>
      <c r="C191" s="42" t="n">
        <v>0</v>
      </c>
      <c r="D191" s="42" t="n">
        <v>0</v>
      </c>
      <c r="E191" s="42" t="n">
        <v>0</v>
      </c>
      <c r="F191" s="90" t="n">
        <v>0</v>
      </c>
      <c r="G191" s="42" t="n">
        <v>0</v>
      </c>
      <c r="H191" s="42" t="n">
        <v>0</v>
      </c>
      <c r="I191" s="42" t="n">
        <v>0</v>
      </c>
      <c r="J191" s="90" t="n">
        <v>0</v>
      </c>
      <c r="K191" s="90" t="n">
        <v>0</v>
      </c>
      <c r="M191" s="90" t="s">
        <v>71</v>
      </c>
      <c r="N191" s="44" t="n">
        <v>0</v>
      </c>
      <c r="O191" s="44" t="n">
        <v>0</v>
      </c>
      <c r="P191" s="72" t="n">
        <v>0</v>
      </c>
    </row>
    <row r="192" customFormat="false" ht="15.75" hidden="false" customHeight="false" outlineLevel="0" collapsed="false">
      <c r="A192" s="91"/>
      <c r="B192" s="90" t="s">
        <v>71</v>
      </c>
      <c r="C192" s="42" t="n">
        <v>0</v>
      </c>
      <c r="D192" s="42" t="n">
        <v>0</v>
      </c>
      <c r="E192" s="42" t="n">
        <v>0</v>
      </c>
      <c r="F192" s="90" t="n">
        <v>0</v>
      </c>
      <c r="G192" s="42" t="n">
        <v>0</v>
      </c>
      <c r="H192" s="42" t="n">
        <v>0</v>
      </c>
      <c r="I192" s="42" t="n">
        <v>0</v>
      </c>
      <c r="J192" s="90" t="n">
        <v>0</v>
      </c>
      <c r="K192" s="90" t="n">
        <v>0</v>
      </c>
      <c r="M192" s="90" t="s">
        <v>72</v>
      </c>
      <c r="N192" s="44" t="n">
        <v>0</v>
      </c>
      <c r="O192" s="44" t="n">
        <v>0</v>
      </c>
      <c r="P192" s="72" t="n">
        <v>0</v>
      </c>
    </row>
    <row r="193" customFormat="false" ht="15.75" hidden="false" customHeight="false" outlineLevel="0" collapsed="false">
      <c r="A193" s="91"/>
      <c r="B193" s="90" t="s">
        <v>72</v>
      </c>
      <c r="C193" s="42" t="n">
        <v>0</v>
      </c>
      <c r="D193" s="42" t="n">
        <v>0</v>
      </c>
      <c r="E193" s="42" t="n">
        <v>0</v>
      </c>
      <c r="F193" s="90" t="n">
        <v>0</v>
      </c>
      <c r="G193" s="42" t="n">
        <v>0</v>
      </c>
      <c r="H193" s="42" t="n">
        <v>0</v>
      </c>
      <c r="I193" s="42" t="n">
        <v>0</v>
      </c>
      <c r="J193" s="90" t="n">
        <v>0</v>
      </c>
      <c r="K193" s="90" t="n">
        <v>0</v>
      </c>
      <c r="M193" s="90" t="s">
        <v>73</v>
      </c>
      <c r="N193" s="44" t="n">
        <v>0</v>
      </c>
      <c r="O193" s="44" t="n">
        <v>0</v>
      </c>
      <c r="P193" s="72" t="n">
        <v>0</v>
      </c>
    </row>
    <row r="194" customFormat="false" ht="16.5" hidden="false" customHeight="false" outlineLevel="0" collapsed="false">
      <c r="A194" s="91"/>
      <c r="B194" s="90" t="s">
        <v>73</v>
      </c>
      <c r="C194" s="42" t="n">
        <v>0</v>
      </c>
      <c r="D194" s="42" t="n">
        <v>0</v>
      </c>
      <c r="E194" s="42" t="n">
        <v>0</v>
      </c>
      <c r="F194" s="90" t="n">
        <v>0</v>
      </c>
      <c r="G194" s="42" t="n">
        <v>0</v>
      </c>
      <c r="H194" s="42" t="n">
        <v>0</v>
      </c>
      <c r="I194" s="42" t="n">
        <v>0</v>
      </c>
      <c r="J194" s="90" t="n">
        <v>0</v>
      </c>
      <c r="K194" s="90" t="n">
        <v>0</v>
      </c>
      <c r="M194" s="96" t="s">
        <v>64</v>
      </c>
      <c r="N194" s="73" t="n">
        <v>0</v>
      </c>
      <c r="O194" s="73" t="n">
        <v>0</v>
      </c>
      <c r="P194" s="73" t="n">
        <v>0</v>
      </c>
    </row>
    <row r="195" customFormat="false" ht="17.25" hidden="false" customHeight="false" outlineLevel="0" collapsed="false">
      <c r="A195" s="91"/>
      <c r="B195" s="96" t="s">
        <v>64</v>
      </c>
      <c r="C195" s="94" t="n">
        <v>0</v>
      </c>
      <c r="D195" s="94" t="n">
        <v>0</v>
      </c>
      <c r="E195" s="94" t="n">
        <v>0</v>
      </c>
      <c r="F195" s="94" t="n">
        <v>0</v>
      </c>
      <c r="G195" s="94" t="n">
        <v>0</v>
      </c>
      <c r="H195" s="94" t="n">
        <v>0</v>
      </c>
      <c r="I195" s="94" t="n">
        <v>0</v>
      </c>
      <c r="J195" s="94" t="n">
        <v>0</v>
      </c>
      <c r="K195" s="94" t="n">
        <v>0</v>
      </c>
      <c r="M195" s="99"/>
      <c r="N195" s="99"/>
      <c r="O195" s="99"/>
      <c r="P195" s="99"/>
    </row>
    <row r="196" customFormat="false" ht="16.5" hidden="false" customHeight="false" outlineLevel="0" collapsed="false">
      <c r="A196" s="100"/>
      <c r="B196" s="101"/>
      <c r="C196" s="102"/>
      <c r="D196" s="102"/>
      <c r="E196" s="102"/>
      <c r="F196" s="102"/>
      <c r="G196" s="102"/>
      <c r="H196" s="102"/>
      <c r="I196" s="102"/>
      <c r="J196" s="102"/>
      <c r="K196" s="102"/>
      <c r="M196" s="99"/>
      <c r="N196" s="99"/>
      <c r="O196" s="99"/>
      <c r="P196" s="99"/>
    </row>
    <row r="197" customFormat="false" ht="15.75" hidden="false" customHeight="false" outlineLevel="0" collapsed="false">
      <c r="A197" s="85" t="str">
        <f aca="false">$A$1</f>
        <v>प्रपत्र - क  -  अर्थसंकल्पीय अंदाजपत्रक सन 2021-2022</v>
      </c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</row>
    <row r="198" customFormat="false" ht="15.75" hidden="false" customHeight="false" outlineLevel="0" collapsed="false">
      <c r="A198" s="5" t="s">
        <v>1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customFormat="false" ht="15.75" hidden="false" customHeight="false" outlineLevel="0" collapsed="false">
      <c r="A199" s="87" t="s">
        <v>3</v>
      </c>
      <c r="B199" s="87"/>
      <c r="C199" s="87"/>
      <c r="D199" s="87"/>
      <c r="E199" s="87"/>
      <c r="F199" s="87"/>
      <c r="G199" s="87"/>
      <c r="H199" s="87"/>
      <c r="I199" s="87"/>
      <c r="J199" s="87"/>
      <c r="K199" s="87"/>
    </row>
    <row r="200" customFormat="false" ht="15.75" hidden="false" customHeight="false" outlineLevel="0" collapsed="false">
      <c r="A200" s="88" t="s">
        <v>60</v>
      </c>
      <c r="B200" s="89" t="s">
        <v>61</v>
      </c>
      <c r="C200" s="89"/>
      <c r="D200" s="89"/>
      <c r="E200" s="89"/>
      <c r="F200" s="89"/>
      <c r="G200" s="89"/>
      <c r="H200" s="89"/>
      <c r="I200" s="89"/>
      <c r="J200" s="89"/>
      <c r="K200" s="89"/>
    </row>
    <row r="201" customFormat="false" ht="15.75" hidden="false" customHeight="true" outlineLevel="0" collapsed="false">
      <c r="A201" s="88"/>
      <c r="B201" s="90"/>
      <c r="C201" s="89" t="s">
        <v>62</v>
      </c>
      <c r="D201" s="89"/>
      <c r="E201" s="89"/>
      <c r="F201" s="89"/>
      <c r="G201" s="89" t="s">
        <v>63</v>
      </c>
      <c r="H201" s="89"/>
      <c r="I201" s="89"/>
      <c r="J201" s="89"/>
      <c r="K201" s="89" t="s">
        <v>64</v>
      </c>
    </row>
    <row r="202" customFormat="false" ht="15.75" hidden="false" customHeight="true" outlineLevel="0" collapsed="false">
      <c r="A202" s="91" t="s">
        <v>81</v>
      </c>
      <c r="B202" s="90" t="s">
        <v>5</v>
      </c>
      <c r="C202" s="88" t="s">
        <v>22</v>
      </c>
      <c r="D202" s="88" t="s">
        <v>25</v>
      </c>
      <c r="E202" s="88" t="s">
        <v>30</v>
      </c>
      <c r="F202" s="88" t="s">
        <v>64</v>
      </c>
      <c r="G202" s="88" t="s">
        <v>22</v>
      </c>
      <c r="H202" s="88" t="s">
        <v>25</v>
      </c>
      <c r="I202" s="88" t="s">
        <v>30</v>
      </c>
      <c r="J202" s="88" t="s">
        <v>64</v>
      </c>
      <c r="K202" s="88" t="s">
        <v>64</v>
      </c>
    </row>
    <row r="203" customFormat="false" ht="15.75" hidden="false" customHeight="false" outlineLevel="0" collapsed="false">
      <c r="A203" s="91"/>
      <c r="B203" s="92" t="s">
        <v>66</v>
      </c>
      <c r="C203" s="42" t="n">
        <v>0</v>
      </c>
      <c r="D203" s="42" t="n">
        <v>0</v>
      </c>
      <c r="E203" s="42" t="n">
        <v>0</v>
      </c>
      <c r="F203" s="90" t="n">
        <v>0</v>
      </c>
      <c r="G203" s="42" t="n">
        <v>0</v>
      </c>
      <c r="H203" s="42" t="n">
        <v>0</v>
      </c>
      <c r="I203" s="42" t="n">
        <v>0</v>
      </c>
      <c r="J203" s="90" t="n">
        <v>0</v>
      </c>
      <c r="K203" s="90" t="n">
        <v>0</v>
      </c>
    </row>
    <row r="204" customFormat="false" ht="15.75" hidden="false" customHeight="false" outlineLevel="0" collapsed="false">
      <c r="A204" s="91"/>
      <c r="B204" s="90" t="s">
        <v>67</v>
      </c>
      <c r="C204" s="42" t="n">
        <v>0</v>
      </c>
      <c r="D204" s="42" t="n">
        <v>0</v>
      </c>
      <c r="E204" s="42" t="n">
        <v>0</v>
      </c>
      <c r="F204" s="90" t="n">
        <v>0</v>
      </c>
      <c r="G204" s="42" t="n">
        <v>0</v>
      </c>
      <c r="H204" s="42" t="n">
        <v>0</v>
      </c>
      <c r="I204" s="42" t="n">
        <v>0</v>
      </c>
      <c r="J204" s="90" t="n">
        <v>0</v>
      </c>
      <c r="K204" s="90" t="n">
        <v>0</v>
      </c>
    </row>
    <row r="205" customFormat="false" ht="15.75" hidden="false" customHeight="false" outlineLevel="0" collapsed="false">
      <c r="A205" s="91"/>
      <c r="B205" s="90" t="s">
        <v>68</v>
      </c>
      <c r="C205" s="93" t="n">
        <v>0</v>
      </c>
      <c r="D205" s="93" t="n">
        <v>0</v>
      </c>
      <c r="E205" s="93" t="n">
        <v>0</v>
      </c>
      <c r="F205" s="90" t="n">
        <v>0</v>
      </c>
      <c r="G205" s="42" t="n">
        <v>0</v>
      </c>
      <c r="H205" s="42" t="n">
        <v>0</v>
      </c>
      <c r="I205" s="42" t="n">
        <v>0</v>
      </c>
      <c r="J205" s="90" t="n">
        <v>0</v>
      </c>
      <c r="K205" s="90" t="n">
        <v>0</v>
      </c>
    </row>
    <row r="206" customFormat="false" ht="16.5" hidden="false" customHeight="false" outlineLevel="0" collapsed="false">
      <c r="A206" s="91"/>
      <c r="B206" s="94" t="s">
        <v>64</v>
      </c>
      <c r="C206" s="94" t="n">
        <v>0</v>
      </c>
      <c r="D206" s="94" t="n">
        <v>0</v>
      </c>
      <c r="E206" s="94" t="n">
        <v>0</v>
      </c>
      <c r="F206" s="94" t="n">
        <v>0</v>
      </c>
      <c r="G206" s="94" t="n">
        <v>0</v>
      </c>
      <c r="H206" s="94" t="n">
        <v>0</v>
      </c>
      <c r="I206" s="94" t="n">
        <v>0</v>
      </c>
      <c r="J206" s="94" t="n">
        <v>0</v>
      </c>
      <c r="K206" s="94" t="n">
        <v>0</v>
      </c>
    </row>
    <row r="207" customFormat="false" ht="16.5" hidden="false" customHeight="false" outlineLevel="0" collapsed="false">
      <c r="A207" s="91"/>
      <c r="B207" s="95" t="s">
        <v>8</v>
      </c>
      <c r="C207" s="42" t="n">
        <v>0</v>
      </c>
      <c r="D207" s="42" t="n">
        <v>0</v>
      </c>
      <c r="E207" s="42" t="n">
        <v>0</v>
      </c>
      <c r="F207" s="90" t="n">
        <v>0</v>
      </c>
      <c r="G207" s="42" t="n">
        <v>0</v>
      </c>
      <c r="H207" s="42" t="n">
        <v>0</v>
      </c>
      <c r="I207" s="42" t="n">
        <v>0</v>
      </c>
      <c r="J207" s="90" t="n">
        <v>0</v>
      </c>
      <c r="K207" s="90" t="n">
        <v>0</v>
      </c>
    </row>
    <row r="208" customFormat="false" ht="15.75" hidden="false" customHeight="false" outlineLevel="0" collapsed="false">
      <c r="A208" s="91"/>
      <c r="B208" s="90" t="s">
        <v>69</v>
      </c>
      <c r="C208" s="42" t="n">
        <v>0</v>
      </c>
      <c r="D208" s="42" t="n">
        <v>0</v>
      </c>
      <c r="E208" s="42" t="n">
        <v>0</v>
      </c>
      <c r="F208" s="90" t="n">
        <v>0</v>
      </c>
      <c r="G208" s="42" t="n">
        <v>0</v>
      </c>
      <c r="H208" s="42" t="n">
        <v>0</v>
      </c>
      <c r="I208" s="42" t="n">
        <v>0</v>
      </c>
      <c r="J208" s="90" t="n">
        <v>0</v>
      </c>
      <c r="K208" s="90" t="n">
        <v>0</v>
      </c>
    </row>
    <row r="209" customFormat="false" ht="15.75" hidden="false" customHeight="false" outlineLevel="0" collapsed="false">
      <c r="A209" s="91"/>
      <c r="B209" s="90" t="s">
        <v>70</v>
      </c>
      <c r="C209" s="42" t="n">
        <v>0</v>
      </c>
      <c r="D209" s="42" t="n">
        <v>0</v>
      </c>
      <c r="E209" s="42" t="n">
        <v>0</v>
      </c>
      <c r="F209" s="90" t="n">
        <v>0</v>
      </c>
      <c r="G209" s="42" t="n">
        <v>0</v>
      </c>
      <c r="H209" s="42" t="n">
        <v>0</v>
      </c>
      <c r="I209" s="42" t="n">
        <v>0</v>
      </c>
      <c r="J209" s="90" t="n">
        <v>0</v>
      </c>
      <c r="K209" s="90" t="n">
        <v>0</v>
      </c>
    </row>
    <row r="210" customFormat="false" ht="15.75" hidden="false" customHeight="false" outlineLevel="0" collapsed="false">
      <c r="A210" s="91"/>
      <c r="B210" s="90" t="s">
        <v>71</v>
      </c>
      <c r="C210" s="42" t="n">
        <v>0</v>
      </c>
      <c r="D210" s="42" t="n">
        <v>0</v>
      </c>
      <c r="E210" s="42" t="n">
        <v>0</v>
      </c>
      <c r="F210" s="90" t="n">
        <v>0</v>
      </c>
      <c r="G210" s="42" t="n">
        <v>0</v>
      </c>
      <c r="H210" s="42" t="n">
        <v>0</v>
      </c>
      <c r="I210" s="42" t="n">
        <v>0</v>
      </c>
      <c r="J210" s="90" t="n">
        <v>0</v>
      </c>
      <c r="K210" s="90" t="n">
        <v>0</v>
      </c>
    </row>
    <row r="211" customFormat="false" ht="15.75" hidden="false" customHeight="false" outlineLevel="0" collapsed="false">
      <c r="A211" s="91"/>
      <c r="B211" s="90" t="s">
        <v>72</v>
      </c>
      <c r="C211" s="42" t="n">
        <v>0</v>
      </c>
      <c r="D211" s="42" t="n">
        <v>0</v>
      </c>
      <c r="E211" s="42" t="n">
        <v>0</v>
      </c>
      <c r="F211" s="90" t="n">
        <v>0</v>
      </c>
      <c r="G211" s="42" t="n">
        <v>0</v>
      </c>
      <c r="H211" s="42" t="n">
        <v>0</v>
      </c>
      <c r="I211" s="42" t="n">
        <v>0</v>
      </c>
      <c r="J211" s="90" t="n">
        <v>0</v>
      </c>
      <c r="K211" s="90" t="n">
        <v>0</v>
      </c>
    </row>
    <row r="212" customFormat="false" ht="15.75" hidden="false" customHeight="false" outlineLevel="0" collapsed="false">
      <c r="A212" s="91"/>
      <c r="B212" s="90" t="s">
        <v>73</v>
      </c>
      <c r="C212" s="42" t="n">
        <v>0</v>
      </c>
      <c r="D212" s="42" t="n">
        <v>0</v>
      </c>
      <c r="E212" s="42" t="n">
        <v>0</v>
      </c>
      <c r="F212" s="90" t="n">
        <v>0</v>
      </c>
      <c r="G212" s="42" t="n">
        <v>0</v>
      </c>
      <c r="H212" s="42" t="n">
        <v>0</v>
      </c>
      <c r="I212" s="42" t="n">
        <v>0</v>
      </c>
      <c r="J212" s="90" t="n">
        <v>0</v>
      </c>
      <c r="K212" s="90" t="n">
        <v>0</v>
      </c>
    </row>
    <row r="213" customFormat="false" ht="16.5" hidden="false" customHeight="false" outlineLevel="0" collapsed="false">
      <c r="A213" s="91"/>
      <c r="B213" s="96" t="s">
        <v>64</v>
      </c>
      <c r="C213" s="94" t="n">
        <v>0</v>
      </c>
      <c r="D213" s="94" t="n">
        <v>0</v>
      </c>
      <c r="E213" s="94" t="n">
        <v>0</v>
      </c>
      <c r="F213" s="94" t="n">
        <v>0</v>
      </c>
      <c r="G213" s="94" t="n">
        <v>0</v>
      </c>
      <c r="H213" s="94" t="n">
        <v>0</v>
      </c>
      <c r="I213" s="94" t="n">
        <v>0</v>
      </c>
      <c r="J213" s="94" t="n">
        <v>0</v>
      </c>
      <c r="K213" s="94" t="n">
        <v>0</v>
      </c>
    </row>
    <row r="214" customFormat="false" ht="16.5" hidden="false" customHeight="false" outlineLevel="0" collapsed="false"/>
    <row r="215" customFormat="false" ht="15.75" hidden="false" customHeight="true" outlineLevel="0" collapsed="false">
      <c r="A215" s="88" t="s">
        <v>60</v>
      </c>
      <c r="B215" s="89" t="s">
        <v>74</v>
      </c>
      <c r="C215" s="89"/>
      <c r="D215" s="89"/>
      <c r="E215" s="89"/>
      <c r="F215" s="89"/>
      <c r="G215" s="89"/>
      <c r="H215" s="89"/>
      <c r="I215" s="89"/>
      <c r="J215" s="89"/>
      <c r="K215" s="89"/>
      <c r="M215" s="97" t="s">
        <v>75</v>
      </c>
      <c r="N215" s="97"/>
      <c r="O215" s="97"/>
      <c r="P215" s="97"/>
    </row>
    <row r="216" customFormat="false" ht="15.75" hidden="false" customHeight="true" outlineLevel="0" collapsed="false">
      <c r="A216" s="88"/>
      <c r="B216" s="90"/>
      <c r="C216" s="89" t="s">
        <v>62</v>
      </c>
      <c r="D216" s="89"/>
      <c r="E216" s="89"/>
      <c r="F216" s="89"/>
      <c r="G216" s="89" t="s">
        <v>63</v>
      </c>
      <c r="H216" s="89"/>
      <c r="I216" s="89"/>
      <c r="J216" s="89"/>
      <c r="K216" s="89" t="s">
        <v>64</v>
      </c>
      <c r="M216" s="90" t="s">
        <v>5</v>
      </c>
      <c r="N216" s="44" t="s">
        <v>61</v>
      </c>
      <c r="O216" s="44" t="s">
        <v>74</v>
      </c>
      <c r="P216" s="89" t="s">
        <v>64</v>
      </c>
    </row>
    <row r="217" customFormat="false" ht="15.75" hidden="false" customHeight="true" outlineLevel="0" collapsed="false">
      <c r="A217" s="91" t="s">
        <v>81</v>
      </c>
      <c r="B217" s="90" t="s">
        <v>5</v>
      </c>
      <c r="C217" s="88" t="s">
        <v>22</v>
      </c>
      <c r="D217" s="88" t="s">
        <v>25</v>
      </c>
      <c r="E217" s="88" t="s">
        <v>30</v>
      </c>
      <c r="F217" s="88" t="s">
        <v>64</v>
      </c>
      <c r="G217" s="88" t="s">
        <v>22</v>
      </c>
      <c r="H217" s="88" t="s">
        <v>25</v>
      </c>
      <c r="I217" s="88" t="s">
        <v>30</v>
      </c>
      <c r="J217" s="88" t="s">
        <v>64</v>
      </c>
      <c r="K217" s="88"/>
      <c r="M217" s="106" t="s">
        <v>66</v>
      </c>
      <c r="N217" s="44" t="n">
        <v>0</v>
      </c>
      <c r="O217" s="44" t="n">
        <v>0</v>
      </c>
      <c r="P217" s="72" t="n">
        <v>0</v>
      </c>
    </row>
    <row r="218" customFormat="false" ht="15.75" hidden="false" customHeight="false" outlineLevel="0" collapsed="false">
      <c r="A218" s="91"/>
      <c r="B218" s="92" t="s">
        <v>66</v>
      </c>
      <c r="C218" s="93" t="n">
        <v>0</v>
      </c>
      <c r="D218" s="93" t="n">
        <v>0</v>
      </c>
      <c r="E218" s="93" t="n">
        <v>0</v>
      </c>
      <c r="F218" s="90" t="n">
        <v>0</v>
      </c>
      <c r="G218" s="93" t="n">
        <v>0</v>
      </c>
      <c r="H218" s="93" t="n">
        <v>0</v>
      </c>
      <c r="I218" s="93" t="n">
        <v>0</v>
      </c>
      <c r="J218" s="90" t="n">
        <v>0</v>
      </c>
      <c r="K218" s="90" t="n">
        <v>0</v>
      </c>
      <c r="M218" s="90" t="s">
        <v>67</v>
      </c>
      <c r="N218" s="44" t="n">
        <v>0</v>
      </c>
      <c r="O218" s="44" t="n">
        <v>0</v>
      </c>
      <c r="P218" s="72" t="n">
        <v>0</v>
      </c>
    </row>
    <row r="219" customFormat="false" ht="15.75" hidden="false" customHeight="false" outlineLevel="0" collapsed="false">
      <c r="A219" s="91"/>
      <c r="B219" s="90" t="s">
        <v>67</v>
      </c>
      <c r="C219" s="93" t="n">
        <v>0</v>
      </c>
      <c r="D219" s="93" t="n">
        <v>0</v>
      </c>
      <c r="E219" s="93" t="n">
        <v>0</v>
      </c>
      <c r="F219" s="90" t="n">
        <v>0</v>
      </c>
      <c r="G219" s="93" t="n">
        <v>0</v>
      </c>
      <c r="H219" s="93" t="n">
        <v>0</v>
      </c>
      <c r="I219" s="93" t="n">
        <v>0</v>
      </c>
      <c r="J219" s="90" t="n">
        <v>0</v>
      </c>
      <c r="K219" s="90" t="n">
        <v>0</v>
      </c>
      <c r="M219" s="90" t="s">
        <v>68</v>
      </c>
      <c r="N219" s="44" t="n">
        <v>0</v>
      </c>
      <c r="O219" s="44" t="n">
        <v>0</v>
      </c>
      <c r="P219" s="72" t="n">
        <v>0</v>
      </c>
    </row>
    <row r="220" customFormat="false" ht="16.5" hidden="false" customHeight="false" outlineLevel="0" collapsed="false">
      <c r="A220" s="91"/>
      <c r="B220" s="90" t="s">
        <v>68</v>
      </c>
      <c r="C220" s="93" t="n">
        <v>0</v>
      </c>
      <c r="D220" s="93" t="n">
        <v>0</v>
      </c>
      <c r="E220" s="93" t="n">
        <v>0</v>
      </c>
      <c r="F220" s="90" t="n">
        <v>0</v>
      </c>
      <c r="G220" s="93" t="n">
        <v>0</v>
      </c>
      <c r="H220" s="93" t="n">
        <v>0</v>
      </c>
      <c r="I220" s="93" t="n">
        <v>0</v>
      </c>
      <c r="J220" s="90" t="n">
        <v>0</v>
      </c>
      <c r="K220" s="90" t="n">
        <v>0</v>
      </c>
      <c r="M220" s="94" t="s">
        <v>64</v>
      </c>
      <c r="N220" s="47" t="n">
        <v>0</v>
      </c>
      <c r="O220" s="47" t="n">
        <v>0</v>
      </c>
      <c r="P220" s="73" t="n">
        <v>0</v>
      </c>
    </row>
    <row r="221" customFormat="false" ht="17.25" hidden="false" customHeight="false" outlineLevel="0" collapsed="false">
      <c r="A221" s="91"/>
      <c r="B221" s="94" t="s">
        <v>64</v>
      </c>
      <c r="C221" s="94" t="n">
        <v>0</v>
      </c>
      <c r="D221" s="94" t="n">
        <v>0</v>
      </c>
      <c r="E221" s="94" t="n">
        <v>0</v>
      </c>
      <c r="F221" s="94" t="n">
        <v>0</v>
      </c>
      <c r="G221" s="94" t="n">
        <v>0</v>
      </c>
      <c r="H221" s="94" t="n">
        <v>0</v>
      </c>
      <c r="I221" s="94" t="n">
        <v>0</v>
      </c>
      <c r="J221" s="94" t="n">
        <v>0</v>
      </c>
      <c r="K221" s="94" t="n">
        <v>0</v>
      </c>
      <c r="M221" s="95" t="s">
        <v>69</v>
      </c>
      <c r="N221" s="54" t="n">
        <v>0</v>
      </c>
      <c r="O221" s="54" t="n">
        <v>0</v>
      </c>
      <c r="P221" s="105" t="n">
        <v>0</v>
      </c>
    </row>
    <row r="222" customFormat="false" ht="16.5" hidden="false" customHeight="false" outlineLevel="0" collapsed="false">
      <c r="A222" s="91"/>
      <c r="B222" s="95" t="s">
        <v>8</v>
      </c>
      <c r="C222" s="98" t="n">
        <v>0</v>
      </c>
      <c r="D222" s="98" t="n">
        <v>0</v>
      </c>
      <c r="E222" s="98" t="n">
        <v>0</v>
      </c>
      <c r="F222" s="90" t="n">
        <v>0</v>
      </c>
      <c r="G222" s="98" t="n">
        <v>0</v>
      </c>
      <c r="H222" s="98" t="n">
        <v>0</v>
      </c>
      <c r="I222" s="98" t="n">
        <v>0</v>
      </c>
      <c r="J222" s="90" t="n">
        <v>0</v>
      </c>
      <c r="K222" s="90" t="n">
        <v>0</v>
      </c>
      <c r="M222" s="95" t="s">
        <v>8</v>
      </c>
      <c r="N222" s="44" t="n">
        <v>0</v>
      </c>
      <c r="O222" s="44" t="n">
        <v>0</v>
      </c>
      <c r="P222" s="105" t="n">
        <v>0</v>
      </c>
    </row>
    <row r="223" customFormat="false" ht="15.75" hidden="false" customHeight="false" outlineLevel="0" collapsed="false">
      <c r="A223" s="91"/>
      <c r="B223" s="90" t="s">
        <v>69</v>
      </c>
      <c r="C223" s="93" t="n">
        <v>0</v>
      </c>
      <c r="D223" s="93" t="n">
        <v>0</v>
      </c>
      <c r="E223" s="93" t="n">
        <v>0</v>
      </c>
      <c r="F223" s="90" t="n">
        <v>0</v>
      </c>
      <c r="G223" s="93" t="n">
        <v>0</v>
      </c>
      <c r="H223" s="93" t="n">
        <v>0</v>
      </c>
      <c r="I223" s="93" t="n">
        <v>0</v>
      </c>
      <c r="J223" s="90" t="n">
        <v>0</v>
      </c>
      <c r="K223" s="90" t="n">
        <v>0</v>
      </c>
      <c r="M223" s="90" t="s">
        <v>70</v>
      </c>
      <c r="N223" s="44" t="n">
        <v>0</v>
      </c>
      <c r="O223" s="44" t="n">
        <v>0</v>
      </c>
      <c r="P223" s="72" t="n">
        <v>0</v>
      </c>
    </row>
    <row r="224" customFormat="false" ht="15.75" hidden="false" customHeight="false" outlineLevel="0" collapsed="false">
      <c r="A224" s="91"/>
      <c r="B224" s="90" t="s">
        <v>70</v>
      </c>
      <c r="C224" s="93" t="n">
        <v>0</v>
      </c>
      <c r="D224" s="93" t="n">
        <v>0</v>
      </c>
      <c r="E224" s="93" t="n">
        <v>0</v>
      </c>
      <c r="F224" s="90" t="n">
        <v>0</v>
      </c>
      <c r="G224" s="93" t="n">
        <v>0</v>
      </c>
      <c r="H224" s="93" t="n">
        <v>0</v>
      </c>
      <c r="I224" s="93" t="n">
        <v>0</v>
      </c>
      <c r="J224" s="90" t="n">
        <v>0</v>
      </c>
      <c r="K224" s="90" t="n">
        <v>0</v>
      </c>
      <c r="M224" s="90" t="s">
        <v>71</v>
      </c>
      <c r="N224" s="44" t="n">
        <v>0</v>
      </c>
      <c r="O224" s="44" t="n">
        <v>0</v>
      </c>
      <c r="P224" s="72" t="n">
        <v>0</v>
      </c>
    </row>
    <row r="225" customFormat="false" ht="15.75" hidden="false" customHeight="false" outlineLevel="0" collapsed="false">
      <c r="A225" s="91"/>
      <c r="B225" s="90" t="s">
        <v>71</v>
      </c>
      <c r="C225" s="93" t="n">
        <v>0</v>
      </c>
      <c r="D225" s="93" t="n">
        <v>0</v>
      </c>
      <c r="E225" s="93" t="n">
        <v>0</v>
      </c>
      <c r="F225" s="90" t="n">
        <v>0</v>
      </c>
      <c r="G225" s="93" t="n">
        <v>0</v>
      </c>
      <c r="H225" s="93" t="n">
        <v>0</v>
      </c>
      <c r="I225" s="93" t="n">
        <v>0</v>
      </c>
      <c r="J225" s="90" t="n">
        <v>0</v>
      </c>
      <c r="K225" s="90" t="n">
        <v>0</v>
      </c>
      <c r="M225" s="90" t="s">
        <v>72</v>
      </c>
      <c r="N225" s="44" t="n">
        <v>0</v>
      </c>
      <c r="O225" s="44" t="n">
        <v>0</v>
      </c>
      <c r="P225" s="72" t="n">
        <v>0</v>
      </c>
    </row>
    <row r="226" customFormat="false" ht="15.75" hidden="false" customHeight="false" outlineLevel="0" collapsed="false">
      <c r="A226" s="91"/>
      <c r="B226" s="90" t="s">
        <v>72</v>
      </c>
      <c r="C226" s="93" t="n">
        <v>0</v>
      </c>
      <c r="D226" s="93" t="n">
        <v>0</v>
      </c>
      <c r="E226" s="93" t="n">
        <v>0</v>
      </c>
      <c r="F226" s="90" t="n">
        <v>0</v>
      </c>
      <c r="G226" s="93" t="n">
        <v>0</v>
      </c>
      <c r="H226" s="93" t="n">
        <v>0</v>
      </c>
      <c r="I226" s="93" t="n">
        <v>0</v>
      </c>
      <c r="J226" s="90" t="n">
        <v>0</v>
      </c>
      <c r="K226" s="90" t="n">
        <v>0</v>
      </c>
      <c r="M226" s="90" t="s">
        <v>73</v>
      </c>
      <c r="N226" s="44" t="n">
        <v>0</v>
      </c>
      <c r="O226" s="44" t="n">
        <v>0</v>
      </c>
      <c r="P226" s="72" t="n">
        <v>0</v>
      </c>
    </row>
    <row r="227" customFormat="false" ht="16.5" hidden="false" customHeight="false" outlineLevel="0" collapsed="false">
      <c r="A227" s="91"/>
      <c r="B227" s="90" t="s">
        <v>73</v>
      </c>
      <c r="C227" s="93" t="n">
        <v>0</v>
      </c>
      <c r="D227" s="93" t="n">
        <v>0</v>
      </c>
      <c r="E227" s="93" t="n">
        <v>0</v>
      </c>
      <c r="F227" s="90" t="n">
        <v>0</v>
      </c>
      <c r="G227" s="93" t="n">
        <v>0</v>
      </c>
      <c r="H227" s="93" t="n">
        <v>0</v>
      </c>
      <c r="I227" s="93" t="n">
        <v>0</v>
      </c>
      <c r="J227" s="90" t="n">
        <v>0</v>
      </c>
      <c r="K227" s="90" t="n">
        <v>0</v>
      </c>
      <c r="M227" s="96" t="s">
        <v>64</v>
      </c>
      <c r="N227" s="73" t="n">
        <v>0</v>
      </c>
      <c r="O227" s="73" t="n">
        <v>0</v>
      </c>
      <c r="P227" s="73" t="n">
        <v>0</v>
      </c>
    </row>
    <row r="228" customFormat="false" ht="17.25" hidden="false" customHeight="false" outlineLevel="0" collapsed="false">
      <c r="A228" s="91"/>
      <c r="B228" s="96" t="s">
        <v>64</v>
      </c>
      <c r="C228" s="94" t="n">
        <v>0</v>
      </c>
      <c r="D228" s="94" t="n">
        <v>0</v>
      </c>
      <c r="E228" s="94" t="n">
        <v>0</v>
      </c>
      <c r="F228" s="94" t="n">
        <v>0</v>
      </c>
      <c r="G228" s="94" t="n">
        <v>0</v>
      </c>
      <c r="H228" s="94" t="n">
        <v>0</v>
      </c>
      <c r="I228" s="94" t="n">
        <v>0</v>
      </c>
      <c r="J228" s="94" t="n">
        <v>0</v>
      </c>
      <c r="K228" s="94" t="n">
        <v>0</v>
      </c>
      <c r="M228" s="99"/>
      <c r="N228" s="99"/>
      <c r="O228" s="99"/>
      <c r="P228" s="99"/>
    </row>
    <row r="229" customFormat="false" ht="16.5" hidden="false" customHeight="false" outlineLevel="0" collapsed="false">
      <c r="A229" s="107" t="s">
        <v>54</v>
      </c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9"/>
    </row>
    <row r="230" customFormat="false" ht="15.75" hidden="false" customHeight="false" outlineLevel="0" collapsed="false">
      <c r="A230" s="85" t="str">
        <f aca="false">$A$1</f>
        <v>प्रपत्र - क  -  अर्थसंकल्पीय अंदाजपत्रक सन 2021-2022</v>
      </c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</row>
    <row r="231" customFormat="false" ht="15.75" hidden="false" customHeight="false" outlineLevel="0" collapsed="false">
      <c r="A231" s="5" t="s">
        <v>1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customFormat="false" ht="15.75" hidden="false" customHeight="false" outlineLevel="0" collapsed="false">
      <c r="A232" s="87" t="s">
        <v>3</v>
      </c>
      <c r="B232" s="87"/>
      <c r="C232" s="87"/>
      <c r="D232" s="87"/>
      <c r="E232" s="87"/>
      <c r="F232" s="87"/>
      <c r="G232" s="87"/>
      <c r="H232" s="87"/>
      <c r="I232" s="87"/>
      <c r="J232" s="87"/>
      <c r="K232" s="87"/>
    </row>
    <row r="233" customFormat="false" ht="15.75" hidden="false" customHeight="false" outlineLevel="0" collapsed="false">
      <c r="A233" s="88" t="s">
        <v>82</v>
      </c>
      <c r="B233" s="89" t="s">
        <v>61</v>
      </c>
      <c r="C233" s="89"/>
      <c r="D233" s="89"/>
      <c r="E233" s="89"/>
      <c r="F233" s="89"/>
      <c r="G233" s="89"/>
      <c r="H233" s="89"/>
      <c r="I233" s="89"/>
      <c r="J233" s="89"/>
      <c r="K233" s="89"/>
    </row>
    <row r="234" customFormat="false" ht="15.75" hidden="false" customHeight="true" outlineLevel="0" collapsed="false">
      <c r="A234" s="88"/>
      <c r="B234" s="90"/>
      <c r="C234" s="89" t="s">
        <v>62</v>
      </c>
      <c r="D234" s="89"/>
      <c r="E234" s="89"/>
      <c r="F234" s="89"/>
      <c r="G234" s="89" t="s">
        <v>63</v>
      </c>
      <c r="H234" s="89"/>
      <c r="I234" s="89"/>
      <c r="J234" s="89"/>
      <c r="K234" s="89" t="s">
        <v>64</v>
      </c>
    </row>
    <row r="235" customFormat="false" ht="15.75" hidden="false" customHeight="true" outlineLevel="0" collapsed="false">
      <c r="A235" s="91" t="s">
        <v>83</v>
      </c>
      <c r="B235" s="90" t="s">
        <v>5</v>
      </c>
      <c r="C235" s="88" t="s">
        <v>22</v>
      </c>
      <c r="D235" s="88" t="s">
        <v>25</v>
      </c>
      <c r="E235" s="88" t="s">
        <v>30</v>
      </c>
      <c r="F235" s="88" t="s">
        <v>64</v>
      </c>
      <c r="G235" s="88" t="s">
        <v>22</v>
      </c>
      <c r="H235" s="88" t="s">
        <v>25</v>
      </c>
      <c r="I235" s="88" t="s">
        <v>30</v>
      </c>
      <c r="J235" s="88" t="s">
        <v>64</v>
      </c>
      <c r="K235" s="88" t="s">
        <v>64</v>
      </c>
    </row>
    <row r="236" customFormat="false" ht="15.75" hidden="false" customHeight="false" outlineLevel="0" collapsed="false">
      <c r="A236" s="91"/>
      <c r="B236" s="92" t="s">
        <v>66</v>
      </c>
      <c r="C236" s="42" t="n">
        <v>0</v>
      </c>
      <c r="D236" s="42" t="n">
        <v>0</v>
      </c>
      <c r="E236" s="42" t="n">
        <v>0</v>
      </c>
      <c r="F236" s="90" t="n">
        <v>0</v>
      </c>
      <c r="G236" s="42" t="n">
        <v>0</v>
      </c>
      <c r="H236" s="42" t="n">
        <v>0</v>
      </c>
      <c r="I236" s="42" t="n">
        <v>0</v>
      </c>
      <c r="J236" s="90" t="n">
        <v>0</v>
      </c>
      <c r="K236" s="90" t="n">
        <v>0</v>
      </c>
    </row>
    <row r="237" customFormat="false" ht="15.75" hidden="false" customHeight="false" outlineLevel="0" collapsed="false">
      <c r="A237" s="91"/>
      <c r="B237" s="90" t="s">
        <v>67</v>
      </c>
      <c r="C237" s="42" t="n">
        <v>0</v>
      </c>
      <c r="D237" s="42" t="n">
        <v>0</v>
      </c>
      <c r="E237" s="42" t="n">
        <v>0</v>
      </c>
      <c r="F237" s="90" t="n">
        <v>0</v>
      </c>
      <c r="G237" s="42" t="n">
        <v>0</v>
      </c>
      <c r="H237" s="42" t="n">
        <v>0</v>
      </c>
      <c r="I237" s="42" t="n">
        <v>0</v>
      </c>
      <c r="J237" s="90" t="n">
        <v>0</v>
      </c>
      <c r="K237" s="90" t="n">
        <v>0</v>
      </c>
    </row>
    <row r="238" customFormat="false" ht="15.75" hidden="false" customHeight="false" outlineLevel="0" collapsed="false">
      <c r="A238" s="91"/>
      <c r="B238" s="90" t="s">
        <v>68</v>
      </c>
      <c r="C238" s="42" t="n">
        <v>0</v>
      </c>
      <c r="D238" s="42" t="n">
        <v>0</v>
      </c>
      <c r="E238" s="42" t="n">
        <v>0</v>
      </c>
      <c r="F238" s="90" t="n">
        <v>0</v>
      </c>
      <c r="G238" s="42" t="n">
        <v>0</v>
      </c>
      <c r="H238" s="42" t="n">
        <v>0</v>
      </c>
      <c r="I238" s="42" t="n">
        <v>0</v>
      </c>
      <c r="J238" s="90" t="n">
        <v>0</v>
      </c>
      <c r="K238" s="90" t="n">
        <v>0</v>
      </c>
    </row>
    <row r="239" customFormat="false" ht="16.5" hidden="false" customHeight="false" outlineLevel="0" collapsed="false">
      <c r="A239" s="91"/>
      <c r="B239" s="94" t="s">
        <v>64</v>
      </c>
      <c r="C239" s="94" t="n">
        <v>0</v>
      </c>
      <c r="D239" s="94" t="n">
        <v>0</v>
      </c>
      <c r="E239" s="94" t="n">
        <v>0</v>
      </c>
      <c r="F239" s="94" t="n">
        <v>0</v>
      </c>
      <c r="G239" s="94" t="n">
        <v>0</v>
      </c>
      <c r="H239" s="94" t="n">
        <v>0</v>
      </c>
      <c r="I239" s="94" t="n">
        <v>0</v>
      </c>
      <c r="J239" s="94" t="n">
        <v>0</v>
      </c>
      <c r="K239" s="94" t="n">
        <v>0</v>
      </c>
    </row>
    <row r="240" customFormat="false" ht="16.5" hidden="false" customHeight="false" outlineLevel="0" collapsed="false">
      <c r="A240" s="91"/>
      <c r="B240" s="95" t="s">
        <v>8</v>
      </c>
      <c r="C240" s="42" t="n">
        <v>0</v>
      </c>
      <c r="D240" s="42" t="n">
        <v>0</v>
      </c>
      <c r="E240" s="42" t="n">
        <v>0</v>
      </c>
      <c r="F240" s="90" t="n">
        <v>0</v>
      </c>
      <c r="G240" s="42" t="n">
        <v>0</v>
      </c>
      <c r="H240" s="42" t="n">
        <v>0</v>
      </c>
      <c r="I240" s="42" t="n">
        <v>0</v>
      </c>
      <c r="J240" s="90" t="n">
        <v>0</v>
      </c>
      <c r="K240" s="90" t="n">
        <v>0</v>
      </c>
    </row>
    <row r="241" customFormat="false" ht="15.75" hidden="false" customHeight="false" outlineLevel="0" collapsed="false">
      <c r="A241" s="91"/>
      <c r="B241" s="90" t="s">
        <v>69</v>
      </c>
      <c r="C241" s="42" t="n">
        <v>0</v>
      </c>
      <c r="D241" s="42" t="n">
        <v>0</v>
      </c>
      <c r="E241" s="42" t="n">
        <v>0</v>
      </c>
      <c r="F241" s="90" t="n">
        <v>0</v>
      </c>
      <c r="G241" s="42" t="n">
        <v>0</v>
      </c>
      <c r="H241" s="42" t="n">
        <v>0</v>
      </c>
      <c r="I241" s="42" t="n">
        <v>0</v>
      </c>
      <c r="J241" s="90" t="n">
        <v>0</v>
      </c>
      <c r="K241" s="90" t="n">
        <v>0</v>
      </c>
    </row>
    <row r="242" customFormat="false" ht="15.75" hidden="false" customHeight="false" outlineLevel="0" collapsed="false">
      <c r="A242" s="91"/>
      <c r="B242" s="90" t="s">
        <v>70</v>
      </c>
      <c r="C242" s="42" t="n">
        <v>0</v>
      </c>
      <c r="D242" s="42" t="n">
        <v>0</v>
      </c>
      <c r="E242" s="42" t="n">
        <v>0</v>
      </c>
      <c r="F242" s="90" t="n">
        <v>0</v>
      </c>
      <c r="G242" s="42" t="n">
        <v>0</v>
      </c>
      <c r="H242" s="42" t="n">
        <v>0</v>
      </c>
      <c r="I242" s="42" t="n">
        <v>0</v>
      </c>
      <c r="J242" s="90" t="n">
        <v>0</v>
      </c>
      <c r="K242" s="90" t="n">
        <v>0</v>
      </c>
    </row>
    <row r="243" customFormat="false" ht="15.75" hidden="false" customHeight="false" outlineLevel="0" collapsed="false">
      <c r="A243" s="91"/>
      <c r="B243" s="90" t="s">
        <v>71</v>
      </c>
      <c r="C243" s="42" t="n">
        <v>0</v>
      </c>
      <c r="D243" s="42" t="n">
        <v>0</v>
      </c>
      <c r="E243" s="42" t="n">
        <v>0</v>
      </c>
      <c r="F243" s="90" t="n">
        <v>0</v>
      </c>
      <c r="G243" s="42" t="n">
        <v>0</v>
      </c>
      <c r="H243" s="42" t="n">
        <v>0</v>
      </c>
      <c r="I243" s="42" t="n">
        <v>0</v>
      </c>
      <c r="J243" s="90" t="n">
        <v>0</v>
      </c>
      <c r="K243" s="90" t="n">
        <v>0</v>
      </c>
    </row>
    <row r="244" customFormat="false" ht="15.75" hidden="false" customHeight="false" outlineLevel="0" collapsed="false">
      <c r="A244" s="91"/>
      <c r="B244" s="90" t="s">
        <v>72</v>
      </c>
      <c r="C244" s="42" t="n">
        <v>0</v>
      </c>
      <c r="D244" s="42" t="n">
        <v>0</v>
      </c>
      <c r="E244" s="42" t="n">
        <v>0</v>
      </c>
      <c r="F244" s="90" t="n">
        <v>0</v>
      </c>
      <c r="G244" s="42" t="n">
        <v>0</v>
      </c>
      <c r="H244" s="42" t="n">
        <v>0</v>
      </c>
      <c r="I244" s="42" t="n">
        <v>0</v>
      </c>
      <c r="J244" s="90" t="n">
        <v>0</v>
      </c>
      <c r="K244" s="90" t="n">
        <v>0</v>
      </c>
    </row>
    <row r="245" customFormat="false" ht="15.75" hidden="false" customHeight="false" outlineLevel="0" collapsed="false">
      <c r="A245" s="91"/>
      <c r="B245" s="90" t="s">
        <v>73</v>
      </c>
      <c r="C245" s="42" t="n">
        <v>0</v>
      </c>
      <c r="D245" s="42" t="n">
        <v>0</v>
      </c>
      <c r="E245" s="42" t="n">
        <v>0</v>
      </c>
      <c r="F245" s="90" t="n">
        <v>0</v>
      </c>
      <c r="G245" s="42" t="n">
        <v>0</v>
      </c>
      <c r="H245" s="42" t="n">
        <v>0</v>
      </c>
      <c r="I245" s="42" t="n">
        <v>0</v>
      </c>
      <c r="J245" s="90" t="n">
        <v>0</v>
      </c>
      <c r="K245" s="90" t="n">
        <v>0</v>
      </c>
    </row>
    <row r="246" customFormat="false" ht="16.5" hidden="false" customHeight="false" outlineLevel="0" collapsed="false">
      <c r="A246" s="91"/>
      <c r="B246" s="96" t="s">
        <v>64</v>
      </c>
      <c r="C246" s="94" t="n">
        <v>0</v>
      </c>
      <c r="D246" s="94" t="n">
        <v>0</v>
      </c>
      <c r="E246" s="94" t="n">
        <v>0</v>
      </c>
      <c r="F246" s="94" t="n">
        <v>0</v>
      </c>
      <c r="G246" s="94" t="n">
        <v>0</v>
      </c>
      <c r="H246" s="94" t="n">
        <v>0</v>
      </c>
      <c r="I246" s="94" t="n">
        <v>0</v>
      </c>
      <c r="J246" s="94" t="n">
        <v>0</v>
      </c>
      <c r="K246" s="94" t="n">
        <v>0</v>
      </c>
    </row>
    <row r="247" customFormat="false" ht="16.5" hidden="false" customHeight="false" outlineLevel="0" collapsed="false"/>
    <row r="248" customFormat="false" ht="15.75" hidden="false" customHeight="true" outlineLevel="0" collapsed="false">
      <c r="A248" s="88" t="s">
        <v>82</v>
      </c>
      <c r="B248" s="89" t="s">
        <v>74</v>
      </c>
      <c r="C248" s="89"/>
      <c r="D248" s="89"/>
      <c r="E248" s="89"/>
      <c r="F248" s="89"/>
      <c r="G248" s="89"/>
      <c r="H248" s="89"/>
      <c r="I248" s="89"/>
      <c r="J248" s="89"/>
      <c r="K248" s="89"/>
      <c r="M248" s="97" t="s">
        <v>75</v>
      </c>
      <c r="N248" s="97"/>
      <c r="O248" s="97"/>
      <c r="P248" s="97"/>
    </row>
    <row r="249" customFormat="false" ht="15.75" hidden="false" customHeight="true" outlineLevel="0" collapsed="false">
      <c r="A249" s="88"/>
      <c r="B249" s="90"/>
      <c r="C249" s="89" t="s">
        <v>62</v>
      </c>
      <c r="D249" s="89"/>
      <c r="E249" s="89"/>
      <c r="F249" s="89"/>
      <c r="G249" s="89" t="s">
        <v>63</v>
      </c>
      <c r="H249" s="89"/>
      <c r="I249" s="89"/>
      <c r="J249" s="89"/>
      <c r="K249" s="89" t="s">
        <v>64</v>
      </c>
      <c r="M249" s="90" t="s">
        <v>5</v>
      </c>
      <c r="N249" s="44" t="s">
        <v>61</v>
      </c>
      <c r="O249" s="44" t="s">
        <v>74</v>
      </c>
      <c r="P249" s="89" t="s">
        <v>64</v>
      </c>
    </row>
    <row r="250" customFormat="false" ht="21" hidden="false" customHeight="true" outlineLevel="0" collapsed="false">
      <c r="A250" s="91" t="s">
        <v>83</v>
      </c>
      <c r="B250" s="90" t="s">
        <v>5</v>
      </c>
      <c r="C250" s="88" t="s">
        <v>22</v>
      </c>
      <c r="D250" s="88" t="s">
        <v>25</v>
      </c>
      <c r="E250" s="88" t="s">
        <v>30</v>
      </c>
      <c r="F250" s="88" t="s">
        <v>64</v>
      </c>
      <c r="G250" s="88" t="s">
        <v>22</v>
      </c>
      <c r="H250" s="88" t="s">
        <v>25</v>
      </c>
      <c r="I250" s="88" t="s">
        <v>30</v>
      </c>
      <c r="J250" s="88" t="s">
        <v>64</v>
      </c>
      <c r="K250" s="88"/>
      <c r="M250" s="92" t="s">
        <v>66</v>
      </c>
      <c r="N250" s="44" t="n">
        <v>0</v>
      </c>
      <c r="O250" s="44" t="n">
        <f aca="false">K251</f>
        <v>7</v>
      </c>
      <c r="P250" s="72" t="n">
        <f aca="false">SUM(N250:O250)</f>
        <v>7</v>
      </c>
    </row>
    <row r="251" customFormat="false" ht="15.75" hidden="false" customHeight="false" outlineLevel="0" collapsed="false">
      <c r="A251" s="91"/>
      <c r="B251" s="92" t="s">
        <v>66</v>
      </c>
      <c r="C251" s="42" t="n">
        <v>1</v>
      </c>
      <c r="D251" s="42" t="n">
        <v>4</v>
      </c>
      <c r="E251" s="42" t="n">
        <v>1</v>
      </c>
      <c r="F251" s="90" t="n">
        <f aca="false">SUM(C251:E251)</f>
        <v>6</v>
      </c>
      <c r="G251" s="42" t="n">
        <v>1</v>
      </c>
      <c r="H251" s="42" t="n">
        <v>0</v>
      </c>
      <c r="I251" s="42" t="n">
        <v>0</v>
      </c>
      <c r="J251" s="90" t="n">
        <f aca="false">SUM(G251:I251)</f>
        <v>1</v>
      </c>
      <c r="K251" s="90" t="n">
        <f aca="false">SUM(F251+J251)</f>
        <v>7</v>
      </c>
      <c r="M251" s="90" t="s">
        <v>67</v>
      </c>
      <c r="N251" s="44" t="n">
        <v>0</v>
      </c>
      <c r="O251" s="44" t="n">
        <f aca="false">K252</f>
        <v>3879</v>
      </c>
      <c r="P251" s="72" t="n">
        <f aca="false">SUM(N251:O251)</f>
        <v>3879</v>
      </c>
    </row>
    <row r="252" customFormat="false" ht="15.75" hidden="false" customHeight="false" outlineLevel="0" collapsed="false">
      <c r="A252" s="91"/>
      <c r="B252" s="90" t="s">
        <v>67</v>
      </c>
      <c r="C252" s="42" t="n">
        <v>1148</v>
      </c>
      <c r="D252" s="42" t="n">
        <v>1640</v>
      </c>
      <c r="E252" s="42" t="n">
        <v>263</v>
      </c>
      <c r="F252" s="90" t="n">
        <f aca="false">SUM(C252:E252)</f>
        <v>3051</v>
      </c>
      <c r="G252" s="42" t="n">
        <v>828</v>
      </c>
      <c r="H252" s="42" t="n">
        <v>0</v>
      </c>
      <c r="I252" s="42" t="n">
        <v>0</v>
      </c>
      <c r="J252" s="90" t="n">
        <f aca="false">SUM(G252:I252)</f>
        <v>828</v>
      </c>
      <c r="K252" s="90" t="n">
        <f aca="false">SUM(F252+J252)</f>
        <v>3879</v>
      </c>
      <c r="M252" s="90" t="s">
        <v>68</v>
      </c>
      <c r="N252" s="44" t="n">
        <v>0</v>
      </c>
      <c r="O252" s="44" t="n">
        <f aca="false">K253</f>
        <v>0</v>
      </c>
      <c r="P252" s="72" t="n">
        <f aca="false">SUM(N252:O252)</f>
        <v>0</v>
      </c>
    </row>
    <row r="253" customFormat="false" ht="16.5" hidden="false" customHeight="false" outlineLevel="0" collapsed="false">
      <c r="A253" s="91"/>
      <c r="B253" s="90" t="s">
        <v>68</v>
      </c>
      <c r="C253" s="42" t="n">
        <v>0</v>
      </c>
      <c r="D253" s="42" t="n">
        <v>0</v>
      </c>
      <c r="E253" s="42" t="n">
        <v>0</v>
      </c>
      <c r="F253" s="90" t="n">
        <f aca="false">SUM(C253:E253)</f>
        <v>0</v>
      </c>
      <c r="G253" s="42" t="n">
        <v>0</v>
      </c>
      <c r="H253" s="42" t="n">
        <v>0</v>
      </c>
      <c r="I253" s="42" t="n">
        <v>0</v>
      </c>
      <c r="J253" s="90" t="n">
        <f aca="false">SUM(G253:I253)</f>
        <v>0</v>
      </c>
      <c r="K253" s="90" t="n">
        <f aca="false">SUM(F253+J253)</f>
        <v>0</v>
      </c>
      <c r="M253" s="94" t="s">
        <v>64</v>
      </c>
      <c r="N253" s="47" t="n">
        <v>0</v>
      </c>
      <c r="O253" s="47" t="n">
        <f aca="false">K254</f>
        <v>3879</v>
      </c>
      <c r="P253" s="73" t="n">
        <f aca="false">SUM(N253:O253)</f>
        <v>3879</v>
      </c>
    </row>
    <row r="254" customFormat="false" ht="17.25" hidden="false" customHeight="false" outlineLevel="0" collapsed="false">
      <c r="A254" s="91"/>
      <c r="B254" s="94" t="s">
        <v>64</v>
      </c>
      <c r="C254" s="94" t="n">
        <f aca="false">SUM(C252:C253)</f>
        <v>1148</v>
      </c>
      <c r="D254" s="94" t="n">
        <f aca="false">SUM(D252:D253)</f>
        <v>1640</v>
      </c>
      <c r="E254" s="94" t="n">
        <f aca="false">SUM(E252:E253)</f>
        <v>263</v>
      </c>
      <c r="F254" s="94" t="n">
        <f aca="false">SUM(F252:F253)</f>
        <v>3051</v>
      </c>
      <c r="G254" s="94" t="n">
        <f aca="false">SUM(G252:G253)</f>
        <v>828</v>
      </c>
      <c r="H254" s="94" t="n">
        <f aca="false">SUM(H252:H253)</f>
        <v>0</v>
      </c>
      <c r="I254" s="94" t="n">
        <f aca="false">SUM(I252:I253)</f>
        <v>0</v>
      </c>
      <c r="J254" s="94" t="n">
        <f aca="false">SUM(J252:J253)</f>
        <v>828</v>
      </c>
      <c r="K254" s="94" t="n">
        <f aca="false">SUM(K252:K253)</f>
        <v>3879</v>
      </c>
      <c r="M254" s="95" t="s">
        <v>69</v>
      </c>
      <c r="N254" s="54" t="n">
        <v>0</v>
      </c>
      <c r="O254" s="54" t="n">
        <f aca="false">SUM(K256)</f>
        <v>970</v>
      </c>
      <c r="P254" s="105" t="n">
        <f aca="false">SUM(N254:O254)</f>
        <v>970</v>
      </c>
    </row>
    <row r="255" customFormat="false" ht="16.5" hidden="false" customHeight="false" outlineLevel="0" collapsed="false">
      <c r="A255" s="91"/>
      <c r="B255" s="95" t="s">
        <v>8</v>
      </c>
      <c r="C255" s="42" t="n">
        <v>0</v>
      </c>
      <c r="D255" s="42" t="n">
        <v>0</v>
      </c>
      <c r="E255" s="42" t="n">
        <v>0</v>
      </c>
      <c r="F255" s="90" t="n">
        <f aca="false">SUM(C255:E255)</f>
        <v>0</v>
      </c>
      <c r="G255" s="42" t="n">
        <v>0</v>
      </c>
      <c r="H255" s="42" t="n">
        <v>0</v>
      </c>
      <c r="I255" s="42" t="n">
        <v>0</v>
      </c>
      <c r="J255" s="90" t="n">
        <f aca="false">SUM(G255:I255)</f>
        <v>0</v>
      </c>
      <c r="K255" s="90" t="n">
        <f aca="false">SUM(F255+J255)</f>
        <v>0</v>
      </c>
      <c r="M255" s="95" t="s">
        <v>8</v>
      </c>
      <c r="N255" s="44" t="n">
        <v>0</v>
      </c>
      <c r="O255" s="44" t="n">
        <f aca="false">SUM(K255)</f>
        <v>0</v>
      </c>
      <c r="P255" s="72" t="n">
        <f aca="false">SUM(N255:O255)</f>
        <v>0</v>
      </c>
    </row>
    <row r="256" customFormat="false" ht="15.75" hidden="false" customHeight="false" outlineLevel="0" collapsed="false">
      <c r="A256" s="91"/>
      <c r="B256" s="90" t="s">
        <v>69</v>
      </c>
      <c r="C256" s="42" t="n">
        <v>287</v>
      </c>
      <c r="D256" s="42" t="n">
        <v>410</v>
      </c>
      <c r="E256" s="42" t="n">
        <v>66</v>
      </c>
      <c r="F256" s="90" t="n">
        <f aca="false">SUM(C256:E256)</f>
        <v>763</v>
      </c>
      <c r="G256" s="42" t="n">
        <v>207</v>
      </c>
      <c r="H256" s="42" t="n">
        <v>0</v>
      </c>
      <c r="I256" s="42" t="n">
        <v>0</v>
      </c>
      <c r="J256" s="90" t="n">
        <f aca="false">SUM(G256:I256)</f>
        <v>207</v>
      </c>
      <c r="K256" s="90" t="n">
        <f aca="false">SUM(F256+J256)</f>
        <v>970</v>
      </c>
      <c r="M256" s="90" t="s">
        <v>70</v>
      </c>
      <c r="N256" s="44" t="n">
        <v>0</v>
      </c>
      <c r="O256" s="44" t="n">
        <f aca="false">SUM(K257)</f>
        <v>26</v>
      </c>
      <c r="P256" s="72" t="n">
        <f aca="false">SUM(N256:O256)</f>
        <v>26</v>
      </c>
    </row>
    <row r="257" customFormat="false" ht="15.75" hidden="false" customHeight="false" outlineLevel="0" collapsed="false">
      <c r="A257" s="91"/>
      <c r="B257" s="90" t="s">
        <v>70</v>
      </c>
      <c r="C257" s="42" t="n">
        <v>4</v>
      </c>
      <c r="D257" s="42" t="n">
        <v>14</v>
      </c>
      <c r="E257" s="42" t="n">
        <v>4</v>
      </c>
      <c r="F257" s="90" t="n">
        <f aca="false">SUM(C257:E257)</f>
        <v>22</v>
      </c>
      <c r="G257" s="42" t="n">
        <v>4</v>
      </c>
      <c r="H257" s="42" t="n">
        <v>0</v>
      </c>
      <c r="I257" s="42" t="n">
        <v>0</v>
      </c>
      <c r="J257" s="90" t="n">
        <f aca="false">SUM(G257:I257)</f>
        <v>4</v>
      </c>
      <c r="K257" s="90" t="n">
        <f aca="false">SUM(F257+J257)</f>
        <v>26</v>
      </c>
      <c r="M257" s="90" t="s">
        <v>71</v>
      </c>
      <c r="N257" s="44" t="n">
        <v>0</v>
      </c>
      <c r="O257" s="44" t="n">
        <f aca="false">SUM(K258)</f>
        <v>924</v>
      </c>
      <c r="P257" s="72" t="n">
        <f aca="false">SUM(N257:O257)</f>
        <v>924</v>
      </c>
    </row>
    <row r="258" customFormat="false" ht="15.75" hidden="false" customHeight="false" outlineLevel="0" collapsed="false">
      <c r="A258" s="91"/>
      <c r="B258" s="90" t="s">
        <v>71</v>
      </c>
      <c r="C258" s="42" t="n">
        <v>310</v>
      </c>
      <c r="D258" s="42" t="n">
        <v>319</v>
      </c>
      <c r="E258" s="42" t="n">
        <v>71</v>
      </c>
      <c r="F258" s="90" t="n">
        <f aca="false">SUM(C258:E258)</f>
        <v>700</v>
      </c>
      <c r="G258" s="42" t="n">
        <v>224</v>
      </c>
      <c r="H258" s="42" t="n">
        <v>0</v>
      </c>
      <c r="I258" s="42" t="n">
        <v>0</v>
      </c>
      <c r="J258" s="90" t="n">
        <f aca="false">SUM(G258:I258)</f>
        <v>224</v>
      </c>
      <c r="K258" s="90" t="n">
        <f aca="false">SUM(F258+J258)</f>
        <v>924</v>
      </c>
      <c r="M258" s="90" t="s">
        <v>72</v>
      </c>
      <c r="N258" s="44" t="n">
        <v>0</v>
      </c>
      <c r="O258" s="44" t="n">
        <f aca="false">SUM(K259)</f>
        <v>83</v>
      </c>
      <c r="P258" s="72" t="n">
        <f aca="false">SUM(N258:O258)</f>
        <v>83</v>
      </c>
    </row>
    <row r="259" customFormat="false" ht="15.75" hidden="false" customHeight="false" outlineLevel="0" collapsed="false">
      <c r="A259" s="91"/>
      <c r="B259" s="90" t="s">
        <v>72</v>
      </c>
      <c r="C259" s="42" t="n">
        <v>29</v>
      </c>
      <c r="D259" s="42" t="n">
        <v>20</v>
      </c>
      <c r="E259" s="42" t="n">
        <v>5</v>
      </c>
      <c r="F259" s="90" t="n">
        <f aca="false">SUM(C259:E259)</f>
        <v>54</v>
      </c>
      <c r="G259" s="42" t="n">
        <v>29</v>
      </c>
      <c r="H259" s="42" t="n">
        <v>0</v>
      </c>
      <c r="I259" s="42" t="n">
        <v>0</v>
      </c>
      <c r="J259" s="90" t="n">
        <f aca="false">SUM(G259:I259)</f>
        <v>29</v>
      </c>
      <c r="K259" s="90" t="n">
        <f aca="false">SUM(F259+J259)</f>
        <v>83</v>
      </c>
      <c r="M259" s="90" t="s">
        <v>73</v>
      </c>
      <c r="N259" s="44" t="n">
        <v>0</v>
      </c>
      <c r="O259" s="44" t="n">
        <f aca="false">SUM(K260)</f>
        <v>1</v>
      </c>
      <c r="P259" s="72" t="n">
        <f aca="false">SUM(N259:O259)</f>
        <v>1</v>
      </c>
    </row>
    <row r="260" customFormat="false" ht="16.5" hidden="false" customHeight="false" outlineLevel="0" collapsed="false">
      <c r="A260" s="91"/>
      <c r="B260" s="90" t="s">
        <v>73</v>
      </c>
      <c r="C260" s="42" t="n">
        <v>0</v>
      </c>
      <c r="D260" s="42" t="n">
        <v>0</v>
      </c>
      <c r="E260" s="42" t="n">
        <v>1</v>
      </c>
      <c r="F260" s="90" t="n">
        <f aca="false">SUM(C260:E260)</f>
        <v>1</v>
      </c>
      <c r="G260" s="42" t="n">
        <v>0</v>
      </c>
      <c r="H260" s="42" t="n">
        <v>0</v>
      </c>
      <c r="I260" s="42" t="n">
        <v>0</v>
      </c>
      <c r="J260" s="90" t="n">
        <f aca="false">SUM(G260:I260)</f>
        <v>0</v>
      </c>
      <c r="K260" s="90" t="n">
        <f aca="false">SUM(F260+J260)</f>
        <v>1</v>
      </c>
      <c r="M260" s="96" t="s">
        <v>64</v>
      </c>
      <c r="N260" s="73" t="n">
        <f aca="false">SUM(N253:N259)</f>
        <v>0</v>
      </c>
      <c r="O260" s="73" t="n">
        <f aca="false">SUM(O253:O259)</f>
        <v>5883</v>
      </c>
      <c r="P260" s="73" t="n">
        <f aca="false">SUM(P253:P259)</f>
        <v>5883</v>
      </c>
    </row>
    <row r="261" customFormat="false" ht="17.25" hidden="false" customHeight="false" outlineLevel="0" collapsed="false">
      <c r="A261" s="91"/>
      <c r="B261" s="96" t="s">
        <v>64</v>
      </c>
      <c r="C261" s="94" t="n">
        <f aca="false">SUM(C254:C260)</f>
        <v>1778</v>
      </c>
      <c r="D261" s="94" t="n">
        <f aca="false">SUM(D254:D260)</f>
        <v>2403</v>
      </c>
      <c r="E261" s="94" t="n">
        <f aca="false">SUM(E254:E260)</f>
        <v>410</v>
      </c>
      <c r="F261" s="94" t="n">
        <f aca="false">SUM(F254:F260)</f>
        <v>4591</v>
      </c>
      <c r="G261" s="94" t="n">
        <f aca="false">SUM(G254:G260)</f>
        <v>1292</v>
      </c>
      <c r="H261" s="94" t="n">
        <f aca="false">SUM(H254:H260)</f>
        <v>0</v>
      </c>
      <c r="I261" s="94" t="n">
        <f aca="false">SUM(I254:I260)</f>
        <v>0</v>
      </c>
      <c r="J261" s="94" t="n">
        <f aca="false">SUM(J254:J260)</f>
        <v>1292</v>
      </c>
      <c r="K261" s="94" t="n">
        <f aca="false">SUM(K254:K260)</f>
        <v>5883</v>
      </c>
      <c r="M261" s="99"/>
      <c r="N261" s="99"/>
      <c r="O261" s="99"/>
      <c r="P261" s="99"/>
    </row>
    <row r="262" customFormat="false" ht="16.5" hidden="false" customHeight="false" outlineLevel="0" collapsed="false">
      <c r="A262" s="100"/>
      <c r="B262" s="101"/>
      <c r="C262" s="102"/>
      <c r="D262" s="102"/>
      <c r="E262" s="102"/>
      <c r="F262" s="102"/>
      <c r="G262" s="102"/>
      <c r="H262" s="102"/>
      <c r="I262" s="102"/>
      <c r="J262" s="102"/>
      <c r="K262" s="102"/>
      <c r="M262" s="99"/>
      <c r="N262" s="99"/>
      <c r="O262" s="99"/>
      <c r="P262" s="99"/>
    </row>
    <row r="263" customFormat="false" ht="15.75" hidden="false" customHeight="false" outlineLevel="0" collapsed="false">
      <c r="A263" s="85" t="str">
        <f aca="false">$A$1</f>
        <v>प्रपत्र - क  -  अर्थसंकल्पीय अंदाजपत्रक सन 2021-2022</v>
      </c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</row>
    <row r="264" customFormat="false" ht="15.75" hidden="false" customHeight="false" outlineLevel="0" collapsed="false">
      <c r="A264" s="5" t="s">
        <v>1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customFormat="false" ht="15.75" hidden="false" customHeight="false" outlineLevel="0" collapsed="false">
      <c r="A265" s="87" t="s">
        <v>3</v>
      </c>
      <c r="B265" s="87"/>
      <c r="C265" s="87"/>
      <c r="D265" s="87"/>
      <c r="E265" s="87"/>
      <c r="F265" s="87"/>
      <c r="G265" s="87"/>
      <c r="H265" s="87"/>
      <c r="I265" s="87"/>
      <c r="J265" s="87"/>
      <c r="K265" s="87"/>
    </row>
    <row r="266" customFormat="false" ht="15.75" hidden="false" customHeight="false" outlineLevel="0" collapsed="false">
      <c r="A266" s="88" t="s">
        <v>82</v>
      </c>
      <c r="B266" s="89" t="s">
        <v>61</v>
      </c>
      <c r="C266" s="89"/>
      <c r="D266" s="89"/>
      <c r="E266" s="89"/>
      <c r="F266" s="89"/>
      <c r="G266" s="89"/>
      <c r="H266" s="89"/>
      <c r="I266" s="89"/>
      <c r="J266" s="89"/>
      <c r="K266" s="89"/>
    </row>
    <row r="267" customFormat="false" ht="15.75" hidden="false" customHeight="true" outlineLevel="0" collapsed="false">
      <c r="A267" s="88"/>
      <c r="B267" s="90"/>
      <c r="C267" s="89" t="s">
        <v>62</v>
      </c>
      <c r="D267" s="89"/>
      <c r="E267" s="89"/>
      <c r="F267" s="89"/>
      <c r="G267" s="89" t="s">
        <v>63</v>
      </c>
      <c r="H267" s="89"/>
      <c r="I267" s="89"/>
      <c r="J267" s="89"/>
      <c r="K267" s="89" t="s">
        <v>64</v>
      </c>
    </row>
    <row r="268" customFormat="false" ht="15.75" hidden="false" customHeight="true" outlineLevel="0" collapsed="false">
      <c r="A268" s="110" t="s">
        <v>56</v>
      </c>
      <c r="B268" s="90" t="s">
        <v>5</v>
      </c>
      <c r="C268" s="88" t="s">
        <v>22</v>
      </c>
      <c r="D268" s="88" t="s">
        <v>25</v>
      </c>
      <c r="E268" s="88" t="s">
        <v>30</v>
      </c>
      <c r="F268" s="88" t="s">
        <v>64</v>
      </c>
      <c r="G268" s="88" t="s">
        <v>22</v>
      </c>
      <c r="H268" s="88" t="s">
        <v>25</v>
      </c>
      <c r="I268" s="88" t="s">
        <v>30</v>
      </c>
      <c r="J268" s="88" t="s">
        <v>64</v>
      </c>
      <c r="K268" s="88" t="s">
        <v>64</v>
      </c>
    </row>
    <row r="269" customFormat="false" ht="15.75" hidden="false" customHeight="false" outlineLevel="0" collapsed="false">
      <c r="A269" s="110"/>
      <c r="B269" s="92" t="s">
        <v>66</v>
      </c>
      <c r="C269" s="42" t="n">
        <f aca="false">SUM(C7+C40+C73+C105+C137+C170+C203+C236)</f>
        <v>1</v>
      </c>
      <c r="D269" s="42" t="n">
        <f aca="false">SUM(D7+D40+D73+D105+D137+D170+D203+D236)</f>
        <v>6</v>
      </c>
      <c r="E269" s="42" t="n">
        <f aca="false">SUM(E7+E40+E73+E105+E137+E170+E203+E236)</f>
        <v>7</v>
      </c>
      <c r="F269" s="42" t="n">
        <f aca="false">SUM(F7+F40+F73+F105+F137+F170+F203+F236)</f>
        <v>14</v>
      </c>
      <c r="G269" s="42" t="n">
        <f aca="false">SUM(G7+G40+G73+G105+G137+G170+G203+G236)</f>
        <v>0</v>
      </c>
      <c r="H269" s="42" t="n">
        <f aca="false">SUM(H7+H40+H73+H105+H137+H170+H203+H236)</f>
        <v>3</v>
      </c>
      <c r="I269" s="42" t="n">
        <f aca="false">SUM(I7+I40+I73+I105+I137+I170+I203+I236)</f>
        <v>1</v>
      </c>
      <c r="J269" s="42" t="n">
        <f aca="false">SUM(J7+J40+J73+J105+J137+J170+J203+J236)</f>
        <v>4</v>
      </c>
      <c r="K269" s="42" t="n">
        <f aca="false">SUM(K7+K40+K73+K105+K137+K170+K203+K236)</f>
        <v>18</v>
      </c>
    </row>
    <row r="270" customFormat="false" ht="15.75" hidden="false" customHeight="false" outlineLevel="0" collapsed="false">
      <c r="A270" s="110"/>
      <c r="B270" s="90" t="s">
        <v>67</v>
      </c>
      <c r="C270" s="42" t="n">
        <f aca="false">SUM(C8+C41+C74+C106+C138+C171+C204+C237)</f>
        <v>904</v>
      </c>
      <c r="D270" s="42" t="n">
        <f aca="false">SUM(D8+D41+D74+D106+D138+D171+D204+D237)</f>
        <v>2002</v>
      </c>
      <c r="E270" s="42" t="n">
        <f aca="false">SUM(E8+E41+E74+E106+E138+E171+E204+E237)</f>
        <v>2009</v>
      </c>
      <c r="F270" s="42" t="n">
        <f aca="false">SUM(F8+F41+F74+F106+F138+F171+F204+F237)</f>
        <v>4915</v>
      </c>
      <c r="G270" s="42" t="n">
        <f aca="false">SUM(G8+G41+G74+G106+G138+G171+G204+G237)</f>
        <v>0</v>
      </c>
      <c r="H270" s="42" t="n">
        <f aca="false">SUM(H8+H41+H74+H106+H138+H171+H204+H237)</f>
        <v>1023</v>
      </c>
      <c r="I270" s="42" t="n">
        <f aca="false">SUM(I8+I41+I74+I106+I138+I171+I204+I237)</f>
        <v>580</v>
      </c>
      <c r="J270" s="42" t="n">
        <f aca="false">SUM(J8+J41+J74+J106+J138+J171+J204+J237)</f>
        <v>1603</v>
      </c>
      <c r="K270" s="42" t="n">
        <f aca="false">SUM(K8+K41+K74+K106+K138+K171+K204+K237)</f>
        <v>6518</v>
      </c>
    </row>
    <row r="271" customFormat="false" ht="15.75" hidden="false" customHeight="false" outlineLevel="0" collapsed="false">
      <c r="A271" s="110"/>
      <c r="B271" s="90" t="s">
        <v>68</v>
      </c>
      <c r="C271" s="42" t="n">
        <f aca="false">SUM(C9+C42+C75+C107+C139+C172+C205+C238)</f>
        <v>0</v>
      </c>
      <c r="D271" s="42" t="n">
        <f aca="false">SUM(D9+D42+D75+D107+D139+D172+D205+D238)</f>
        <v>0</v>
      </c>
      <c r="E271" s="42" t="n">
        <f aca="false">SUM(E9+E42+E75+E107+E139+E172+E205+E238)</f>
        <v>0</v>
      </c>
      <c r="F271" s="42" t="n">
        <f aca="false">SUM(F9+F42+F75+F107+F139+F172+F205+F238)</f>
        <v>0</v>
      </c>
      <c r="G271" s="42" t="n">
        <f aca="false">SUM(G9+G42+G75+G107+G139+G172+G205+G238)</f>
        <v>0</v>
      </c>
      <c r="H271" s="42" t="n">
        <f aca="false">SUM(H9+H42+H75+H107+H139+H172+H205+H238)</f>
        <v>0</v>
      </c>
      <c r="I271" s="42" t="n">
        <f aca="false">SUM(I9+I42+I75+I107+I139+I172+I205+I238)</f>
        <v>0</v>
      </c>
      <c r="J271" s="42" t="n">
        <f aca="false">SUM(J9+J42+J75+J107+J139+J172+J205+J238)</f>
        <v>0</v>
      </c>
      <c r="K271" s="42" t="n">
        <f aca="false">SUM(K9+K42+K75+K107+K139+K172+K205+K238)</f>
        <v>0</v>
      </c>
    </row>
    <row r="272" customFormat="false" ht="16.5" hidden="false" customHeight="false" outlineLevel="0" collapsed="false">
      <c r="A272" s="110"/>
      <c r="B272" s="94" t="s">
        <v>64</v>
      </c>
      <c r="C272" s="16" t="n">
        <f aca="false">SUM(C10+C43+C76+C108+C140+C173+C206+C239)</f>
        <v>904</v>
      </c>
      <c r="D272" s="16" t="n">
        <f aca="false">SUM(D10+D43+D76+D108+D140+D173+D206+D239)</f>
        <v>2002</v>
      </c>
      <c r="E272" s="16" t="n">
        <f aca="false">SUM(E10+E43+E76+E108+E140+E173+E206+E239)</f>
        <v>2009</v>
      </c>
      <c r="F272" s="16" t="n">
        <f aca="false">SUM(F10+F43+F76+F108+F140+F173+F206+F239)</f>
        <v>4915</v>
      </c>
      <c r="G272" s="16" t="n">
        <f aca="false">SUM(G10+G43+G76+G108+G140+G173+G206+G239)</f>
        <v>0</v>
      </c>
      <c r="H272" s="16" t="n">
        <f aca="false">SUM(H10+H43+H76+H108+H140+H173+H206+H239)</f>
        <v>1023</v>
      </c>
      <c r="I272" s="16" t="n">
        <f aca="false">SUM(I10+I43+I76+I108+I140+I173+I206+I239)</f>
        <v>580</v>
      </c>
      <c r="J272" s="16" t="n">
        <f aca="false">SUM(J10+J43+J76+J108+J140+J173+J206+J239)</f>
        <v>1603</v>
      </c>
      <c r="K272" s="16" t="n">
        <f aca="false">SUM(K10+K43+K76+K108+K140+K173+K206+K239)</f>
        <v>6518</v>
      </c>
    </row>
    <row r="273" customFormat="false" ht="16.5" hidden="false" customHeight="false" outlineLevel="0" collapsed="false">
      <c r="A273" s="110"/>
      <c r="B273" s="95" t="s">
        <v>8</v>
      </c>
      <c r="C273" s="27" t="n">
        <f aca="false">SUM(C11+C44+C77+C109+C141+C174+C207+C240)</f>
        <v>0</v>
      </c>
      <c r="D273" s="27" t="n">
        <f aca="false">SUM(D11+D44+D77+D109+D141+D174+D207+D240)</f>
        <v>0</v>
      </c>
      <c r="E273" s="27" t="n">
        <f aca="false">SUM(E11+E44+E77+E109+E141+E174+E207+E240)</f>
        <v>0</v>
      </c>
      <c r="F273" s="27" t="n">
        <f aca="false">SUM(F11+F44+F77+F109+F141+F174+F207+F240)</f>
        <v>0</v>
      </c>
      <c r="G273" s="27" t="n">
        <f aca="false">SUM(G11+G44+G77+G109+G141+G174+G207+G240)</f>
        <v>0</v>
      </c>
      <c r="H273" s="27" t="n">
        <f aca="false">SUM(H11+H44+H77+H109+H141+H174+H207+H240)</f>
        <v>0</v>
      </c>
      <c r="I273" s="27" t="n">
        <f aca="false">SUM(I11+I44+I77+I109+I141+I174+I207+I240)</f>
        <v>0</v>
      </c>
      <c r="J273" s="27" t="n">
        <f aca="false">SUM(J11+J44+J77+J109+J141+J174+J207+J240)</f>
        <v>0</v>
      </c>
      <c r="K273" s="27" t="n">
        <f aca="false">SUM(K11+K44+K77+K109+K141+K174+K207+K240)</f>
        <v>0</v>
      </c>
    </row>
    <row r="274" customFormat="false" ht="15.75" hidden="false" customHeight="false" outlineLevel="0" collapsed="false">
      <c r="A274" s="110"/>
      <c r="B274" s="90" t="s">
        <v>69</v>
      </c>
      <c r="C274" s="42" t="n">
        <f aca="false">SUM(C12+C45+C78+C110+C142+C175+C208+C241)</f>
        <v>226</v>
      </c>
      <c r="D274" s="42" t="n">
        <f aca="false">SUM(D12+D45+D78+D110+D142+D175+D208+D241)</f>
        <v>501</v>
      </c>
      <c r="E274" s="42" t="n">
        <f aca="false">SUM(E12+E45+E78+E110+E142+E175+E208+E241)</f>
        <v>502</v>
      </c>
      <c r="F274" s="42" t="n">
        <f aca="false">SUM(F12+F45+F78+F110+F142+F175+F208+F241)</f>
        <v>1229</v>
      </c>
      <c r="G274" s="42" t="n">
        <f aca="false">SUM(G12+G45+G78+G110+G142+G175+G208+G241)</f>
        <v>0</v>
      </c>
      <c r="H274" s="42" t="n">
        <f aca="false">SUM(H12+H45+H78+H110+H142+H175+H208+H241)</f>
        <v>256</v>
      </c>
      <c r="I274" s="42" t="n">
        <f aca="false">SUM(I12+I45+I78+I110+I142+I175+I208+I241)</f>
        <v>145</v>
      </c>
      <c r="J274" s="42" t="n">
        <f aca="false">SUM(J12+J45+J78+J110+J142+J175+J208+J241)</f>
        <v>401</v>
      </c>
      <c r="K274" s="42" t="n">
        <f aca="false">SUM(K12+K45+K78+K110+K142+K175+K208+K241)</f>
        <v>1630</v>
      </c>
    </row>
    <row r="275" customFormat="false" ht="15.75" hidden="false" customHeight="false" outlineLevel="0" collapsed="false">
      <c r="A275" s="110"/>
      <c r="B275" s="90" t="s">
        <v>70</v>
      </c>
      <c r="C275" s="42" t="n">
        <f aca="false">SUM(C13+C46+C79+C111+C143+C176+C209+C242)</f>
        <v>4</v>
      </c>
      <c r="D275" s="42" t="n">
        <f aca="false">SUM(D13+D46+D79+D111+D143+D176+D209+D242)</f>
        <v>12</v>
      </c>
      <c r="E275" s="42" t="n">
        <f aca="false">SUM(E13+E46+E79+E111+E143+E176+E209+E242)</f>
        <v>10</v>
      </c>
      <c r="F275" s="42" t="n">
        <f aca="false">SUM(F13+F46+F79+F111+F143+F176+F209+F242)</f>
        <v>26</v>
      </c>
      <c r="G275" s="42" t="n">
        <f aca="false">SUM(G13+G46+G79+G111+G143+G176+G209+G242)</f>
        <v>0</v>
      </c>
      <c r="H275" s="42" t="n">
        <f aca="false">SUM(H13+H46+H79+H111+H143+H176+H209+H242)</f>
        <v>12</v>
      </c>
      <c r="I275" s="42" t="n">
        <f aca="false">SUM(I13+I46+I79+I111+I143+I176+I209+I242)</f>
        <v>2</v>
      </c>
      <c r="J275" s="42" t="n">
        <f aca="false">SUM(J13+J46+J79+J111+J143+J176+J209+J242)</f>
        <v>14</v>
      </c>
      <c r="K275" s="42" t="n">
        <f aca="false">SUM(K13+K46+K79+K111+K143+K176+K209+K242)</f>
        <v>40</v>
      </c>
    </row>
    <row r="276" customFormat="false" ht="15.75" hidden="false" customHeight="false" outlineLevel="0" collapsed="false">
      <c r="A276" s="110"/>
      <c r="B276" s="90" t="s">
        <v>71</v>
      </c>
      <c r="C276" s="42" t="n">
        <f aca="false">SUM(C14+C47+C80+C112+C144+C177+C210+C243)</f>
        <v>244</v>
      </c>
      <c r="D276" s="42" t="n">
        <f aca="false">SUM(D14+D47+D80+D112+D144+D177+D210+D243)</f>
        <v>414</v>
      </c>
      <c r="E276" s="42" t="n">
        <f aca="false">SUM(E14+E47+E80+E112+E144+E177+E210+E243)</f>
        <v>343</v>
      </c>
      <c r="F276" s="42" t="n">
        <f aca="false">SUM(F14+F47+F80+F112+F144+F177+F210+F243)</f>
        <v>1001</v>
      </c>
      <c r="G276" s="42" t="n">
        <f aca="false">SUM(G14+G47+G80+G112+G144+G177+G210+G243)</f>
        <v>0</v>
      </c>
      <c r="H276" s="42" t="n">
        <f aca="false">SUM(H14+H47+H80+H112+H144+H177+H210+H243)</f>
        <v>276</v>
      </c>
      <c r="I276" s="42" t="n">
        <f aca="false">SUM(I14+I47+I80+I112+I144+I177+I210+I243)</f>
        <v>157</v>
      </c>
      <c r="J276" s="42" t="n">
        <f aca="false">SUM(J14+J47+J80+J112+J144+J177+J210+J243)</f>
        <v>433</v>
      </c>
      <c r="K276" s="42" t="n">
        <f aca="false">SUM(K14+K47+K80+K112+K144+K177+K210+K243)</f>
        <v>1434</v>
      </c>
    </row>
    <row r="277" customFormat="false" ht="15.75" hidden="false" customHeight="false" outlineLevel="0" collapsed="false">
      <c r="A277" s="110"/>
      <c r="B277" s="90" t="s">
        <v>72</v>
      </c>
      <c r="C277" s="42" t="n">
        <f aca="false">SUM(C15+C48+C81+C113+C145+C178+C211+C244)</f>
        <v>29</v>
      </c>
      <c r="D277" s="42" t="n">
        <f aca="false">SUM(D15+D48+D81+D113+D145+D178+D211+D244)</f>
        <v>29</v>
      </c>
      <c r="E277" s="42" t="n">
        <f aca="false">SUM(E15+E48+E81+E113+E145+E178+E211+E244)</f>
        <v>33</v>
      </c>
      <c r="F277" s="42" t="n">
        <f aca="false">SUM(F15+F48+F81+F113+F145+F178+F211+F244)</f>
        <v>91</v>
      </c>
      <c r="G277" s="42" t="n">
        <f aca="false">SUM(G15+G48+G81+G113+G145+G178+G211+G244)</f>
        <v>0</v>
      </c>
      <c r="H277" s="42" t="n">
        <f aca="false">SUM(H15+H48+H81+H113+H145+H178+H211+H244)</f>
        <v>15</v>
      </c>
      <c r="I277" s="42" t="n">
        <f aca="false">SUM(I15+I48+I81+I113+I145+I178+I211+I244)</f>
        <v>5</v>
      </c>
      <c r="J277" s="42" t="n">
        <f aca="false">SUM(J15+J48+J81+J113+J145+J178+J211+J244)</f>
        <v>20</v>
      </c>
      <c r="K277" s="42" t="n">
        <f aca="false">SUM(K15+K48+K81+K113+K145+K178+K211+K244)</f>
        <v>111</v>
      </c>
    </row>
    <row r="278" customFormat="false" ht="15.75" hidden="false" customHeight="false" outlineLevel="0" collapsed="false">
      <c r="A278" s="110"/>
      <c r="B278" s="90" t="s">
        <v>73</v>
      </c>
      <c r="C278" s="42" t="n">
        <f aca="false">SUM(C16+C49+C82+C114+C146+C179+C212+C245)</f>
        <v>0</v>
      </c>
      <c r="D278" s="42" t="n">
        <f aca="false">SUM(D16+D49+D82+D114+D146+D179+D212+D245)</f>
        <v>0</v>
      </c>
      <c r="E278" s="42" t="n">
        <f aca="false">SUM(E16+E49+E82+E114+E146+E179+E212+E245)</f>
        <v>3</v>
      </c>
      <c r="F278" s="42" t="n">
        <f aca="false">SUM(F16+F49+F82+F114+F146+F179+F212+F245)</f>
        <v>3</v>
      </c>
      <c r="G278" s="42" t="n">
        <f aca="false">SUM(G16+G49+G82+G114+G146+G179+G212+G245)</f>
        <v>0</v>
      </c>
      <c r="H278" s="42" t="n">
        <f aca="false">SUM(H16+H49+H82+H114+H146+H179+H212+H245)</f>
        <v>0</v>
      </c>
      <c r="I278" s="42" t="n">
        <f aca="false">SUM(I16+I49+I82+I114+I146+I179+I212+I245)</f>
        <v>1</v>
      </c>
      <c r="J278" s="42" t="n">
        <f aca="false">SUM(J16+J49+J82+J114+J146+J179+J212+J245)</f>
        <v>1</v>
      </c>
      <c r="K278" s="42" t="n">
        <f aca="false">SUM(K16+K49+K82+K114+K146+K179+K212+K245)</f>
        <v>4</v>
      </c>
    </row>
    <row r="279" customFormat="false" ht="16.5" hidden="false" customHeight="false" outlineLevel="0" collapsed="false">
      <c r="A279" s="110"/>
      <c r="B279" s="96" t="s">
        <v>64</v>
      </c>
      <c r="C279" s="16" t="n">
        <f aca="false">SUM(C17+C50+C83+C115+C147+C180+C213+C246)</f>
        <v>1407</v>
      </c>
      <c r="D279" s="16" t="n">
        <f aca="false">SUM(D17+D50+D83+D115+D147+D180+D213+D246)</f>
        <v>2958</v>
      </c>
      <c r="E279" s="16" t="n">
        <f aca="false">SUM(E17+E50+E83+E115+E147+E180+E213+E246)</f>
        <v>2900</v>
      </c>
      <c r="F279" s="16" t="n">
        <f aca="false">SUM(F17+F50+F83+F115+F147+F180+F213+F246)</f>
        <v>7265</v>
      </c>
      <c r="G279" s="16" t="n">
        <f aca="false">SUM(G17+G50+G83+G115+G147+G180+G213+G246)</f>
        <v>0</v>
      </c>
      <c r="H279" s="16" t="n">
        <f aca="false">SUM(H17+H50+H83+H115+H147+H180+H213+H246)</f>
        <v>1582</v>
      </c>
      <c r="I279" s="16" t="n">
        <f aca="false">SUM(I17+I50+I83+I115+I147+I180+I213+I246)</f>
        <v>890</v>
      </c>
      <c r="J279" s="16" t="n">
        <f aca="false">SUM(J17+J50+J83+J115+J147+J180+J213+J246)</f>
        <v>2472</v>
      </c>
      <c r="K279" s="16" t="n">
        <f aca="false">SUM(K17+K50+K83+K115+K147+K180+K213+K246)</f>
        <v>9737</v>
      </c>
    </row>
    <row r="280" customFormat="false" ht="16.5" hidden="false" customHeight="false" outlineLevel="0" collapsed="false"/>
    <row r="281" customFormat="false" ht="15.75" hidden="false" customHeight="true" outlineLevel="0" collapsed="false">
      <c r="A281" s="88" t="s">
        <v>82</v>
      </c>
      <c r="B281" s="89" t="s">
        <v>74</v>
      </c>
      <c r="C281" s="89"/>
      <c r="D281" s="89"/>
      <c r="E281" s="89"/>
      <c r="F281" s="89"/>
      <c r="G281" s="89"/>
      <c r="H281" s="89"/>
      <c r="I281" s="89"/>
      <c r="J281" s="89"/>
      <c r="K281" s="89"/>
      <c r="M281" s="97" t="s">
        <v>75</v>
      </c>
      <c r="N281" s="97"/>
      <c r="O281" s="97"/>
      <c r="P281" s="97"/>
    </row>
    <row r="282" customFormat="false" ht="15.75" hidden="false" customHeight="true" outlineLevel="0" collapsed="false">
      <c r="A282" s="88"/>
      <c r="B282" s="90"/>
      <c r="C282" s="89" t="s">
        <v>62</v>
      </c>
      <c r="D282" s="89"/>
      <c r="E282" s="89"/>
      <c r="F282" s="89"/>
      <c r="G282" s="89" t="s">
        <v>63</v>
      </c>
      <c r="H282" s="89"/>
      <c r="I282" s="89"/>
      <c r="J282" s="89"/>
      <c r="K282" s="89" t="s">
        <v>64</v>
      </c>
      <c r="M282" s="90" t="s">
        <v>5</v>
      </c>
      <c r="N282" s="44" t="s">
        <v>61</v>
      </c>
      <c r="O282" s="44" t="s">
        <v>74</v>
      </c>
      <c r="P282" s="89" t="s">
        <v>64</v>
      </c>
    </row>
    <row r="283" customFormat="false" ht="15.75" hidden="false" customHeight="true" outlineLevel="0" collapsed="false">
      <c r="A283" s="110" t="s">
        <v>56</v>
      </c>
      <c r="B283" s="90" t="s">
        <v>5</v>
      </c>
      <c r="C283" s="88" t="s">
        <v>22</v>
      </c>
      <c r="D283" s="88" t="s">
        <v>25</v>
      </c>
      <c r="E283" s="88" t="s">
        <v>30</v>
      </c>
      <c r="F283" s="88" t="s">
        <v>64</v>
      </c>
      <c r="G283" s="88" t="s">
        <v>22</v>
      </c>
      <c r="H283" s="88" t="s">
        <v>25</v>
      </c>
      <c r="I283" s="88" t="s">
        <v>30</v>
      </c>
      <c r="J283" s="88" t="s">
        <v>64</v>
      </c>
      <c r="K283" s="88"/>
      <c r="M283" s="92" t="s">
        <v>66</v>
      </c>
      <c r="N283" s="42" t="n">
        <f aca="false">SUM(N21+N54+N87+N119+N151+N184+N217+N250)</f>
        <v>18</v>
      </c>
      <c r="O283" s="42" t="n">
        <f aca="false">SUM(O21+O54+O87+O119+O151+O184+O217+O250)</f>
        <v>35</v>
      </c>
      <c r="P283" s="42" t="n">
        <f aca="false">SUM(N283:O283)</f>
        <v>53</v>
      </c>
    </row>
    <row r="284" customFormat="false" ht="15.75" hidden="false" customHeight="false" outlineLevel="0" collapsed="false">
      <c r="A284" s="110"/>
      <c r="B284" s="92" t="s">
        <v>66</v>
      </c>
      <c r="C284" s="42" t="n">
        <f aca="false">SUM(C22+C55+C88+C120+C152+C185+C218+C251)</f>
        <v>5</v>
      </c>
      <c r="D284" s="42" t="n">
        <f aca="false">SUM(D22+D55+D88+D120+D152+D185+D218+D251)</f>
        <v>17</v>
      </c>
      <c r="E284" s="42" t="n">
        <f aca="false">SUM(E22+E55+E88+E120+E152+E185+E218+E251)</f>
        <v>3</v>
      </c>
      <c r="F284" s="42" t="n">
        <f aca="false">SUM(F22+F55+F88+F120+F152+F185+F218+F251)</f>
        <v>25</v>
      </c>
      <c r="G284" s="42" t="n">
        <f aca="false">SUM(G22+G55+G88+G120+G152+G185+G218+G251)</f>
        <v>4</v>
      </c>
      <c r="H284" s="42" t="n">
        <f aca="false">SUM(H22+H55+H88+H120+H152+H185+H218+H251)</f>
        <v>3</v>
      </c>
      <c r="I284" s="42" t="n">
        <f aca="false">SUM(I22+I55+I88+I120+I152+I185+I218+I251)</f>
        <v>3</v>
      </c>
      <c r="J284" s="42" t="n">
        <f aca="false">SUM(J22+J55+J88+J120+J152+J185+J218+J251)</f>
        <v>10</v>
      </c>
      <c r="K284" s="42" t="n">
        <f aca="false">SUM(K22+K55+K88+K120+K152+K185+K218+K251)</f>
        <v>35</v>
      </c>
      <c r="M284" s="90" t="s">
        <v>67</v>
      </c>
      <c r="N284" s="42" t="n">
        <f aca="false">SUM(N22+N55+N88+N120+N152+N185+N218+N251)</f>
        <v>6518</v>
      </c>
      <c r="O284" s="42" t="n">
        <f aca="false">SUM(O22+O55+O88+O120+O152+O185+O218+O251)</f>
        <v>19672</v>
      </c>
      <c r="P284" s="42" t="n">
        <f aca="false">SUM(N284:O284)</f>
        <v>26190</v>
      </c>
    </row>
    <row r="285" customFormat="false" ht="15.75" hidden="false" customHeight="false" outlineLevel="0" collapsed="false">
      <c r="A285" s="110"/>
      <c r="B285" s="90" t="s">
        <v>67</v>
      </c>
      <c r="C285" s="42" t="n">
        <f aca="false">SUM(C23+C56+C89+C121+C153+C186+C219+C252)</f>
        <v>5186</v>
      </c>
      <c r="D285" s="42" t="n">
        <f aca="false">SUM(D23+D56+D89+D121+D153+D186+D219+D252)</f>
        <v>7877</v>
      </c>
      <c r="E285" s="42" t="n">
        <f aca="false">SUM(E23+E56+E89+E121+E153+E186+E219+E252)</f>
        <v>948</v>
      </c>
      <c r="F285" s="42" t="n">
        <f aca="false">SUM(F23+F56+F89+F121+F153+F186+F219+F252)</f>
        <v>14011</v>
      </c>
      <c r="G285" s="42" t="n">
        <f aca="false">SUM(G23+G56+G89+G121+G153+G186+G219+G252)</f>
        <v>3531</v>
      </c>
      <c r="H285" s="42" t="n">
        <f aca="false">SUM(H23+H56+H89+H121+H153+H186+H219+H252)</f>
        <v>1586</v>
      </c>
      <c r="I285" s="42" t="n">
        <f aca="false">SUM(I23+I56+I89+I121+I153+I186+I219+I252)</f>
        <v>544</v>
      </c>
      <c r="J285" s="42" t="n">
        <f aca="false">SUM(J23+J56+J89+J121+J153+J186+J219+J252)</f>
        <v>5661</v>
      </c>
      <c r="K285" s="42" t="n">
        <f aca="false">SUM(K23+K56+K89+K121+K153+K186+K219+K252)</f>
        <v>19672</v>
      </c>
      <c r="M285" s="90" t="s">
        <v>68</v>
      </c>
      <c r="N285" s="42" t="n">
        <f aca="false">SUM(N23+N56+N89+N121+N153+N186+N219+N252)</f>
        <v>0</v>
      </c>
      <c r="O285" s="42" t="n">
        <f aca="false">SUM(O23+O56+O89+O121+O153+O186+O219+O252)</f>
        <v>0</v>
      </c>
      <c r="P285" s="42" t="n">
        <f aca="false">SUM(N285:O285)</f>
        <v>0</v>
      </c>
    </row>
    <row r="286" customFormat="false" ht="16.5" hidden="false" customHeight="false" outlineLevel="0" collapsed="false">
      <c r="A286" s="110"/>
      <c r="B286" s="90" t="s">
        <v>68</v>
      </c>
      <c r="C286" s="42" t="n">
        <f aca="false">SUM(C24+C57+C90+C122+C154+C187+C220+C253)</f>
        <v>0</v>
      </c>
      <c r="D286" s="42" t="n">
        <f aca="false">SUM(D24+D57+D90+D122+D154+D187+D220+D253)</f>
        <v>0</v>
      </c>
      <c r="E286" s="42" t="n">
        <f aca="false">SUM(E24+E57+E90+E122+E154+E187+E220+E253)</f>
        <v>0</v>
      </c>
      <c r="F286" s="42" t="n">
        <f aca="false">SUM(F24+F57+F90+F122+F154+F187+F220+F253)</f>
        <v>0</v>
      </c>
      <c r="G286" s="42" t="n">
        <f aca="false">SUM(G24+G57+G90+G122+G154+G187+G220+G253)</f>
        <v>0</v>
      </c>
      <c r="H286" s="42" t="n">
        <f aca="false">SUM(H24+H57+H90+H122+H154+H187+H220+H253)</f>
        <v>0</v>
      </c>
      <c r="I286" s="42" t="n">
        <f aca="false">SUM(I24+I57+I90+I122+I154+I187+I220+I253)</f>
        <v>0</v>
      </c>
      <c r="J286" s="42" t="n">
        <f aca="false">SUM(J24+J57+J90+J122+J154+J187+J220+J253)</f>
        <v>0</v>
      </c>
      <c r="K286" s="42" t="n">
        <f aca="false">SUM(K24+K57+K90+K122+K154+K187+K220+K253)</f>
        <v>0</v>
      </c>
      <c r="M286" s="94" t="s">
        <v>64</v>
      </c>
      <c r="N286" s="16" t="n">
        <f aca="false">SUM(N284:N285)</f>
        <v>6518</v>
      </c>
      <c r="O286" s="16" t="n">
        <f aca="false">SUM(O284:O285)</f>
        <v>19672</v>
      </c>
      <c r="P286" s="16" t="n">
        <f aca="false">SUM(P284:P285)</f>
        <v>26190</v>
      </c>
    </row>
    <row r="287" customFormat="false" ht="17.25" hidden="false" customHeight="false" outlineLevel="0" collapsed="false">
      <c r="A287" s="110"/>
      <c r="B287" s="94" t="s">
        <v>64</v>
      </c>
      <c r="C287" s="16" t="n">
        <f aca="false">SUM(C25+C58+C91+C123+C155+C188+C221+C254)</f>
        <v>5186</v>
      </c>
      <c r="D287" s="16" t="n">
        <f aca="false">SUM(D25+D58+D91+D123+D155+D188+D221+D254)</f>
        <v>7877</v>
      </c>
      <c r="E287" s="16" t="n">
        <f aca="false">SUM(E25+E58+E91+E123+E155+E188+E221+E254)</f>
        <v>948</v>
      </c>
      <c r="F287" s="16" t="n">
        <f aca="false">SUM(F25+F58+F91+F123+F155+F188+F221+F254)</f>
        <v>14011</v>
      </c>
      <c r="G287" s="16" t="n">
        <f aca="false">SUM(G25+G58+G91+G123+G155+G188+G221+G254)</f>
        <v>3531</v>
      </c>
      <c r="H287" s="16" t="n">
        <f aca="false">SUM(H25+H58+H91+H123+H155+H188+H221+H254)</f>
        <v>1586</v>
      </c>
      <c r="I287" s="16" t="n">
        <f aca="false">SUM(I25+I58+I91+I123+I155+I188+I221+I254)</f>
        <v>544</v>
      </c>
      <c r="J287" s="16" t="n">
        <f aca="false">SUM(J25+J58+J91+J123+J155+J188+J221+J254)</f>
        <v>5661</v>
      </c>
      <c r="K287" s="16" t="n">
        <f aca="false">SUM(K25+K58+K91+K123+K155+K188+K221+K254)</f>
        <v>19672</v>
      </c>
      <c r="M287" s="95" t="s">
        <v>69</v>
      </c>
      <c r="N287" s="27" t="n">
        <f aca="false">SUM(N25+N58+N91+N123+N155+N188+N221+N254)</f>
        <v>1630</v>
      </c>
      <c r="O287" s="27" t="n">
        <f aca="false">SUM(O25+O58+O91+O123+O155+O188+O221+O254)</f>
        <v>4921</v>
      </c>
      <c r="P287" s="42" t="n">
        <f aca="false">SUM(N287:O287)</f>
        <v>6551</v>
      </c>
    </row>
    <row r="288" customFormat="false" ht="16.5" hidden="false" customHeight="false" outlineLevel="0" collapsed="false">
      <c r="A288" s="110"/>
      <c r="B288" s="95" t="s">
        <v>8</v>
      </c>
      <c r="C288" s="27" t="n">
        <f aca="false">SUM(C26+C59+C92+C124+C156+C189+C222+C255)</f>
        <v>0</v>
      </c>
      <c r="D288" s="27" t="n">
        <f aca="false">SUM(D26+D59+D92+D124+D156+D189+D222+D255)</f>
        <v>0</v>
      </c>
      <c r="E288" s="27" t="n">
        <f aca="false">SUM(E26+E59+E92+E124+E156+E189+E222+E255)</f>
        <v>0</v>
      </c>
      <c r="F288" s="27" t="n">
        <f aca="false">SUM(F26+F59+F92+F124+F156+F189+F222+F255)</f>
        <v>0</v>
      </c>
      <c r="G288" s="27" t="n">
        <f aca="false">SUM(G26+G59+G92+G124+G156+G189+G222+G255)</f>
        <v>0</v>
      </c>
      <c r="H288" s="27" t="n">
        <f aca="false">SUM(H26+H59+H92+H124+H156+H189+H222+H255)</f>
        <v>0</v>
      </c>
      <c r="I288" s="27" t="n">
        <f aca="false">SUM(I26+I59+I92+I124+I156+I189+I222+I255)</f>
        <v>0</v>
      </c>
      <c r="J288" s="27" t="n">
        <f aca="false">SUM(J26+J59+J92+J124+J156+J189+J222+J255)</f>
        <v>0</v>
      </c>
      <c r="K288" s="27" t="n">
        <f aca="false">SUM(K26+K59+K92+K124+K156+K189+K222+K255)</f>
        <v>0</v>
      </c>
      <c r="M288" s="95" t="s">
        <v>8</v>
      </c>
      <c r="N288" s="42" t="n">
        <f aca="false">SUM(N26+N59+N92+N124+N156+N189+N222+N255)</f>
        <v>0</v>
      </c>
      <c r="O288" s="42" t="n">
        <f aca="false">SUM(O26+O59+O92+O124+O156+O189+O222+O255)</f>
        <v>0</v>
      </c>
      <c r="P288" s="42" t="n">
        <f aca="false">SUM(N288:O288)</f>
        <v>0</v>
      </c>
    </row>
    <row r="289" customFormat="false" ht="15.75" hidden="false" customHeight="false" outlineLevel="0" collapsed="false">
      <c r="A289" s="110"/>
      <c r="B289" s="90" t="s">
        <v>69</v>
      </c>
      <c r="C289" s="42" t="n">
        <f aca="false">SUM(C27+C60+C93+C125+C157+C190+C223+C256)</f>
        <v>1298</v>
      </c>
      <c r="D289" s="42" t="n">
        <f aca="false">SUM(D27+D60+D93+D125+D157+D190+D223+D256)</f>
        <v>1970</v>
      </c>
      <c r="E289" s="42" t="n">
        <f aca="false">SUM(E27+E60+E93+E125+E157+E190+E223+E256)</f>
        <v>237</v>
      </c>
      <c r="F289" s="42" t="n">
        <f aca="false">SUM(F27+F60+F93+F125+F157+F190+F223+F256)</f>
        <v>3505</v>
      </c>
      <c r="G289" s="42" t="n">
        <f aca="false">SUM(G27+G60+G93+G125+G157+G190+G223+G256)</f>
        <v>883</v>
      </c>
      <c r="H289" s="42" t="n">
        <f aca="false">SUM(H27+H60+H93+H125+H157+H190+H223+H256)</f>
        <v>397</v>
      </c>
      <c r="I289" s="42" t="n">
        <f aca="false">SUM(I27+I60+I93+I125+I157+I190+I223+I256)</f>
        <v>136</v>
      </c>
      <c r="J289" s="42" t="n">
        <f aca="false">SUM(J27+J60+J93+J125+J157+J190+J223+J256)</f>
        <v>1416</v>
      </c>
      <c r="K289" s="42" t="n">
        <f aca="false">SUM(K27+K60+K93+K125+K157+K190+K223+K256)</f>
        <v>4921</v>
      </c>
      <c r="M289" s="90" t="s">
        <v>70</v>
      </c>
      <c r="N289" s="42" t="n">
        <f aca="false">SUM(N27+N60+N93+N125+N157+N190+N223+N256)</f>
        <v>40</v>
      </c>
      <c r="O289" s="42" t="n">
        <f aca="false">SUM(O27+O60+O93+O125+O157+O190+O223+O256)</f>
        <v>147</v>
      </c>
      <c r="P289" s="42" t="n">
        <f aca="false">SUM(N289:O289)</f>
        <v>187</v>
      </c>
    </row>
    <row r="290" customFormat="false" ht="15.75" hidden="false" customHeight="false" outlineLevel="0" collapsed="false">
      <c r="A290" s="110"/>
      <c r="B290" s="90" t="s">
        <v>70</v>
      </c>
      <c r="C290" s="42" t="n">
        <f aca="false">SUM(C28+C61+C94+C126+C158+C191+C224+C257)</f>
        <v>12</v>
      </c>
      <c r="D290" s="42" t="n">
        <f aca="false">SUM(D28+D61+D94+D126+D158+D191+D224+D257)</f>
        <v>64</v>
      </c>
      <c r="E290" s="42" t="n">
        <f aca="false">SUM(E28+E61+E94+E126+E158+E191+E224+E257)</f>
        <v>11</v>
      </c>
      <c r="F290" s="42" t="n">
        <f aca="false">SUM(F28+F61+F94+F126+F158+F191+F224+F257)</f>
        <v>87</v>
      </c>
      <c r="G290" s="42" t="n">
        <f aca="false">SUM(G28+G61+G94+G126+G158+G191+G224+G257)</f>
        <v>30</v>
      </c>
      <c r="H290" s="42" t="n">
        <f aca="false">SUM(H28+H61+H94+H126+H158+H191+H224+H257)</f>
        <v>26</v>
      </c>
      <c r="I290" s="42" t="n">
        <f aca="false">SUM(I28+I61+I94+I126+I158+I191+I224+I257)</f>
        <v>4</v>
      </c>
      <c r="J290" s="42" t="n">
        <f aca="false">SUM(J28+J61+J94+J126+J158+J191+J224+J257)</f>
        <v>60</v>
      </c>
      <c r="K290" s="42" t="n">
        <f aca="false">SUM(K28+K61+K94+K126+K158+K191+K224+K257)</f>
        <v>147</v>
      </c>
      <c r="M290" s="90" t="s">
        <v>71</v>
      </c>
      <c r="N290" s="42" t="n">
        <f aca="false">SUM(N28+N61+N94+N126+N158+N191+N224+N257)</f>
        <v>1434</v>
      </c>
      <c r="O290" s="42" t="n">
        <f aca="false">SUM(O28+O61+O94+O126+O158+O191+O224+O257)</f>
        <v>3452</v>
      </c>
      <c r="P290" s="42" t="n">
        <f aca="false">SUM(N290:O290)</f>
        <v>4886</v>
      </c>
    </row>
    <row r="291" customFormat="false" ht="15.75" hidden="false" customHeight="false" outlineLevel="0" collapsed="false">
      <c r="A291" s="110"/>
      <c r="B291" s="90" t="s">
        <v>71</v>
      </c>
      <c r="C291" s="42" t="n">
        <f aca="false">SUM(C29+C62+C95+C127+C159+C192+C225+C258)</f>
        <v>1030</v>
      </c>
      <c r="D291" s="42" t="n">
        <f aca="false">SUM(D29+D62+D95+D127+D159+D192+D225+D258)</f>
        <v>1244</v>
      </c>
      <c r="E291" s="42" t="n">
        <f aca="false">SUM(E29+E62+E95+E127+E159+E192+E225+E258)</f>
        <v>183</v>
      </c>
      <c r="F291" s="42" t="n">
        <f aca="false">SUM(F29+F62+F95+F127+F159+F192+F225+F258)</f>
        <v>2457</v>
      </c>
      <c r="G291" s="42" t="n">
        <f aca="false">SUM(G29+G62+G95+G127+G159+G192+G225+G258)</f>
        <v>733</v>
      </c>
      <c r="H291" s="42" t="n">
        <f aca="false">SUM(H29+H62+H95+H127+H159+H192+H225+H258)</f>
        <v>143</v>
      </c>
      <c r="I291" s="42" t="n">
        <f aca="false">SUM(I29+I62+I95+I127+I159+I192+I225+I258)</f>
        <v>119</v>
      </c>
      <c r="J291" s="42" t="n">
        <f aca="false">SUM(J29+J62+J95+J127+J159+J192+J225+J258)</f>
        <v>995</v>
      </c>
      <c r="K291" s="42" t="n">
        <f aca="false">SUM(K29+K62+K95+K127+K159+K192+K225+K258)</f>
        <v>3452</v>
      </c>
      <c r="M291" s="90" t="s">
        <v>72</v>
      </c>
      <c r="N291" s="42" t="n">
        <f aca="false">SUM(N29+N62+N95+N127+N159+N192+N225+N258)</f>
        <v>111</v>
      </c>
      <c r="O291" s="42" t="n">
        <f aca="false">SUM(O29+O62+O95+O127+O159+O192+O225+O258)</f>
        <v>302</v>
      </c>
      <c r="P291" s="42" t="n">
        <f aca="false">SUM(N291:O291)</f>
        <v>413</v>
      </c>
    </row>
    <row r="292" customFormat="false" ht="15.75" hidden="false" customHeight="false" outlineLevel="0" collapsed="false">
      <c r="A292" s="110"/>
      <c r="B292" s="90" t="s">
        <v>72</v>
      </c>
      <c r="C292" s="42" t="n">
        <f aca="false">SUM(C30+C63+C96+C128+C160+C193+C226+C259)</f>
        <v>68</v>
      </c>
      <c r="D292" s="42" t="n">
        <f aca="false">SUM(D30+D63+D96+D128+D160+D193+D226+D259)</f>
        <v>84</v>
      </c>
      <c r="E292" s="42" t="n">
        <f aca="false">SUM(E30+E63+E96+E128+E160+E193+E226+E259)</f>
        <v>15</v>
      </c>
      <c r="F292" s="42" t="n">
        <f aca="false">SUM(F30+F63+F96+F128+F160+F193+F226+F259)</f>
        <v>167</v>
      </c>
      <c r="G292" s="42" t="n">
        <f aca="false">SUM(G30+G63+G96+G128+G160+G193+G226+G259)</f>
        <v>105</v>
      </c>
      <c r="H292" s="42" t="n">
        <f aca="false">SUM(H30+H63+H96+H128+H160+H193+H226+H259)</f>
        <v>15</v>
      </c>
      <c r="I292" s="42" t="n">
        <f aca="false">SUM(I30+I63+I96+I128+I160+I193+I226+I259)</f>
        <v>15</v>
      </c>
      <c r="J292" s="42" t="n">
        <f aca="false">SUM(J30+J63+J96+J128+J160+J193+J226+J259)</f>
        <v>135</v>
      </c>
      <c r="K292" s="42" t="n">
        <f aca="false">SUM(K30+K63+K96+K128+K160+K193+K226+K259)</f>
        <v>302</v>
      </c>
      <c r="M292" s="90" t="s">
        <v>73</v>
      </c>
      <c r="N292" s="42" t="n">
        <f aca="false">SUM(N30+N63+N96+N128+N160+N193+N226+N259)</f>
        <v>4</v>
      </c>
      <c r="O292" s="42" t="n">
        <f aca="false">SUM(O30+O63+O96+O128+O160+O193+O226+O259)</f>
        <v>49</v>
      </c>
      <c r="P292" s="42" t="n">
        <f aca="false">SUM(N292:O292)</f>
        <v>53</v>
      </c>
    </row>
    <row r="293" customFormat="false" ht="16.5" hidden="false" customHeight="false" outlineLevel="0" collapsed="false">
      <c r="A293" s="110"/>
      <c r="B293" s="90" t="s">
        <v>73</v>
      </c>
      <c r="C293" s="42" t="n">
        <f aca="false">SUM(C31+C64+C97+C129+C161+C194+C227+C260)</f>
        <v>0</v>
      </c>
      <c r="D293" s="42" t="n">
        <f aca="false">SUM(D31+D64+D97+D129+D161+D194+D227+D260)</f>
        <v>20</v>
      </c>
      <c r="E293" s="42" t="n">
        <f aca="false">SUM(E31+E64+E97+E129+E161+E194+E227+E260)</f>
        <v>7</v>
      </c>
      <c r="F293" s="42" t="n">
        <f aca="false">SUM(F31+F64+F97+F129+F161+F194+F227+F260)</f>
        <v>27</v>
      </c>
      <c r="G293" s="42" t="n">
        <f aca="false">SUM(G31+G64+G97+G129+G161+G194+G227+G260)</f>
        <v>5</v>
      </c>
      <c r="H293" s="42" t="n">
        <f aca="false">SUM(H31+H64+H97+H129+H161+H194+H227+H260)</f>
        <v>15</v>
      </c>
      <c r="I293" s="42" t="n">
        <f aca="false">SUM(I31+I64+I97+I129+I161+I194+I227+I260)</f>
        <v>2</v>
      </c>
      <c r="J293" s="42" t="n">
        <f aca="false">SUM(J31+J64+J97+J129+J161+J194+J227+J260)</f>
        <v>22</v>
      </c>
      <c r="K293" s="42" t="n">
        <f aca="false">SUM(K31+K64+K97+K129+K161+K194+K227+K260)</f>
        <v>49</v>
      </c>
      <c r="M293" s="96" t="s">
        <v>64</v>
      </c>
      <c r="N293" s="16" t="n">
        <f aca="false">SUM(N286:N292)</f>
        <v>9737</v>
      </c>
      <c r="O293" s="16" t="n">
        <f aca="false">SUM(O286:O292)</f>
        <v>28543</v>
      </c>
      <c r="P293" s="16" t="n">
        <f aca="false">SUM(P286:P292)</f>
        <v>38280</v>
      </c>
    </row>
    <row r="294" customFormat="false" ht="17.25" hidden="false" customHeight="false" outlineLevel="0" collapsed="false">
      <c r="A294" s="110"/>
      <c r="B294" s="96" t="s">
        <v>64</v>
      </c>
      <c r="C294" s="16" t="n">
        <f aca="false">SUM(C32+C65+C98+C130+C162+C195+C228+C261)</f>
        <v>7594</v>
      </c>
      <c r="D294" s="16" t="n">
        <f aca="false">SUM(D32+D65+D98+D130+D162+D195+D228+D261)</f>
        <v>11259</v>
      </c>
      <c r="E294" s="16" t="n">
        <f aca="false">SUM(E32+E65+E98+E130+E162+E195+E228+E261)</f>
        <v>1401</v>
      </c>
      <c r="F294" s="16" t="n">
        <f aca="false">SUM(F32+F65+F98+F130+F162+F195+F228+F261)</f>
        <v>20254</v>
      </c>
      <c r="G294" s="16" t="n">
        <f aca="false">SUM(G32+G65+G98+G130+G162+G195+G228+G261)</f>
        <v>5287</v>
      </c>
      <c r="H294" s="16" t="n">
        <f aca="false">SUM(H32+H65+H98+H130+H162+H195+H228+H261)</f>
        <v>2182</v>
      </c>
      <c r="I294" s="16" t="n">
        <f aca="false">SUM(I32+I65+I98+I130+I162+I195+I228+I261)</f>
        <v>820</v>
      </c>
      <c r="J294" s="16" t="n">
        <f aca="false">SUM(J32+J65+J98+J130+J162+J195+J228+J261)</f>
        <v>8289</v>
      </c>
      <c r="K294" s="16" t="n">
        <f aca="false">SUM(K32+K65+K98+K130+K162+K195+K228+K261)</f>
        <v>28543</v>
      </c>
      <c r="M294" s="99"/>
      <c r="N294" s="99"/>
      <c r="O294" s="99"/>
      <c r="P294" s="99"/>
    </row>
    <row r="295" customFormat="false" ht="16.5" hidden="false" customHeight="false" outlineLevel="0" collapsed="false">
      <c r="A295" s="100"/>
      <c r="B295" s="101"/>
      <c r="C295" s="111"/>
      <c r="D295" s="111"/>
      <c r="E295" s="111"/>
      <c r="F295" s="111"/>
      <c r="G295" s="111"/>
      <c r="H295" s="111"/>
      <c r="I295" s="111"/>
      <c r="J295" s="111"/>
      <c r="K295" s="111"/>
      <c r="M295" s="99"/>
      <c r="N295" s="99"/>
      <c r="O295" s="99"/>
      <c r="P295" s="99"/>
    </row>
    <row r="296" customFormat="false" ht="18" hidden="false" customHeight="false" outlineLevel="0" collapsed="false">
      <c r="A296" s="100"/>
      <c r="B296" s="101"/>
      <c r="C296" s="111"/>
      <c r="D296" s="111"/>
      <c r="E296" s="111"/>
      <c r="F296" s="111"/>
      <c r="G296" s="111"/>
      <c r="H296" s="111"/>
      <c r="I296" s="111"/>
      <c r="J296" s="111"/>
      <c r="K296" s="111"/>
      <c r="M296" s="99"/>
      <c r="N296" s="99"/>
      <c r="O296" s="84" t="s">
        <v>57</v>
      </c>
      <c r="P296" s="84"/>
    </row>
    <row r="297" customFormat="false" ht="18" hidden="false" customHeight="false" outlineLevel="0" collapsed="false">
      <c r="A297" s="100"/>
      <c r="B297" s="101"/>
      <c r="C297" s="102"/>
      <c r="D297" s="102"/>
      <c r="E297" s="102"/>
      <c r="F297" s="102"/>
      <c r="G297" s="102"/>
      <c r="H297" s="102"/>
      <c r="I297" s="102"/>
      <c r="J297" s="102"/>
      <c r="K297" s="102"/>
      <c r="M297" s="99"/>
      <c r="N297" s="99"/>
      <c r="O297" s="84" t="s">
        <v>58</v>
      </c>
      <c r="P297" s="84"/>
    </row>
    <row r="298" customFormat="false" ht="18" hidden="false" customHeight="false" outlineLevel="0" collapsed="false">
      <c r="M298" s="83"/>
      <c r="O298" s="84" t="s">
        <v>56</v>
      </c>
      <c r="P298" s="84"/>
    </row>
  </sheetData>
  <mergeCells count="129">
    <mergeCell ref="A1:P1"/>
    <mergeCell ref="A2:P2"/>
    <mergeCell ref="A3:K3"/>
    <mergeCell ref="A4:A5"/>
    <mergeCell ref="B4:K4"/>
    <mergeCell ref="C5:F5"/>
    <mergeCell ref="G5:J5"/>
    <mergeCell ref="A6:A17"/>
    <mergeCell ref="A19:A20"/>
    <mergeCell ref="B19:K19"/>
    <mergeCell ref="M19:P19"/>
    <mergeCell ref="C20:F20"/>
    <mergeCell ref="G20:J20"/>
    <mergeCell ref="A21:A32"/>
    <mergeCell ref="A34:P34"/>
    <mergeCell ref="A35:P35"/>
    <mergeCell ref="A36:K36"/>
    <mergeCell ref="A37:A38"/>
    <mergeCell ref="B37:K37"/>
    <mergeCell ref="C38:F38"/>
    <mergeCell ref="G38:J38"/>
    <mergeCell ref="A39:A50"/>
    <mergeCell ref="A52:A53"/>
    <mergeCell ref="B52:K52"/>
    <mergeCell ref="M52:P52"/>
    <mergeCell ref="C53:F53"/>
    <mergeCell ref="G53:J53"/>
    <mergeCell ref="A54:A65"/>
    <mergeCell ref="A67:P67"/>
    <mergeCell ref="A68:P68"/>
    <mergeCell ref="A69:K69"/>
    <mergeCell ref="A70:A71"/>
    <mergeCell ref="B70:K70"/>
    <mergeCell ref="C71:F71"/>
    <mergeCell ref="G71:J71"/>
    <mergeCell ref="A72:A83"/>
    <mergeCell ref="A85:A86"/>
    <mergeCell ref="B85:K85"/>
    <mergeCell ref="M85:P85"/>
    <mergeCell ref="C86:F86"/>
    <mergeCell ref="G86:J86"/>
    <mergeCell ref="A87:A98"/>
    <mergeCell ref="A99:P99"/>
    <mergeCell ref="A100:P100"/>
    <mergeCell ref="A101:K101"/>
    <mergeCell ref="A102:A103"/>
    <mergeCell ref="B102:K102"/>
    <mergeCell ref="C103:F103"/>
    <mergeCell ref="G103:J103"/>
    <mergeCell ref="A104:A115"/>
    <mergeCell ref="A117:A118"/>
    <mergeCell ref="B117:K117"/>
    <mergeCell ref="M117:P117"/>
    <mergeCell ref="C118:F118"/>
    <mergeCell ref="G118:J118"/>
    <mergeCell ref="A119:A130"/>
    <mergeCell ref="A131:P131"/>
    <mergeCell ref="A132:P132"/>
    <mergeCell ref="A133:K133"/>
    <mergeCell ref="A134:A135"/>
    <mergeCell ref="B134:K134"/>
    <mergeCell ref="C135:F135"/>
    <mergeCell ref="G135:J135"/>
    <mergeCell ref="A136:A147"/>
    <mergeCell ref="A149:A150"/>
    <mergeCell ref="B149:K149"/>
    <mergeCell ref="M149:P149"/>
    <mergeCell ref="C150:F150"/>
    <mergeCell ref="G150:J150"/>
    <mergeCell ref="A151:A162"/>
    <mergeCell ref="A164:P164"/>
    <mergeCell ref="A165:P165"/>
    <mergeCell ref="A166:K166"/>
    <mergeCell ref="A167:A168"/>
    <mergeCell ref="B167:K167"/>
    <mergeCell ref="C168:F168"/>
    <mergeCell ref="G168:J168"/>
    <mergeCell ref="A169:A180"/>
    <mergeCell ref="A182:A183"/>
    <mergeCell ref="B182:K182"/>
    <mergeCell ref="M182:P182"/>
    <mergeCell ref="C183:F183"/>
    <mergeCell ref="G183:J183"/>
    <mergeCell ref="A184:A195"/>
    <mergeCell ref="A197:P197"/>
    <mergeCell ref="A198:P198"/>
    <mergeCell ref="A199:K199"/>
    <mergeCell ref="A200:A201"/>
    <mergeCell ref="B200:K200"/>
    <mergeCell ref="C201:F201"/>
    <mergeCell ref="G201:J201"/>
    <mergeCell ref="A202:A213"/>
    <mergeCell ref="A215:A216"/>
    <mergeCell ref="B215:K215"/>
    <mergeCell ref="M215:P215"/>
    <mergeCell ref="C216:F216"/>
    <mergeCell ref="G216:J216"/>
    <mergeCell ref="A217:A228"/>
    <mergeCell ref="A230:P230"/>
    <mergeCell ref="A231:P231"/>
    <mergeCell ref="A232:K232"/>
    <mergeCell ref="A233:A234"/>
    <mergeCell ref="B233:K233"/>
    <mergeCell ref="C234:F234"/>
    <mergeCell ref="G234:J234"/>
    <mergeCell ref="A235:A246"/>
    <mergeCell ref="A248:A249"/>
    <mergeCell ref="B248:K248"/>
    <mergeCell ref="M248:P248"/>
    <mergeCell ref="C249:F249"/>
    <mergeCell ref="G249:J249"/>
    <mergeCell ref="A250:A261"/>
    <mergeCell ref="A263:P263"/>
    <mergeCell ref="A264:P264"/>
    <mergeCell ref="A265:K265"/>
    <mergeCell ref="A266:A267"/>
    <mergeCell ref="B266:K266"/>
    <mergeCell ref="C267:F267"/>
    <mergeCell ref="G267:J267"/>
    <mergeCell ref="A268:A279"/>
    <mergeCell ref="A281:A282"/>
    <mergeCell ref="B281:K281"/>
    <mergeCell ref="M281:P281"/>
    <mergeCell ref="C282:F282"/>
    <mergeCell ref="G282:J282"/>
    <mergeCell ref="A283:A294"/>
    <mergeCell ref="O296:P296"/>
    <mergeCell ref="O297:P297"/>
    <mergeCell ref="O298:P298"/>
  </mergeCells>
  <printOptions headings="false" gridLines="false" gridLinesSet="true" horizontalCentered="false" verticalCentered="false"/>
  <pageMargins left="0.559722222222222" right="0.159722222222222" top="0.2" bottom="0.340277777777778" header="0.511811023622047" footer="0.170138888888889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&amp;C&amp;Z&amp;F&amp;RPage &amp;P</oddFooter>
  </headerFooter>
  <rowBreaks count="8" manualBreakCount="8">
    <brk id="33" man="true" max="16383" min="0"/>
    <brk id="66" man="true" max="16383" min="0"/>
    <brk id="98" man="true" max="16383" min="0"/>
    <brk id="130" man="true" max="16383" min="0"/>
    <brk id="163" man="true" max="16383" min="0"/>
    <brk id="196" man="true" max="16383" min="0"/>
    <brk id="229" man="true" max="16383" min="0"/>
    <brk id="262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8"/>
  <sheetViews>
    <sheetView showFormulas="false" showGridLines="true" showRowColHeaders="true" showZeros="true" rightToLeft="false" tabSelected="false" showOutlineSymbols="true" defaultGridColor="true" view="pageBreakPreview" topLeftCell="C126" colorId="64" zoomScale="100" zoomScaleNormal="75" zoomScalePageLayoutView="100" workbookViewId="0">
      <selection pane="topLeft" activeCell="E135" activeCellId="0" sqref="E135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12" width="7.56"/>
    <col collapsed="false" customWidth="true" hidden="false" outlineLevel="0" max="2" min="2" style="112" width="30.28"/>
    <col collapsed="false" customWidth="true" hidden="false" outlineLevel="0" max="3" min="3" style="112" width="16.42"/>
    <col collapsed="false" customWidth="true" hidden="false" outlineLevel="0" max="4" min="4" style="112" width="18.85"/>
    <col collapsed="false" customWidth="true" hidden="false" outlineLevel="0" max="5" min="5" style="112" width="19.99"/>
    <col collapsed="false" customWidth="true" hidden="false" outlineLevel="0" max="7" min="6" style="112" width="17.56"/>
    <col collapsed="false" customWidth="true" hidden="false" outlineLevel="0" max="8" min="8" style="112" width="13.99"/>
    <col collapsed="false" customWidth="true" hidden="false" outlineLevel="0" max="9" min="9" style="112" width="10.99"/>
    <col collapsed="false" customWidth="false" hidden="false" outlineLevel="0" max="257" min="10" style="112" width="9.14"/>
  </cols>
  <sheetData>
    <row r="1" customFormat="false" ht="18" hidden="false" customHeight="false" outlineLevel="0" collapsed="false">
      <c r="A1" s="84" t="s">
        <v>84</v>
      </c>
      <c r="B1" s="84"/>
      <c r="C1" s="84"/>
      <c r="D1" s="84"/>
      <c r="E1" s="84"/>
      <c r="F1" s="84"/>
      <c r="G1" s="84"/>
      <c r="H1" s="84"/>
      <c r="I1" s="84"/>
      <c r="J1" s="113"/>
      <c r="K1" s="113"/>
      <c r="L1" s="113"/>
      <c r="M1" s="113"/>
      <c r="N1" s="113"/>
      <c r="O1" s="113"/>
      <c r="P1" s="113"/>
    </row>
    <row r="2" customFormat="false" ht="18" hidden="false" customHeight="false" outlineLevel="0" collapsed="false">
      <c r="A2" s="84" t="s">
        <v>1</v>
      </c>
      <c r="B2" s="84"/>
      <c r="C2" s="84"/>
      <c r="D2" s="84"/>
      <c r="E2" s="84"/>
      <c r="F2" s="84"/>
      <c r="G2" s="84"/>
      <c r="H2" s="84"/>
      <c r="I2" s="84"/>
      <c r="J2" s="114"/>
      <c r="K2" s="114"/>
      <c r="L2" s="114"/>
      <c r="M2" s="114"/>
      <c r="N2" s="114"/>
      <c r="O2" s="114"/>
      <c r="P2" s="114"/>
    </row>
    <row r="3" customFormat="false" ht="18" hidden="false" customHeight="false" outlineLevel="0" collapsed="false">
      <c r="A3" s="113" t="s">
        <v>85</v>
      </c>
      <c r="B3" s="115"/>
    </row>
    <row r="4" customFormat="false" ht="18" hidden="false" customHeight="true" outlineLevel="0" collapsed="false">
      <c r="A4" s="116" t="s">
        <v>86</v>
      </c>
      <c r="B4" s="116" t="s">
        <v>5</v>
      </c>
      <c r="C4" s="117" t="s">
        <v>21</v>
      </c>
      <c r="D4" s="117"/>
      <c r="E4" s="117" t="s">
        <v>36</v>
      </c>
      <c r="F4" s="117"/>
      <c r="G4" s="118"/>
      <c r="H4" s="116" t="s">
        <v>64</v>
      </c>
    </row>
    <row r="5" customFormat="false" ht="18" hidden="false" customHeight="false" outlineLevel="0" collapsed="false">
      <c r="A5" s="116"/>
      <c r="B5" s="116"/>
      <c r="C5" s="117" t="s">
        <v>62</v>
      </c>
      <c r="D5" s="117" t="s">
        <v>63</v>
      </c>
      <c r="E5" s="117" t="s">
        <v>62</v>
      </c>
      <c r="F5" s="117" t="s">
        <v>63</v>
      </c>
      <c r="G5" s="117"/>
      <c r="H5" s="116"/>
    </row>
    <row r="6" customFormat="false" ht="18" hidden="false" customHeight="false" outlineLevel="0" collapsed="false">
      <c r="A6" s="119" t="n">
        <v>1</v>
      </c>
      <c r="B6" s="120" t="n">
        <v>1</v>
      </c>
      <c r="C6" s="121" t="n">
        <v>0</v>
      </c>
      <c r="D6" s="121" t="n">
        <v>0</v>
      </c>
      <c r="E6" s="121" t="n">
        <v>0</v>
      </c>
      <c r="F6" s="121" t="n">
        <v>1</v>
      </c>
      <c r="G6" s="121"/>
      <c r="H6" s="122" t="n">
        <f aca="false">SUM(C6:F6)</f>
        <v>1</v>
      </c>
    </row>
    <row r="7" customFormat="false" ht="18" hidden="false" customHeight="false" outlineLevel="0" collapsed="false">
      <c r="A7" s="119" t="n">
        <v>2</v>
      </c>
      <c r="B7" s="120" t="n">
        <v>2</v>
      </c>
      <c r="C7" s="121" t="n">
        <v>0</v>
      </c>
      <c r="D7" s="121" t="n">
        <v>0</v>
      </c>
      <c r="E7" s="121" t="n">
        <v>0</v>
      </c>
      <c r="F7" s="121" t="n">
        <v>0</v>
      </c>
      <c r="G7" s="121"/>
      <c r="H7" s="122" t="n">
        <f aca="false">SUM(C7:F7)</f>
        <v>0</v>
      </c>
    </row>
    <row r="8" customFormat="false" ht="18" hidden="false" customHeight="false" outlineLevel="0" collapsed="false">
      <c r="A8" s="119" t="n">
        <v>3</v>
      </c>
      <c r="B8" s="120" t="n">
        <v>3</v>
      </c>
      <c r="C8" s="121" t="n">
        <v>0</v>
      </c>
      <c r="D8" s="121" t="n">
        <v>0</v>
      </c>
      <c r="E8" s="121" t="n">
        <v>1</v>
      </c>
      <c r="F8" s="121" t="n">
        <v>0</v>
      </c>
      <c r="G8" s="121"/>
      <c r="H8" s="122" t="n">
        <f aca="false">SUM(C8:F8)</f>
        <v>1</v>
      </c>
    </row>
    <row r="9" customFormat="false" ht="18" hidden="false" customHeight="false" outlineLevel="0" collapsed="false">
      <c r="A9" s="119" t="n">
        <v>4</v>
      </c>
      <c r="B9" s="120" t="n">
        <v>4</v>
      </c>
      <c r="C9" s="121" t="n">
        <v>0</v>
      </c>
      <c r="D9" s="121" t="n">
        <v>0</v>
      </c>
      <c r="E9" s="121" t="n">
        <v>0</v>
      </c>
      <c r="F9" s="121" t="n">
        <v>0</v>
      </c>
      <c r="G9" s="121"/>
      <c r="H9" s="122" t="n">
        <f aca="false">SUM(C9:F9)</f>
        <v>0</v>
      </c>
    </row>
    <row r="10" customFormat="false" ht="18.75" hidden="false" customHeight="false" outlineLevel="0" collapsed="false">
      <c r="A10" s="123" t="s">
        <v>64</v>
      </c>
      <c r="B10" s="123"/>
      <c r="C10" s="124" t="n">
        <f aca="false">SUM(C6:C9)</f>
        <v>0</v>
      </c>
      <c r="D10" s="124" t="n">
        <f aca="false">SUM(D6:D9)</f>
        <v>0</v>
      </c>
      <c r="E10" s="124" t="n">
        <f aca="false">SUM(E6:E9)</f>
        <v>1</v>
      </c>
      <c r="F10" s="124" t="n">
        <f aca="false">SUM(F6:F9)</f>
        <v>1</v>
      </c>
      <c r="G10" s="124"/>
      <c r="H10" s="124" t="n">
        <f aca="false">SUM(H6:H9)</f>
        <v>2</v>
      </c>
    </row>
    <row r="11" customFormat="false" ht="18.75" hidden="false" customHeight="false" outlineLevel="0" collapsed="false">
      <c r="A11" s="125"/>
      <c r="B11" s="125"/>
      <c r="C11" s="125"/>
      <c r="D11" s="125"/>
      <c r="E11" s="125"/>
      <c r="F11" s="125"/>
      <c r="G11" s="125"/>
    </row>
    <row r="13" customFormat="false" ht="22.5" hidden="false" customHeight="true" outlineLevel="0" collapsed="false">
      <c r="A13" s="126"/>
      <c r="B13" s="126"/>
      <c r="C13" s="126"/>
      <c r="D13" s="126"/>
      <c r="E13" s="126"/>
      <c r="F13" s="127" t="s">
        <v>87</v>
      </c>
      <c r="G13" s="127"/>
      <c r="H13" s="127"/>
    </row>
    <row r="14" customFormat="false" ht="36" hidden="false" customHeight="false" outlineLevel="0" collapsed="false">
      <c r="A14" s="116" t="s">
        <v>86</v>
      </c>
      <c r="B14" s="116" t="s">
        <v>88</v>
      </c>
      <c r="C14" s="116" t="s">
        <v>89</v>
      </c>
      <c r="D14" s="116" t="s">
        <v>90</v>
      </c>
      <c r="E14" s="116" t="s">
        <v>91</v>
      </c>
      <c r="F14" s="116" t="s">
        <v>92</v>
      </c>
      <c r="G14" s="116" t="s">
        <v>93</v>
      </c>
      <c r="H14" s="116" t="s">
        <v>73</v>
      </c>
      <c r="I14" s="116" t="s">
        <v>64</v>
      </c>
    </row>
    <row r="15" customFormat="false" ht="23.25" hidden="false" customHeight="true" outlineLevel="0" collapsed="false">
      <c r="A15" s="128" t="n">
        <v>1</v>
      </c>
      <c r="B15" s="129" t="s">
        <v>65</v>
      </c>
      <c r="C15" s="130" t="n">
        <v>325</v>
      </c>
      <c r="D15" s="130" t="n">
        <v>13</v>
      </c>
      <c r="E15" s="130" t="n">
        <v>60</v>
      </c>
      <c r="F15" s="130" t="n">
        <v>350</v>
      </c>
      <c r="G15" s="130" t="n">
        <v>500</v>
      </c>
      <c r="H15" s="130" t="n">
        <v>0</v>
      </c>
      <c r="I15" s="130" t="n">
        <f aca="false">SUM(C15:H15)</f>
        <v>1248</v>
      </c>
    </row>
    <row r="17" customFormat="false" ht="18" hidden="false" customHeight="false" outlineLevel="0" collapsed="false">
      <c r="A17" s="84" t="str">
        <f aca="false">$A$1</f>
        <v>प्रपत्र - ब  -  अर्थसंकल्पीय अंदाजपत्रक सन 2021-2022</v>
      </c>
      <c r="B17" s="84"/>
      <c r="C17" s="84"/>
      <c r="D17" s="84"/>
      <c r="E17" s="84"/>
      <c r="F17" s="84"/>
      <c r="G17" s="84"/>
      <c r="H17" s="84"/>
      <c r="I17" s="84"/>
    </row>
    <row r="18" customFormat="false" ht="18" hidden="false" customHeight="true" outlineLevel="0" collapsed="false">
      <c r="A18" s="84" t="s">
        <v>1</v>
      </c>
      <c r="B18" s="84"/>
      <c r="C18" s="84"/>
      <c r="D18" s="84"/>
      <c r="E18" s="84"/>
      <c r="F18" s="84"/>
      <c r="G18" s="84"/>
      <c r="H18" s="84"/>
      <c r="I18" s="84"/>
    </row>
    <row r="19" customFormat="false" ht="18" hidden="false" customHeight="false" outlineLevel="0" collapsed="false">
      <c r="A19" s="113" t="s">
        <v>85</v>
      </c>
      <c r="B19" s="115"/>
    </row>
    <row r="20" customFormat="false" ht="18" hidden="false" customHeight="true" outlineLevel="0" collapsed="false">
      <c r="A20" s="116" t="s">
        <v>86</v>
      </c>
      <c r="B20" s="116" t="s">
        <v>5</v>
      </c>
      <c r="C20" s="117" t="s">
        <v>21</v>
      </c>
      <c r="D20" s="117"/>
      <c r="E20" s="117" t="s">
        <v>36</v>
      </c>
      <c r="F20" s="117"/>
      <c r="G20" s="118"/>
      <c r="H20" s="116" t="s">
        <v>64</v>
      </c>
    </row>
    <row r="21" customFormat="false" ht="18" hidden="false" customHeight="false" outlineLevel="0" collapsed="false">
      <c r="A21" s="116"/>
      <c r="B21" s="116"/>
      <c r="C21" s="117" t="s">
        <v>62</v>
      </c>
      <c r="D21" s="117" t="s">
        <v>63</v>
      </c>
      <c r="E21" s="117" t="s">
        <v>62</v>
      </c>
      <c r="F21" s="117" t="s">
        <v>63</v>
      </c>
      <c r="G21" s="117"/>
      <c r="H21" s="116"/>
    </row>
    <row r="22" customFormat="false" ht="18" hidden="false" customHeight="false" outlineLevel="0" collapsed="false">
      <c r="A22" s="119" t="n">
        <v>1</v>
      </c>
      <c r="B22" s="120" t="n">
        <v>1</v>
      </c>
      <c r="C22" s="121" t="n">
        <v>1</v>
      </c>
      <c r="D22" s="121" t="n">
        <v>0</v>
      </c>
      <c r="E22" s="121" t="n">
        <v>0</v>
      </c>
      <c r="F22" s="121" t="n">
        <v>1</v>
      </c>
      <c r="G22" s="121"/>
      <c r="H22" s="122" t="n">
        <f aca="false">SUM(C22:F22)</f>
        <v>2</v>
      </c>
    </row>
    <row r="23" customFormat="false" ht="18" hidden="false" customHeight="false" outlineLevel="0" collapsed="false">
      <c r="A23" s="119" t="n">
        <v>2</v>
      </c>
      <c r="B23" s="120" t="n">
        <v>2</v>
      </c>
      <c r="C23" s="121" t="n">
        <v>0</v>
      </c>
      <c r="D23" s="121" t="n">
        <v>0</v>
      </c>
      <c r="E23" s="121" t="n">
        <v>0</v>
      </c>
      <c r="F23" s="121" t="n">
        <v>0</v>
      </c>
      <c r="G23" s="121"/>
      <c r="H23" s="122" t="n">
        <f aca="false">SUM(C23:F23)</f>
        <v>0</v>
      </c>
    </row>
    <row r="24" customFormat="false" ht="18" hidden="false" customHeight="false" outlineLevel="0" collapsed="false">
      <c r="A24" s="119" t="n">
        <v>3</v>
      </c>
      <c r="B24" s="120" t="n">
        <v>3</v>
      </c>
      <c r="C24" s="121" t="n">
        <v>2</v>
      </c>
      <c r="D24" s="121" t="n">
        <v>1</v>
      </c>
      <c r="E24" s="121" t="n">
        <v>4</v>
      </c>
      <c r="F24" s="121" t="n">
        <v>0</v>
      </c>
      <c r="G24" s="121"/>
      <c r="H24" s="122" t="n">
        <f aca="false">SUM(C24:F24)</f>
        <v>7</v>
      </c>
    </row>
    <row r="25" customFormat="false" ht="18" hidden="false" customHeight="false" outlineLevel="0" collapsed="false">
      <c r="A25" s="119" t="n">
        <v>4</v>
      </c>
      <c r="B25" s="120" t="n">
        <v>4</v>
      </c>
      <c r="C25" s="121" t="n">
        <v>4</v>
      </c>
      <c r="D25" s="121" t="n">
        <v>1</v>
      </c>
      <c r="E25" s="121" t="n">
        <v>1</v>
      </c>
      <c r="F25" s="121" t="n">
        <v>0</v>
      </c>
      <c r="G25" s="121"/>
      <c r="H25" s="122" t="n">
        <f aca="false">SUM(C25:F25)</f>
        <v>6</v>
      </c>
    </row>
    <row r="26" customFormat="false" ht="18.75" hidden="false" customHeight="false" outlineLevel="0" collapsed="false">
      <c r="A26" s="123" t="s">
        <v>64</v>
      </c>
      <c r="B26" s="123"/>
      <c r="C26" s="124" t="n">
        <f aca="false">SUM(C22:C25)</f>
        <v>7</v>
      </c>
      <c r="D26" s="124" t="n">
        <f aca="false">SUM(D22:D25)</f>
        <v>2</v>
      </c>
      <c r="E26" s="124" t="n">
        <f aca="false">SUM(E22:E25)</f>
        <v>5</v>
      </c>
      <c r="F26" s="124" t="n">
        <f aca="false">SUM(F22:F25)</f>
        <v>1</v>
      </c>
      <c r="G26" s="124"/>
      <c r="H26" s="124" t="n">
        <f aca="false">SUM(H22:H25)</f>
        <v>15</v>
      </c>
    </row>
    <row r="27" customFormat="false" ht="18.75" hidden="false" customHeight="false" outlineLevel="0" collapsed="false">
      <c r="A27" s="125"/>
      <c r="B27" s="125"/>
      <c r="C27" s="125"/>
      <c r="D27" s="125"/>
      <c r="E27" s="125"/>
      <c r="F27" s="125"/>
      <c r="G27" s="125"/>
    </row>
    <row r="29" customFormat="false" ht="18" hidden="false" customHeight="false" outlineLevel="0" collapsed="false">
      <c r="A29" s="126"/>
      <c r="B29" s="126"/>
      <c r="C29" s="126"/>
      <c r="D29" s="126"/>
      <c r="E29" s="126"/>
      <c r="F29" s="127" t="s">
        <v>87</v>
      </c>
      <c r="G29" s="127"/>
      <c r="H29" s="127"/>
    </row>
    <row r="30" customFormat="false" ht="36" hidden="false" customHeight="false" outlineLevel="0" collapsed="false">
      <c r="A30" s="116" t="s">
        <v>86</v>
      </c>
      <c r="B30" s="116" t="s">
        <v>88</v>
      </c>
      <c r="C30" s="116" t="s">
        <v>89</v>
      </c>
      <c r="D30" s="116" t="s">
        <v>90</v>
      </c>
      <c r="E30" s="116" t="s">
        <v>91</v>
      </c>
      <c r="F30" s="116" t="s">
        <v>92</v>
      </c>
      <c r="G30" s="116" t="s">
        <v>93</v>
      </c>
      <c r="H30" s="116" t="s">
        <v>73</v>
      </c>
      <c r="I30" s="116" t="s">
        <v>64</v>
      </c>
    </row>
    <row r="31" customFormat="false" ht="18" hidden="false" customHeight="false" outlineLevel="0" collapsed="false">
      <c r="A31" s="128" t="n">
        <v>1</v>
      </c>
      <c r="B31" s="129" t="s">
        <v>76</v>
      </c>
      <c r="C31" s="130" t="n">
        <v>1000</v>
      </c>
      <c r="D31" s="130" t="n">
        <v>150</v>
      </c>
      <c r="E31" s="130" t="n">
        <v>50</v>
      </c>
      <c r="F31" s="130" t="n">
        <v>1000</v>
      </c>
      <c r="G31" s="130" t="n">
        <v>500</v>
      </c>
      <c r="H31" s="130" t="n">
        <v>1000</v>
      </c>
      <c r="I31" s="130" t="n">
        <f aca="false">SUM(C31:H31)</f>
        <v>3700</v>
      </c>
    </row>
    <row r="33" customFormat="false" ht="18" hidden="false" customHeight="false" outlineLevel="0" collapsed="false">
      <c r="A33" s="84" t="str">
        <f aca="false">$A$1</f>
        <v>प्रपत्र - ब  -  अर्थसंकल्पीय अंदाजपत्रक सन 2021-2022</v>
      </c>
      <c r="B33" s="84"/>
      <c r="C33" s="84"/>
      <c r="D33" s="84"/>
      <c r="E33" s="84"/>
      <c r="F33" s="84"/>
      <c r="G33" s="84"/>
      <c r="H33" s="84"/>
      <c r="I33" s="84"/>
    </row>
    <row r="34" customFormat="false" ht="18" hidden="false" customHeight="false" outlineLevel="0" collapsed="false">
      <c r="A34" s="84" t="s">
        <v>1</v>
      </c>
      <c r="B34" s="84"/>
      <c r="C34" s="84"/>
      <c r="D34" s="84"/>
      <c r="E34" s="84"/>
      <c r="F34" s="84"/>
      <c r="G34" s="84"/>
      <c r="H34" s="84"/>
      <c r="I34" s="84"/>
    </row>
    <row r="35" customFormat="false" ht="18" hidden="false" customHeight="false" outlineLevel="0" collapsed="false">
      <c r="A35" s="113" t="s">
        <v>85</v>
      </c>
      <c r="B35" s="115"/>
    </row>
    <row r="36" customFormat="false" ht="18" hidden="false" customHeight="true" outlineLevel="0" collapsed="false">
      <c r="A36" s="116" t="s">
        <v>86</v>
      </c>
      <c r="B36" s="116" t="s">
        <v>5</v>
      </c>
      <c r="C36" s="117" t="s">
        <v>21</v>
      </c>
      <c r="D36" s="117"/>
      <c r="E36" s="117" t="s">
        <v>36</v>
      </c>
      <c r="F36" s="117"/>
      <c r="G36" s="118"/>
      <c r="H36" s="116" t="s">
        <v>64</v>
      </c>
    </row>
    <row r="37" customFormat="false" ht="18" hidden="false" customHeight="false" outlineLevel="0" collapsed="false">
      <c r="A37" s="116"/>
      <c r="B37" s="116"/>
      <c r="C37" s="117" t="s">
        <v>62</v>
      </c>
      <c r="D37" s="117" t="s">
        <v>63</v>
      </c>
      <c r="E37" s="117" t="s">
        <v>62</v>
      </c>
      <c r="F37" s="117" t="s">
        <v>63</v>
      </c>
      <c r="G37" s="117"/>
      <c r="H37" s="116"/>
    </row>
    <row r="38" customFormat="false" ht="18" hidden="false" customHeight="false" outlineLevel="0" collapsed="false">
      <c r="A38" s="119" t="n">
        <v>1</v>
      </c>
      <c r="B38" s="120" t="n">
        <v>1</v>
      </c>
      <c r="C38" s="121" t="n">
        <v>0</v>
      </c>
      <c r="D38" s="121" t="n">
        <v>0</v>
      </c>
      <c r="E38" s="121" t="n">
        <v>1</v>
      </c>
      <c r="F38" s="121" t="n">
        <v>0</v>
      </c>
      <c r="G38" s="121"/>
      <c r="H38" s="122" t="n">
        <f aca="false">SUM(C38:F38)</f>
        <v>1</v>
      </c>
    </row>
    <row r="39" customFormat="false" ht="18" hidden="false" customHeight="false" outlineLevel="0" collapsed="false">
      <c r="A39" s="119" t="n">
        <v>2</v>
      </c>
      <c r="B39" s="120" t="n">
        <v>2</v>
      </c>
      <c r="C39" s="121" t="n">
        <v>0</v>
      </c>
      <c r="D39" s="121" t="n">
        <v>0</v>
      </c>
      <c r="E39" s="121" t="n">
        <v>1</v>
      </c>
      <c r="F39" s="121" t="n">
        <v>0</v>
      </c>
      <c r="G39" s="121"/>
      <c r="H39" s="122" t="n">
        <f aca="false">SUM(C39:F39)</f>
        <v>1</v>
      </c>
    </row>
    <row r="40" customFormat="false" ht="18" hidden="false" customHeight="false" outlineLevel="0" collapsed="false">
      <c r="A40" s="119" t="n">
        <v>3</v>
      </c>
      <c r="B40" s="120" t="n">
        <v>3</v>
      </c>
      <c r="C40" s="121" t="n">
        <v>2</v>
      </c>
      <c r="D40" s="121" t="n">
        <v>2</v>
      </c>
      <c r="E40" s="121" t="n">
        <v>0</v>
      </c>
      <c r="F40" s="121" t="n">
        <v>0</v>
      </c>
      <c r="G40" s="121"/>
      <c r="H40" s="122" t="n">
        <f aca="false">SUM(C40:F40)</f>
        <v>4</v>
      </c>
    </row>
    <row r="41" customFormat="false" ht="18" hidden="false" customHeight="false" outlineLevel="0" collapsed="false">
      <c r="A41" s="119" t="n">
        <v>4</v>
      </c>
      <c r="B41" s="120" t="n">
        <v>4</v>
      </c>
      <c r="C41" s="121" t="n">
        <v>0</v>
      </c>
      <c r="D41" s="121" t="n">
        <v>0</v>
      </c>
      <c r="E41" s="121" t="n">
        <v>0</v>
      </c>
      <c r="F41" s="121" t="n">
        <v>2</v>
      </c>
      <c r="G41" s="121"/>
      <c r="H41" s="122" t="n">
        <f aca="false">SUM(C41:F41)</f>
        <v>2</v>
      </c>
    </row>
    <row r="42" customFormat="false" ht="18.75" hidden="false" customHeight="false" outlineLevel="0" collapsed="false">
      <c r="A42" s="123" t="s">
        <v>64</v>
      </c>
      <c r="B42" s="123"/>
      <c r="C42" s="124" t="n">
        <f aca="false">SUM(C38:C41)</f>
        <v>2</v>
      </c>
      <c r="D42" s="124" t="n">
        <f aca="false">SUM(D38:D41)</f>
        <v>2</v>
      </c>
      <c r="E42" s="124" t="n">
        <f aca="false">SUM(E38:E41)</f>
        <v>2</v>
      </c>
      <c r="F42" s="124" t="n">
        <f aca="false">SUM(F38:F41)</f>
        <v>2</v>
      </c>
      <c r="G42" s="124"/>
      <c r="H42" s="124" t="n">
        <f aca="false">SUM(H38:H41)</f>
        <v>8</v>
      </c>
    </row>
    <row r="43" customFormat="false" ht="18.75" hidden="false" customHeight="false" outlineLevel="0" collapsed="false">
      <c r="A43" s="125"/>
      <c r="B43" s="125"/>
      <c r="C43" s="125"/>
      <c r="D43" s="125"/>
      <c r="E43" s="125"/>
      <c r="F43" s="125"/>
      <c r="G43" s="125"/>
    </row>
    <row r="45" customFormat="false" ht="18" hidden="false" customHeight="false" outlineLevel="0" collapsed="false">
      <c r="A45" s="126"/>
      <c r="B45" s="126"/>
      <c r="C45" s="126"/>
      <c r="D45" s="126"/>
      <c r="E45" s="126"/>
      <c r="F45" s="127" t="s">
        <v>87</v>
      </c>
      <c r="G45" s="127"/>
      <c r="H45" s="127"/>
    </row>
    <row r="46" customFormat="false" ht="36" hidden="false" customHeight="false" outlineLevel="0" collapsed="false">
      <c r="A46" s="116" t="s">
        <v>86</v>
      </c>
      <c r="B46" s="116" t="s">
        <v>88</v>
      </c>
      <c r="C46" s="116" t="s">
        <v>89</v>
      </c>
      <c r="D46" s="116" t="s">
        <v>90</v>
      </c>
      <c r="E46" s="116" t="s">
        <v>91</v>
      </c>
      <c r="F46" s="116" t="s">
        <v>92</v>
      </c>
      <c r="G46" s="116" t="s">
        <v>93</v>
      </c>
      <c r="H46" s="116" t="s">
        <v>73</v>
      </c>
      <c r="I46" s="116" t="s">
        <v>64</v>
      </c>
    </row>
    <row r="47" customFormat="false" ht="18" hidden="false" customHeight="false" outlineLevel="0" collapsed="false">
      <c r="A47" s="128" t="n">
        <v>1</v>
      </c>
      <c r="B47" s="129" t="s">
        <v>77</v>
      </c>
      <c r="C47" s="130" t="n">
        <v>400</v>
      </c>
      <c r="D47" s="130" t="n">
        <v>30</v>
      </c>
      <c r="E47" s="130" t="n">
        <v>30</v>
      </c>
      <c r="F47" s="130" t="n">
        <v>300</v>
      </c>
      <c r="G47" s="130" t="n">
        <v>0</v>
      </c>
      <c r="H47" s="130" t="n">
        <v>100</v>
      </c>
      <c r="I47" s="130" t="n">
        <f aca="false">SUM(C47:H47)</f>
        <v>860</v>
      </c>
    </row>
    <row r="48" customFormat="false" ht="18" hidden="false" customHeight="false" outlineLevel="0" collapsed="false">
      <c r="A48" s="84" t="str">
        <f aca="false">$A$1</f>
        <v>प्रपत्र - ब  -  अर्थसंकल्पीय अंदाजपत्रक सन 2021-2022</v>
      </c>
      <c r="B48" s="84"/>
      <c r="C48" s="84"/>
      <c r="D48" s="84"/>
      <c r="E48" s="84"/>
      <c r="F48" s="84"/>
      <c r="G48" s="84"/>
      <c r="H48" s="84"/>
      <c r="I48" s="84"/>
    </row>
    <row r="49" customFormat="false" ht="18" hidden="false" customHeight="false" outlineLevel="0" collapsed="false">
      <c r="A49" s="84" t="s">
        <v>1</v>
      </c>
      <c r="B49" s="84"/>
      <c r="C49" s="84"/>
      <c r="D49" s="84"/>
      <c r="E49" s="84"/>
      <c r="F49" s="84"/>
      <c r="G49" s="84"/>
      <c r="H49" s="84"/>
      <c r="I49" s="84"/>
    </row>
    <row r="50" customFormat="false" ht="18" hidden="false" customHeight="false" outlineLevel="0" collapsed="false">
      <c r="A50" s="113" t="s">
        <v>85</v>
      </c>
      <c r="B50" s="115"/>
    </row>
    <row r="51" customFormat="false" ht="18" hidden="false" customHeight="true" outlineLevel="0" collapsed="false">
      <c r="A51" s="116" t="s">
        <v>86</v>
      </c>
      <c r="B51" s="116" t="s">
        <v>5</v>
      </c>
      <c r="C51" s="117" t="s">
        <v>21</v>
      </c>
      <c r="D51" s="117"/>
      <c r="E51" s="117" t="s">
        <v>36</v>
      </c>
      <c r="F51" s="117"/>
      <c r="G51" s="118"/>
      <c r="H51" s="116" t="s">
        <v>64</v>
      </c>
    </row>
    <row r="52" customFormat="false" ht="18" hidden="false" customHeight="false" outlineLevel="0" collapsed="false">
      <c r="A52" s="116"/>
      <c r="B52" s="116"/>
      <c r="C52" s="117" t="s">
        <v>62</v>
      </c>
      <c r="D52" s="117" t="s">
        <v>63</v>
      </c>
      <c r="E52" s="117" t="s">
        <v>62</v>
      </c>
      <c r="F52" s="117" t="s">
        <v>63</v>
      </c>
      <c r="G52" s="117"/>
      <c r="H52" s="116"/>
    </row>
    <row r="53" customFormat="false" ht="18" hidden="false" customHeight="false" outlineLevel="0" collapsed="false">
      <c r="A53" s="119" t="n">
        <v>1</v>
      </c>
      <c r="B53" s="120" t="n">
        <v>1</v>
      </c>
      <c r="C53" s="130" t="n">
        <v>0</v>
      </c>
      <c r="D53" s="130" t="n">
        <v>0</v>
      </c>
      <c r="E53" s="130" t="n">
        <v>0</v>
      </c>
      <c r="F53" s="130" t="n">
        <v>1</v>
      </c>
      <c r="G53" s="130"/>
      <c r="H53" s="122" t="n">
        <f aca="false">SUM(C53:F53)</f>
        <v>1</v>
      </c>
    </row>
    <row r="54" customFormat="false" ht="18" hidden="false" customHeight="false" outlineLevel="0" collapsed="false">
      <c r="A54" s="119" t="n">
        <v>2</v>
      </c>
      <c r="B54" s="120" t="n">
        <v>2</v>
      </c>
      <c r="C54" s="130" t="n">
        <v>0</v>
      </c>
      <c r="D54" s="130" t="n">
        <v>0</v>
      </c>
      <c r="E54" s="130" t="n">
        <v>0</v>
      </c>
      <c r="F54" s="130" t="n">
        <v>0</v>
      </c>
      <c r="G54" s="130"/>
      <c r="H54" s="122" t="n">
        <f aca="false">SUM(C54:F54)</f>
        <v>0</v>
      </c>
    </row>
    <row r="55" customFormat="false" ht="18" hidden="false" customHeight="false" outlineLevel="0" collapsed="false">
      <c r="A55" s="119" t="n">
        <v>3</v>
      </c>
      <c r="B55" s="120" t="n">
        <v>3</v>
      </c>
      <c r="C55" s="130" t="n">
        <v>0</v>
      </c>
      <c r="D55" s="130" t="n">
        <v>0</v>
      </c>
      <c r="E55" s="130" t="n">
        <v>4</v>
      </c>
      <c r="F55" s="130" t="n">
        <v>3</v>
      </c>
      <c r="G55" s="130"/>
      <c r="H55" s="122" t="n">
        <f aca="false">SUM(C55:F55)</f>
        <v>7</v>
      </c>
    </row>
    <row r="56" customFormat="false" ht="18" hidden="false" customHeight="false" outlineLevel="0" collapsed="false">
      <c r="A56" s="119" t="n">
        <v>4</v>
      </c>
      <c r="B56" s="120" t="n">
        <v>4</v>
      </c>
      <c r="C56" s="130" t="n">
        <v>0</v>
      </c>
      <c r="D56" s="130" t="n">
        <v>0</v>
      </c>
      <c r="E56" s="130" t="n">
        <v>1</v>
      </c>
      <c r="F56" s="130" t="n">
        <v>0</v>
      </c>
      <c r="G56" s="130"/>
      <c r="H56" s="122" t="n">
        <f aca="false">SUM(C56:F56)</f>
        <v>1</v>
      </c>
    </row>
    <row r="57" customFormat="false" ht="18.75" hidden="false" customHeight="false" outlineLevel="0" collapsed="false">
      <c r="A57" s="123" t="s">
        <v>64</v>
      </c>
      <c r="B57" s="123"/>
      <c r="C57" s="124" t="n">
        <v>0</v>
      </c>
      <c r="D57" s="124" t="n">
        <v>0</v>
      </c>
      <c r="E57" s="124" t="n">
        <f aca="false">SUM(E53:E56)</f>
        <v>5</v>
      </c>
      <c r="F57" s="124" t="n">
        <f aca="false">SUM(F53:F56)</f>
        <v>4</v>
      </c>
      <c r="G57" s="124"/>
      <c r="H57" s="124" t="n">
        <f aca="false">SUM(H53:H56)</f>
        <v>9</v>
      </c>
    </row>
    <row r="58" customFormat="false" ht="18.75" hidden="false" customHeight="false" outlineLevel="0" collapsed="false">
      <c r="A58" s="125"/>
      <c r="B58" s="125"/>
      <c r="C58" s="125"/>
      <c r="D58" s="125"/>
      <c r="E58" s="125"/>
      <c r="F58" s="125"/>
      <c r="G58" s="125"/>
    </row>
    <row r="60" customFormat="false" ht="18" hidden="false" customHeight="false" outlineLevel="0" collapsed="false">
      <c r="A60" s="126"/>
      <c r="B60" s="126"/>
      <c r="C60" s="126"/>
      <c r="D60" s="126"/>
      <c r="E60" s="126"/>
      <c r="F60" s="127" t="s">
        <v>87</v>
      </c>
      <c r="G60" s="127"/>
      <c r="H60" s="127"/>
    </row>
    <row r="61" customFormat="false" ht="36" hidden="false" customHeight="false" outlineLevel="0" collapsed="false">
      <c r="A61" s="116" t="s">
        <v>86</v>
      </c>
      <c r="B61" s="116" t="s">
        <v>88</v>
      </c>
      <c r="C61" s="116" t="s">
        <v>89</v>
      </c>
      <c r="D61" s="116" t="s">
        <v>90</v>
      </c>
      <c r="E61" s="116" t="s">
        <v>91</v>
      </c>
      <c r="F61" s="116" t="s">
        <v>92</v>
      </c>
      <c r="G61" s="116" t="s">
        <v>93</v>
      </c>
      <c r="H61" s="116" t="s">
        <v>73</v>
      </c>
      <c r="I61" s="116" t="s">
        <v>64</v>
      </c>
    </row>
    <row r="62" customFormat="false" ht="18" hidden="false" customHeight="false" outlineLevel="0" collapsed="false">
      <c r="A62" s="128" t="n">
        <v>1</v>
      </c>
      <c r="B62" s="129" t="s">
        <v>78</v>
      </c>
      <c r="C62" s="130" t="n">
        <v>800</v>
      </c>
      <c r="D62" s="130" t="n">
        <v>90</v>
      </c>
      <c r="E62" s="130" t="n">
        <v>90</v>
      </c>
      <c r="F62" s="130" t="n">
        <v>400</v>
      </c>
      <c r="G62" s="130" t="n">
        <v>0</v>
      </c>
      <c r="H62" s="130" t="n">
        <v>20</v>
      </c>
      <c r="I62" s="130" t="n">
        <f aca="false">SUM(C62:H62)</f>
        <v>1400</v>
      </c>
    </row>
    <row r="65" customFormat="false" ht="18" hidden="false" customHeight="false" outlineLevel="0" collapsed="false">
      <c r="A65" s="84" t="str">
        <f aca="false">$A$1</f>
        <v>प्रपत्र - ब  -  अर्थसंकल्पीय अंदाजपत्रक सन 2021-2022</v>
      </c>
      <c r="B65" s="84"/>
      <c r="C65" s="84"/>
      <c r="D65" s="84"/>
      <c r="E65" s="84"/>
      <c r="F65" s="84"/>
      <c r="G65" s="84"/>
      <c r="H65" s="84"/>
      <c r="I65" s="84"/>
    </row>
    <row r="66" customFormat="false" ht="18" hidden="false" customHeight="false" outlineLevel="0" collapsed="false">
      <c r="A66" s="84" t="s">
        <v>1</v>
      </c>
      <c r="B66" s="84"/>
      <c r="C66" s="84"/>
      <c r="D66" s="84"/>
      <c r="E66" s="84"/>
      <c r="F66" s="84"/>
      <c r="G66" s="84"/>
      <c r="H66" s="84"/>
      <c r="I66" s="84"/>
    </row>
    <row r="67" customFormat="false" ht="18" hidden="false" customHeight="false" outlineLevel="0" collapsed="false">
      <c r="A67" s="113" t="s">
        <v>85</v>
      </c>
      <c r="B67" s="115"/>
    </row>
    <row r="68" customFormat="false" ht="18" hidden="false" customHeight="true" outlineLevel="0" collapsed="false">
      <c r="A68" s="116" t="s">
        <v>86</v>
      </c>
      <c r="B68" s="116" t="s">
        <v>5</v>
      </c>
      <c r="C68" s="117" t="s">
        <v>21</v>
      </c>
      <c r="D68" s="117"/>
      <c r="E68" s="117" t="s">
        <v>36</v>
      </c>
      <c r="F68" s="117"/>
      <c r="G68" s="118"/>
      <c r="H68" s="116" t="s">
        <v>64</v>
      </c>
    </row>
    <row r="69" customFormat="false" ht="18" hidden="false" customHeight="false" outlineLevel="0" collapsed="false">
      <c r="A69" s="116"/>
      <c r="B69" s="116"/>
      <c r="C69" s="117" t="s">
        <v>62</v>
      </c>
      <c r="D69" s="117" t="s">
        <v>63</v>
      </c>
      <c r="E69" s="117" t="s">
        <v>62</v>
      </c>
      <c r="F69" s="117" t="s">
        <v>63</v>
      </c>
      <c r="G69" s="117"/>
      <c r="H69" s="116"/>
    </row>
    <row r="70" customFormat="false" ht="18" hidden="false" customHeight="false" outlineLevel="0" collapsed="false">
      <c r="A70" s="119" t="n">
        <v>1</v>
      </c>
      <c r="B70" s="120" t="n">
        <v>1</v>
      </c>
      <c r="C70" s="131" t="n">
        <v>0</v>
      </c>
      <c r="D70" s="131" t="n">
        <v>0</v>
      </c>
      <c r="E70" s="131" t="n">
        <v>2</v>
      </c>
      <c r="F70" s="131" t="n">
        <v>0</v>
      </c>
      <c r="G70" s="131"/>
      <c r="H70" s="122" t="n">
        <f aca="false">SUM(C70:F70)</f>
        <v>2</v>
      </c>
      <c r="I70" s="113"/>
      <c r="J70" s="113"/>
      <c r="K70" s="113"/>
    </row>
    <row r="71" customFormat="false" ht="18" hidden="false" customHeight="false" outlineLevel="0" collapsed="false">
      <c r="A71" s="119" t="n">
        <v>2</v>
      </c>
      <c r="B71" s="120" t="n">
        <v>2</v>
      </c>
      <c r="C71" s="121" t="n">
        <v>0</v>
      </c>
      <c r="D71" s="121" t="n">
        <v>0</v>
      </c>
      <c r="E71" s="121" t="n">
        <v>0</v>
      </c>
      <c r="F71" s="121" t="n">
        <v>0</v>
      </c>
      <c r="G71" s="121"/>
      <c r="H71" s="122" t="n">
        <f aca="false">SUM(C71:F71)</f>
        <v>0</v>
      </c>
    </row>
    <row r="72" customFormat="false" ht="18" hidden="false" customHeight="false" outlineLevel="0" collapsed="false">
      <c r="A72" s="119" t="n">
        <v>3</v>
      </c>
      <c r="B72" s="120" t="n">
        <v>3</v>
      </c>
      <c r="C72" s="121" t="n">
        <v>2</v>
      </c>
      <c r="D72" s="121" t="n">
        <v>0</v>
      </c>
      <c r="E72" s="121" t="n">
        <v>4</v>
      </c>
      <c r="F72" s="121" t="n">
        <v>0</v>
      </c>
      <c r="G72" s="121"/>
      <c r="H72" s="122" t="n">
        <f aca="false">SUM(C72:F72)</f>
        <v>6</v>
      </c>
    </row>
    <row r="73" customFormat="false" ht="18" hidden="false" customHeight="false" outlineLevel="0" collapsed="false">
      <c r="A73" s="119" t="n">
        <v>4</v>
      </c>
      <c r="B73" s="120" t="n">
        <v>4</v>
      </c>
      <c r="C73" s="121" t="n">
        <v>3</v>
      </c>
      <c r="D73" s="121" t="n">
        <v>0</v>
      </c>
      <c r="E73" s="121" t="n">
        <v>0</v>
      </c>
      <c r="F73" s="121" t="n">
        <v>1</v>
      </c>
      <c r="G73" s="121"/>
      <c r="H73" s="122" t="n">
        <f aca="false">SUM(C73:F73)</f>
        <v>4</v>
      </c>
    </row>
    <row r="74" customFormat="false" ht="18.75" hidden="false" customHeight="false" outlineLevel="0" collapsed="false">
      <c r="A74" s="123" t="s">
        <v>64</v>
      </c>
      <c r="B74" s="123"/>
      <c r="C74" s="124" t="n">
        <f aca="false">SUM(C70:C73)</f>
        <v>5</v>
      </c>
      <c r="D74" s="124" t="n">
        <f aca="false">SUM(D70:D73)</f>
        <v>0</v>
      </c>
      <c r="E74" s="124" t="n">
        <f aca="false">SUM(E70:E73)</f>
        <v>6</v>
      </c>
      <c r="F74" s="124" t="n">
        <f aca="false">SUM(F70:F73)</f>
        <v>1</v>
      </c>
      <c r="G74" s="124"/>
      <c r="H74" s="124" t="n">
        <f aca="false">SUM(H70:H73)</f>
        <v>12</v>
      </c>
    </row>
    <row r="75" customFormat="false" ht="18.75" hidden="false" customHeight="false" outlineLevel="0" collapsed="false">
      <c r="A75" s="125"/>
      <c r="B75" s="125"/>
      <c r="C75" s="125"/>
      <c r="D75" s="125"/>
      <c r="E75" s="125"/>
      <c r="F75" s="125"/>
      <c r="G75" s="125"/>
    </row>
    <row r="77" customFormat="false" ht="18" hidden="false" customHeight="false" outlineLevel="0" collapsed="false">
      <c r="A77" s="126"/>
      <c r="B77" s="126"/>
      <c r="C77" s="126"/>
      <c r="D77" s="126"/>
      <c r="E77" s="126"/>
      <c r="F77" s="127" t="s">
        <v>87</v>
      </c>
      <c r="G77" s="127"/>
      <c r="H77" s="127"/>
    </row>
    <row r="78" customFormat="false" ht="36" hidden="false" customHeight="false" outlineLevel="0" collapsed="false">
      <c r="A78" s="116" t="s">
        <v>86</v>
      </c>
      <c r="B78" s="116" t="s">
        <v>88</v>
      </c>
      <c r="C78" s="116" t="s">
        <v>89</v>
      </c>
      <c r="D78" s="116" t="s">
        <v>90</v>
      </c>
      <c r="E78" s="116" t="s">
        <v>91</v>
      </c>
      <c r="F78" s="116" t="s">
        <v>92</v>
      </c>
      <c r="G78" s="116" t="s">
        <v>93</v>
      </c>
      <c r="H78" s="116" t="s">
        <v>73</v>
      </c>
      <c r="I78" s="116" t="s">
        <v>64</v>
      </c>
    </row>
    <row r="79" customFormat="false" ht="18" hidden="false" customHeight="false" outlineLevel="0" collapsed="false">
      <c r="A79" s="128" t="n">
        <v>1</v>
      </c>
      <c r="B79" s="129" t="s">
        <v>79</v>
      </c>
      <c r="C79" s="130" t="n">
        <v>1000</v>
      </c>
      <c r="D79" s="130" t="n">
        <v>150</v>
      </c>
      <c r="E79" s="130" t="n">
        <v>250</v>
      </c>
      <c r="F79" s="130" t="n">
        <v>451</v>
      </c>
      <c r="G79" s="130" t="n">
        <v>282</v>
      </c>
      <c r="H79" s="130" t="n">
        <v>0</v>
      </c>
      <c r="I79" s="130" t="n">
        <f aca="false">SUM(C79:H79)</f>
        <v>2133</v>
      </c>
    </row>
    <row r="81" customFormat="false" ht="18" hidden="false" customHeight="false" outlineLevel="0" collapsed="false">
      <c r="A81" s="84" t="str">
        <f aca="false">$A$1</f>
        <v>प्रपत्र - ब  -  अर्थसंकल्पीय अंदाजपत्रक सन 2021-2022</v>
      </c>
      <c r="B81" s="84"/>
      <c r="C81" s="84"/>
      <c r="D81" s="84"/>
      <c r="E81" s="84"/>
      <c r="F81" s="84"/>
      <c r="G81" s="84"/>
      <c r="H81" s="84"/>
      <c r="I81" s="84"/>
    </row>
    <row r="82" customFormat="false" ht="18" hidden="false" customHeight="false" outlineLevel="0" collapsed="false">
      <c r="A82" s="84" t="s">
        <v>1</v>
      </c>
      <c r="B82" s="84"/>
      <c r="C82" s="84"/>
      <c r="D82" s="84"/>
      <c r="E82" s="84"/>
      <c r="F82" s="84"/>
      <c r="G82" s="84"/>
      <c r="H82" s="84"/>
      <c r="I82" s="84"/>
    </row>
    <row r="83" customFormat="false" ht="18" hidden="false" customHeight="false" outlineLevel="0" collapsed="false">
      <c r="A83" s="113" t="s">
        <v>85</v>
      </c>
      <c r="B83" s="115"/>
    </row>
    <row r="84" customFormat="false" ht="18" hidden="false" customHeight="true" outlineLevel="0" collapsed="false">
      <c r="A84" s="116" t="s">
        <v>86</v>
      </c>
      <c r="B84" s="116" t="s">
        <v>5</v>
      </c>
      <c r="C84" s="117" t="s">
        <v>21</v>
      </c>
      <c r="D84" s="117"/>
      <c r="E84" s="117" t="s">
        <v>36</v>
      </c>
      <c r="F84" s="117"/>
      <c r="G84" s="118"/>
      <c r="H84" s="116" t="s">
        <v>64</v>
      </c>
    </row>
    <row r="85" customFormat="false" ht="18" hidden="false" customHeight="false" outlineLevel="0" collapsed="false">
      <c r="A85" s="116"/>
      <c r="B85" s="116"/>
      <c r="C85" s="117" t="s">
        <v>62</v>
      </c>
      <c r="D85" s="117" t="s">
        <v>63</v>
      </c>
      <c r="E85" s="117" t="s">
        <v>62</v>
      </c>
      <c r="F85" s="117" t="s">
        <v>63</v>
      </c>
      <c r="G85" s="117"/>
      <c r="H85" s="116"/>
    </row>
    <row r="86" customFormat="false" ht="18" hidden="false" customHeight="false" outlineLevel="0" collapsed="false">
      <c r="A86" s="119" t="n">
        <v>1</v>
      </c>
      <c r="B86" s="120" t="n">
        <v>1</v>
      </c>
      <c r="C86" s="121" t="n">
        <v>0</v>
      </c>
      <c r="D86" s="121" t="n">
        <v>0</v>
      </c>
      <c r="E86" s="121" t="n">
        <v>0</v>
      </c>
      <c r="F86" s="121" t="n">
        <v>0</v>
      </c>
      <c r="G86" s="121" t="n">
        <v>0</v>
      </c>
      <c r="H86" s="122" t="n">
        <v>0</v>
      </c>
    </row>
    <row r="87" customFormat="false" ht="18" hidden="false" customHeight="false" outlineLevel="0" collapsed="false">
      <c r="A87" s="119" t="n">
        <v>2</v>
      </c>
      <c r="B87" s="120" t="n">
        <v>2</v>
      </c>
      <c r="C87" s="121" t="n">
        <v>0</v>
      </c>
      <c r="D87" s="121" t="n">
        <v>0</v>
      </c>
      <c r="E87" s="121" t="n">
        <v>0</v>
      </c>
      <c r="F87" s="121" t="n">
        <v>0</v>
      </c>
      <c r="G87" s="121" t="n">
        <v>0</v>
      </c>
      <c r="H87" s="122" t="n">
        <v>0</v>
      </c>
    </row>
    <row r="88" customFormat="false" ht="18" hidden="false" customHeight="false" outlineLevel="0" collapsed="false">
      <c r="A88" s="119" t="n">
        <v>3</v>
      </c>
      <c r="B88" s="120" t="n">
        <v>3</v>
      </c>
      <c r="C88" s="121" t="n">
        <v>0</v>
      </c>
      <c r="D88" s="121" t="n">
        <v>0</v>
      </c>
      <c r="E88" s="121" t="n">
        <v>0</v>
      </c>
      <c r="F88" s="121" t="n">
        <v>0</v>
      </c>
      <c r="G88" s="121" t="n">
        <v>0</v>
      </c>
      <c r="H88" s="122" t="n">
        <v>0</v>
      </c>
    </row>
    <row r="89" customFormat="false" ht="18" hidden="false" customHeight="false" outlineLevel="0" collapsed="false">
      <c r="A89" s="119" t="n">
        <v>4</v>
      </c>
      <c r="B89" s="120" t="n">
        <v>4</v>
      </c>
      <c r="C89" s="121" t="n">
        <v>0</v>
      </c>
      <c r="D89" s="121" t="n">
        <v>0</v>
      </c>
      <c r="E89" s="121" t="n">
        <v>0</v>
      </c>
      <c r="F89" s="121" t="n">
        <v>0</v>
      </c>
      <c r="G89" s="121" t="n">
        <v>0</v>
      </c>
      <c r="H89" s="122" t="n">
        <v>0</v>
      </c>
    </row>
    <row r="90" customFormat="false" ht="18.75" hidden="false" customHeight="false" outlineLevel="0" collapsed="false">
      <c r="A90" s="123" t="s">
        <v>64</v>
      </c>
      <c r="B90" s="123"/>
      <c r="C90" s="124" t="n">
        <v>0</v>
      </c>
      <c r="D90" s="124" t="n">
        <v>0</v>
      </c>
      <c r="E90" s="124" t="n">
        <v>0</v>
      </c>
      <c r="F90" s="124" t="n">
        <v>0</v>
      </c>
      <c r="G90" s="124"/>
      <c r="H90" s="124" t="n">
        <v>0</v>
      </c>
    </row>
    <row r="91" customFormat="false" ht="18.75" hidden="false" customHeight="false" outlineLevel="0" collapsed="false">
      <c r="A91" s="125"/>
      <c r="B91" s="125"/>
      <c r="C91" s="125"/>
      <c r="D91" s="125"/>
      <c r="E91" s="125"/>
      <c r="F91" s="125"/>
      <c r="G91" s="125"/>
    </row>
    <row r="93" customFormat="false" ht="18" hidden="false" customHeight="false" outlineLevel="0" collapsed="false">
      <c r="A93" s="126"/>
      <c r="B93" s="126"/>
      <c r="C93" s="126"/>
      <c r="D93" s="126"/>
      <c r="E93" s="126"/>
      <c r="F93" s="127" t="s">
        <v>87</v>
      </c>
      <c r="G93" s="127"/>
      <c r="H93" s="127"/>
    </row>
    <row r="94" customFormat="false" ht="36" hidden="false" customHeight="false" outlineLevel="0" collapsed="false">
      <c r="A94" s="116" t="s">
        <v>86</v>
      </c>
      <c r="B94" s="116" t="s">
        <v>88</v>
      </c>
      <c r="C94" s="116" t="s">
        <v>89</v>
      </c>
      <c r="D94" s="116" t="s">
        <v>90</v>
      </c>
      <c r="E94" s="116" t="s">
        <v>91</v>
      </c>
      <c r="F94" s="116" t="s">
        <v>92</v>
      </c>
      <c r="G94" s="116" t="s">
        <v>93</v>
      </c>
      <c r="H94" s="116" t="s">
        <v>73</v>
      </c>
      <c r="I94" s="116" t="s">
        <v>64</v>
      </c>
    </row>
    <row r="95" customFormat="false" ht="18" hidden="false" customHeight="false" outlineLevel="0" collapsed="false">
      <c r="A95" s="128" t="n">
        <v>1</v>
      </c>
      <c r="B95" s="129" t="s">
        <v>80</v>
      </c>
      <c r="C95" s="121" t="n">
        <v>0</v>
      </c>
      <c r="D95" s="121" t="n">
        <v>0</v>
      </c>
      <c r="E95" s="121" t="n">
        <v>0</v>
      </c>
      <c r="F95" s="121" t="n">
        <v>0</v>
      </c>
      <c r="G95" s="121" t="n">
        <v>0</v>
      </c>
      <c r="H95" s="121" t="n">
        <v>0</v>
      </c>
      <c r="I95" s="130" t="n">
        <v>0</v>
      </c>
    </row>
    <row r="97" customFormat="false" ht="18" hidden="false" customHeight="false" outlineLevel="0" collapsed="false">
      <c r="A97" s="84" t="str">
        <f aca="false">$A$1</f>
        <v>प्रपत्र - ब  -  अर्थसंकल्पीय अंदाजपत्रक सन 2021-2022</v>
      </c>
      <c r="B97" s="84"/>
      <c r="C97" s="84"/>
      <c r="D97" s="84"/>
      <c r="E97" s="84"/>
      <c r="F97" s="84"/>
      <c r="G97" s="84"/>
      <c r="H97" s="84"/>
      <c r="I97" s="84"/>
    </row>
    <row r="98" customFormat="false" ht="18" hidden="false" customHeight="false" outlineLevel="0" collapsed="false">
      <c r="A98" s="84" t="s">
        <v>1</v>
      </c>
      <c r="B98" s="84"/>
      <c r="C98" s="84"/>
      <c r="D98" s="84"/>
      <c r="E98" s="84"/>
      <c r="F98" s="84"/>
      <c r="G98" s="84"/>
      <c r="H98" s="84"/>
      <c r="I98" s="84"/>
    </row>
    <row r="99" customFormat="false" ht="18" hidden="false" customHeight="false" outlineLevel="0" collapsed="false">
      <c r="A99" s="113" t="s">
        <v>85</v>
      </c>
      <c r="B99" s="115"/>
    </row>
    <row r="100" customFormat="false" ht="18" hidden="false" customHeight="true" outlineLevel="0" collapsed="false">
      <c r="A100" s="116" t="s">
        <v>86</v>
      </c>
      <c r="B100" s="116" t="s">
        <v>5</v>
      </c>
      <c r="C100" s="117" t="s">
        <v>21</v>
      </c>
      <c r="D100" s="117"/>
      <c r="E100" s="117" t="s">
        <v>36</v>
      </c>
      <c r="F100" s="117"/>
      <c r="G100" s="118"/>
      <c r="H100" s="116" t="s">
        <v>64</v>
      </c>
    </row>
    <row r="101" customFormat="false" ht="18" hidden="false" customHeight="false" outlineLevel="0" collapsed="false">
      <c r="A101" s="116"/>
      <c r="B101" s="116"/>
      <c r="C101" s="117" t="s">
        <v>62</v>
      </c>
      <c r="D101" s="117" t="s">
        <v>63</v>
      </c>
      <c r="E101" s="117" t="s">
        <v>62</v>
      </c>
      <c r="F101" s="117" t="s">
        <v>63</v>
      </c>
      <c r="G101" s="117"/>
      <c r="H101" s="116"/>
    </row>
    <row r="102" customFormat="false" ht="18" hidden="false" customHeight="false" outlineLevel="0" collapsed="false">
      <c r="A102" s="119" t="n">
        <v>1</v>
      </c>
      <c r="B102" s="120" t="n">
        <v>1</v>
      </c>
      <c r="C102" s="121" t="n">
        <v>0</v>
      </c>
      <c r="D102" s="121" t="n">
        <v>0</v>
      </c>
      <c r="E102" s="121" t="n">
        <v>0</v>
      </c>
      <c r="F102" s="121" t="n">
        <v>0</v>
      </c>
      <c r="G102" s="121"/>
      <c r="H102" s="122" t="n">
        <v>0</v>
      </c>
    </row>
    <row r="103" customFormat="false" ht="18" hidden="false" customHeight="false" outlineLevel="0" collapsed="false">
      <c r="A103" s="119" t="n">
        <v>2</v>
      </c>
      <c r="B103" s="120" t="n">
        <v>2</v>
      </c>
      <c r="C103" s="121" t="n">
        <v>0</v>
      </c>
      <c r="D103" s="121" t="n">
        <v>0</v>
      </c>
      <c r="E103" s="121" t="n">
        <v>0</v>
      </c>
      <c r="F103" s="121" t="n">
        <v>0</v>
      </c>
      <c r="G103" s="121"/>
      <c r="H103" s="122" t="n">
        <v>0</v>
      </c>
    </row>
    <row r="104" customFormat="false" ht="18" hidden="false" customHeight="false" outlineLevel="0" collapsed="false">
      <c r="A104" s="119" t="n">
        <v>3</v>
      </c>
      <c r="B104" s="120" t="n">
        <v>3</v>
      </c>
      <c r="C104" s="121" t="n">
        <v>0</v>
      </c>
      <c r="D104" s="121" t="n">
        <v>0</v>
      </c>
      <c r="E104" s="121" t="n">
        <v>0</v>
      </c>
      <c r="F104" s="121" t="n">
        <v>0</v>
      </c>
      <c r="G104" s="121"/>
      <c r="H104" s="122" t="n">
        <v>0</v>
      </c>
    </row>
    <row r="105" customFormat="false" ht="18" hidden="false" customHeight="false" outlineLevel="0" collapsed="false">
      <c r="A105" s="119" t="n">
        <v>4</v>
      </c>
      <c r="B105" s="120" t="n">
        <v>4</v>
      </c>
      <c r="C105" s="121" t="n">
        <v>0</v>
      </c>
      <c r="D105" s="121" t="n">
        <v>0</v>
      </c>
      <c r="E105" s="121" t="n">
        <v>0</v>
      </c>
      <c r="F105" s="121" t="n">
        <v>0</v>
      </c>
      <c r="G105" s="121"/>
      <c r="H105" s="122" t="n">
        <v>0</v>
      </c>
    </row>
    <row r="106" customFormat="false" ht="18.75" hidden="false" customHeight="false" outlineLevel="0" collapsed="false">
      <c r="A106" s="123" t="s">
        <v>64</v>
      </c>
      <c r="B106" s="123"/>
      <c r="C106" s="124" t="n">
        <v>0</v>
      </c>
      <c r="D106" s="124" t="n">
        <v>0</v>
      </c>
      <c r="E106" s="124" t="n">
        <v>0</v>
      </c>
      <c r="F106" s="124" t="n">
        <v>0</v>
      </c>
      <c r="G106" s="124"/>
      <c r="H106" s="124" t="n">
        <v>0</v>
      </c>
    </row>
    <row r="107" customFormat="false" ht="18.75" hidden="false" customHeight="false" outlineLevel="0" collapsed="false">
      <c r="A107" s="125"/>
      <c r="B107" s="125"/>
      <c r="C107" s="125"/>
      <c r="D107" s="125"/>
      <c r="E107" s="125"/>
      <c r="F107" s="125"/>
      <c r="G107" s="125"/>
    </row>
    <row r="109" customFormat="false" ht="18" hidden="false" customHeight="false" outlineLevel="0" collapsed="false">
      <c r="A109" s="126"/>
      <c r="B109" s="126"/>
      <c r="C109" s="126"/>
      <c r="D109" s="126"/>
      <c r="E109" s="126"/>
      <c r="F109" s="127" t="s">
        <v>87</v>
      </c>
      <c r="G109" s="127"/>
      <c r="H109" s="127"/>
    </row>
    <row r="110" customFormat="false" ht="36" hidden="false" customHeight="false" outlineLevel="0" collapsed="false">
      <c r="A110" s="116" t="s">
        <v>86</v>
      </c>
      <c r="B110" s="116" t="s">
        <v>88</v>
      </c>
      <c r="C110" s="116" t="s">
        <v>89</v>
      </c>
      <c r="D110" s="116" t="s">
        <v>90</v>
      </c>
      <c r="E110" s="116" t="s">
        <v>91</v>
      </c>
      <c r="F110" s="116" t="s">
        <v>92</v>
      </c>
      <c r="G110" s="116" t="s">
        <v>93</v>
      </c>
      <c r="H110" s="116" t="s">
        <v>73</v>
      </c>
      <c r="I110" s="116" t="s">
        <v>64</v>
      </c>
    </row>
    <row r="111" customFormat="false" ht="18" hidden="false" customHeight="false" outlineLevel="0" collapsed="false">
      <c r="A111" s="128" t="n">
        <v>1</v>
      </c>
      <c r="B111" s="129" t="s">
        <v>81</v>
      </c>
      <c r="C111" s="130" t="n">
        <v>0</v>
      </c>
      <c r="D111" s="130" t="n">
        <v>0</v>
      </c>
      <c r="E111" s="130" t="n">
        <v>0</v>
      </c>
      <c r="F111" s="130" t="n">
        <v>0</v>
      </c>
      <c r="G111" s="130" t="n">
        <v>0</v>
      </c>
      <c r="H111" s="130" t="n">
        <v>0</v>
      </c>
      <c r="I111" s="130" t="n">
        <v>0</v>
      </c>
    </row>
    <row r="112" customFormat="false" ht="18" hidden="false" customHeight="false" outlineLevel="0" collapsed="false">
      <c r="A112" s="132" t="s">
        <v>54</v>
      </c>
      <c r="B112" s="132"/>
      <c r="C112" s="132"/>
      <c r="D112" s="132"/>
      <c r="E112" s="132"/>
      <c r="F112" s="132"/>
      <c r="G112" s="132"/>
      <c r="H112" s="132"/>
      <c r="I112" s="132"/>
    </row>
    <row r="113" customFormat="false" ht="18" hidden="false" customHeight="false" outlineLevel="0" collapsed="false">
      <c r="A113" s="84" t="str">
        <f aca="false">$A$1</f>
        <v>प्रपत्र - ब  -  अर्थसंकल्पीय अंदाजपत्रक सन 2021-2022</v>
      </c>
      <c r="B113" s="84"/>
      <c r="C113" s="84"/>
      <c r="D113" s="84"/>
      <c r="E113" s="84"/>
      <c r="F113" s="84"/>
      <c r="G113" s="84"/>
      <c r="H113" s="84"/>
      <c r="I113" s="84"/>
    </row>
    <row r="114" customFormat="false" ht="18" hidden="false" customHeight="false" outlineLevel="0" collapsed="false">
      <c r="A114" s="84" t="s">
        <v>1</v>
      </c>
      <c r="B114" s="84"/>
      <c r="C114" s="84"/>
      <c r="D114" s="84"/>
      <c r="E114" s="84"/>
      <c r="F114" s="84"/>
      <c r="G114" s="84"/>
      <c r="H114" s="84"/>
      <c r="I114" s="84"/>
    </row>
    <row r="115" customFormat="false" ht="18" hidden="false" customHeight="false" outlineLevel="0" collapsed="false">
      <c r="A115" s="113" t="s">
        <v>85</v>
      </c>
      <c r="B115" s="115"/>
    </row>
    <row r="116" customFormat="false" ht="18" hidden="false" customHeight="true" outlineLevel="0" collapsed="false">
      <c r="A116" s="116" t="s">
        <v>86</v>
      </c>
      <c r="B116" s="116" t="s">
        <v>5</v>
      </c>
      <c r="C116" s="117" t="s">
        <v>21</v>
      </c>
      <c r="D116" s="117"/>
      <c r="E116" s="117" t="s">
        <v>36</v>
      </c>
      <c r="F116" s="117"/>
      <c r="G116" s="118"/>
      <c r="H116" s="116" t="s">
        <v>64</v>
      </c>
    </row>
    <row r="117" customFormat="false" ht="18" hidden="false" customHeight="false" outlineLevel="0" collapsed="false">
      <c r="A117" s="116"/>
      <c r="B117" s="116"/>
      <c r="C117" s="117" t="s">
        <v>62</v>
      </c>
      <c r="D117" s="117" t="s">
        <v>63</v>
      </c>
      <c r="E117" s="117" t="s">
        <v>62</v>
      </c>
      <c r="F117" s="117" t="s">
        <v>63</v>
      </c>
      <c r="G117" s="117"/>
      <c r="H117" s="116"/>
    </row>
    <row r="118" customFormat="false" ht="18" hidden="false" customHeight="false" outlineLevel="0" collapsed="false">
      <c r="A118" s="119" t="n">
        <v>1</v>
      </c>
      <c r="B118" s="120" t="n">
        <v>1</v>
      </c>
      <c r="C118" s="121" t="n">
        <v>0</v>
      </c>
      <c r="D118" s="121" t="n">
        <v>0</v>
      </c>
      <c r="E118" s="121" t="n">
        <v>1</v>
      </c>
      <c r="F118" s="121" t="n">
        <v>1</v>
      </c>
      <c r="G118" s="121"/>
      <c r="H118" s="122" t="n">
        <f aca="false">SUM(C118:F118)</f>
        <v>2</v>
      </c>
    </row>
    <row r="119" customFormat="false" ht="18" hidden="false" customHeight="false" outlineLevel="0" collapsed="false">
      <c r="A119" s="119" t="n">
        <v>2</v>
      </c>
      <c r="B119" s="120" t="n">
        <v>2</v>
      </c>
      <c r="C119" s="121" t="n">
        <v>0</v>
      </c>
      <c r="D119" s="121" t="n">
        <v>0</v>
      </c>
      <c r="E119" s="121" t="n">
        <v>0</v>
      </c>
      <c r="F119" s="121" t="n">
        <v>0</v>
      </c>
      <c r="G119" s="121"/>
      <c r="H119" s="122" t="n">
        <f aca="false">SUM(C119:F119)</f>
        <v>0</v>
      </c>
    </row>
    <row r="120" customFormat="false" ht="18" hidden="false" customHeight="false" outlineLevel="0" collapsed="false">
      <c r="A120" s="119" t="n">
        <v>3</v>
      </c>
      <c r="B120" s="120" t="n">
        <v>3</v>
      </c>
      <c r="C120" s="121" t="n">
        <v>0</v>
      </c>
      <c r="D120" s="121" t="n">
        <v>0</v>
      </c>
      <c r="E120" s="121" t="n">
        <v>4</v>
      </c>
      <c r="F120" s="121" t="n">
        <v>0</v>
      </c>
      <c r="G120" s="121"/>
      <c r="H120" s="122" t="n">
        <f aca="false">SUM(C120:F120)</f>
        <v>4</v>
      </c>
    </row>
    <row r="121" customFormat="false" ht="18" hidden="false" customHeight="false" outlineLevel="0" collapsed="false">
      <c r="A121" s="119" t="n">
        <v>4</v>
      </c>
      <c r="B121" s="120" t="n">
        <v>4</v>
      </c>
      <c r="C121" s="121" t="n">
        <v>0</v>
      </c>
      <c r="D121" s="121" t="n">
        <v>0</v>
      </c>
      <c r="E121" s="121" t="n">
        <v>1</v>
      </c>
      <c r="F121" s="121" t="n">
        <v>0</v>
      </c>
      <c r="G121" s="121"/>
      <c r="H121" s="122" t="n">
        <f aca="false">SUM(C121:F121)</f>
        <v>1</v>
      </c>
    </row>
    <row r="122" customFormat="false" ht="18.75" hidden="false" customHeight="false" outlineLevel="0" collapsed="false">
      <c r="A122" s="123" t="s">
        <v>64</v>
      </c>
      <c r="B122" s="123"/>
      <c r="C122" s="124" t="n">
        <f aca="false">SUM(C118:C121)</f>
        <v>0</v>
      </c>
      <c r="D122" s="124" t="n">
        <f aca="false">SUM(D118:D121)</f>
        <v>0</v>
      </c>
      <c r="E122" s="124" t="n">
        <f aca="false">SUM(E118:E121)</f>
        <v>6</v>
      </c>
      <c r="F122" s="124" t="n">
        <f aca="false">SUM(F118:F121)</f>
        <v>1</v>
      </c>
      <c r="G122" s="124"/>
      <c r="H122" s="124" t="n">
        <f aca="false">SUM(H118:H121)</f>
        <v>7</v>
      </c>
    </row>
    <row r="123" customFormat="false" ht="18.75" hidden="false" customHeight="false" outlineLevel="0" collapsed="false">
      <c r="A123" s="125"/>
      <c r="B123" s="125"/>
      <c r="C123" s="125"/>
      <c r="D123" s="125"/>
      <c r="E123" s="125"/>
      <c r="F123" s="125"/>
      <c r="G123" s="125"/>
    </row>
    <row r="125" customFormat="false" ht="18" hidden="false" customHeight="false" outlineLevel="0" collapsed="false">
      <c r="A125" s="126"/>
      <c r="B125" s="126"/>
      <c r="C125" s="126"/>
      <c r="D125" s="126"/>
      <c r="E125" s="126"/>
      <c r="F125" s="127" t="s">
        <v>87</v>
      </c>
      <c r="G125" s="127"/>
      <c r="H125" s="127"/>
    </row>
    <row r="126" customFormat="false" ht="36" hidden="false" customHeight="false" outlineLevel="0" collapsed="false">
      <c r="A126" s="116" t="s">
        <v>86</v>
      </c>
      <c r="B126" s="116" t="s">
        <v>88</v>
      </c>
      <c r="C126" s="116" t="s">
        <v>89</v>
      </c>
      <c r="D126" s="116" t="s">
        <v>90</v>
      </c>
      <c r="E126" s="116" t="s">
        <v>91</v>
      </c>
      <c r="F126" s="116" t="s">
        <v>92</v>
      </c>
      <c r="G126" s="116" t="s">
        <v>93</v>
      </c>
      <c r="H126" s="116" t="s">
        <v>73</v>
      </c>
      <c r="I126" s="116" t="s">
        <v>64</v>
      </c>
    </row>
    <row r="127" customFormat="false" ht="36" hidden="false" customHeight="false" outlineLevel="0" collapsed="false">
      <c r="A127" s="128" t="n">
        <v>1</v>
      </c>
      <c r="B127" s="129" t="s">
        <v>94</v>
      </c>
      <c r="C127" s="121" t="n">
        <v>220</v>
      </c>
      <c r="D127" s="121" t="n">
        <v>63</v>
      </c>
      <c r="E127" s="121" t="n">
        <v>33</v>
      </c>
      <c r="F127" s="121" t="n">
        <v>233</v>
      </c>
      <c r="G127" s="121" t="n">
        <v>387</v>
      </c>
      <c r="H127" s="121" t="n">
        <v>0</v>
      </c>
      <c r="I127" s="121" t="n">
        <f aca="false">SUM(C127:H127)</f>
        <v>936</v>
      </c>
    </row>
    <row r="128" customFormat="false" ht="18" hidden="false" customHeight="false" outlineLevel="0" collapsed="false">
      <c r="I128" s="112" t="s">
        <v>95</v>
      </c>
    </row>
    <row r="129" customFormat="false" ht="18" hidden="false" customHeight="false" outlineLevel="0" collapsed="false">
      <c r="A129" s="84" t="str">
        <f aca="false">$A$1</f>
        <v>प्रपत्र - ब  -  अर्थसंकल्पीय अंदाजपत्रक सन 2021-2022</v>
      </c>
      <c r="B129" s="84"/>
      <c r="C129" s="84"/>
      <c r="D129" s="84"/>
      <c r="E129" s="84"/>
      <c r="F129" s="84"/>
      <c r="G129" s="84"/>
      <c r="H129" s="84"/>
      <c r="I129" s="84"/>
    </row>
    <row r="130" customFormat="false" ht="18" hidden="false" customHeight="false" outlineLevel="0" collapsed="false">
      <c r="A130" s="84" t="s">
        <v>1</v>
      </c>
      <c r="B130" s="84"/>
      <c r="C130" s="84"/>
      <c r="D130" s="84"/>
      <c r="E130" s="84"/>
      <c r="F130" s="84"/>
      <c r="G130" s="84"/>
      <c r="H130" s="84"/>
      <c r="I130" s="84"/>
    </row>
    <row r="131" customFormat="false" ht="18" hidden="false" customHeight="false" outlineLevel="0" collapsed="false">
      <c r="A131" s="113" t="s">
        <v>85</v>
      </c>
      <c r="B131" s="115"/>
    </row>
    <row r="132" customFormat="false" ht="18" hidden="false" customHeight="true" outlineLevel="0" collapsed="false">
      <c r="A132" s="116" t="s">
        <v>86</v>
      </c>
      <c r="B132" s="116" t="s">
        <v>5</v>
      </c>
      <c r="C132" s="117" t="s">
        <v>21</v>
      </c>
      <c r="D132" s="117"/>
      <c r="E132" s="117" t="s">
        <v>36</v>
      </c>
      <c r="F132" s="117"/>
      <c r="G132" s="118"/>
      <c r="H132" s="116" t="s">
        <v>64</v>
      </c>
    </row>
    <row r="133" customFormat="false" ht="18" hidden="false" customHeight="false" outlineLevel="0" collapsed="false">
      <c r="A133" s="116"/>
      <c r="B133" s="116"/>
      <c r="C133" s="117" t="s">
        <v>62</v>
      </c>
      <c r="D133" s="117" t="s">
        <v>63</v>
      </c>
      <c r="E133" s="117" t="s">
        <v>62</v>
      </c>
      <c r="F133" s="117" t="s">
        <v>63</v>
      </c>
      <c r="G133" s="117"/>
      <c r="H133" s="116"/>
    </row>
    <row r="134" customFormat="false" ht="18" hidden="false" customHeight="false" outlineLevel="0" collapsed="false">
      <c r="A134" s="119" t="n">
        <v>1</v>
      </c>
      <c r="B134" s="120" t="n">
        <v>1</v>
      </c>
      <c r="C134" s="121" t="n">
        <f aca="false">SUM(C6+C22+C38+C53+C70+C86+C102+C118)</f>
        <v>1</v>
      </c>
      <c r="D134" s="121" t="n">
        <f aca="false">SUM(D6+D22+D38+D53+D70+D86+D102+D118)</f>
        <v>0</v>
      </c>
      <c r="E134" s="121" t="n">
        <f aca="false">SUM(E6+E22+E38+E53+E70+E86+E102+E118)</f>
        <v>4</v>
      </c>
      <c r="F134" s="121" t="n">
        <f aca="false">SUM(F6+F22+F38+F53+F70+F86+F102+F118)</f>
        <v>4</v>
      </c>
      <c r="G134" s="121"/>
      <c r="H134" s="121" t="n">
        <f aca="false">SUM(H6+H22+H38+H53+H70+H86+H102+H118)</f>
        <v>9</v>
      </c>
    </row>
    <row r="135" customFormat="false" ht="18" hidden="false" customHeight="false" outlineLevel="0" collapsed="false">
      <c r="A135" s="119" t="n">
        <v>2</v>
      </c>
      <c r="B135" s="120" t="n">
        <v>2</v>
      </c>
      <c r="C135" s="121" t="n">
        <f aca="false">SUM(C7+C23+C39+C54+C71+C87+C103+C119)</f>
        <v>0</v>
      </c>
      <c r="D135" s="121" t="n">
        <f aca="false">SUM(D7+D23+D39+D54+D71+D87+D103+D119)</f>
        <v>0</v>
      </c>
      <c r="E135" s="121" t="n">
        <f aca="false">SUM(E7+E23+E39+E54+E71+E87+E103+E119)</f>
        <v>1</v>
      </c>
      <c r="F135" s="121" t="n">
        <f aca="false">SUM(F7+F23+F39+F54+F71+F87+F103+F119)</f>
        <v>0</v>
      </c>
      <c r="G135" s="121"/>
      <c r="H135" s="121" t="n">
        <f aca="false">SUM(H7+H23+H39+H54+H71+H87+H103+H119)</f>
        <v>1</v>
      </c>
    </row>
    <row r="136" customFormat="false" ht="18" hidden="false" customHeight="false" outlineLevel="0" collapsed="false">
      <c r="A136" s="119" t="n">
        <v>3</v>
      </c>
      <c r="B136" s="120" t="n">
        <v>3</v>
      </c>
      <c r="C136" s="121" t="n">
        <f aca="false">SUM(C8+C24+C40+C55+C72+C88+C104+C120)</f>
        <v>6</v>
      </c>
      <c r="D136" s="121" t="n">
        <f aca="false">SUM(D8+D24+D40+D55+D72+D88+D104+D120)</f>
        <v>3</v>
      </c>
      <c r="E136" s="121" t="n">
        <f aca="false">SUM(E8+E24+E40+E55+E72+E88+E104+E120)</f>
        <v>17</v>
      </c>
      <c r="F136" s="121" t="n">
        <f aca="false">SUM(F8+F24+F40+F55+F72+F88+F104+F120)</f>
        <v>3</v>
      </c>
      <c r="G136" s="121"/>
      <c r="H136" s="121" t="n">
        <f aca="false">SUM(H8+H24+H40+H55+H72+H88+H104+H120)</f>
        <v>29</v>
      </c>
    </row>
    <row r="137" customFormat="false" ht="18" hidden="false" customHeight="false" outlineLevel="0" collapsed="false">
      <c r="A137" s="119" t="n">
        <v>4</v>
      </c>
      <c r="B137" s="120" t="n">
        <v>4</v>
      </c>
      <c r="C137" s="121" t="n">
        <f aca="false">SUM(C9+C25+C41+C56+C73+C89+C105+C121)</f>
        <v>7</v>
      </c>
      <c r="D137" s="121" t="n">
        <f aca="false">SUM(D9+D25+D41+D56+D73+D89+D105+D121)</f>
        <v>1</v>
      </c>
      <c r="E137" s="121" t="n">
        <f aca="false">SUM(E9+E25+E41+E56+E73+E89+E105+E121)</f>
        <v>3</v>
      </c>
      <c r="F137" s="121" t="n">
        <f aca="false">SUM(F9+F25+F41+F56+F73+F89+F105+F121)</f>
        <v>3</v>
      </c>
      <c r="G137" s="121"/>
      <c r="H137" s="121" t="n">
        <f aca="false">SUM(H9+H25+H41+H56+H73+H89+H105+H121)</f>
        <v>14</v>
      </c>
    </row>
    <row r="138" customFormat="false" ht="18.75" hidden="false" customHeight="false" outlineLevel="0" collapsed="false">
      <c r="A138" s="123" t="s">
        <v>64</v>
      </c>
      <c r="B138" s="123"/>
      <c r="C138" s="133" t="n">
        <f aca="false">SUM(C10+C26+C42+C57+C74+C90+C106+C122)</f>
        <v>14</v>
      </c>
      <c r="D138" s="133" t="n">
        <f aca="false">SUM(D10+D26+D42+D57+D74+D90+D106+D122)</f>
        <v>4</v>
      </c>
      <c r="E138" s="133" t="n">
        <f aca="false">SUM(E10+E26+E42+E57+E74+E90+E106+E122)</f>
        <v>25</v>
      </c>
      <c r="F138" s="133" t="n">
        <f aca="false">SUM(F10+F26+F42+F57+F74+F90+F106+F122)</f>
        <v>10</v>
      </c>
      <c r="G138" s="133"/>
      <c r="H138" s="133" t="n">
        <f aca="false">SUM(H10+H26+H42+H57+H74+H90+H106+H122)</f>
        <v>53</v>
      </c>
    </row>
    <row r="139" customFormat="false" ht="18.75" hidden="false" customHeight="false" outlineLevel="0" collapsed="false">
      <c r="A139" s="125"/>
      <c r="B139" s="125"/>
      <c r="C139" s="125"/>
      <c r="D139" s="125"/>
      <c r="E139" s="125"/>
      <c r="F139" s="125"/>
      <c r="G139" s="125"/>
    </row>
    <row r="141" customFormat="false" ht="18" hidden="false" customHeight="false" outlineLevel="0" collapsed="false">
      <c r="A141" s="126"/>
      <c r="B141" s="126"/>
      <c r="C141" s="126"/>
      <c r="D141" s="126"/>
      <c r="E141" s="126"/>
      <c r="F141" s="127" t="s">
        <v>87</v>
      </c>
      <c r="G141" s="127"/>
      <c r="H141" s="127"/>
    </row>
    <row r="142" customFormat="false" ht="36" hidden="false" customHeight="false" outlineLevel="0" collapsed="false">
      <c r="A142" s="116" t="s">
        <v>86</v>
      </c>
      <c r="B142" s="116" t="s">
        <v>88</v>
      </c>
      <c r="C142" s="116" t="s">
        <v>89</v>
      </c>
      <c r="D142" s="116" t="s">
        <v>90</v>
      </c>
      <c r="E142" s="116" t="s">
        <v>91</v>
      </c>
      <c r="F142" s="116" t="s">
        <v>92</v>
      </c>
      <c r="G142" s="116" t="s">
        <v>93</v>
      </c>
      <c r="H142" s="116" t="s">
        <v>73</v>
      </c>
      <c r="I142" s="116" t="s">
        <v>64</v>
      </c>
    </row>
    <row r="143" customFormat="false" ht="18" hidden="false" customHeight="false" outlineLevel="0" collapsed="false">
      <c r="A143" s="128" t="n">
        <v>1</v>
      </c>
      <c r="B143" s="116" t="s">
        <v>56</v>
      </c>
      <c r="C143" s="121" t="n">
        <f aca="false">SUM(C15+C31+C47+C62+C79+C95+C111+C127)</f>
        <v>3745</v>
      </c>
      <c r="D143" s="121" t="n">
        <f aca="false">SUM(D15+D31+D47+D62+D79+D95+D111+D127)</f>
        <v>496</v>
      </c>
      <c r="E143" s="121" t="n">
        <f aca="false">SUM(E15+E31+E47+E62+E79+E95+E111+E127)</f>
        <v>513</v>
      </c>
      <c r="F143" s="121" t="n">
        <f aca="false">SUM(F15+F31+F47+F62+F79+F95+F111+F127)</f>
        <v>2734</v>
      </c>
      <c r="G143" s="121" t="n">
        <f aca="false">SUM(G15+G31+G47+G62+G79+G95+G111+G127)</f>
        <v>1669</v>
      </c>
      <c r="H143" s="121" t="n">
        <f aca="false">SUM(H15+H31+H47+H62+H79+H95+H111+H127)</f>
        <v>1120</v>
      </c>
      <c r="I143" s="121" t="n">
        <f aca="false">SUM(I15+I31+I47+I62+I79+I95+I111+I127)</f>
        <v>10277</v>
      </c>
    </row>
    <row r="146" customFormat="false" ht="18" hidden="false" customHeight="false" outlineLevel="0" collapsed="false">
      <c r="H146" s="84" t="s">
        <v>57</v>
      </c>
      <c r="I146" s="84"/>
    </row>
    <row r="147" customFormat="false" ht="18" hidden="false" customHeight="false" outlineLevel="0" collapsed="false">
      <c r="G147" s="83"/>
      <c r="H147" s="84" t="s">
        <v>58</v>
      </c>
      <c r="I147" s="84"/>
    </row>
    <row r="148" customFormat="false" ht="18" hidden="false" customHeight="false" outlineLevel="0" collapsed="false">
      <c r="H148" s="84" t="s">
        <v>56</v>
      </c>
      <c r="I148" s="84"/>
    </row>
  </sheetData>
  <mergeCells count="85">
    <mergeCell ref="A1:I1"/>
    <mergeCell ref="A2:I2"/>
    <mergeCell ref="A4:A5"/>
    <mergeCell ref="B4:B5"/>
    <mergeCell ref="C4:D4"/>
    <mergeCell ref="E4:F4"/>
    <mergeCell ref="H4:H5"/>
    <mergeCell ref="A13:E13"/>
    <mergeCell ref="F13:H13"/>
    <mergeCell ref="A17:I17"/>
    <mergeCell ref="A18:I18"/>
    <mergeCell ref="A20:A21"/>
    <mergeCell ref="B20:B21"/>
    <mergeCell ref="C20:D20"/>
    <mergeCell ref="E20:F20"/>
    <mergeCell ref="H20:H21"/>
    <mergeCell ref="A29:E29"/>
    <mergeCell ref="F29:H29"/>
    <mergeCell ref="A33:I33"/>
    <mergeCell ref="A34:I34"/>
    <mergeCell ref="A36:A37"/>
    <mergeCell ref="B36:B37"/>
    <mergeCell ref="C36:D36"/>
    <mergeCell ref="E36:F36"/>
    <mergeCell ref="H36:H37"/>
    <mergeCell ref="A45:E45"/>
    <mergeCell ref="F45:H45"/>
    <mergeCell ref="A48:I48"/>
    <mergeCell ref="A49:I49"/>
    <mergeCell ref="A51:A52"/>
    <mergeCell ref="B51:B52"/>
    <mergeCell ref="C51:D51"/>
    <mergeCell ref="E51:F51"/>
    <mergeCell ref="H51:H52"/>
    <mergeCell ref="A60:E60"/>
    <mergeCell ref="F60:H60"/>
    <mergeCell ref="A65:I65"/>
    <mergeCell ref="A66:I66"/>
    <mergeCell ref="A68:A69"/>
    <mergeCell ref="B68:B69"/>
    <mergeCell ref="C68:D68"/>
    <mergeCell ref="E68:F68"/>
    <mergeCell ref="H68:H69"/>
    <mergeCell ref="A77:E77"/>
    <mergeCell ref="F77:H77"/>
    <mergeCell ref="A81:I81"/>
    <mergeCell ref="A82:I82"/>
    <mergeCell ref="A84:A85"/>
    <mergeCell ref="B84:B85"/>
    <mergeCell ref="C84:D84"/>
    <mergeCell ref="E84:F84"/>
    <mergeCell ref="H84:H85"/>
    <mergeCell ref="A93:E93"/>
    <mergeCell ref="F93:H93"/>
    <mergeCell ref="A97:I97"/>
    <mergeCell ref="A98:I98"/>
    <mergeCell ref="A100:A101"/>
    <mergeCell ref="B100:B101"/>
    <mergeCell ref="C100:D100"/>
    <mergeCell ref="E100:F100"/>
    <mergeCell ref="H100:H101"/>
    <mergeCell ref="A109:E109"/>
    <mergeCell ref="F109:H109"/>
    <mergeCell ref="A112:I112"/>
    <mergeCell ref="A113:I113"/>
    <mergeCell ref="A114:I114"/>
    <mergeCell ref="A116:A117"/>
    <mergeCell ref="B116:B117"/>
    <mergeCell ref="C116:D116"/>
    <mergeCell ref="E116:F116"/>
    <mergeCell ref="H116:H117"/>
    <mergeCell ref="A125:E125"/>
    <mergeCell ref="F125:H125"/>
    <mergeCell ref="A129:I129"/>
    <mergeCell ref="A130:I130"/>
    <mergeCell ref="A132:A133"/>
    <mergeCell ref="B132:B133"/>
    <mergeCell ref="C132:D132"/>
    <mergeCell ref="E132:F132"/>
    <mergeCell ref="H132:H133"/>
    <mergeCell ref="A141:E141"/>
    <mergeCell ref="F141:H141"/>
    <mergeCell ref="H146:I146"/>
    <mergeCell ref="H147:I147"/>
    <mergeCell ref="H148:I148"/>
  </mergeCells>
  <printOptions headings="false" gridLines="false" gridLinesSet="true" horizontalCentered="false" verticalCentered="false"/>
  <pageMargins left="0.9" right="0.159722222222222" top="0.3" bottom="2.94027777777778" header="0.511811023622047" footer="0.3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&amp;C&amp;Z&amp;F&amp;RPage &amp;P</oddFooter>
  </headerFooter>
  <rowBreaks count="8" manualBreakCount="8">
    <brk id="16" man="true" max="16383" min="0"/>
    <brk id="32" man="true" max="16383" min="0"/>
    <brk id="47" man="true" max="16383" min="0"/>
    <brk id="64" man="true" max="16383" min="0"/>
    <brk id="80" man="true" max="16383" min="0"/>
    <brk id="96" man="true" max="16383" min="0"/>
    <brk id="112" man="true" max="16383" min="0"/>
    <brk id="128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75" zoomScalePageLayoutView="100" workbookViewId="0">
      <selection pane="topLeft" activeCell="A1" activeCellId="0" sqref="A1:L1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34" width="3.56"/>
    <col collapsed="false" customWidth="true" hidden="false" outlineLevel="0" max="2" min="2" style="134" width="29.99"/>
    <col collapsed="false" customWidth="true" hidden="false" outlineLevel="0" max="4" min="3" style="134" width="10.99"/>
    <col collapsed="false" customWidth="true" hidden="false" outlineLevel="0" max="6" min="5" style="134" width="13.14"/>
    <col collapsed="false" customWidth="true" hidden="false" outlineLevel="0" max="7" min="7" style="134" width="12.28"/>
    <col collapsed="false" customWidth="true" hidden="false" outlineLevel="0" max="8" min="8" style="134" width="12.7"/>
    <col collapsed="false" customWidth="true" hidden="false" outlineLevel="0" max="9" min="9" style="134" width="12.85"/>
    <col collapsed="false" customWidth="true" hidden="false" outlineLevel="0" max="10" min="10" style="134" width="10.28"/>
    <col collapsed="false" customWidth="true" hidden="false" outlineLevel="0" max="11" min="11" style="134" width="9.85"/>
    <col collapsed="false" customWidth="true" hidden="false" outlineLevel="0" max="12" min="12" style="134" width="27.7"/>
    <col collapsed="false" customWidth="false" hidden="false" outlineLevel="0" max="257" min="13" style="112" width="9.14"/>
  </cols>
  <sheetData>
    <row r="1" customFormat="false" ht="18" hidden="false" customHeight="false" outlineLevel="0" collapsed="false">
      <c r="A1" s="84" t="s">
        <v>96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customFormat="false" ht="18" hidden="false" customHeight="false" outlineLevel="0" collapsed="false">
      <c r="A2" s="84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customFormat="false" ht="18.75" hidden="false" customHeight="true" outlineLevel="0" collapsed="false">
      <c r="A3" s="135" t="s">
        <v>2</v>
      </c>
      <c r="B3" s="135"/>
      <c r="C3" s="135"/>
      <c r="D3" s="136"/>
      <c r="E3" s="136"/>
      <c r="F3" s="136"/>
      <c r="G3" s="136"/>
      <c r="H3" s="136"/>
      <c r="I3" s="136"/>
      <c r="J3" s="136"/>
      <c r="K3" s="136"/>
      <c r="L3" s="137" t="s">
        <v>3</v>
      </c>
    </row>
    <row r="4" customFormat="false" ht="36" hidden="false" customHeight="true" outlineLevel="0" collapsed="false">
      <c r="A4" s="138" t="s">
        <v>97</v>
      </c>
      <c r="B4" s="138" t="s">
        <v>98</v>
      </c>
      <c r="C4" s="138" t="s">
        <v>99</v>
      </c>
      <c r="D4" s="138"/>
      <c r="E4" s="138"/>
      <c r="F4" s="138" t="s">
        <v>100</v>
      </c>
      <c r="G4" s="138" t="s">
        <v>101</v>
      </c>
      <c r="H4" s="138" t="s">
        <v>102</v>
      </c>
      <c r="I4" s="138"/>
      <c r="J4" s="138"/>
      <c r="K4" s="138"/>
      <c r="L4" s="138" t="s">
        <v>103</v>
      </c>
    </row>
    <row r="5" customFormat="false" ht="85.5" hidden="false" customHeight="true" outlineLevel="0" collapsed="false">
      <c r="A5" s="138"/>
      <c r="B5" s="138"/>
      <c r="C5" s="138" t="s">
        <v>104</v>
      </c>
      <c r="D5" s="138" t="s">
        <v>105</v>
      </c>
      <c r="E5" s="138" t="s">
        <v>106</v>
      </c>
      <c r="F5" s="138" t="s">
        <v>19</v>
      </c>
      <c r="G5" s="138"/>
      <c r="H5" s="138" t="s">
        <v>107</v>
      </c>
      <c r="I5" s="138" t="s">
        <v>108</v>
      </c>
      <c r="J5" s="138" t="s">
        <v>109</v>
      </c>
      <c r="K5" s="138" t="s">
        <v>110</v>
      </c>
      <c r="L5" s="138"/>
    </row>
    <row r="6" customFormat="false" ht="18" hidden="false" customHeight="true" outlineLevel="0" collapsed="false">
      <c r="A6" s="139" t="n">
        <v>1</v>
      </c>
      <c r="B6" s="139" t="n">
        <v>2</v>
      </c>
      <c r="C6" s="139" t="n">
        <v>3</v>
      </c>
      <c r="D6" s="139" t="n">
        <v>4</v>
      </c>
      <c r="E6" s="139" t="n">
        <v>5</v>
      </c>
      <c r="F6" s="139" t="n">
        <v>6</v>
      </c>
      <c r="G6" s="139" t="n">
        <v>7</v>
      </c>
      <c r="H6" s="139" t="n">
        <v>8</v>
      </c>
      <c r="I6" s="139" t="n">
        <v>9</v>
      </c>
      <c r="J6" s="139" t="n">
        <v>10</v>
      </c>
      <c r="K6" s="139" t="n">
        <v>11</v>
      </c>
      <c r="L6" s="139" t="n">
        <v>12</v>
      </c>
    </row>
    <row r="7" customFormat="false" ht="18" hidden="false" customHeight="false" outlineLevel="0" collapsed="false">
      <c r="A7" s="140" t="n">
        <v>1</v>
      </c>
      <c r="B7" s="140" t="s">
        <v>111</v>
      </c>
      <c r="C7" s="140" t="n">
        <v>1676</v>
      </c>
      <c r="D7" s="140" t="n">
        <v>1762</v>
      </c>
      <c r="E7" s="140" t="n">
        <v>1156</v>
      </c>
      <c r="F7" s="140" t="n">
        <v>2966</v>
      </c>
      <c r="G7" s="140" t="n">
        <v>2966</v>
      </c>
      <c r="H7" s="140" t="n">
        <v>3051</v>
      </c>
      <c r="I7" s="140"/>
      <c r="J7" s="140"/>
      <c r="K7" s="140"/>
      <c r="L7" s="140"/>
    </row>
    <row r="8" customFormat="false" ht="18" hidden="false" customHeight="false" outlineLevel="0" collapsed="false">
      <c r="A8" s="140" t="n">
        <v>2</v>
      </c>
      <c r="B8" s="140" t="s">
        <v>112</v>
      </c>
      <c r="C8" s="140" t="n">
        <v>0</v>
      </c>
      <c r="D8" s="140" t="n">
        <v>0</v>
      </c>
      <c r="E8" s="140" t="n">
        <v>0</v>
      </c>
      <c r="F8" s="140" t="n">
        <v>0</v>
      </c>
      <c r="G8" s="140" t="n">
        <v>0</v>
      </c>
      <c r="H8" s="140" t="n">
        <v>0</v>
      </c>
      <c r="I8" s="140"/>
      <c r="J8" s="140"/>
      <c r="K8" s="140"/>
      <c r="L8" s="141"/>
    </row>
    <row r="9" customFormat="false" ht="18" hidden="false" customHeight="false" outlineLevel="0" collapsed="false">
      <c r="A9" s="140" t="n">
        <v>3</v>
      </c>
      <c r="B9" s="140" t="s">
        <v>113</v>
      </c>
      <c r="C9" s="140" t="n">
        <v>70</v>
      </c>
      <c r="D9" s="140" t="n">
        <v>142</v>
      </c>
      <c r="E9" s="140" t="n">
        <v>40</v>
      </c>
      <c r="F9" s="140" t="n">
        <v>220</v>
      </c>
      <c r="G9" s="140" t="n">
        <v>220</v>
      </c>
      <c r="H9" s="140" t="n">
        <v>240</v>
      </c>
      <c r="I9" s="140"/>
      <c r="J9" s="140"/>
      <c r="K9" s="140"/>
      <c r="L9" s="140"/>
    </row>
    <row r="10" customFormat="false" ht="18" hidden="false" customHeight="false" outlineLevel="0" collapsed="false">
      <c r="A10" s="140" t="n">
        <v>4</v>
      </c>
      <c r="B10" s="140" t="s">
        <v>114</v>
      </c>
      <c r="C10" s="140" t="n">
        <v>25</v>
      </c>
      <c r="D10" s="140" t="n">
        <v>0</v>
      </c>
      <c r="E10" s="140" t="n">
        <v>0</v>
      </c>
      <c r="F10" s="140" t="n">
        <v>50</v>
      </c>
      <c r="G10" s="140" t="n">
        <v>50</v>
      </c>
      <c r="H10" s="140" t="n">
        <v>55</v>
      </c>
      <c r="I10" s="140"/>
      <c r="J10" s="140"/>
      <c r="K10" s="140"/>
      <c r="L10" s="140"/>
    </row>
    <row r="11" customFormat="false" ht="18" hidden="false" customHeight="false" outlineLevel="0" collapsed="false">
      <c r="A11" s="140" t="n">
        <v>4</v>
      </c>
      <c r="B11" s="140" t="s">
        <v>115</v>
      </c>
      <c r="C11" s="140" t="n">
        <v>80</v>
      </c>
      <c r="D11" s="140" t="n">
        <v>27</v>
      </c>
      <c r="E11" s="140" t="n">
        <v>49</v>
      </c>
      <c r="F11" s="140" t="n">
        <v>190</v>
      </c>
      <c r="G11" s="140" t="n">
        <v>190</v>
      </c>
      <c r="H11" s="140" t="n">
        <v>200</v>
      </c>
      <c r="I11" s="140"/>
      <c r="J11" s="140"/>
      <c r="K11" s="140"/>
      <c r="L11" s="140"/>
    </row>
    <row r="12" customFormat="false" ht="18" hidden="false" customHeight="false" outlineLevel="0" collapsed="false">
      <c r="A12" s="140" t="n">
        <v>5</v>
      </c>
      <c r="B12" s="140" t="s">
        <v>116</v>
      </c>
      <c r="C12" s="140" t="n">
        <v>0</v>
      </c>
      <c r="D12" s="140" t="n">
        <v>0</v>
      </c>
      <c r="E12" s="140" t="n">
        <v>0</v>
      </c>
      <c r="F12" s="140" t="n">
        <v>0</v>
      </c>
      <c r="G12" s="140" t="n">
        <v>0</v>
      </c>
      <c r="H12" s="140" t="n">
        <v>0</v>
      </c>
      <c r="I12" s="140"/>
      <c r="J12" s="140"/>
      <c r="K12" s="140"/>
      <c r="L12" s="140"/>
    </row>
    <row r="13" customFormat="false" ht="18" hidden="false" customHeight="false" outlineLevel="0" collapsed="false">
      <c r="A13" s="140" t="n">
        <v>7</v>
      </c>
      <c r="B13" s="140" t="s">
        <v>117</v>
      </c>
      <c r="C13" s="140" t="n">
        <v>22</v>
      </c>
      <c r="D13" s="140" t="n">
        <v>0</v>
      </c>
      <c r="E13" s="140" t="n">
        <v>4</v>
      </c>
      <c r="F13" s="140" t="n">
        <v>95</v>
      </c>
      <c r="G13" s="140" t="n">
        <v>95</v>
      </c>
      <c r="H13" s="140" t="n">
        <v>110</v>
      </c>
      <c r="I13" s="140"/>
      <c r="J13" s="140"/>
      <c r="K13" s="140"/>
      <c r="L13" s="140"/>
    </row>
    <row r="14" customFormat="false" ht="18" hidden="false" customHeight="false" outlineLevel="0" collapsed="false">
      <c r="A14" s="140" t="n">
        <v>8</v>
      </c>
      <c r="B14" s="140" t="s">
        <v>118</v>
      </c>
      <c r="C14" s="140" t="n">
        <v>0</v>
      </c>
      <c r="D14" s="140" t="n">
        <v>0</v>
      </c>
      <c r="E14" s="140" t="n">
        <v>0</v>
      </c>
      <c r="F14" s="140" t="n">
        <v>0</v>
      </c>
      <c r="G14" s="140" t="n">
        <v>0</v>
      </c>
      <c r="H14" s="140" t="n">
        <v>0</v>
      </c>
      <c r="I14" s="140"/>
      <c r="J14" s="140"/>
      <c r="K14" s="140"/>
      <c r="L14" s="140"/>
    </row>
    <row r="15" customFormat="false" ht="18" hidden="false" customHeight="false" outlineLevel="0" collapsed="false">
      <c r="A15" s="142" t="n">
        <v>9</v>
      </c>
      <c r="B15" s="140" t="s">
        <v>119</v>
      </c>
      <c r="C15" s="140" t="n">
        <v>0</v>
      </c>
      <c r="D15" s="140" t="n">
        <v>0</v>
      </c>
      <c r="E15" s="140" t="n">
        <v>0</v>
      </c>
      <c r="F15" s="140" t="n">
        <v>0</v>
      </c>
      <c r="G15" s="140" t="n">
        <v>0</v>
      </c>
      <c r="H15" s="140" t="n">
        <v>0</v>
      </c>
      <c r="I15" s="140"/>
      <c r="J15" s="140"/>
      <c r="K15" s="140"/>
      <c r="L15" s="140"/>
    </row>
    <row r="16" customFormat="false" ht="18.75" hidden="false" customHeight="false" outlineLevel="0" collapsed="false">
      <c r="A16" s="143"/>
      <c r="B16" s="144" t="s">
        <v>64</v>
      </c>
      <c r="C16" s="143" t="n">
        <f aca="false">SUM(C7:C15)</f>
        <v>1873</v>
      </c>
      <c r="D16" s="143" t="n">
        <f aca="false">SUM(D7:D15)</f>
        <v>1931</v>
      </c>
      <c r="E16" s="143" t="n">
        <f aca="false">SUM(E7:E15)</f>
        <v>1249</v>
      </c>
      <c r="F16" s="143" t="n">
        <f aca="false">SUM(F7:F15)</f>
        <v>3521</v>
      </c>
      <c r="G16" s="143" t="n">
        <f aca="false">SUM(G7:G15)</f>
        <v>3521</v>
      </c>
      <c r="H16" s="143" t="n">
        <f aca="false">SUM(H7:H15)</f>
        <v>3656</v>
      </c>
      <c r="I16" s="143" t="n">
        <f aca="false">SUM(I7:I15)</f>
        <v>0</v>
      </c>
      <c r="J16" s="143" t="n">
        <f aca="false">SUM(J7:J15)</f>
        <v>0</v>
      </c>
      <c r="K16" s="143" t="n">
        <f aca="false">SUM(K7:K15)</f>
        <v>0</v>
      </c>
      <c r="L16" s="143"/>
    </row>
    <row r="17" customFormat="false" ht="29.25" hidden="false" customHeight="true" outlineLevel="0" collapsed="false">
      <c r="A17" s="145"/>
      <c r="B17" s="146"/>
      <c r="C17" s="145"/>
      <c r="D17" s="145"/>
      <c r="E17" s="145"/>
      <c r="F17" s="145"/>
      <c r="G17" s="145"/>
      <c r="H17" s="145"/>
      <c r="I17" s="145"/>
      <c r="J17" s="145"/>
      <c r="K17" s="145"/>
      <c r="L17" s="145"/>
    </row>
    <row r="18" customFormat="false" ht="18" hidden="false" customHeight="true" outlineLevel="0" collapsed="false">
      <c r="A18" s="84" t="str">
        <f aca="false">$A$1</f>
        <v>प्रपत्र - अ  - अर्थसंकल्पीय अंदाजपत्रक सन 2021-2022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</row>
    <row r="19" customFormat="false" ht="18" hidden="false" customHeight="true" outlineLevel="0" collapsed="false">
      <c r="A19" s="84" t="s">
        <v>1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</row>
    <row r="20" customFormat="false" ht="18" hidden="false" customHeight="true" outlineLevel="0" collapsed="false">
      <c r="A20" s="135" t="s">
        <v>120</v>
      </c>
      <c r="B20" s="135"/>
      <c r="C20" s="135"/>
      <c r="D20" s="136"/>
      <c r="E20" s="136"/>
      <c r="F20" s="136"/>
      <c r="G20" s="136"/>
      <c r="H20" s="136"/>
      <c r="I20" s="136"/>
      <c r="J20" s="136"/>
      <c r="K20" s="136"/>
      <c r="L20" s="137" t="s">
        <v>3</v>
      </c>
    </row>
    <row r="21" customFormat="false" ht="42" hidden="false" customHeight="true" outlineLevel="0" collapsed="false">
      <c r="A21" s="138" t="s">
        <v>97</v>
      </c>
      <c r="B21" s="138" t="s">
        <v>98</v>
      </c>
      <c r="C21" s="138" t="s">
        <v>99</v>
      </c>
      <c r="D21" s="138"/>
      <c r="E21" s="138"/>
      <c r="F21" s="138" t="s">
        <v>100</v>
      </c>
      <c r="G21" s="138" t="s">
        <v>101</v>
      </c>
      <c r="H21" s="138" t="s">
        <v>102</v>
      </c>
      <c r="I21" s="138"/>
      <c r="J21" s="138"/>
      <c r="K21" s="138"/>
      <c r="L21" s="138" t="s">
        <v>103</v>
      </c>
    </row>
    <row r="22" customFormat="false" ht="68.25" hidden="false" customHeight="true" outlineLevel="0" collapsed="false">
      <c r="A22" s="138"/>
      <c r="B22" s="138"/>
      <c r="C22" s="138" t="s">
        <v>104</v>
      </c>
      <c r="D22" s="138" t="s">
        <v>105</v>
      </c>
      <c r="E22" s="138" t="s">
        <v>106</v>
      </c>
      <c r="F22" s="138" t="s">
        <v>19</v>
      </c>
      <c r="G22" s="138"/>
      <c r="H22" s="138" t="s">
        <v>107</v>
      </c>
      <c r="I22" s="138" t="s">
        <v>108</v>
      </c>
      <c r="J22" s="138" t="s">
        <v>109</v>
      </c>
      <c r="K22" s="138" t="s">
        <v>110</v>
      </c>
      <c r="L22" s="138"/>
    </row>
    <row r="23" customFormat="false" ht="18" hidden="false" customHeight="false" outlineLevel="0" collapsed="false">
      <c r="A23" s="139" t="n">
        <v>1</v>
      </c>
      <c r="B23" s="139" t="n">
        <v>2</v>
      </c>
      <c r="C23" s="139" t="n">
        <v>3</v>
      </c>
      <c r="D23" s="139" t="n">
        <v>4</v>
      </c>
      <c r="E23" s="139" t="n">
        <v>5</v>
      </c>
      <c r="F23" s="139" t="n">
        <v>6</v>
      </c>
      <c r="G23" s="139" t="n">
        <v>7</v>
      </c>
      <c r="H23" s="139" t="n">
        <v>8</v>
      </c>
      <c r="I23" s="139" t="n">
        <v>9</v>
      </c>
      <c r="J23" s="139" t="n">
        <v>10</v>
      </c>
      <c r="K23" s="139" t="n">
        <v>11</v>
      </c>
      <c r="L23" s="139" t="n">
        <v>12</v>
      </c>
    </row>
    <row r="24" customFormat="false" ht="18" hidden="false" customHeight="false" outlineLevel="0" collapsed="false">
      <c r="A24" s="140" t="n">
        <v>1</v>
      </c>
      <c r="B24" s="140" t="s">
        <v>111</v>
      </c>
      <c r="C24" s="140" t="n">
        <v>7308</v>
      </c>
      <c r="D24" s="140" t="n">
        <v>6505</v>
      </c>
      <c r="E24" s="140" t="n">
        <v>6982</v>
      </c>
      <c r="F24" s="140" t="n">
        <v>12736</v>
      </c>
      <c r="G24" s="140" t="n">
        <v>12736</v>
      </c>
      <c r="H24" s="140" t="n">
        <v>13114</v>
      </c>
      <c r="I24" s="140"/>
      <c r="J24" s="140"/>
      <c r="K24" s="140"/>
      <c r="L24" s="140"/>
    </row>
    <row r="25" customFormat="false" ht="18" hidden="false" customHeight="false" outlineLevel="0" collapsed="false">
      <c r="A25" s="140" t="n">
        <v>2</v>
      </c>
      <c r="B25" s="140" t="s">
        <v>112</v>
      </c>
      <c r="C25" s="140" t="n">
        <v>0</v>
      </c>
      <c r="D25" s="140" t="n">
        <v>0</v>
      </c>
      <c r="E25" s="140" t="n">
        <v>0</v>
      </c>
      <c r="F25" s="140" t="n">
        <v>0</v>
      </c>
      <c r="G25" s="140" t="n">
        <v>0</v>
      </c>
      <c r="H25" s="140" t="n">
        <v>0</v>
      </c>
      <c r="I25" s="140"/>
      <c r="J25" s="140"/>
      <c r="K25" s="140"/>
      <c r="L25" s="141"/>
    </row>
    <row r="26" customFormat="false" ht="18" hidden="false" customHeight="false" outlineLevel="0" collapsed="false">
      <c r="A26" s="140" t="n">
        <v>3</v>
      </c>
      <c r="B26" s="140" t="s">
        <v>121</v>
      </c>
      <c r="C26" s="140" t="n">
        <v>21</v>
      </c>
      <c r="D26" s="140" t="n">
        <v>23</v>
      </c>
      <c r="E26" s="140" t="n">
        <v>21</v>
      </c>
      <c r="F26" s="140" t="n">
        <v>26</v>
      </c>
      <c r="G26" s="140" t="n">
        <v>26</v>
      </c>
      <c r="H26" s="140" t="n">
        <v>40</v>
      </c>
      <c r="I26" s="140"/>
      <c r="J26" s="140"/>
      <c r="K26" s="140"/>
      <c r="L26" s="140"/>
    </row>
    <row r="27" customFormat="false" ht="18" hidden="false" customHeight="false" outlineLevel="0" collapsed="false">
      <c r="A27" s="140" t="n">
        <v>4</v>
      </c>
      <c r="B27" s="140" t="s">
        <v>114</v>
      </c>
      <c r="C27" s="140" t="n">
        <v>31</v>
      </c>
      <c r="D27" s="140" t="n">
        <v>29</v>
      </c>
      <c r="E27" s="140" t="n">
        <v>0</v>
      </c>
      <c r="F27" s="140" t="n">
        <v>83</v>
      </c>
      <c r="G27" s="140" t="n">
        <v>83</v>
      </c>
      <c r="H27" s="140" t="n">
        <v>83</v>
      </c>
      <c r="I27" s="140"/>
      <c r="J27" s="140"/>
      <c r="K27" s="140"/>
      <c r="L27" s="140"/>
    </row>
    <row r="28" customFormat="false" ht="18" hidden="false" customHeight="false" outlineLevel="0" collapsed="false">
      <c r="A28" s="140" t="n">
        <v>4</v>
      </c>
      <c r="B28" s="140" t="s">
        <v>115</v>
      </c>
      <c r="C28" s="140" t="n">
        <v>99</v>
      </c>
      <c r="D28" s="140" t="n">
        <v>74</v>
      </c>
      <c r="E28" s="140" t="n">
        <v>20</v>
      </c>
      <c r="F28" s="140" t="n">
        <v>205</v>
      </c>
      <c r="G28" s="140" t="n">
        <v>205</v>
      </c>
      <c r="H28" s="140" t="n">
        <v>205</v>
      </c>
      <c r="I28" s="140"/>
      <c r="J28" s="140"/>
      <c r="K28" s="140"/>
      <c r="L28" s="140"/>
    </row>
    <row r="29" customFormat="false" ht="18" hidden="false" customHeight="false" outlineLevel="0" collapsed="false">
      <c r="A29" s="140" t="n">
        <v>5</v>
      </c>
      <c r="B29" s="140" t="s">
        <v>116</v>
      </c>
      <c r="C29" s="140" t="n">
        <v>0</v>
      </c>
      <c r="D29" s="140" t="n">
        <v>0</v>
      </c>
      <c r="E29" s="140" t="n">
        <v>0</v>
      </c>
      <c r="F29" s="140" t="n">
        <v>0</v>
      </c>
      <c r="G29" s="140" t="n">
        <v>0</v>
      </c>
      <c r="H29" s="140" t="n">
        <v>0</v>
      </c>
      <c r="I29" s="140"/>
      <c r="J29" s="140"/>
      <c r="K29" s="140"/>
      <c r="L29" s="140"/>
    </row>
    <row r="30" customFormat="false" ht="18" hidden="false" customHeight="false" outlineLevel="0" collapsed="false">
      <c r="A30" s="140" t="n">
        <v>7</v>
      </c>
      <c r="B30" s="140" t="s">
        <v>117</v>
      </c>
      <c r="C30" s="140" t="n">
        <v>0</v>
      </c>
      <c r="D30" s="140" t="n">
        <v>0</v>
      </c>
      <c r="E30" s="140" t="n">
        <v>0</v>
      </c>
      <c r="F30" s="140" t="n">
        <v>0</v>
      </c>
      <c r="G30" s="140" t="n">
        <v>0</v>
      </c>
      <c r="H30" s="140" t="n">
        <v>5</v>
      </c>
      <c r="I30" s="140"/>
      <c r="J30" s="140"/>
      <c r="K30" s="140"/>
      <c r="L30" s="140"/>
    </row>
    <row r="31" customFormat="false" ht="18" hidden="false" customHeight="false" outlineLevel="0" collapsed="false">
      <c r="A31" s="140" t="n">
        <v>8</v>
      </c>
      <c r="B31" s="140" t="s">
        <v>118</v>
      </c>
      <c r="C31" s="140" t="n">
        <v>0</v>
      </c>
      <c r="D31" s="140" t="n">
        <v>0</v>
      </c>
      <c r="E31" s="140" t="n">
        <v>0</v>
      </c>
      <c r="F31" s="140" t="n">
        <v>0</v>
      </c>
      <c r="G31" s="140" t="n">
        <v>0</v>
      </c>
      <c r="H31" s="140" t="n">
        <v>0</v>
      </c>
      <c r="I31" s="140"/>
      <c r="J31" s="140"/>
      <c r="K31" s="140"/>
      <c r="L31" s="140"/>
    </row>
    <row r="32" customFormat="false" ht="18" hidden="false" customHeight="false" outlineLevel="0" collapsed="false">
      <c r="A32" s="142" t="n">
        <v>9</v>
      </c>
      <c r="B32" s="140" t="s">
        <v>119</v>
      </c>
      <c r="C32" s="140" t="n">
        <v>0</v>
      </c>
      <c r="D32" s="140" t="n">
        <v>0</v>
      </c>
      <c r="E32" s="140" t="n">
        <v>0</v>
      </c>
      <c r="F32" s="140" t="n">
        <v>0</v>
      </c>
      <c r="G32" s="140" t="n">
        <v>0</v>
      </c>
      <c r="H32" s="140" t="n">
        <v>0</v>
      </c>
      <c r="I32" s="140"/>
      <c r="J32" s="140"/>
      <c r="K32" s="140"/>
      <c r="L32" s="140"/>
    </row>
    <row r="33" customFormat="false" ht="18.75" hidden="false" customHeight="false" outlineLevel="0" collapsed="false">
      <c r="A33" s="143"/>
      <c r="B33" s="144" t="s">
        <v>64</v>
      </c>
      <c r="C33" s="143" t="n">
        <f aca="false">SUM(C24:C32)</f>
        <v>7459</v>
      </c>
      <c r="D33" s="143" t="n">
        <f aca="false">SUM(D24:D32)</f>
        <v>6631</v>
      </c>
      <c r="E33" s="143" t="n">
        <f aca="false">SUM(E24:E32)</f>
        <v>7023</v>
      </c>
      <c r="F33" s="143" t="n">
        <f aca="false">SUM(F24:F32)</f>
        <v>13050</v>
      </c>
      <c r="G33" s="143" t="n">
        <f aca="false">SUM(G24:G32)</f>
        <v>13050</v>
      </c>
      <c r="H33" s="143" t="n">
        <f aca="false">SUM(H24:H32)</f>
        <v>13447</v>
      </c>
      <c r="I33" s="143" t="n">
        <f aca="false">SUM(I24:I32)</f>
        <v>0</v>
      </c>
      <c r="J33" s="143" t="n">
        <f aca="false">SUM(J24:J32)</f>
        <v>0</v>
      </c>
      <c r="K33" s="143" t="n">
        <f aca="false">SUM(K24:K32)</f>
        <v>0</v>
      </c>
      <c r="L33" s="143" t="n">
        <f aca="false">SUM(L24:L32)</f>
        <v>0</v>
      </c>
    </row>
    <row r="34" customFormat="false" ht="18.75" hidden="false" customHeight="false" outlineLevel="0" collapsed="false">
      <c r="A34" s="145"/>
      <c r="B34" s="146"/>
      <c r="C34" s="145"/>
      <c r="D34" s="145"/>
      <c r="E34" s="145"/>
      <c r="F34" s="145"/>
      <c r="G34" s="145"/>
      <c r="H34" s="145"/>
      <c r="I34" s="145"/>
      <c r="J34" s="145"/>
      <c r="K34" s="145"/>
      <c r="L34" s="145"/>
    </row>
    <row r="35" customFormat="false" ht="18" hidden="false" customHeight="false" outlineLevel="0" collapsed="false">
      <c r="A35" s="84" t="str">
        <f aca="false">$A$1</f>
        <v>प्रपत्र - अ  - अर्थसंकल्पीय अंदाजपत्रक सन 2021-2022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</row>
    <row r="36" customFormat="false" ht="18" hidden="false" customHeight="false" outlineLevel="0" collapsed="false">
      <c r="A36" s="84" t="s">
        <v>1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</row>
    <row r="37" customFormat="false" ht="18" hidden="false" customHeight="true" outlineLevel="0" collapsed="false">
      <c r="A37" s="135" t="s">
        <v>45</v>
      </c>
      <c r="B37" s="135"/>
      <c r="C37" s="135"/>
      <c r="D37" s="136"/>
      <c r="E37" s="136"/>
      <c r="F37" s="136"/>
      <c r="G37" s="136"/>
      <c r="H37" s="136"/>
      <c r="I37" s="136"/>
      <c r="J37" s="136"/>
      <c r="K37" s="136"/>
      <c r="L37" s="137" t="s">
        <v>3</v>
      </c>
    </row>
    <row r="38" customFormat="false" ht="42" hidden="false" customHeight="true" outlineLevel="0" collapsed="false">
      <c r="A38" s="138" t="s">
        <v>97</v>
      </c>
      <c r="B38" s="138" t="s">
        <v>98</v>
      </c>
      <c r="C38" s="138" t="s">
        <v>99</v>
      </c>
      <c r="D38" s="138"/>
      <c r="E38" s="138"/>
      <c r="F38" s="138" t="s">
        <v>100</v>
      </c>
      <c r="G38" s="138" t="s">
        <v>101</v>
      </c>
      <c r="H38" s="138" t="s">
        <v>102</v>
      </c>
      <c r="I38" s="138"/>
      <c r="J38" s="138"/>
      <c r="K38" s="138"/>
      <c r="L38" s="138" t="s">
        <v>103</v>
      </c>
    </row>
    <row r="39" customFormat="false" ht="69" hidden="false" customHeight="true" outlineLevel="0" collapsed="false">
      <c r="A39" s="138"/>
      <c r="B39" s="138"/>
      <c r="C39" s="138" t="s">
        <v>104</v>
      </c>
      <c r="D39" s="138" t="s">
        <v>105</v>
      </c>
      <c r="E39" s="138" t="s">
        <v>106</v>
      </c>
      <c r="F39" s="138" t="s">
        <v>19</v>
      </c>
      <c r="G39" s="138"/>
      <c r="H39" s="138" t="s">
        <v>107</v>
      </c>
      <c r="I39" s="138" t="s">
        <v>108</v>
      </c>
      <c r="J39" s="138" t="s">
        <v>109</v>
      </c>
      <c r="K39" s="138" t="s">
        <v>110</v>
      </c>
      <c r="L39" s="138"/>
    </row>
    <row r="40" customFormat="false" ht="18" hidden="false" customHeight="false" outlineLevel="0" collapsed="false">
      <c r="A40" s="139" t="n">
        <v>1</v>
      </c>
      <c r="B40" s="139" t="n">
        <v>2</v>
      </c>
      <c r="C40" s="139" t="n">
        <v>3</v>
      </c>
      <c r="D40" s="139" t="n">
        <v>4</v>
      </c>
      <c r="E40" s="139" t="n">
        <v>5</v>
      </c>
      <c r="F40" s="139" t="n">
        <v>6</v>
      </c>
      <c r="G40" s="139" t="n">
        <v>7</v>
      </c>
      <c r="H40" s="139" t="n">
        <v>8</v>
      </c>
      <c r="I40" s="139" t="n">
        <v>9</v>
      </c>
      <c r="J40" s="139" t="n">
        <v>10</v>
      </c>
      <c r="K40" s="139" t="n">
        <v>11</v>
      </c>
      <c r="L40" s="139" t="n">
        <v>12</v>
      </c>
    </row>
    <row r="41" customFormat="false" ht="18" hidden="false" customHeight="false" outlineLevel="0" collapsed="false">
      <c r="A41" s="140" t="n">
        <v>1</v>
      </c>
      <c r="B41" s="140" t="s">
        <v>111</v>
      </c>
      <c r="C41" s="140" t="n">
        <v>3475</v>
      </c>
      <c r="D41" s="140" t="n">
        <v>3009</v>
      </c>
      <c r="E41" s="140" t="n">
        <v>3313</v>
      </c>
      <c r="F41" s="140" t="n">
        <v>6225</v>
      </c>
      <c r="G41" s="140" t="n">
        <v>6250</v>
      </c>
      <c r="H41" s="140" t="n">
        <v>6380</v>
      </c>
      <c r="I41" s="140"/>
      <c r="J41" s="140"/>
      <c r="K41" s="140"/>
      <c r="L41" s="140"/>
    </row>
    <row r="42" customFormat="false" ht="18" hidden="false" customHeight="false" outlineLevel="0" collapsed="false">
      <c r="A42" s="140" t="n">
        <v>2</v>
      </c>
      <c r="B42" s="140" t="s">
        <v>112</v>
      </c>
      <c r="C42" s="140" t="n">
        <v>0</v>
      </c>
      <c r="D42" s="140" t="n">
        <v>0</v>
      </c>
      <c r="E42" s="140" t="n">
        <v>0</v>
      </c>
      <c r="F42" s="140" t="n">
        <v>0</v>
      </c>
      <c r="G42" s="140" t="n">
        <v>0</v>
      </c>
      <c r="H42" s="140" t="n">
        <v>0</v>
      </c>
      <c r="I42" s="140"/>
      <c r="J42" s="140"/>
      <c r="K42" s="140"/>
      <c r="L42" s="141"/>
    </row>
    <row r="43" customFormat="false" ht="18" hidden="false" customHeight="false" outlineLevel="0" collapsed="false">
      <c r="A43" s="140" t="n">
        <v>3</v>
      </c>
      <c r="B43" s="140" t="s">
        <v>121</v>
      </c>
      <c r="C43" s="140" t="n">
        <v>42</v>
      </c>
      <c r="D43" s="140" t="n">
        <v>52</v>
      </c>
      <c r="E43" s="140" t="n">
        <v>0</v>
      </c>
      <c r="F43" s="140" t="n">
        <v>200</v>
      </c>
      <c r="G43" s="140" t="n">
        <v>200</v>
      </c>
      <c r="H43" s="140" t="n">
        <v>300</v>
      </c>
      <c r="I43" s="140"/>
      <c r="J43" s="140"/>
      <c r="K43" s="140"/>
      <c r="L43" s="140"/>
    </row>
    <row r="44" customFormat="false" ht="18" hidden="false" customHeight="false" outlineLevel="0" collapsed="false">
      <c r="A44" s="140" t="n">
        <v>4</v>
      </c>
      <c r="B44" s="140" t="s">
        <v>114</v>
      </c>
      <c r="C44" s="140" t="n">
        <v>0</v>
      </c>
      <c r="D44" s="140" t="n">
        <v>0</v>
      </c>
      <c r="E44" s="140" t="n">
        <v>0</v>
      </c>
      <c r="F44" s="140" t="n">
        <v>130</v>
      </c>
      <c r="G44" s="140" t="n">
        <v>130</v>
      </c>
      <c r="H44" s="140" t="n">
        <v>200</v>
      </c>
      <c r="I44" s="140"/>
      <c r="J44" s="140"/>
      <c r="K44" s="140"/>
      <c r="L44" s="140"/>
    </row>
    <row r="45" customFormat="false" ht="18" hidden="false" customHeight="false" outlineLevel="0" collapsed="false">
      <c r="A45" s="140" t="n">
        <v>4</v>
      </c>
      <c r="B45" s="140" t="s">
        <v>115</v>
      </c>
      <c r="C45" s="140" t="n">
        <v>41</v>
      </c>
      <c r="D45" s="140" t="n">
        <v>26</v>
      </c>
      <c r="E45" s="140" t="n">
        <v>18</v>
      </c>
      <c r="F45" s="140" t="n">
        <v>210</v>
      </c>
      <c r="G45" s="140" t="n">
        <v>210</v>
      </c>
      <c r="H45" s="140" t="n">
        <v>300</v>
      </c>
      <c r="I45" s="140"/>
      <c r="J45" s="140"/>
      <c r="K45" s="140"/>
      <c r="L45" s="140"/>
    </row>
    <row r="46" customFormat="false" ht="18" hidden="false" customHeight="false" outlineLevel="0" collapsed="false">
      <c r="A46" s="140" t="n">
        <v>5</v>
      </c>
      <c r="B46" s="140" t="s">
        <v>116</v>
      </c>
      <c r="C46" s="140" t="n">
        <v>0</v>
      </c>
      <c r="D46" s="140" t="n">
        <v>0</v>
      </c>
      <c r="E46" s="140" t="n">
        <v>0</v>
      </c>
      <c r="F46" s="140" t="n">
        <v>50</v>
      </c>
      <c r="G46" s="140" t="n">
        <v>50</v>
      </c>
      <c r="H46" s="140" t="n">
        <v>50</v>
      </c>
      <c r="I46" s="140"/>
      <c r="J46" s="140"/>
      <c r="K46" s="140"/>
      <c r="L46" s="140"/>
    </row>
    <row r="47" customFormat="false" ht="18" hidden="false" customHeight="false" outlineLevel="0" collapsed="false">
      <c r="A47" s="140" t="n">
        <v>7</v>
      </c>
      <c r="B47" s="140" t="s">
        <v>117</v>
      </c>
      <c r="C47" s="140" t="n">
        <v>0</v>
      </c>
      <c r="D47" s="140" t="n">
        <v>13</v>
      </c>
      <c r="E47" s="140" t="n">
        <v>0</v>
      </c>
      <c r="F47" s="140" t="n">
        <v>160</v>
      </c>
      <c r="G47" s="140" t="n">
        <v>160</v>
      </c>
      <c r="H47" s="140" t="n">
        <v>160</v>
      </c>
      <c r="I47" s="140"/>
      <c r="J47" s="140"/>
      <c r="K47" s="140"/>
      <c r="L47" s="140"/>
    </row>
    <row r="48" customFormat="false" ht="18" hidden="false" customHeight="false" outlineLevel="0" collapsed="false">
      <c r="A48" s="140" t="n">
        <v>8</v>
      </c>
      <c r="B48" s="140" t="s">
        <v>118</v>
      </c>
      <c r="C48" s="140" t="n">
        <v>0</v>
      </c>
      <c r="D48" s="140" t="n">
        <v>0</v>
      </c>
      <c r="E48" s="140" t="n">
        <v>0</v>
      </c>
      <c r="F48" s="140" t="n">
        <v>0</v>
      </c>
      <c r="G48" s="140" t="n">
        <v>0</v>
      </c>
      <c r="H48" s="140" t="n">
        <v>0</v>
      </c>
      <c r="I48" s="140"/>
      <c r="J48" s="140"/>
      <c r="K48" s="140"/>
      <c r="L48" s="140"/>
    </row>
    <row r="49" customFormat="false" ht="18" hidden="false" customHeight="false" outlineLevel="0" collapsed="false">
      <c r="A49" s="142" t="n">
        <v>9</v>
      </c>
      <c r="B49" s="140" t="s">
        <v>119</v>
      </c>
      <c r="C49" s="140" t="n">
        <v>0</v>
      </c>
      <c r="D49" s="140" t="n">
        <v>0</v>
      </c>
      <c r="E49" s="140" t="n">
        <v>0</v>
      </c>
      <c r="F49" s="140" t="n">
        <v>0</v>
      </c>
      <c r="G49" s="140" t="n">
        <v>0</v>
      </c>
      <c r="H49" s="140" t="n">
        <v>0</v>
      </c>
      <c r="I49" s="140"/>
      <c r="J49" s="140"/>
      <c r="K49" s="140"/>
      <c r="L49" s="140"/>
    </row>
    <row r="50" customFormat="false" ht="18.75" hidden="false" customHeight="false" outlineLevel="0" collapsed="false">
      <c r="A50" s="143"/>
      <c r="B50" s="144" t="s">
        <v>64</v>
      </c>
      <c r="C50" s="143" t="n">
        <f aca="false">SUM(C41:C49)</f>
        <v>3558</v>
      </c>
      <c r="D50" s="143" t="n">
        <f aca="false">SUM(D41:D49)</f>
        <v>3100</v>
      </c>
      <c r="E50" s="143" t="n">
        <f aca="false">SUM(E41:E49)</f>
        <v>3331</v>
      </c>
      <c r="F50" s="143" t="n">
        <f aca="false">SUM(F41:F49)</f>
        <v>6975</v>
      </c>
      <c r="G50" s="143" t="n">
        <f aca="false">SUM(G41:G49)</f>
        <v>7000</v>
      </c>
      <c r="H50" s="143" t="n">
        <f aca="false">SUM(H41:H49)</f>
        <v>7390</v>
      </c>
      <c r="I50" s="143" t="n">
        <f aca="false">SUM(I41:I49)</f>
        <v>0</v>
      </c>
      <c r="J50" s="143" t="n">
        <f aca="false">SUM(J41:J49)</f>
        <v>0</v>
      </c>
      <c r="K50" s="143" t="n">
        <f aca="false">SUM(K41:K49)</f>
        <v>0</v>
      </c>
      <c r="L50" s="143" t="n">
        <f aca="false">SUM(L41:L49)</f>
        <v>0</v>
      </c>
    </row>
    <row r="51" customFormat="false" ht="18.75" hidden="false" customHeight="true" outlineLevel="0" collapsed="false">
      <c r="A51" s="84" t="str">
        <f aca="false">$A$1</f>
        <v>प्रपत्र - अ  - अर्थसंकल्पीय अंदाजपत्रक सन 2021-2022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</row>
    <row r="52" customFormat="false" ht="18" hidden="false" customHeight="true" outlineLevel="0" collapsed="false">
      <c r="A52" s="84" t="s">
        <v>1</v>
      </c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</row>
    <row r="53" customFormat="false" ht="18" hidden="false" customHeight="true" outlineLevel="0" collapsed="false">
      <c r="A53" s="135" t="s">
        <v>47</v>
      </c>
      <c r="B53" s="135"/>
      <c r="C53" s="135"/>
      <c r="D53" s="136"/>
      <c r="E53" s="136"/>
      <c r="F53" s="136"/>
      <c r="G53" s="136"/>
      <c r="H53" s="136"/>
      <c r="I53" s="136"/>
      <c r="J53" s="136"/>
      <c r="K53" s="136"/>
      <c r="L53" s="137" t="s">
        <v>3</v>
      </c>
    </row>
    <row r="54" customFormat="false" ht="34.5" hidden="false" customHeight="true" outlineLevel="0" collapsed="false">
      <c r="A54" s="138" t="s">
        <v>97</v>
      </c>
      <c r="B54" s="138" t="s">
        <v>98</v>
      </c>
      <c r="C54" s="138" t="s">
        <v>99</v>
      </c>
      <c r="D54" s="138"/>
      <c r="E54" s="138"/>
      <c r="F54" s="138" t="s">
        <v>100</v>
      </c>
      <c r="G54" s="138" t="s">
        <v>101</v>
      </c>
      <c r="H54" s="138" t="s">
        <v>102</v>
      </c>
      <c r="I54" s="138"/>
      <c r="J54" s="138"/>
      <c r="K54" s="138"/>
      <c r="L54" s="138" t="s">
        <v>103</v>
      </c>
    </row>
    <row r="55" customFormat="false" ht="54" hidden="false" customHeight="false" outlineLevel="0" collapsed="false">
      <c r="A55" s="138"/>
      <c r="B55" s="138"/>
      <c r="C55" s="138" t="s">
        <v>104</v>
      </c>
      <c r="D55" s="138" t="s">
        <v>105</v>
      </c>
      <c r="E55" s="138" t="s">
        <v>106</v>
      </c>
      <c r="F55" s="138" t="s">
        <v>19</v>
      </c>
      <c r="G55" s="138"/>
      <c r="H55" s="138" t="s">
        <v>107</v>
      </c>
      <c r="I55" s="138" t="s">
        <v>108</v>
      </c>
      <c r="J55" s="138" t="s">
        <v>109</v>
      </c>
      <c r="K55" s="138" t="s">
        <v>110</v>
      </c>
      <c r="L55" s="138"/>
    </row>
    <row r="56" customFormat="false" ht="18" hidden="false" customHeight="false" outlineLevel="0" collapsed="false">
      <c r="A56" s="139" t="n">
        <v>1</v>
      </c>
      <c r="B56" s="139" t="n">
        <v>2</v>
      </c>
      <c r="C56" s="139" t="n">
        <v>3</v>
      </c>
      <c r="D56" s="139" t="n">
        <v>4</v>
      </c>
      <c r="E56" s="139" t="n">
        <v>5</v>
      </c>
      <c r="F56" s="139" t="n">
        <v>6</v>
      </c>
      <c r="G56" s="139" t="n">
        <v>7</v>
      </c>
      <c r="H56" s="139" t="n">
        <v>8</v>
      </c>
      <c r="I56" s="139" t="n">
        <v>9</v>
      </c>
      <c r="J56" s="139" t="n">
        <v>10</v>
      </c>
      <c r="K56" s="139" t="n">
        <v>11</v>
      </c>
      <c r="L56" s="139" t="n">
        <v>12</v>
      </c>
    </row>
    <row r="57" customFormat="false" ht="18" hidden="false" customHeight="false" outlineLevel="0" collapsed="false">
      <c r="A57" s="140" t="n">
        <v>1</v>
      </c>
      <c r="B57" s="140" t="s">
        <v>111</v>
      </c>
      <c r="C57" s="140" t="n">
        <v>2816</v>
      </c>
      <c r="D57" s="140" t="n">
        <v>3397</v>
      </c>
      <c r="E57" s="140" t="n">
        <v>5836</v>
      </c>
      <c r="F57" s="140" t="n">
        <v>8113</v>
      </c>
      <c r="G57" s="140" t="n">
        <v>8150</v>
      </c>
      <c r="H57" s="140" t="n">
        <v>8915</v>
      </c>
      <c r="I57" s="140"/>
      <c r="J57" s="140"/>
      <c r="K57" s="140"/>
      <c r="L57" s="140"/>
    </row>
    <row r="58" customFormat="false" ht="18" hidden="false" customHeight="false" outlineLevel="0" collapsed="false">
      <c r="A58" s="140" t="n">
        <v>2</v>
      </c>
      <c r="B58" s="140" t="s">
        <v>112</v>
      </c>
      <c r="C58" s="140" t="n">
        <v>0</v>
      </c>
      <c r="D58" s="140" t="n">
        <v>0</v>
      </c>
      <c r="E58" s="140" t="n">
        <v>0</v>
      </c>
      <c r="F58" s="140" t="n">
        <v>0</v>
      </c>
      <c r="G58" s="140" t="n">
        <v>0</v>
      </c>
      <c r="H58" s="140" t="n">
        <v>0</v>
      </c>
      <c r="I58" s="140"/>
      <c r="J58" s="140"/>
      <c r="K58" s="140"/>
      <c r="L58" s="140"/>
    </row>
    <row r="59" customFormat="false" ht="18" hidden="false" customHeight="false" outlineLevel="0" collapsed="false">
      <c r="A59" s="140" t="n">
        <v>3</v>
      </c>
      <c r="B59" s="140" t="s">
        <v>121</v>
      </c>
      <c r="C59" s="140" t="n">
        <v>0</v>
      </c>
      <c r="D59" s="140" t="n">
        <v>0</v>
      </c>
      <c r="E59" s="140" t="n">
        <v>0</v>
      </c>
      <c r="F59" s="140" t="n">
        <v>60</v>
      </c>
      <c r="G59" s="140" t="n">
        <v>60</v>
      </c>
      <c r="H59" s="140" t="n">
        <v>60</v>
      </c>
      <c r="I59" s="140"/>
      <c r="J59" s="140"/>
      <c r="K59" s="140"/>
      <c r="L59" s="140"/>
    </row>
    <row r="60" customFormat="false" ht="18" hidden="false" customHeight="false" outlineLevel="0" collapsed="false">
      <c r="A60" s="140" t="n">
        <v>4</v>
      </c>
      <c r="B60" s="140" t="s">
        <v>114</v>
      </c>
      <c r="C60" s="140" t="n">
        <v>39</v>
      </c>
      <c r="D60" s="140" t="n">
        <v>11</v>
      </c>
      <c r="E60" s="140" t="n">
        <v>13</v>
      </c>
      <c r="F60" s="140" t="n">
        <v>60</v>
      </c>
      <c r="G60" s="140" t="n">
        <v>60</v>
      </c>
      <c r="H60" s="140" t="n">
        <v>60</v>
      </c>
      <c r="I60" s="140"/>
      <c r="J60" s="140"/>
      <c r="K60" s="140"/>
      <c r="L60" s="140"/>
    </row>
    <row r="61" customFormat="false" ht="18" hidden="false" customHeight="false" outlineLevel="0" collapsed="false">
      <c r="A61" s="140" t="n">
        <v>4</v>
      </c>
      <c r="B61" s="140" t="s">
        <v>115</v>
      </c>
      <c r="C61" s="140" t="n">
        <v>64</v>
      </c>
      <c r="D61" s="140" t="n">
        <v>31</v>
      </c>
      <c r="E61" s="140" t="n">
        <v>24</v>
      </c>
      <c r="F61" s="140" t="n">
        <v>80</v>
      </c>
      <c r="G61" s="140" t="n">
        <v>80</v>
      </c>
      <c r="H61" s="140" t="n">
        <v>80</v>
      </c>
      <c r="I61" s="140"/>
      <c r="J61" s="140"/>
      <c r="K61" s="140"/>
      <c r="L61" s="140"/>
    </row>
    <row r="62" customFormat="false" ht="18" hidden="false" customHeight="false" outlineLevel="0" collapsed="false">
      <c r="A62" s="140" t="n">
        <v>5</v>
      </c>
      <c r="B62" s="140" t="s">
        <v>116</v>
      </c>
      <c r="C62" s="140" t="n">
        <v>0</v>
      </c>
      <c r="D62" s="140" t="n">
        <v>0</v>
      </c>
      <c r="E62" s="140" t="n">
        <v>0</v>
      </c>
      <c r="F62" s="140" t="n">
        <v>0</v>
      </c>
      <c r="G62" s="140" t="n">
        <v>0</v>
      </c>
      <c r="H62" s="140" t="n">
        <v>0</v>
      </c>
      <c r="I62" s="140"/>
      <c r="J62" s="140"/>
      <c r="K62" s="140"/>
      <c r="L62" s="140"/>
    </row>
    <row r="63" customFormat="false" ht="18" hidden="false" customHeight="false" outlineLevel="0" collapsed="false">
      <c r="A63" s="140" t="n">
        <v>7</v>
      </c>
      <c r="B63" s="140" t="s">
        <v>117</v>
      </c>
      <c r="C63" s="140" t="n">
        <v>0</v>
      </c>
      <c r="D63" s="140" t="n">
        <v>4</v>
      </c>
      <c r="E63" s="140" t="n">
        <v>0</v>
      </c>
      <c r="F63" s="140" t="n">
        <v>60</v>
      </c>
      <c r="G63" s="140" t="n">
        <v>20</v>
      </c>
      <c r="H63" s="140" t="n">
        <v>20</v>
      </c>
      <c r="I63" s="140"/>
      <c r="J63" s="140"/>
      <c r="K63" s="140"/>
      <c r="L63" s="140"/>
    </row>
    <row r="64" customFormat="false" ht="18" hidden="false" customHeight="false" outlineLevel="0" collapsed="false">
      <c r="A64" s="140" t="n">
        <v>8</v>
      </c>
      <c r="B64" s="140" t="s">
        <v>118</v>
      </c>
      <c r="C64" s="140" t="n">
        <v>0</v>
      </c>
      <c r="D64" s="140" t="n">
        <v>0</v>
      </c>
      <c r="E64" s="140" t="n">
        <v>0</v>
      </c>
      <c r="F64" s="140" t="n">
        <v>0</v>
      </c>
      <c r="G64" s="140" t="n">
        <v>0</v>
      </c>
      <c r="H64" s="140" t="n">
        <v>0</v>
      </c>
      <c r="I64" s="140"/>
      <c r="J64" s="140"/>
      <c r="K64" s="140"/>
      <c r="L64" s="140"/>
    </row>
    <row r="65" customFormat="false" ht="18" hidden="false" customHeight="false" outlineLevel="0" collapsed="false">
      <c r="A65" s="142" t="n">
        <v>9</v>
      </c>
      <c r="B65" s="140" t="s">
        <v>119</v>
      </c>
      <c r="C65" s="140" t="n">
        <v>0</v>
      </c>
      <c r="D65" s="140" t="n">
        <v>0</v>
      </c>
      <c r="E65" s="140" t="n">
        <v>0</v>
      </c>
      <c r="F65" s="140" t="n">
        <v>0</v>
      </c>
      <c r="G65" s="140" t="n">
        <v>20</v>
      </c>
      <c r="H65" s="140" t="n">
        <v>20</v>
      </c>
      <c r="I65" s="140"/>
      <c r="J65" s="140"/>
      <c r="K65" s="140"/>
      <c r="L65" s="140"/>
    </row>
    <row r="66" customFormat="false" ht="18.75" hidden="false" customHeight="false" outlineLevel="0" collapsed="false">
      <c r="A66" s="143"/>
      <c r="B66" s="144" t="s">
        <v>64</v>
      </c>
      <c r="C66" s="143" t="n">
        <f aca="false">SUM(C57:C65)</f>
        <v>2919</v>
      </c>
      <c r="D66" s="143" t="n">
        <f aca="false">SUM(D57:D65)</f>
        <v>3443</v>
      </c>
      <c r="E66" s="143" t="n">
        <f aca="false">SUM(E57:E65)</f>
        <v>5873</v>
      </c>
      <c r="F66" s="143" t="n">
        <f aca="false">SUM(F57:F65)</f>
        <v>8373</v>
      </c>
      <c r="G66" s="143" t="n">
        <f aca="false">SUM(G57:G65)</f>
        <v>8390</v>
      </c>
      <c r="H66" s="143" t="n">
        <f aca="false">SUM(H57:H65)</f>
        <v>9155</v>
      </c>
      <c r="I66" s="143" t="n">
        <f aca="false">SUM(I57:I65)</f>
        <v>0</v>
      </c>
      <c r="J66" s="143" t="n">
        <f aca="false">SUM(J57:J65)</f>
        <v>0</v>
      </c>
      <c r="K66" s="143" t="n">
        <f aca="false">SUM(K57:K65)</f>
        <v>0</v>
      </c>
      <c r="L66" s="143" t="n">
        <v>0</v>
      </c>
    </row>
    <row r="67" customFormat="false" ht="18.75" hidden="false" customHeight="false" outlineLevel="0" collapsed="false">
      <c r="A67" s="145"/>
      <c r="B67" s="146"/>
      <c r="C67" s="145"/>
      <c r="D67" s="145"/>
      <c r="E67" s="145"/>
      <c r="F67" s="145"/>
      <c r="G67" s="145"/>
      <c r="H67" s="145"/>
      <c r="I67" s="145"/>
      <c r="J67" s="145"/>
      <c r="K67" s="145"/>
      <c r="L67" s="145"/>
    </row>
    <row r="68" customFormat="false" ht="18" hidden="false" customHeight="false" outlineLevel="0" collapsed="false">
      <c r="A68" s="84" t="str">
        <f aca="false">$A$1</f>
        <v>प्रपत्र - अ  - अर्थसंकल्पीय अंदाजपत्रक सन 2021-2022</v>
      </c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</row>
    <row r="69" customFormat="false" ht="18" hidden="false" customHeight="false" outlineLevel="0" collapsed="false">
      <c r="A69" s="84" t="s">
        <v>1</v>
      </c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</row>
    <row r="70" customFormat="false" ht="18" hidden="false" customHeight="true" outlineLevel="0" collapsed="false">
      <c r="A70" s="135" t="s">
        <v>49</v>
      </c>
      <c r="B70" s="135"/>
      <c r="C70" s="135"/>
      <c r="D70" s="136"/>
      <c r="E70" s="136"/>
      <c r="F70" s="136"/>
      <c r="G70" s="136"/>
      <c r="H70" s="136"/>
      <c r="I70" s="136"/>
      <c r="J70" s="136"/>
      <c r="K70" s="136"/>
      <c r="L70" s="137" t="s">
        <v>3</v>
      </c>
    </row>
    <row r="71" customFormat="false" ht="42" hidden="false" customHeight="true" outlineLevel="0" collapsed="false">
      <c r="A71" s="138" t="s">
        <v>97</v>
      </c>
      <c r="B71" s="138" t="s">
        <v>98</v>
      </c>
      <c r="C71" s="138" t="s">
        <v>99</v>
      </c>
      <c r="D71" s="138"/>
      <c r="E71" s="138"/>
      <c r="F71" s="138" t="s">
        <v>100</v>
      </c>
      <c r="G71" s="138" t="s">
        <v>101</v>
      </c>
      <c r="H71" s="138" t="s">
        <v>102</v>
      </c>
      <c r="I71" s="138"/>
      <c r="J71" s="138"/>
      <c r="K71" s="138"/>
      <c r="L71" s="138" t="s">
        <v>103</v>
      </c>
    </row>
    <row r="72" customFormat="false" ht="69" hidden="false" customHeight="true" outlineLevel="0" collapsed="false">
      <c r="A72" s="138"/>
      <c r="B72" s="138"/>
      <c r="C72" s="138" t="s">
        <v>104</v>
      </c>
      <c r="D72" s="138" t="s">
        <v>105</v>
      </c>
      <c r="E72" s="138" t="s">
        <v>106</v>
      </c>
      <c r="F72" s="138" t="s">
        <v>19</v>
      </c>
      <c r="G72" s="138"/>
      <c r="H72" s="138" t="s">
        <v>107</v>
      </c>
      <c r="I72" s="138" t="s">
        <v>108</v>
      </c>
      <c r="J72" s="138" t="s">
        <v>109</v>
      </c>
      <c r="K72" s="138" t="s">
        <v>110</v>
      </c>
      <c r="L72" s="138"/>
    </row>
    <row r="73" customFormat="false" ht="18" hidden="false" customHeight="false" outlineLevel="0" collapsed="false">
      <c r="A73" s="139" t="n">
        <v>1</v>
      </c>
      <c r="B73" s="139" t="n">
        <v>2</v>
      </c>
      <c r="C73" s="139" t="n">
        <v>3</v>
      </c>
      <c r="D73" s="139" t="n">
        <v>4</v>
      </c>
      <c r="E73" s="139" t="n">
        <v>5</v>
      </c>
      <c r="F73" s="139" t="n">
        <v>6</v>
      </c>
      <c r="G73" s="139" t="n">
        <v>7</v>
      </c>
      <c r="H73" s="139" t="n">
        <v>8</v>
      </c>
      <c r="I73" s="139" t="n">
        <v>9</v>
      </c>
      <c r="J73" s="139" t="n">
        <v>10</v>
      </c>
      <c r="K73" s="139" t="n">
        <v>11</v>
      </c>
      <c r="L73" s="139" t="n">
        <v>12</v>
      </c>
    </row>
    <row r="74" customFormat="false" ht="18" hidden="false" customHeight="false" outlineLevel="0" collapsed="false">
      <c r="A74" s="140" t="n">
        <v>1</v>
      </c>
      <c r="B74" s="140" t="s">
        <v>111</v>
      </c>
      <c r="C74" s="140" t="n">
        <v>5251</v>
      </c>
      <c r="D74" s="140" t="n">
        <v>6008</v>
      </c>
      <c r="E74" s="140" t="n">
        <v>6114</v>
      </c>
      <c r="F74" s="140" t="n">
        <v>11978</v>
      </c>
      <c r="G74" s="140" t="n">
        <v>11978</v>
      </c>
      <c r="H74" s="140" t="n">
        <v>10278</v>
      </c>
      <c r="I74" s="140"/>
      <c r="J74" s="140"/>
      <c r="K74" s="140"/>
      <c r="L74" s="140"/>
    </row>
    <row r="75" customFormat="false" ht="18" hidden="false" customHeight="false" outlineLevel="0" collapsed="false">
      <c r="A75" s="140" t="n">
        <v>2</v>
      </c>
      <c r="B75" s="140" t="s">
        <v>112</v>
      </c>
      <c r="C75" s="140" t="n">
        <v>0</v>
      </c>
      <c r="D75" s="140" t="n">
        <v>0</v>
      </c>
      <c r="E75" s="140" t="n">
        <v>0</v>
      </c>
      <c r="F75" s="140" t="n">
        <v>0</v>
      </c>
      <c r="G75" s="140" t="n">
        <v>0</v>
      </c>
      <c r="H75" s="140" t="n">
        <v>0</v>
      </c>
      <c r="I75" s="140"/>
      <c r="J75" s="140"/>
      <c r="K75" s="140"/>
      <c r="L75" s="141"/>
    </row>
    <row r="76" customFormat="false" ht="18" hidden="false" customHeight="false" outlineLevel="0" collapsed="false">
      <c r="A76" s="140" t="n">
        <v>3</v>
      </c>
      <c r="B76" s="140" t="s">
        <v>121</v>
      </c>
      <c r="C76" s="140" t="n">
        <v>3</v>
      </c>
      <c r="D76" s="140" t="n">
        <v>15</v>
      </c>
      <c r="E76" s="140" t="n">
        <v>17</v>
      </c>
      <c r="F76" s="140" t="n">
        <v>400</v>
      </c>
      <c r="G76" s="140" t="n">
        <v>400</v>
      </c>
      <c r="H76" s="140" t="n">
        <v>400</v>
      </c>
      <c r="I76" s="140"/>
      <c r="J76" s="140"/>
      <c r="K76" s="140"/>
      <c r="L76" s="140"/>
    </row>
    <row r="77" customFormat="false" ht="18" hidden="false" customHeight="false" outlineLevel="0" collapsed="false">
      <c r="A77" s="140" t="n">
        <v>4</v>
      </c>
      <c r="B77" s="140" t="s">
        <v>114</v>
      </c>
      <c r="C77" s="140" t="n">
        <v>69</v>
      </c>
      <c r="D77" s="140" t="n">
        <v>39</v>
      </c>
      <c r="E77" s="140" t="n">
        <v>65</v>
      </c>
      <c r="F77" s="140" t="n">
        <v>450</v>
      </c>
      <c r="G77" s="140" t="n">
        <v>450</v>
      </c>
      <c r="H77" s="140" t="n">
        <v>450</v>
      </c>
      <c r="I77" s="140"/>
      <c r="J77" s="140"/>
      <c r="K77" s="140"/>
      <c r="L77" s="140"/>
    </row>
    <row r="78" customFormat="false" ht="18" hidden="false" customHeight="false" outlineLevel="0" collapsed="false">
      <c r="A78" s="140" t="n">
        <v>4</v>
      </c>
      <c r="B78" s="140" t="s">
        <v>115</v>
      </c>
      <c r="C78" s="140" t="n">
        <v>95</v>
      </c>
      <c r="D78" s="140" t="n">
        <v>260</v>
      </c>
      <c r="E78" s="140" t="n">
        <v>227</v>
      </c>
      <c r="F78" s="140" t="n">
        <v>650</v>
      </c>
      <c r="G78" s="140" t="n">
        <v>650</v>
      </c>
      <c r="H78" s="140" t="n">
        <v>650</v>
      </c>
      <c r="I78" s="140"/>
      <c r="J78" s="140"/>
      <c r="K78" s="140"/>
      <c r="L78" s="140"/>
    </row>
    <row r="79" customFormat="false" ht="18" hidden="false" customHeight="false" outlineLevel="0" collapsed="false">
      <c r="A79" s="140" t="n">
        <v>5</v>
      </c>
      <c r="B79" s="140" t="s">
        <v>116</v>
      </c>
      <c r="C79" s="140" t="n">
        <v>0</v>
      </c>
      <c r="D79" s="140" t="n">
        <v>0</v>
      </c>
      <c r="E79" s="140" t="n">
        <v>0</v>
      </c>
      <c r="F79" s="140" t="n">
        <v>0</v>
      </c>
      <c r="G79" s="140" t="n">
        <v>0</v>
      </c>
      <c r="H79" s="140" t="n">
        <v>0</v>
      </c>
      <c r="I79" s="140"/>
      <c r="J79" s="140"/>
      <c r="K79" s="140"/>
      <c r="L79" s="140"/>
    </row>
    <row r="80" customFormat="false" ht="18" hidden="false" customHeight="false" outlineLevel="0" collapsed="false">
      <c r="A80" s="140" t="n">
        <v>7</v>
      </c>
      <c r="B80" s="140" t="s">
        <v>117</v>
      </c>
      <c r="C80" s="140" t="n">
        <v>0</v>
      </c>
      <c r="D80" s="140" t="n">
        <v>22</v>
      </c>
      <c r="E80" s="140" t="n">
        <v>9</v>
      </c>
      <c r="F80" s="140" t="n">
        <v>250</v>
      </c>
      <c r="G80" s="140" t="n">
        <v>250</v>
      </c>
      <c r="H80" s="140" t="n">
        <v>250</v>
      </c>
      <c r="I80" s="140"/>
      <c r="J80" s="140"/>
      <c r="K80" s="140"/>
      <c r="L80" s="140"/>
    </row>
    <row r="81" customFormat="false" ht="18" hidden="false" customHeight="false" outlineLevel="0" collapsed="false">
      <c r="A81" s="140" t="n">
        <v>8</v>
      </c>
      <c r="B81" s="140" t="s">
        <v>118</v>
      </c>
      <c r="C81" s="140" t="n">
        <v>0</v>
      </c>
      <c r="D81" s="140" t="n">
        <v>0</v>
      </c>
      <c r="E81" s="140" t="n">
        <v>0</v>
      </c>
      <c r="F81" s="140" t="n">
        <v>0</v>
      </c>
      <c r="G81" s="140" t="n">
        <v>0</v>
      </c>
      <c r="H81" s="140" t="n">
        <v>0</v>
      </c>
      <c r="I81" s="140"/>
      <c r="J81" s="140"/>
      <c r="K81" s="140"/>
      <c r="L81" s="140"/>
    </row>
    <row r="82" customFormat="false" ht="18" hidden="false" customHeight="false" outlineLevel="0" collapsed="false">
      <c r="A82" s="142" t="n">
        <v>9</v>
      </c>
      <c r="B82" s="140" t="s">
        <v>119</v>
      </c>
      <c r="C82" s="140" t="n">
        <v>0</v>
      </c>
      <c r="D82" s="140" t="n">
        <v>0</v>
      </c>
      <c r="E82" s="140" t="n">
        <v>0</v>
      </c>
      <c r="F82" s="140" t="n">
        <v>0</v>
      </c>
      <c r="G82" s="140" t="n">
        <v>0</v>
      </c>
      <c r="H82" s="140" t="n">
        <v>0</v>
      </c>
      <c r="I82" s="140"/>
      <c r="J82" s="140"/>
      <c r="K82" s="140"/>
      <c r="L82" s="140"/>
    </row>
    <row r="83" customFormat="false" ht="18.75" hidden="false" customHeight="false" outlineLevel="0" collapsed="false">
      <c r="A83" s="143"/>
      <c r="B83" s="144" t="s">
        <v>64</v>
      </c>
      <c r="C83" s="143" t="n">
        <f aca="false">SUM(C74:C82)</f>
        <v>5418</v>
      </c>
      <c r="D83" s="143" t="n">
        <f aca="false">SUM(D74:D82)</f>
        <v>6344</v>
      </c>
      <c r="E83" s="143" t="n">
        <f aca="false">SUM(E74:E82)</f>
        <v>6432</v>
      </c>
      <c r="F83" s="143" t="n">
        <f aca="false">SUM(F74:F82)</f>
        <v>13728</v>
      </c>
      <c r="G83" s="143" t="n">
        <f aca="false">SUM(G74:G82)</f>
        <v>13728</v>
      </c>
      <c r="H83" s="143" t="n">
        <f aca="false">SUM(H74:H82)</f>
        <v>12028</v>
      </c>
      <c r="I83" s="143" t="n">
        <v>0</v>
      </c>
      <c r="J83" s="143" t="n">
        <v>0</v>
      </c>
      <c r="K83" s="143" t="n">
        <v>0</v>
      </c>
      <c r="L83" s="143" t="n">
        <v>0</v>
      </c>
    </row>
    <row r="84" customFormat="false" ht="18.75" hidden="false" customHeight="false" outlineLevel="0" collapsed="false">
      <c r="A84" s="145"/>
      <c r="B84" s="146"/>
      <c r="C84" s="145"/>
      <c r="D84" s="145"/>
      <c r="E84" s="145"/>
      <c r="F84" s="145"/>
      <c r="G84" s="145"/>
      <c r="H84" s="145"/>
      <c r="I84" s="145"/>
      <c r="J84" s="145"/>
      <c r="K84" s="145"/>
      <c r="L84" s="145"/>
    </row>
    <row r="85" customFormat="false" ht="18" hidden="false" customHeight="true" outlineLevel="0" collapsed="false">
      <c r="A85" s="84" t="str">
        <f aca="false">$A$1</f>
        <v>प्रपत्र - अ  - अर्थसंकल्पीय अंदाजपत्रक सन 2021-2022</v>
      </c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</row>
    <row r="86" customFormat="false" ht="18" hidden="false" customHeight="true" outlineLevel="0" collapsed="false">
      <c r="A86" s="84" t="s">
        <v>1</v>
      </c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</row>
    <row r="87" customFormat="false" ht="18" hidden="false" customHeight="false" outlineLevel="0" collapsed="false">
      <c r="A87" s="135" t="s">
        <v>50</v>
      </c>
      <c r="B87" s="135"/>
      <c r="C87" s="135"/>
      <c r="D87" s="136"/>
      <c r="E87" s="136"/>
      <c r="F87" s="136"/>
      <c r="G87" s="136"/>
      <c r="H87" s="136"/>
      <c r="I87" s="136"/>
      <c r="J87" s="136"/>
      <c r="K87" s="136"/>
      <c r="L87" s="137" t="s">
        <v>3</v>
      </c>
    </row>
    <row r="88" customFormat="false" ht="42" hidden="false" customHeight="true" outlineLevel="0" collapsed="false">
      <c r="A88" s="138" t="s">
        <v>97</v>
      </c>
      <c r="B88" s="138" t="s">
        <v>98</v>
      </c>
      <c r="C88" s="138" t="s">
        <v>99</v>
      </c>
      <c r="D88" s="138"/>
      <c r="E88" s="138"/>
      <c r="F88" s="138" t="s">
        <v>100</v>
      </c>
      <c r="G88" s="138" t="s">
        <v>101</v>
      </c>
      <c r="H88" s="138" t="s">
        <v>102</v>
      </c>
      <c r="I88" s="138"/>
      <c r="J88" s="138"/>
      <c r="K88" s="138"/>
      <c r="L88" s="138" t="s">
        <v>103</v>
      </c>
    </row>
    <row r="89" customFormat="false" ht="69" hidden="false" customHeight="true" outlineLevel="0" collapsed="false">
      <c r="A89" s="138"/>
      <c r="B89" s="138"/>
      <c r="C89" s="138" t="s">
        <v>104</v>
      </c>
      <c r="D89" s="138" t="s">
        <v>105</v>
      </c>
      <c r="E89" s="138" t="s">
        <v>106</v>
      </c>
      <c r="F89" s="138" t="s">
        <v>19</v>
      </c>
      <c r="G89" s="138"/>
      <c r="H89" s="138" t="s">
        <v>107</v>
      </c>
      <c r="I89" s="138" t="s">
        <v>108</v>
      </c>
      <c r="J89" s="138" t="s">
        <v>109</v>
      </c>
      <c r="K89" s="138" t="s">
        <v>110</v>
      </c>
      <c r="L89" s="138"/>
    </row>
    <row r="90" customFormat="false" ht="18" hidden="false" customHeight="false" outlineLevel="0" collapsed="false">
      <c r="A90" s="139" t="n">
        <v>1</v>
      </c>
      <c r="B90" s="139" t="n">
        <v>2</v>
      </c>
      <c r="C90" s="139" t="n">
        <v>3</v>
      </c>
      <c r="D90" s="139" t="n">
        <v>4</v>
      </c>
      <c r="E90" s="139" t="n">
        <v>5</v>
      </c>
      <c r="F90" s="139" t="n">
        <v>6</v>
      </c>
      <c r="G90" s="139" t="n">
        <v>7</v>
      </c>
      <c r="H90" s="139" t="n">
        <v>8</v>
      </c>
      <c r="I90" s="139" t="n">
        <v>9</v>
      </c>
      <c r="J90" s="139" t="n">
        <v>10</v>
      </c>
      <c r="K90" s="139" t="n">
        <v>11</v>
      </c>
      <c r="L90" s="139" t="n">
        <v>12</v>
      </c>
    </row>
    <row r="91" customFormat="false" ht="18" hidden="false" customHeight="false" outlineLevel="0" collapsed="false">
      <c r="A91" s="140" t="n">
        <v>1</v>
      </c>
      <c r="B91" s="140" t="s">
        <v>111</v>
      </c>
      <c r="C91" s="140" t="n">
        <v>0</v>
      </c>
      <c r="D91" s="140" t="n">
        <v>0</v>
      </c>
      <c r="E91" s="140" t="n">
        <v>0</v>
      </c>
      <c r="F91" s="140" t="n">
        <v>0</v>
      </c>
      <c r="G91" s="140" t="n">
        <v>0</v>
      </c>
      <c r="H91" s="140" t="n">
        <v>0</v>
      </c>
      <c r="I91" s="140"/>
      <c r="J91" s="140"/>
      <c r="K91" s="140"/>
      <c r="L91" s="140"/>
    </row>
    <row r="92" customFormat="false" ht="18" hidden="false" customHeight="false" outlineLevel="0" collapsed="false">
      <c r="A92" s="140" t="n">
        <v>2</v>
      </c>
      <c r="B92" s="140" t="s">
        <v>112</v>
      </c>
      <c r="C92" s="140" t="n">
        <v>0</v>
      </c>
      <c r="D92" s="140" t="n">
        <v>0</v>
      </c>
      <c r="E92" s="140" t="n">
        <v>0</v>
      </c>
      <c r="F92" s="140" t="n">
        <v>0</v>
      </c>
      <c r="G92" s="140" t="n">
        <v>0</v>
      </c>
      <c r="H92" s="140" t="n">
        <v>0</v>
      </c>
      <c r="I92" s="140"/>
      <c r="J92" s="140"/>
      <c r="K92" s="140"/>
      <c r="L92" s="141"/>
    </row>
    <row r="93" customFormat="false" ht="18" hidden="false" customHeight="false" outlineLevel="0" collapsed="false">
      <c r="A93" s="140" t="n">
        <v>3</v>
      </c>
      <c r="B93" s="140" t="s">
        <v>121</v>
      </c>
      <c r="C93" s="140" t="n">
        <v>0</v>
      </c>
      <c r="D93" s="140" t="n">
        <v>0</v>
      </c>
      <c r="E93" s="140" t="n">
        <v>0</v>
      </c>
      <c r="F93" s="140" t="n">
        <v>0</v>
      </c>
      <c r="G93" s="140" t="n">
        <v>0</v>
      </c>
      <c r="H93" s="140" t="n">
        <v>0</v>
      </c>
      <c r="I93" s="140"/>
      <c r="J93" s="140"/>
      <c r="K93" s="140"/>
      <c r="L93" s="140"/>
    </row>
    <row r="94" customFormat="false" ht="18" hidden="false" customHeight="false" outlineLevel="0" collapsed="false">
      <c r="A94" s="140" t="n">
        <v>4</v>
      </c>
      <c r="B94" s="140" t="s">
        <v>114</v>
      </c>
      <c r="C94" s="140" t="n">
        <v>0</v>
      </c>
      <c r="D94" s="140" t="n">
        <v>0</v>
      </c>
      <c r="E94" s="140" t="n">
        <v>0</v>
      </c>
      <c r="F94" s="140" t="n">
        <v>0</v>
      </c>
      <c r="G94" s="140" t="n">
        <v>0</v>
      </c>
      <c r="H94" s="140" t="n">
        <v>0</v>
      </c>
      <c r="I94" s="140"/>
      <c r="J94" s="140"/>
      <c r="K94" s="140"/>
      <c r="L94" s="140"/>
    </row>
    <row r="95" customFormat="false" ht="18" hidden="false" customHeight="false" outlineLevel="0" collapsed="false">
      <c r="A95" s="140" t="n">
        <v>4</v>
      </c>
      <c r="B95" s="140" t="s">
        <v>115</v>
      </c>
      <c r="C95" s="140" t="n">
        <v>0</v>
      </c>
      <c r="D95" s="140" t="n">
        <v>0</v>
      </c>
      <c r="E95" s="140" t="n">
        <v>0</v>
      </c>
      <c r="F95" s="140" t="n">
        <v>0</v>
      </c>
      <c r="G95" s="140" t="n">
        <v>0</v>
      </c>
      <c r="H95" s="140" t="n">
        <v>0</v>
      </c>
      <c r="I95" s="140"/>
      <c r="J95" s="140"/>
      <c r="K95" s="140"/>
      <c r="L95" s="140"/>
    </row>
    <row r="96" customFormat="false" ht="18" hidden="false" customHeight="false" outlineLevel="0" collapsed="false">
      <c r="A96" s="140" t="n">
        <v>5</v>
      </c>
      <c r="B96" s="140" t="s">
        <v>116</v>
      </c>
      <c r="C96" s="140" t="n">
        <v>0</v>
      </c>
      <c r="D96" s="140" t="n">
        <v>0</v>
      </c>
      <c r="E96" s="140" t="n">
        <v>0</v>
      </c>
      <c r="F96" s="140" t="n">
        <v>0</v>
      </c>
      <c r="G96" s="140" t="n">
        <v>0</v>
      </c>
      <c r="H96" s="140" t="n">
        <v>0</v>
      </c>
      <c r="I96" s="140"/>
      <c r="J96" s="140"/>
      <c r="K96" s="140"/>
      <c r="L96" s="140"/>
    </row>
    <row r="97" customFormat="false" ht="18" hidden="false" customHeight="false" outlineLevel="0" collapsed="false">
      <c r="A97" s="140" t="n">
        <v>7</v>
      </c>
      <c r="B97" s="140" t="s">
        <v>117</v>
      </c>
      <c r="C97" s="140" t="n">
        <v>0</v>
      </c>
      <c r="D97" s="140" t="n">
        <v>0</v>
      </c>
      <c r="E97" s="140" t="n">
        <v>0</v>
      </c>
      <c r="F97" s="140" t="n">
        <v>0</v>
      </c>
      <c r="G97" s="140" t="n">
        <v>0</v>
      </c>
      <c r="H97" s="140" t="n">
        <v>0</v>
      </c>
      <c r="I97" s="140"/>
      <c r="J97" s="140"/>
      <c r="K97" s="140"/>
      <c r="L97" s="140"/>
    </row>
    <row r="98" customFormat="false" ht="18" hidden="false" customHeight="false" outlineLevel="0" collapsed="false">
      <c r="A98" s="140" t="n">
        <v>8</v>
      </c>
      <c r="B98" s="140" t="s">
        <v>118</v>
      </c>
      <c r="C98" s="140" t="n">
        <v>0</v>
      </c>
      <c r="D98" s="140" t="n">
        <v>0</v>
      </c>
      <c r="E98" s="140" t="n">
        <v>0</v>
      </c>
      <c r="F98" s="140" t="n">
        <v>0</v>
      </c>
      <c r="G98" s="140" t="n">
        <v>0</v>
      </c>
      <c r="H98" s="140" t="n">
        <v>0</v>
      </c>
      <c r="I98" s="140"/>
      <c r="J98" s="140"/>
      <c r="K98" s="140"/>
      <c r="L98" s="140"/>
    </row>
    <row r="99" customFormat="false" ht="18" hidden="false" customHeight="false" outlineLevel="0" collapsed="false">
      <c r="A99" s="142" t="n">
        <v>9</v>
      </c>
      <c r="B99" s="140" t="s">
        <v>119</v>
      </c>
      <c r="C99" s="140" t="n">
        <v>0</v>
      </c>
      <c r="D99" s="140" t="n">
        <v>0</v>
      </c>
      <c r="E99" s="140" t="n">
        <v>0</v>
      </c>
      <c r="F99" s="140" t="n">
        <v>0</v>
      </c>
      <c r="G99" s="140" t="n">
        <v>0</v>
      </c>
      <c r="H99" s="140" t="n">
        <v>0</v>
      </c>
      <c r="I99" s="140"/>
      <c r="J99" s="140"/>
      <c r="K99" s="140"/>
      <c r="L99" s="140"/>
    </row>
    <row r="100" customFormat="false" ht="18.75" hidden="false" customHeight="false" outlineLevel="0" collapsed="false">
      <c r="A100" s="143"/>
      <c r="B100" s="144" t="s">
        <v>64</v>
      </c>
      <c r="C100" s="143" t="n">
        <v>0</v>
      </c>
      <c r="D100" s="143" t="n">
        <v>0</v>
      </c>
      <c r="E100" s="143" t="n">
        <v>0</v>
      </c>
      <c r="F100" s="143" t="n">
        <v>0</v>
      </c>
      <c r="G100" s="143" t="n">
        <v>0</v>
      </c>
      <c r="H100" s="143" t="n">
        <v>0</v>
      </c>
      <c r="I100" s="143" t="n">
        <v>0</v>
      </c>
      <c r="J100" s="143" t="n">
        <v>0</v>
      </c>
      <c r="K100" s="143" t="n">
        <v>0</v>
      </c>
      <c r="L100" s="143" t="n">
        <v>0</v>
      </c>
    </row>
    <row r="101" customFormat="false" ht="18.75" hidden="false" customHeight="false" outlineLevel="0" collapsed="false">
      <c r="A101" s="145"/>
      <c r="B101" s="146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</row>
    <row r="102" customFormat="false" ht="18" hidden="false" customHeight="true" outlineLevel="0" collapsed="false">
      <c r="A102" s="84" t="str">
        <f aca="false">$A$1</f>
        <v>प्रपत्र - अ  - अर्थसंकल्पीय अंदाजपत्रक सन 2021-2022</v>
      </c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</row>
    <row r="103" customFormat="false" ht="18" hidden="false" customHeight="true" outlineLevel="0" collapsed="false">
      <c r="A103" s="84" t="s">
        <v>1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</row>
    <row r="104" customFormat="false" ht="18" hidden="false" customHeight="true" outlineLevel="0" collapsed="false">
      <c r="A104" s="135" t="s">
        <v>52</v>
      </c>
      <c r="B104" s="135"/>
      <c r="C104" s="135"/>
      <c r="D104" s="136"/>
      <c r="E104" s="136"/>
      <c r="F104" s="136"/>
      <c r="G104" s="136"/>
      <c r="H104" s="136"/>
      <c r="I104" s="136"/>
      <c r="J104" s="136"/>
      <c r="K104" s="136"/>
      <c r="L104" s="137" t="s">
        <v>3</v>
      </c>
    </row>
    <row r="105" customFormat="false" ht="42" hidden="false" customHeight="true" outlineLevel="0" collapsed="false">
      <c r="A105" s="138" t="s">
        <v>97</v>
      </c>
      <c r="B105" s="138" t="s">
        <v>98</v>
      </c>
      <c r="C105" s="138" t="s">
        <v>99</v>
      </c>
      <c r="D105" s="138"/>
      <c r="E105" s="138"/>
      <c r="F105" s="138" t="s">
        <v>100</v>
      </c>
      <c r="G105" s="138" t="s">
        <v>101</v>
      </c>
      <c r="H105" s="138" t="s">
        <v>102</v>
      </c>
      <c r="I105" s="138"/>
      <c r="J105" s="138"/>
      <c r="K105" s="138"/>
      <c r="L105" s="138" t="s">
        <v>103</v>
      </c>
    </row>
    <row r="106" customFormat="false" ht="68.25" hidden="false" customHeight="true" outlineLevel="0" collapsed="false">
      <c r="A106" s="138"/>
      <c r="B106" s="138"/>
      <c r="C106" s="138" t="s">
        <v>104</v>
      </c>
      <c r="D106" s="138" t="s">
        <v>105</v>
      </c>
      <c r="E106" s="138" t="s">
        <v>106</v>
      </c>
      <c r="F106" s="138" t="s">
        <v>19</v>
      </c>
      <c r="G106" s="138"/>
      <c r="H106" s="138" t="s">
        <v>107</v>
      </c>
      <c r="I106" s="138" t="s">
        <v>108</v>
      </c>
      <c r="J106" s="138" t="s">
        <v>109</v>
      </c>
      <c r="K106" s="138" t="s">
        <v>110</v>
      </c>
      <c r="L106" s="138"/>
    </row>
    <row r="107" customFormat="false" ht="18" hidden="false" customHeight="false" outlineLevel="0" collapsed="false">
      <c r="A107" s="139" t="n">
        <v>1</v>
      </c>
      <c r="B107" s="139" t="n">
        <v>2</v>
      </c>
      <c r="C107" s="139" t="n">
        <v>3</v>
      </c>
      <c r="D107" s="139" t="n">
        <v>4</v>
      </c>
      <c r="E107" s="139" t="n">
        <v>5</v>
      </c>
      <c r="F107" s="139" t="n">
        <v>6</v>
      </c>
      <c r="G107" s="139" t="n">
        <v>7</v>
      </c>
      <c r="H107" s="139" t="n">
        <v>8</v>
      </c>
      <c r="I107" s="139" t="n">
        <v>9</v>
      </c>
      <c r="J107" s="139" t="n">
        <v>10</v>
      </c>
      <c r="K107" s="139" t="n">
        <v>11</v>
      </c>
      <c r="L107" s="139" t="n">
        <v>12</v>
      </c>
    </row>
    <row r="108" customFormat="false" ht="18" hidden="false" customHeight="false" outlineLevel="0" collapsed="false">
      <c r="A108" s="140" t="n">
        <v>1</v>
      </c>
      <c r="B108" s="140" t="s">
        <v>111</v>
      </c>
      <c r="C108" s="140" t="n">
        <v>0</v>
      </c>
      <c r="D108" s="140" t="n">
        <v>0</v>
      </c>
      <c r="E108" s="140" t="n">
        <v>0</v>
      </c>
      <c r="F108" s="140" t="n">
        <v>0</v>
      </c>
      <c r="G108" s="140" t="n">
        <v>0</v>
      </c>
      <c r="H108" s="140" t="n">
        <v>0</v>
      </c>
      <c r="I108" s="140"/>
      <c r="J108" s="140"/>
      <c r="K108" s="140"/>
      <c r="L108" s="140"/>
    </row>
    <row r="109" customFormat="false" ht="18" hidden="false" customHeight="false" outlineLevel="0" collapsed="false">
      <c r="A109" s="140" t="n">
        <v>2</v>
      </c>
      <c r="B109" s="140" t="s">
        <v>112</v>
      </c>
      <c r="C109" s="140" t="n">
        <v>0</v>
      </c>
      <c r="D109" s="140" t="n">
        <v>0</v>
      </c>
      <c r="E109" s="140" t="n">
        <v>0</v>
      </c>
      <c r="F109" s="140" t="n">
        <v>0</v>
      </c>
      <c r="G109" s="140"/>
      <c r="H109" s="140" t="n">
        <v>0</v>
      </c>
      <c r="I109" s="140"/>
      <c r="J109" s="140"/>
      <c r="K109" s="140"/>
      <c r="L109" s="141"/>
    </row>
    <row r="110" customFormat="false" ht="18" hidden="false" customHeight="false" outlineLevel="0" collapsed="false">
      <c r="A110" s="140" t="n">
        <v>3</v>
      </c>
      <c r="B110" s="140" t="s">
        <v>113</v>
      </c>
      <c r="C110" s="140" t="n">
        <v>0</v>
      </c>
      <c r="D110" s="140" t="n">
        <v>0</v>
      </c>
      <c r="E110" s="140" t="n">
        <v>0</v>
      </c>
      <c r="F110" s="140" t="n">
        <v>0</v>
      </c>
      <c r="G110" s="140" t="n">
        <v>0</v>
      </c>
      <c r="H110" s="140" t="n">
        <v>0</v>
      </c>
      <c r="I110" s="140"/>
      <c r="J110" s="140"/>
      <c r="K110" s="140"/>
      <c r="L110" s="140"/>
    </row>
    <row r="111" customFormat="false" ht="18" hidden="false" customHeight="false" outlineLevel="0" collapsed="false">
      <c r="A111" s="140" t="n">
        <v>4</v>
      </c>
      <c r="B111" s="140" t="s">
        <v>114</v>
      </c>
      <c r="C111" s="140" t="n">
        <v>0</v>
      </c>
      <c r="D111" s="140" t="n">
        <v>0</v>
      </c>
      <c r="E111" s="140" t="n">
        <v>0</v>
      </c>
      <c r="F111" s="140" t="n">
        <v>0</v>
      </c>
      <c r="G111" s="140" t="n">
        <v>0</v>
      </c>
      <c r="H111" s="140" t="n">
        <v>0</v>
      </c>
      <c r="I111" s="140"/>
      <c r="J111" s="140"/>
      <c r="K111" s="140"/>
      <c r="L111" s="140"/>
    </row>
    <row r="112" customFormat="false" ht="18" hidden="false" customHeight="false" outlineLevel="0" collapsed="false">
      <c r="A112" s="140" t="n">
        <v>4</v>
      </c>
      <c r="B112" s="140" t="s">
        <v>115</v>
      </c>
      <c r="C112" s="140" t="n">
        <v>0</v>
      </c>
      <c r="D112" s="140" t="n">
        <v>0</v>
      </c>
      <c r="E112" s="140" t="n">
        <v>0</v>
      </c>
      <c r="F112" s="140" t="n">
        <v>0</v>
      </c>
      <c r="G112" s="140" t="n">
        <v>0</v>
      </c>
      <c r="H112" s="140" t="n">
        <v>0</v>
      </c>
      <c r="I112" s="140"/>
      <c r="J112" s="140"/>
      <c r="K112" s="140"/>
      <c r="L112" s="140"/>
    </row>
    <row r="113" customFormat="false" ht="18" hidden="false" customHeight="false" outlineLevel="0" collapsed="false">
      <c r="A113" s="140" t="n">
        <v>5</v>
      </c>
      <c r="B113" s="140" t="s">
        <v>116</v>
      </c>
      <c r="C113" s="140" t="n">
        <v>0</v>
      </c>
      <c r="D113" s="140" t="n">
        <v>0</v>
      </c>
      <c r="E113" s="140" t="n">
        <v>0</v>
      </c>
      <c r="F113" s="140" t="n">
        <v>0</v>
      </c>
      <c r="G113" s="140" t="n">
        <v>0</v>
      </c>
      <c r="H113" s="140" t="n">
        <v>0</v>
      </c>
      <c r="I113" s="140"/>
      <c r="J113" s="140"/>
      <c r="K113" s="140"/>
      <c r="L113" s="140"/>
    </row>
    <row r="114" customFormat="false" ht="18" hidden="false" customHeight="false" outlineLevel="0" collapsed="false">
      <c r="A114" s="140" t="n">
        <v>7</v>
      </c>
      <c r="B114" s="140" t="s">
        <v>117</v>
      </c>
      <c r="C114" s="140" t="n">
        <v>0</v>
      </c>
      <c r="D114" s="140" t="n">
        <v>0</v>
      </c>
      <c r="E114" s="140" t="n">
        <v>0</v>
      </c>
      <c r="F114" s="140" t="n">
        <v>0</v>
      </c>
      <c r="G114" s="140" t="n">
        <v>0</v>
      </c>
      <c r="H114" s="140" t="n">
        <v>0</v>
      </c>
      <c r="I114" s="140"/>
      <c r="J114" s="140"/>
      <c r="K114" s="140"/>
      <c r="L114" s="140"/>
    </row>
    <row r="115" customFormat="false" ht="18" hidden="false" customHeight="false" outlineLevel="0" collapsed="false">
      <c r="A115" s="140" t="n">
        <v>8</v>
      </c>
      <c r="B115" s="140" t="s">
        <v>118</v>
      </c>
      <c r="C115" s="140" t="n">
        <v>0</v>
      </c>
      <c r="D115" s="140" t="n">
        <v>0</v>
      </c>
      <c r="E115" s="140" t="n">
        <v>0</v>
      </c>
      <c r="F115" s="140" t="n">
        <v>0</v>
      </c>
      <c r="G115" s="140" t="n">
        <v>0</v>
      </c>
      <c r="H115" s="140" t="n">
        <v>0</v>
      </c>
      <c r="I115" s="140"/>
      <c r="J115" s="140"/>
      <c r="K115" s="140"/>
      <c r="L115" s="140"/>
    </row>
    <row r="116" customFormat="false" ht="18" hidden="false" customHeight="false" outlineLevel="0" collapsed="false">
      <c r="A116" s="142" t="n">
        <v>9</v>
      </c>
      <c r="B116" s="140" t="s">
        <v>119</v>
      </c>
      <c r="C116" s="140" t="n">
        <v>0</v>
      </c>
      <c r="D116" s="140" t="n">
        <v>0</v>
      </c>
      <c r="E116" s="140" t="n">
        <v>0</v>
      </c>
      <c r="F116" s="140" t="n">
        <v>0</v>
      </c>
      <c r="G116" s="140"/>
      <c r="H116" s="140" t="n">
        <v>0</v>
      </c>
      <c r="I116" s="140"/>
      <c r="J116" s="140"/>
      <c r="K116" s="140"/>
      <c r="L116" s="140"/>
    </row>
    <row r="117" customFormat="false" ht="18.75" hidden="false" customHeight="false" outlineLevel="0" collapsed="false">
      <c r="A117" s="143"/>
      <c r="B117" s="144" t="s">
        <v>64</v>
      </c>
      <c r="C117" s="143" t="n">
        <f aca="false">SUM(C108:C116)</f>
        <v>0</v>
      </c>
      <c r="D117" s="143" t="n">
        <f aca="false">SUM(D108:D116)</f>
        <v>0</v>
      </c>
      <c r="E117" s="143" t="n">
        <f aca="false">SUM(E108:E116)</f>
        <v>0</v>
      </c>
      <c r="F117" s="143" t="n">
        <f aca="false">SUM(F108:F116)</f>
        <v>0</v>
      </c>
      <c r="G117" s="143" t="n">
        <f aca="false">SUM(G108:G116)</f>
        <v>0</v>
      </c>
      <c r="H117" s="143" t="n">
        <f aca="false">SUM(H108:H116)</f>
        <v>0</v>
      </c>
      <c r="I117" s="143" t="n">
        <f aca="false">SUM(I108:I116)</f>
        <v>0</v>
      </c>
      <c r="J117" s="143" t="n">
        <f aca="false">SUM(J108:J116)</f>
        <v>0</v>
      </c>
      <c r="K117" s="143" t="n">
        <f aca="false">SUM(K108:K116)</f>
        <v>0</v>
      </c>
      <c r="L117" s="143" t="n">
        <f aca="false">SUM(L108:L116)</f>
        <v>0</v>
      </c>
    </row>
    <row r="118" customFormat="false" ht="18.75" hidden="false" customHeight="false" outlineLevel="0" collapsed="false">
      <c r="A118" s="147" t="s">
        <v>54</v>
      </c>
      <c r="B118" s="146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</row>
    <row r="119" customFormat="false" ht="18" hidden="false" customHeight="false" outlineLevel="0" collapsed="false">
      <c r="A119" s="84" t="str">
        <f aca="false">$A$1</f>
        <v>प्रपत्र - अ  - अर्थसंकल्पीय अंदाजपत्रक सन 2021-2022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</row>
    <row r="120" customFormat="false" ht="18" hidden="false" customHeight="false" outlineLevel="0" collapsed="false">
      <c r="A120" s="84" t="s">
        <v>1</v>
      </c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</row>
    <row r="121" customFormat="false" ht="18" hidden="false" customHeight="false" outlineLevel="0" collapsed="false">
      <c r="A121" s="148" t="s">
        <v>55</v>
      </c>
      <c r="B121" s="148"/>
      <c r="C121" s="148"/>
      <c r="D121" s="136"/>
      <c r="E121" s="136"/>
      <c r="F121" s="136"/>
      <c r="G121" s="136"/>
      <c r="H121" s="136"/>
      <c r="I121" s="136"/>
      <c r="J121" s="136"/>
      <c r="K121" s="136"/>
      <c r="L121" s="137" t="s">
        <v>3</v>
      </c>
    </row>
    <row r="122" customFormat="false" ht="42" hidden="false" customHeight="true" outlineLevel="0" collapsed="false">
      <c r="A122" s="138" t="s">
        <v>97</v>
      </c>
      <c r="B122" s="138" t="s">
        <v>98</v>
      </c>
      <c r="C122" s="138" t="s">
        <v>99</v>
      </c>
      <c r="D122" s="138"/>
      <c r="E122" s="138"/>
      <c r="F122" s="138" t="s">
        <v>100</v>
      </c>
      <c r="G122" s="138" t="s">
        <v>101</v>
      </c>
      <c r="H122" s="138" t="s">
        <v>102</v>
      </c>
      <c r="I122" s="138"/>
      <c r="J122" s="138"/>
      <c r="K122" s="138"/>
      <c r="L122" s="138" t="s">
        <v>103</v>
      </c>
    </row>
    <row r="123" customFormat="false" ht="71.25" hidden="false" customHeight="true" outlineLevel="0" collapsed="false">
      <c r="A123" s="138"/>
      <c r="B123" s="138"/>
      <c r="C123" s="138" t="s">
        <v>104</v>
      </c>
      <c r="D123" s="138" t="s">
        <v>105</v>
      </c>
      <c r="E123" s="138" t="s">
        <v>106</v>
      </c>
      <c r="F123" s="138" t="s">
        <v>19</v>
      </c>
      <c r="G123" s="138"/>
      <c r="H123" s="138" t="s">
        <v>107</v>
      </c>
      <c r="I123" s="138" t="s">
        <v>108</v>
      </c>
      <c r="J123" s="138" t="s">
        <v>109</v>
      </c>
      <c r="K123" s="138" t="s">
        <v>110</v>
      </c>
      <c r="L123" s="138"/>
    </row>
    <row r="124" customFormat="false" ht="18" hidden="false" customHeight="false" outlineLevel="0" collapsed="false">
      <c r="A124" s="139" t="n">
        <v>1</v>
      </c>
      <c r="B124" s="139" t="n">
        <v>2</v>
      </c>
      <c r="C124" s="139" t="n">
        <v>3</v>
      </c>
      <c r="D124" s="139" t="n">
        <v>4</v>
      </c>
      <c r="E124" s="139" t="n">
        <v>5</v>
      </c>
      <c r="F124" s="139" t="n">
        <v>6</v>
      </c>
      <c r="G124" s="139" t="n">
        <v>7</v>
      </c>
      <c r="H124" s="139" t="n">
        <v>8</v>
      </c>
      <c r="I124" s="139" t="n">
        <v>9</v>
      </c>
      <c r="J124" s="139" t="n">
        <v>10</v>
      </c>
      <c r="K124" s="139" t="n">
        <v>11</v>
      </c>
      <c r="L124" s="139" t="n">
        <v>12</v>
      </c>
    </row>
    <row r="125" customFormat="false" ht="18" hidden="false" customHeight="false" outlineLevel="0" collapsed="false">
      <c r="A125" s="140" t="n">
        <v>1</v>
      </c>
      <c r="B125" s="140" t="s">
        <v>111</v>
      </c>
      <c r="C125" s="140" t="n">
        <v>3834</v>
      </c>
      <c r="D125" s="140" t="n">
        <v>3981</v>
      </c>
      <c r="E125" s="140" t="n">
        <v>4858</v>
      </c>
      <c r="F125" s="140" t="n">
        <v>6713</v>
      </c>
      <c r="G125" s="140" t="n">
        <v>6713</v>
      </c>
      <c r="H125" s="140" t="n">
        <v>6819</v>
      </c>
      <c r="I125" s="140"/>
      <c r="J125" s="140"/>
      <c r="K125" s="140"/>
      <c r="L125" s="140"/>
    </row>
    <row r="126" customFormat="false" ht="18" hidden="false" customHeight="false" outlineLevel="0" collapsed="false">
      <c r="A126" s="140" t="n">
        <v>2</v>
      </c>
      <c r="B126" s="140" t="s">
        <v>112</v>
      </c>
      <c r="C126" s="140" t="n">
        <v>0</v>
      </c>
      <c r="D126" s="140" t="n">
        <v>0</v>
      </c>
      <c r="E126" s="140" t="n">
        <v>0</v>
      </c>
      <c r="F126" s="140" t="n">
        <v>0</v>
      </c>
      <c r="G126" s="140" t="n">
        <v>0</v>
      </c>
      <c r="H126" s="140" t="n">
        <v>0</v>
      </c>
      <c r="I126" s="140"/>
      <c r="J126" s="140"/>
      <c r="K126" s="140"/>
      <c r="L126" s="141"/>
    </row>
    <row r="127" customFormat="false" ht="18" hidden="false" customHeight="false" outlineLevel="0" collapsed="false">
      <c r="A127" s="140" t="n">
        <v>3</v>
      </c>
      <c r="B127" s="140" t="s">
        <v>122</v>
      </c>
      <c r="C127" s="140" t="n">
        <v>32</v>
      </c>
      <c r="D127" s="140" t="n">
        <v>39</v>
      </c>
      <c r="E127" s="140" t="n">
        <v>30</v>
      </c>
      <c r="F127" s="140" t="n">
        <v>108</v>
      </c>
      <c r="G127" s="140" t="n">
        <v>108</v>
      </c>
      <c r="H127" s="140" t="n">
        <v>142</v>
      </c>
      <c r="I127" s="140"/>
      <c r="J127" s="140"/>
      <c r="K127" s="140"/>
      <c r="L127" s="140"/>
    </row>
    <row r="128" customFormat="false" ht="18" hidden="false" customHeight="false" outlineLevel="0" collapsed="false">
      <c r="A128" s="140" t="n">
        <v>4</v>
      </c>
      <c r="B128" s="140" t="s">
        <v>114</v>
      </c>
      <c r="C128" s="140" t="n">
        <v>0</v>
      </c>
      <c r="D128" s="140" t="n">
        <v>15</v>
      </c>
      <c r="E128" s="140" t="n">
        <v>43</v>
      </c>
      <c r="F128" s="140" t="n">
        <v>80</v>
      </c>
      <c r="G128" s="140" t="n">
        <v>80</v>
      </c>
      <c r="H128" s="140" t="n">
        <v>90</v>
      </c>
      <c r="I128" s="140"/>
      <c r="J128" s="140"/>
      <c r="K128" s="140"/>
      <c r="L128" s="140"/>
    </row>
    <row r="129" customFormat="false" ht="18" hidden="false" customHeight="false" outlineLevel="0" collapsed="false">
      <c r="A129" s="140" t="n">
        <v>4</v>
      </c>
      <c r="B129" s="140" t="s">
        <v>115</v>
      </c>
      <c r="C129" s="140" t="n">
        <v>101</v>
      </c>
      <c r="D129" s="140" t="n">
        <v>86</v>
      </c>
      <c r="E129" s="140" t="n">
        <v>131</v>
      </c>
      <c r="F129" s="140" t="n">
        <v>700</v>
      </c>
      <c r="G129" s="140" t="n">
        <v>700</v>
      </c>
      <c r="H129" s="140" t="n">
        <v>800</v>
      </c>
      <c r="I129" s="140"/>
      <c r="J129" s="140"/>
      <c r="K129" s="140"/>
      <c r="L129" s="140"/>
    </row>
    <row r="130" customFormat="false" ht="18" hidden="false" customHeight="false" outlineLevel="0" collapsed="false">
      <c r="A130" s="140" t="n">
        <v>5</v>
      </c>
      <c r="B130" s="140" t="s">
        <v>116</v>
      </c>
      <c r="C130" s="140" t="n">
        <v>2</v>
      </c>
      <c r="D130" s="140" t="n">
        <v>1</v>
      </c>
      <c r="E130" s="140" t="n">
        <v>2</v>
      </c>
      <c r="F130" s="140" t="n">
        <v>5</v>
      </c>
      <c r="G130" s="140" t="n">
        <v>5</v>
      </c>
      <c r="H130" s="140" t="n">
        <v>5</v>
      </c>
      <c r="I130" s="140"/>
      <c r="J130" s="140"/>
      <c r="K130" s="140"/>
      <c r="L130" s="140"/>
    </row>
    <row r="131" customFormat="false" ht="18" hidden="false" customHeight="false" outlineLevel="0" collapsed="false">
      <c r="A131" s="140" t="n">
        <v>7</v>
      </c>
      <c r="B131" s="140" t="s">
        <v>117</v>
      </c>
      <c r="C131" s="140" t="n">
        <v>0</v>
      </c>
      <c r="D131" s="140" t="n">
        <v>0</v>
      </c>
      <c r="E131" s="140" t="n">
        <v>0</v>
      </c>
      <c r="F131" s="140" t="n">
        <v>100</v>
      </c>
      <c r="G131" s="140" t="n">
        <v>100</v>
      </c>
      <c r="H131" s="140" t="n">
        <v>150</v>
      </c>
      <c r="I131" s="140"/>
      <c r="J131" s="140"/>
      <c r="K131" s="140"/>
      <c r="L131" s="140"/>
    </row>
    <row r="132" customFormat="false" ht="18" hidden="false" customHeight="false" outlineLevel="0" collapsed="false">
      <c r="A132" s="140" t="n">
        <v>8</v>
      </c>
      <c r="B132" s="140" t="s">
        <v>118</v>
      </c>
      <c r="C132" s="140" t="n">
        <v>0</v>
      </c>
      <c r="D132" s="140" t="n">
        <v>0</v>
      </c>
      <c r="E132" s="140" t="n">
        <v>0</v>
      </c>
      <c r="F132" s="140" t="n">
        <v>0</v>
      </c>
      <c r="G132" s="140" t="n">
        <v>0</v>
      </c>
      <c r="H132" s="140" t="n">
        <v>0</v>
      </c>
      <c r="I132" s="140"/>
      <c r="J132" s="140"/>
      <c r="K132" s="140"/>
      <c r="L132" s="140"/>
    </row>
    <row r="133" customFormat="false" ht="18" hidden="false" customHeight="false" outlineLevel="0" collapsed="false">
      <c r="A133" s="142" t="n">
        <v>9</v>
      </c>
      <c r="B133" s="140" t="s">
        <v>119</v>
      </c>
      <c r="C133" s="140" t="n">
        <v>0</v>
      </c>
      <c r="D133" s="140" t="n">
        <v>0</v>
      </c>
      <c r="E133" s="140" t="n">
        <v>0</v>
      </c>
      <c r="F133" s="140" t="n">
        <v>0</v>
      </c>
      <c r="G133" s="140" t="n">
        <v>0</v>
      </c>
      <c r="H133" s="140" t="n">
        <v>0</v>
      </c>
      <c r="I133" s="140"/>
      <c r="J133" s="140"/>
      <c r="K133" s="140"/>
      <c r="L133" s="140"/>
    </row>
    <row r="134" customFormat="false" ht="18.75" hidden="false" customHeight="false" outlineLevel="0" collapsed="false">
      <c r="A134" s="143"/>
      <c r="B134" s="144" t="s">
        <v>64</v>
      </c>
      <c r="C134" s="143" t="n">
        <f aca="false">SUM(C125:C133)</f>
        <v>3969</v>
      </c>
      <c r="D134" s="143" t="n">
        <f aca="false">SUM(D125:D133)</f>
        <v>4122</v>
      </c>
      <c r="E134" s="143" t="n">
        <f aca="false">SUM(E125:E133)</f>
        <v>5064</v>
      </c>
      <c r="F134" s="143" t="n">
        <f aca="false">SUM(F125:F133)</f>
        <v>7706</v>
      </c>
      <c r="G134" s="143" t="n">
        <f aca="false">SUM(G125:G133)</f>
        <v>7706</v>
      </c>
      <c r="H134" s="143" t="n">
        <f aca="false">SUM(H125:H133)</f>
        <v>8006</v>
      </c>
      <c r="I134" s="143" t="n">
        <f aca="false">SUM(I125:I133)</f>
        <v>0</v>
      </c>
      <c r="J134" s="143" t="n">
        <f aca="false">SUM(J125:J133)</f>
        <v>0</v>
      </c>
      <c r="K134" s="143" t="n">
        <f aca="false">SUM(K125:K133)</f>
        <v>0</v>
      </c>
      <c r="L134" s="143" t="n">
        <f aca="false">SUM(L125:L133)</f>
        <v>0</v>
      </c>
    </row>
    <row r="135" customFormat="false" ht="18.75" hidden="false" customHeight="false" outlineLevel="0" collapsed="false">
      <c r="A135" s="145"/>
      <c r="B135" s="146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</row>
    <row r="136" customFormat="false" ht="18" hidden="false" customHeight="true" outlineLevel="0" collapsed="false">
      <c r="A136" s="84" t="str">
        <f aca="false">$A$1</f>
        <v>प्रपत्र - अ  - अर्थसंकल्पीय अंदाजपत्रक सन 2021-2022</v>
      </c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</row>
    <row r="137" customFormat="false" ht="18" hidden="false" customHeight="true" outlineLevel="0" collapsed="false">
      <c r="A137" s="84" t="s">
        <v>1</v>
      </c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</row>
    <row r="138" customFormat="false" ht="18" hidden="false" customHeight="false" outlineLevel="0" collapsed="false">
      <c r="A138" s="148" t="s">
        <v>56</v>
      </c>
      <c r="B138" s="148"/>
      <c r="C138" s="148"/>
      <c r="D138" s="136"/>
      <c r="E138" s="136"/>
      <c r="F138" s="136"/>
      <c r="G138" s="136"/>
      <c r="H138" s="136"/>
      <c r="I138" s="136"/>
      <c r="J138" s="136"/>
      <c r="K138" s="136"/>
      <c r="L138" s="137" t="s">
        <v>3</v>
      </c>
    </row>
    <row r="139" customFormat="false" ht="34.5" hidden="false" customHeight="true" outlineLevel="0" collapsed="false">
      <c r="A139" s="138" t="s">
        <v>97</v>
      </c>
      <c r="B139" s="138" t="s">
        <v>98</v>
      </c>
      <c r="C139" s="138" t="s">
        <v>99</v>
      </c>
      <c r="D139" s="138"/>
      <c r="E139" s="138"/>
      <c r="F139" s="138" t="s">
        <v>100</v>
      </c>
      <c r="G139" s="138" t="s">
        <v>101</v>
      </c>
      <c r="H139" s="138" t="s">
        <v>102</v>
      </c>
      <c r="I139" s="138"/>
      <c r="J139" s="138"/>
      <c r="K139" s="138"/>
      <c r="L139" s="138" t="s">
        <v>103</v>
      </c>
    </row>
    <row r="140" customFormat="false" ht="68.25" hidden="false" customHeight="true" outlineLevel="0" collapsed="false">
      <c r="A140" s="138"/>
      <c r="B140" s="138"/>
      <c r="C140" s="138" t="s">
        <v>104</v>
      </c>
      <c r="D140" s="138" t="s">
        <v>105</v>
      </c>
      <c r="E140" s="138" t="s">
        <v>106</v>
      </c>
      <c r="F140" s="138" t="s">
        <v>19</v>
      </c>
      <c r="G140" s="138"/>
      <c r="H140" s="138" t="s">
        <v>107</v>
      </c>
      <c r="I140" s="138" t="s">
        <v>108</v>
      </c>
      <c r="J140" s="138" t="s">
        <v>109</v>
      </c>
      <c r="K140" s="138" t="s">
        <v>110</v>
      </c>
      <c r="L140" s="138"/>
    </row>
    <row r="141" customFormat="false" ht="18" hidden="false" customHeight="false" outlineLevel="0" collapsed="false">
      <c r="A141" s="139" t="n">
        <v>1</v>
      </c>
      <c r="B141" s="139" t="n">
        <v>2</v>
      </c>
      <c r="C141" s="139" t="n">
        <v>3</v>
      </c>
      <c r="D141" s="139" t="n">
        <v>4</v>
      </c>
      <c r="E141" s="139" t="n">
        <v>5</v>
      </c>
      <c r="F141" s="139" t="n">
        <v>6</v>
      </c>
      <c r="G141" s="139" t="n">
        <v>7</v>
      </c>
      <c r="H141" s="139" t="n">
        <v>8</v>
      </c>
      <c r="I141" s="139" t="n">
        <v>9</v>
      </c>
      <c r="J141" s="139" t="n">
        <v>10</v>
      </c>
      <c r="K141" s="139" t="n">
        <v>11</v>
      </c>
      <c r="L141" s="139" t="n">
        <v>12</v>
      </c>
    </row>
    <row r="142" customFormat="false" ht="18" hidden="false" customHeight="false" outlineLevel="0" collapsed="false">
      <c r="A142" s="140" t="n">
        <v>1</v>
      </c>
      <c r="B142" s="140" t="s">
        <v>111</v>
      </c>
      <c r="C142" s="140" t="n">
        <f aca="false">SUM(C7+C24+C41+C57+C74+C91+C108+C125)</f>
        <v>24360</v>
      </c>
      <c r="D142" s="140" t="n">
        <f aca="false">SUM(D7+D24+D41+D57+D74+D91+D108+D125)</f>
        <v>24662</v>
      </c>
      <c r="E142" s="140" t="n">
        <f aca="false">SUM(E7+E24+E41+E57+E74+E91+E108+E125)</f>
        <v>28259</v>
      </c>
      <c r="F142" s="140" t="n">
        <f aca="false">SUM(F7+F24+F41+F57+F74+F91+F108+F125)</f>
        <v>48731</v>
      </c>
      <c r="G142" s="140" t="n">
        <f aca="false">SUM(G7+G24+G41+G57+G74+G91+G108+G125)</f>
        <v>48793</v>
      </c>
      <c r="H142" s="140" t="n">
        <f aca="false">SUM(H7+H24+H41+H57+H74+H91+H108+H125)</f>
        <v>48557</v>
      </c>
      <c r="I142" s="140" t="n">
        <f aca="false">SUM(I7+I24+I41+I57+I74+I91+I108+I125)</f>
        <v>0</v>
      </c>
      <c r="J142" s="140" t="n">
        <f aca="false">SUM(J7+J24+J41+J57+J74+J91+J108+J125)</f>
        <v>0</v>
      </c>
      <c r="K142" s="140" t="n">
        <f aca="false">SUM(K7+K24+K41+K57+K74+K91+K108+K125)</f>
        <v>0</v>
      </c>
      <c r="L142" s="140" t="n">
        <f aca="false">SUM(L7+L24+L41+L57+L74+L91+L108+L125)</f>
        <v>0</v>
      </c>
    </row>
    <row r="143" customFormat="false" ht="18" hidden="false" customHeight="false" outlineLevel="0" collapsed="false">
      <c r="A143" s="140" t="n">
        <v>2</v>
      </c>
      <c r="B143" s="140" t="s">
        <v>112</v>
      </c>
      <c r="C143" s="140" t="n">
        <f aca="false">SUM(C8+C25+C42+C58+C75+C92+C109+C126)</f>
        <v>0</v>
      </c>
      <c r="D143" s="140" t="n">
        <f aca="false">SUM(D8+D25+D42+D58+D75+D92+D109+D126)</f>
        <v>0</v>
      </c>
      <c r="E143" s="140" t="n">
        <f aca="false">SUM(E8+E25+E42+E58+E75+E92+E109+E126)</f>
        <v>0</v>
      </c>
      <c r="F143" s="140" t="n">
        <f aca="false">SUM(F8+F25+F42+F58+F75+F92+F109+F126)</f>
        <v>0</v>
      </c>
      <c r="G143" s="140" t="n">
        <f aca="false">SUM(G8+G25+G42+G58+G75+G92+G109+G126)</f>
        <v>0</v>
      </c>
      <c r="H143" s="140" t="n">
        <f aca="false">SUM(H8+H25+H42+H58+H75+H92+H109+H126)</f>
        <v>0</v>
      </c>
      <c r="I143" s="140" t="n">
        <f aca="false">SUM(I8+I25+I42+I58+I75+I92+I109+I126)</f>
        <v>0</v>
      </c>
      <c r="J143" s="140" t="n">
        <f aca="false">SUM(J8+J25+J42+J58+J75+J92+J109+J126)</f>
        <v>0</v>
      </c>
      <c r="K143" s="140" t="n">
        <f aca="false">SUM(K8+K25+K42+K58+K75+K92+K109+K126)</f>
        <v>0</v>
      </c>
      <c r="L143" s="140" t="n">
        <f aca="false">SUM(L8+L25+L42+L58+L75+L92+L109+L126)</f>
        <v>0</v>
      </c>
    </row>
    <row r="144" customFormat="false" ht="18" hidden="false" customHeight="false" outlineLevel="0" collapsed="false">
      <c r="A144" s="140" t="n">
        <v>3</v>
      </c>
      <c r="B144" s="140" t="s">
        <v>121</v>
      </c>
      <c r="C144" s="140" t="n">
        <f aca="false">SUM(C9+C26+C43+C59+C76+C93+C110+C127)</f>
        <v>168</v>
      </c>
      <c r="D144" s="140" t="n">
        <f aca="false">SUM(D9+D26+D43+D59+D76+D93+D110+D127)</f>
        <v>271</v>
      </c>
      <c r="E144" s="140" t="n">
        <f aca="false">SUM(E9+E26+E43+E59+E76+E93+E110+E127)</f>
        <v>108</v>
      </c>
      <c r="F144" s="140" t="n">
        <f aca="false">SUM(F9+F26+F43+F59+F76+F93+F110+F127)</f>
        <v>1014</v>
      </c>
      <c r="G144" s="140" t="n">
        <f aca="false">SUM(G9+G26+G43+G59+G76+G93+G110+G127)</f>
        <v>1014</v>
      </c>
      <c r="H144" s="140" t="n">
        <f aca="false">SUM(H9+H26+H43+H59+H76+H93+H110+H127)</f>
        <v>1182</v>
      </c>
      <c r="I144" s="140" t="n">
        <f aca="false">SUM(I9+I26+I43+I59+I76+I93+I110+I127)</f>
        <v>0</v>
      </c>
      <c r="J144" s="140" t="n">
        <f aca="false">SUM(J9+J26+J43+J59+J76+J93+J110+J127)</f>
        <v>0</v>
      </c>
      <c r="K144" s="140" t="n">
        <f aca="false">SUM(K9+K26+K43+K59+K76+K93+K110+K127)</f>
        <v>0</v>
      </c>
      <c r="L144" s="140" t="n">
        <f aca="false">SUM(L9+L26+L43+L59+L76+L93+L110+L127)</f>
        <v>0</v>
      </c>
    </row>
    <row r="145" customFormat="false" ht="18" hidden="false" customHeight="false" outlineLevel="0" collapsed="false">
      <c r="A145" s="140" t="n">
        <v>4</v>
      </c>
      <c r="B145" s="140" t="s">
        <v>114</v>
      </c>
      <c r="C145" s="140" t="n">
        <f aca="false">SUM(C10+C27+C44+C60+C77+C94+C111+C128)</f>
        <v>164</v>
      </c>
      <c r="D145" s="140" t="n">
        <f aca="false">SUM(D10+D27+D44+D60+D77+D94+D111+D128)</f>
        <v>94</v>
      </c>
      <c r="E145" s="140" t="n">
        <f aca="false">SUM(E10+E27+E44+E60+E77+E94+E111+E128)</f>
        <v>121</v>
      </c>
      <c r="F145" s="140" t="n">
        <f aca="false">SUM(F10+F27+F44+F60+F77+F94+F111+F128)</f>
        <v>853</v>
      </c>
      <c r="G145" s="140" t="n">
        <f aca="false">SUM(G10+G27+G44+G60+G77+G94+G111+G128)</f>
        <v>853</v>
      </c>
      <c r="H145" s="140" t="n">
        <f aca="false">SUM(H10+H27+H44+H60+H77+H94+H111+H128)</f>
        <v>938</v>
      </c>
      <c r="I145" s="140" t="n">
        <f aca="false">SUM(I10+I27+I44+I60+I77+I94+I111+I128)</f>
        <v>0</v>
      </c>
      <c r="J145" s="140" t="n">
        <f aca="false">SUM(J10+J27+J44+J60+J77+J94+J111+J128)</f>
        <v>0</v>
      </c>
      <c r="K145" s="140" t="n">
        <f aca="false">SUM(K10+K27+K44+K60+K77+K94+K111+K128)</f>
        <v>0</v>
      </c>
      <c r="L145" s="140" t="n">
        <f aca="false">SUM(L10+L27+L44+L60+L77+L94+L111+L128)</f>
        <v>0</v>
      </c>
    </row>
    <row r="146" customFormat="false" ht="18" hidden="false" customHeight="false" outlineLevel="0" collapsed="false">
      <c r="A146" s="140" t="n">
        <v>4</v>
      </c>
      <c r="B146" s="140" t="s">
        <v>115</v>
      </c>
      <c r="C146" s="140" t="n">
        <f aca="false">SUM(C11+C28+C45+C61+C78+C95+C112+C129)</f>
        <v>480</v>
      </c>
      <c r="D146" s="140" t="n">
        <f aca="false">SUM(D11+D28+D45+D61+D78+D95+D112+D129)</f>
        <v>504</v>
      </c>
      <c r="E146" s="140" t="n">
        <f aca="false">SUM(E11+E28+E45+E61+E78+E95+E112+E129)</f>
        <v>469</v>
      </c>
      <c r="F146" s="140" t="n">
        <f aca="false">SUM(F11+F28+F45+F61+F78+F95+F112+F129)</f>
        <v>2035</v>
      </c>
      <c r="G146" s="140" t="n">
        <f aca="false">SUM(G11+G28+G45+G61+G78+G95+G112+G129)</f>
        <v>2035</v>
      </c>
      <c r="H146" s="140" t="n">
        <f aca="false">SUM(H11+H28+H45+H61+H78+H95+H112+H129)</f>
        <v>2235</v>
      </c>
      <c r="I146" s="140" t="n">
        <f aca="false">SUM(I11+I28+I45+I61+I78+I95+I112+I129)</f>
        <v>0</v>
      </c>
      <c r="J146" s="140" t="n">
        <f aca="false">SUM(J11+J28+J45+J61+J78+J95+J112+J129)</f>
        <v>0</v>
      </c>
      <c r="K146" s="140" t="n">
        <f aca="false">SUM(K11+K28+K45+K61+K78+K95+K112+K129)</f>
        <v>0</v>
      </c>
      <c r="L146" s="140" t="n">
        <f aca="false">SUM(L11+L28+L45+L61+L78+L95+L112+L129)</f>
        <v>0</v>
      </c>
    </row>
    <row r="147" customFormat="false" ht="18" hidden="false" customHeight="false" outlineLevel="0" collapsed="false">
      <c r="A147" s="140" t="n">
        <v>5</v>
      </c>
      <c r="B147" s="140" t="s">
        <v>116</v>
      </c>
      <c r="C147" s="140" t="n">
        <f aca="false">SUM(C12+C29+C46+C62+C79+C96+C113+C130)</f>
        <v>2</v>
      </c>
      <c r="D147" s="140" t="n">
        <f aca="false">SUM(D12+D29+D46+D62+D79+D96+D113+D130)</f>
        <v>1</v>
      </c>
      <c r="E147" s="140" t="n">
        <f aca="false">SUM(E12+E29+E46+E62+E79+E96+E113+E130)</f>
        <v>2</v>
      </c>
      <c r="F147" s="140" t="n">
        <f aca="false">SUM(F12+F29+F46+F62+F79+F96+F113+F130)</f>
        <v>55</v>
      </c>
      <c r="G147" s="140" t="n">
        <f aca="false">SUM(G12+G29+G46+G62+G79+G96+G113+G130)</f>
        <v>55</v>
      </c>
      <c r="H147" s="140" t="n">
        <f aca="false">SUM(H12+H29+H46+H62+H79+H96+H113+H130)</f>
        <v>55</v>
      </c>
      <c r="I147" s="140" t="n">
        <f aca="false">SUM(I12+I29+I46+I62+I79+I96+I113+I130)</f>
        <v>0</v>
      </c>
      <c r="J147" s="140" t="n">
        <f aca="false">SUM(J12+J29+J46+J62+J79+J96+J113+J130)</f>
        <v>0</v>
      </c>
      <c r="K147" s="140" t="n">
        <f aca="false">SUM(K12+K29+K46+K62+K79+K96+K113+K130)</f>
        <v>0</v>
      </c>
      <c r="L147" s="140" t="n">
        <f aca="false">SUM(L12+L29+L46+L62+L79+L96+L113+L130)</f>
        <v>0</v>
      </c>
    </row>
    <row r="148" customFormat="false" ht="18" hidden="false" customHeight="false" outlineLevel="0" collapsed="false">
      <c r="A148" s="140" t="n">
        <v>7</v>
      </c>
      <c r="B148" s="140" t="s">
        <v>117</v>
      </c>
      <c r="C148" s="140" t="n">
        <f aca="false">SUM(C13+C30+C47+C63+C80+C97+C114+C131)</f>
        <v>22</v>
      </c>
      <c r="D148" s="140" t="n">
        <f aca="false">SUM(D13+D30+D47+D63+D80+D97+D114+D131)</f>
        <v>39</v>
      </c>
      <c r="E148" s="140" t="n">
        <f aca="false">SUM(E13+E30+E47+E63+E80+E97+E114+E131)</f>
        <v>13</v>
      </c>
      <c r="F148" s="140" t="n">
        <f aca="false">SUM(F13+F30+F47+F63+F80+F97+F114+F131)</f>
        <v>665</v>
      </c>
      <c r="G148" s="140" t="n">
        <f aca="false">SUM(G13+G30+G47+G63+G80+G97+G114+G131)</f>
        <v>625</v>
      </c>
      <c r="H148" s="140" t="n">
        <f aca="false">SUM(H13+H30+H47+H63+H80+H97+H114+H131)</f>
        <v>695</v>
      </c>
      <c r="I148" s="140" t="n">
        <f aca="false">SUM(I13+I30+I47+I63+I80+I97+I114+I131)</f>
        <v>0</v>
      </c>
      <c r="J148" s="140" t="n">
        <f aca="false">SUM(J13+J30+J47+J63+J80+J97+J114+J131)</f>
        <v>0</v>
      </c>
      <c r="K148" s="140" t="n">
        <f aca="false">SUM(K13+K30+K47+K63+K80+K97+K114+K131)</f>
        <v>0</v>
      </c>
      <c r="L148" s="140" t="n">
        <f aca="false">SUM(L13+L30+L47+L63+L80+L97+L114+L131)</f>
        <v>0</v>
      </c>
    </row>
    <row r="149" customFormat="false" ht="18" hidden="false" customHeight="false" outlineLevel="0" collapsed="false">
      <c r="A149" s="140" t="n">
        <v>8</v>
      </c>
      <c r="B149" s="140" t="s">
        <v>118</v>
      </c>
      <c r="C149" s="140" t="n">
        <f aca="false">SUM(C14+C31+C48+C64+C81+C98+C115+C132)</f>
        <v>0</v>
      </c>
      <c r="D149" s="140" t="n">
        <f aca="false">SUM(D14+D31+D48+D64+D81+D98+D115+D132)</f>
        <v>0</v>
      </c>
      <c r="E149" s="140" t="n">
        <f aca="false">SUM(E14+E31+E48+E64+E81+E98+E115+E132)</f>
        <v>0</v>
      </c>
      <c r="F149" s="140" t="n">
        <f aca="false">SUM(F14+F31+F48+F64+F81+F98+F115+F132)</f>
        <v>0</v>
      </c>
      <c r="G149" s="140" t="n">
        <f aca="false">SUM(G14+G31+G48+G64+G81+G98+G115+G132)</f>
        <v>0</v>
      </c>
      <c r="H149" s="140" t="n">
        <f aca="false">SUM(H14+H31+H48+H64+H81+H98+H115+H132)</f>
        <v>0</v>
      </c>
      <c r="I149" s="140" t="n">
        <f aca="false">SUM(I14+I31+I48+I64+I81+I98+I115+I132)</f>
        <v>0</v>
      </c>
      <c r="J149" s="140" t="n">
        <f aca="false">SUM(J14+J31+J48+J64+J81+J98+J115+J132)</f>
        <v>0</v>
      </c>
      <c r="K149" s="140" t="n">
        <f aca="false">SUM(K14+K31+K48+K64+K81+K98+K115+K132)</f>
        <v>0</v>
      </c>
      <c r="L149" s="140" t="n">
        <f aca="false">SUM(L14+L31+L48+L64+L81+L98+L115+L132)</f>
        <v>0</v>
      </c>
    </row>
    <row r="150" customFormat="false" ht="18" hidden="false" customHeight="false" outlineLevel="0" collapsed="false">
      <c r="A150" s="142" t="n">
        <v>9</v>
      </c>
      <c r="B150" s="140" t="s">
        <v>119</v>
      </c>
      <c r="C150" s="140" t="n">
        <f aca="false">SUM(C15+C32+C49+C65+C82+C99+C116+C133)</f>
        <v>0</v>
      </c>
      <c r="D150" s="140" t="n">
        <f aca="false">SUM(D15+D32+D49+D65+D82+D99+D116+D133)</f>
        <v>0</v>
      </c>
      <c r="E150" s="140" t="n">
        <f aca="false">SUM(E15+E32+E49+E65+E82+E99+E116+E133)</f>
        <v>0</v>
      </c>
      <c r="F150" s="140" t="n">
        <f aca="false">SUM(F15+F32+F49+F65+F82+F99+F116+F133)</f>
        <v>0</v>
      </c>
      <c r="G150" s="140" t="n">
        <f aca="false">SUM(G15+G32+G49+G65+G82+G99+G116+G133)</f>
        <v>20</v>
      </c>
      <c r="H150" s="140" t="n">
        <f aca="false">SUM(H15+H32+H49+H65+H82+H99+H116+H133)</f>
        <v>20</v>
      </c>
      <c r="I150" s="140" t="n">
        <f aca="false">SUM(I15+I32+I49+I65+I82+I99+I116+I133)</f>
        <v>0</v>
      </c>
      <c r="J150" s="140" t="n">
        <f aca="false">SUM(J15+J32+J49+J65+J82+J99+J116+J133)</f>
        <v>0</v>
      </c>
      <c r="K150" s="140" t="n">
        <f aca="false">SUM(K15+K32+K49+K65+K82+K99+K116+K133)</f>
        <v>0</v>
      </c>
      <c r="L150" s="140" t="n">
        <f aca="false">SUM(L15+L32+L49+L65+L82+L99+L116+L133)</f>
        <v>0</v>
      </c>
    </row>
    <row r="151" customFormat="false" ht="18.75" hidden="false" customHeight="false" outlineLevel="0" collapsed="false">
      <c r="A151" s="143"/>
      <c r="B151" s="144" t="s">
        <v>64</v>
      </c>
      <c r="C151" s="149" t="n">
        <f aca="false">SUM(C16+C33+C50+C66+C83+C100+C117+C134)</f>
        <v>25196</v>
      </c>
      <c r="D151" s="149" t="n">
        <f aca="false">SUM(D16+D33+D50+D66+D83+D100+D117+D134)</f>
        <v>25571</v>
      </c>
      <c r="E151" s="149" t="n">
        <f aca="false">SUM(E16+E33+E50+E66+E83+E100+E117+E134)</f>
        <v>28972</v>
      </c>
      <c r="F151" s="149" t="n">
        <f aca="false">SUM(F16+F33+F50+F66+F83+F100+F117+F134)</f>
        <v>53353</v>
      </c>
      <c r="G151" s="149" t="n">
        <f aca="false">SUM(G16+G33+G50+G66+G83+G100+G117+G134)</f>
        <v>53395</v>
      </c>
      <c r="H151" s="149" t="n">
        <f aca="false">SUM(H16+H33+H50+H66+H83+H100+H117+H134)</f>
        <v>53682</v>
      </c>
      <c r="I151" s="149" t="n">
        <f aca="false">SUM(I16+I33+I50+I66+I83+I100+I117+I134)</f>
        <v>0</v>
      </c>
      <c r="J151" s="149" t="n">
        <f aca="false">SUM(J16+J33+J50+J66+J83+J100+J117+J134)</f>
        <v>0</v>
      </c>
      <c r="K151" s="149" t="n">
        <f aca="false">SUM(K16+K33+K50+K66+K83+K100+K117+K134)</f>
        <v>0</v>
      </c>
      <c r="L151" s="149" t="n">
        <f aca="false">SUM(L16+L33+L50+L66+L83+L100+L117+L134)</f>
        <v>0</v>
      </c>
    </row>
    <row r="152" customFormat="false" ht="18.75" hidden="false" customHeight="false" outlineLevel="0" collapsed="false">
      <c r="A152" s="145"/>
      <c r="B152" s="146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</row>
    <row r="154" customFormat="false" ht="18" hidden="false" customHeight="false" outlineLevel="0" collapsed="false">
      <c r="K154" s="150"/>
    </row>
  </sheetData>
  <mergeCells count="81">
    <mergeCell ref="A1:L1"/>
    <mergeCell ref="A2:L2"/>
    <mergeCell ref="A3:C3"/>
    <mergeCell ref="A4:A5"/>
    <mergeCell ref="B4:B5"/>
    <mergeCell ref="C4:E4"/>
    <mergeCell ref="G4:G5"/>
    <mergeCell ref="H4:K4"/>
    <mergeCell ref="L4:L5"/>
    <mergeCell ref="A18:L18"/>
    <mergeCell ref="A19:L19"/>
    <mergeCell ref="A20:C20"/>
    <mergeCell ref="A21:A22"/>
    <mergeCell ref="B21:B22"/>
    <mergeCell ref="C21:E21"/>
    <mergeCell ref="G21:G22"/>
    <mergeCell ref="H21:K21"/>
    <mergeCell ref="L21:L22"/>
    <mergeCell ref="A35:L35"/>
    <mergeCell ref="A36:L36"/>
    <mergeCell ref="A37:C37"/>
    <mergeCell ref="A38:A39"/>
    <mergeCell ref="B38:B39"/>
    <mergeCell ref="C38:E38"/>
    <mergeCell ref="G38:G39"/>
    <mergeCell ref="H38:K38"/>
    <mergeCell ref="L38:L39"/>
    <mergeCell ref="A51:L51"/>
    <mergeCell ref="A52:L52"/>
    <mergeCell ref="A53:C53"/>
    <mergeCell ref="A54:A55"/>
    <mergeCell ref="B54:B55"/>
    <mergeCell ref="C54:E54"/>
    <mergeCell ref="G54:G55"/>
    <mergeCell ref="H54:K54"/>
    <mergeCell ref="L54:L55"/>
    <mergeCell ref="A68:L68"/>
    <mergeCell ref="A69:L69"/>
    <mergeCell ref="A70:C70"/>
    <mergeCell ref="A71:A72"/>
    <mergeCell ref="B71:B72"/>
    <mergeCell ref="C71:E71"/>
    <mergeCell ref="G71:G72"/>
    <mergeCell ref="H71:K71"/>
    <mergeCell ref="L71:L72"/>
    <mergeCell ref="A85:L85"/>
    <mergeCell ref="A86:L86"/>
    <mergeCell ref="A87:C87"/>
    <mergeCell ref="A88:A89"/>
    <mergeCell ref="B88:B89"/>
    <mergeCell ref="C88:E88"/>
    <mergeCell ref="G88:G89"/>
    <mergeCell ref="H88:K88"/>
    <mergeCell ref="L88:L89"/>
    <mergeCell ref="A102:L102"/>
    <mergeCell ref="A103:L103"/>
    <mergeCell ref="A104:C104"/>
    <mergeCell ref="A105:A106"/>
    <mergeCell ref="B105:B106"/>
    <mergeCell ref="C105:E105"/>
    <mergeCell ref="G105:G106"/>
    <mergeCell ref="H105:K105"/>
    <mergeCell ref="L105:L106"/>
    <mergeCell ref="A119:L119"/>
    <mergeCell ref="A120:L120"/>
    <mergeCell ref="A121:C121"/>
    <mergeCell ref="A122:A123"/>
    <mergeCell ref="B122:B123"/>
    <mergeCell ref="C122:E122"/>
    <mergeCell ref="G122:G123"/>
    <mergeCell ref="H122:K122"/>
    <mergeCell ref="L122:L123"/>
    <mergeCell ref="A136:L136"/>
    <mergeCell ref="A137:L137"/>
    <mergeCell ref="A138:C138"/>
    <mergeCell ref="A139:A140"/>
    <mergeCell ref="B139:B140"/>
    <mergeCell ref="C139:E139"/>
    <mergeCell ref="G139:G140"/>
    <mergeCell ref="H139:K139"/>
    <mergeCell ref="L139:L140"/>
  </mergeCells>
  <printOptions headings="false" gridLines="false" gridLinesSet="true" horizontalCentered="false" verticalCentered="false"/>
  <pageMargins left="0.670138888888889" right="0.159722222222222" top="0.170138888888889" bottom="2.52986111111111" header="0.511811023622047" footer="0.170138888888889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&amp;C&amp;Z&amp;F&amp;RPage &amp;P</oddFooter>
  </headerFooter>
  <rowBreaks count="8" manualBreakCount="8">
    <brk id="17" man="true" max="16383" min="0"/>
    <brk id="34" man="true" max="16383" min="0"/>
    <brk id="50" man="true" max="16383" min="0"/>
    <brk id="67" man="true" max="16383" min="0"/>
    <brk id="84" man="true" max="16383" min="0"/>
    <brk id="101" man="true" max="16383" min="0"/>
    <brk id="118" man="true" max="16383" min="0"/>
    <brk id="135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pageBreakPreview" topLeftCell="A13" colorId="64" zoomScale="100" zoomScaleNormal="80" zoomScalePageLayoutView="100" workbookViewId="0">
      <selection pane="topLeft" activeCell="L20" activeCellId="0" sqref="L20:L22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51" width="3.56"/>
    <col collapsed="false" customWidth="true" hidden="false" outlineLevel="0" max="2" min="2" style="152" width="23.56"/>
    <col collapsed="false" customWidth="true" hidden="false" outlineLevel="0" max="3" min="3" style="152" width="11.7"/>
    <col collapsed="false" customWidth="true" hidden="false" outlineLevel="0" max="4" min="4" style="152" width="10.99"/>
    <col collapsed="false" customWidth="true" hidden="false" outlineLevel="0" max="5" min="5" style="152" width="11.13"/>
    <col collapsed="false" customWidth="true" hidden="false" outlineLevel="0" max="6" min="6" style="152" width="12.56"/>
    <col collapsed="false" customWidth="true" hidden="false" outlineLevel="0" max="7" min="7" style="152" width="12.42"/>
    <col collapsed="false" customWidth="true" hidden="false" outlineLevel="0" max="8" min="8" style="152" width="13.41"/>
    <col collapsed="false" customWidth="true" hidden="false" outlineLevel="0" max="9" min="9" style="152" width="12.85"/>
    <col collapsed="false" customWidth="true" hidden="false" outlineLevel="0" max="10" min="10" style="152" width="10.56"/>
    <col collapsed="false" customWidth="true" hidden="false" outlineLevel="0" max="11" min="11" style="152" width="9.85"/>
    <col collapsed="false" customWidth="true" hidden="false" outlineLevel="0" max="12" min="12" style="152" width="43.7"/>
    <col collapsed="false" customWidth="false" hidden="false" outlineLevel="0" max="257" min="13" style="153" width="9.14"/>
  </cols>
  <sheetData>
    <row r="1" customFormat="false" ht="18" hidden="false" customHeight="false" outlineLevel="0" collapsed="false">
      <c r="A1" s="84" t="str">
        <f aca="false">'Page 4'!$A$1</f>
        <v>प्रपत्र - अ  - अर्थसंकल्पीय अंदाजपत्रक सन 2021-2022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customFormat="false" ht="18" hidden="false" customHeight="false" outlineLevel="0" collapsed="false">
      <c r="A2" s="84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customFormat="false" ht="18" hidden="false" customHeight="false" outlineLevel="0" collapsed="false">
      <c r="A3" s="154" t="s">
        <v>56</v>
      </c>
      <c r="B3" s="154"/>
      <c r="C3" s="154"/>
      <c r="D3" s="136"/>
      <c r="E3" s="136"/>
      <c r="F3" s="136"/>
      <c r="G3" s="136"/>
      <c r="H3" s="136"/>
      <c r="I3" s="136"/>
      <c r="J3" s="136"/>
      <c r="K3" s="136"/>
      <c r="L3" s="137" t="s">
        <v>3</v>
      </c>
    </row>
    <row r="4" customFormat="false" ht="33" hidden="false" customHeight="true" outlineLevel="0" collapsed="false">
      <c r="A4" s="138" t="s">
        <v>97</v>
      </c>
      <c r="B4" s="138" t="s">
        <v>98</v>
      </c>
      <c r="C4" s="138" t="str">
        <f aca="false">'Page 4'!C139</f>
        <v>प्रत्यक्ष रक्कमा (खर्च)</v>
      </c>
      <c r="D4" s="138"/>
      <c r="E4" s="138"/>
      <c r="F4" s="138" t="str">
        <f aca="false">'Page 4'!F139</f>
        <v>अर्थसंकल्पीय अंदाज</v>
      </c>
      <c r="G4" s="138" t="str">
        <f aca="false">'Page 4'!G139</f>
        <v>सुधारीत अंदाज    2020-2021</v>
      </c>
      <c r="H4" s="138" t="str">
        <f aca="false">'Page 4'!H139</f>
        <v>अर्थसंकल्पीय अंदाज 2021-2022</v>
      </c>
      <c r="I4" s="138"/>
      <c r="J4" s="138"/>
      <c r="K4" s="138"/>
      <c r="L4" s="138" t="s">
        <v>103</v>
      </c>
    </row>
    <row r="5" customFormat="false" ht="51" hidden="false" customHeight="true" outlineLevel="0" collapsed="false">
      <c r="A5" s="138"/>
      <c r="B5" s="138"/>
      <c r="C5" s="138" t="str">
        <f aca="false">'Page 4'!C140</f>
        <v>2017-2018</v>
      </c>
      <c r="D5" s="138" t="str">
        <f aca="false">'Page 4'!D140</f>
        <v>2018-2019</v>
      </c>
      <c r="E5" s="138" t="str">
        <f aca="false">'Page 4'!E140</f>
        <v>2019-2020</v>
      </c>
      <c r="F5" s="138" t="str">
        <f aca="false">'Page 4'!F140</f>
        <v>2020-2021</v>
      </c>
      <c r="G5" s="138"/>
      <c r="H5" s="138" t="str">
        <f aca="false">'Page 4'!H140</f>
        <v>प्राकक्लन (एस्टिमेटिंग) अधिका-याचा</v>
      </c>
      <c r="I5" s="138" t="str">
        <f aca="false">'Page 4'!I140</f>
        <v>नियंत्रक अधिका-यांचा</v>
      </c>
      <c r="J5" s="138" t="str">
        <f aca="false">'Page 4'!J140</f>
        <v>प्रशासकीय विभागाचा</v>
      </c>
      <c r="K5" s="138" t="str">
        <f aca="false">'Page 4'!K140</f>
        <v>वित्त विभागाचा</v>
      </c>
      <c r="L5" s="138"/>
    </row>
    <row r="6" customFormat="false" ht="18" hidden="false" customHeight="false" outlineLevel="0" collapsed="false">
      <c r="A6" s="139" t="n">
        <v>1</v>
      </c>
      <c r="B6" s="139" t="n">
        <v>2</v>
      </c>
      <c r="C6" s="139" t="n">
        <v>3</v>
      </c>
      <c r="D6" s="139" t="n">
        <v>4</v>
      </c>
      <c r="E6" s="139" t="n">
        <v>5</v>
      </c>
      <c r="F6" s="139" t="n">
        <v>6</v>
      </c>
      <c r="G6" s="139" t="n">
        <v>7</v>
      </c>
      <c r="H6" s="139" t="n">
        <v>8</v>
      </c>
      <c r="I6" s="139" t="n">
        <v>9</v>
      </c>
      <c r="J6" s="139" t="n">
        <v>10</v>
      </c>
      <c r="K6" s="139" t="n">
        <v>11</v>
      </c>
      <c r="L6" s="139" t="n">
        <v>12</v>
      </c>
    </row>
    <row r="7" customFormat="false" ht="37.5" hidden="false" customHeight="true" outlineLevel="0" collapsed="false">
      <c r="A7" s="155" t="n">
        <v>1</v>
      </c>
      <c r="B7" s="156" t="s">
        <v>111</v>
      </c>
      <c r="C7" s="156" t="n">
        <f aca="false">'Page 4'!C142</f>
        <v>24360</v>
      </c>
      <c r="D7" s="156" t="n">
        <f aca="false">'Page 4'!D142</f>
        <v>24662</v>
      </c>
      <c r="E7" s="156" t="n">
        <f aca="false">'Page 4'!E142</f>
        <v>28259</v>
      </c>
      <c r="F7" s="156" t="n">
        <f aca="false">'Page 4'!F142</f>
        <v>48731</v>
      </c>
      <c r="G7" s="156" t="n">
        <f aca="false">'Page 4'!G142</f>
        <v>48793</v>
      </c>
      <c r="H7" s="156"/>
      <c r="I7" s="140" t="n">
        <f aca="false">SUM('Page 4'!H142)</f>
        <v>48557</v>
      </c>
      <c r="J7" s="156"/>
      <c r="K7" s="156"/>
      <c r="L7" s="157" t="s">
        <v>123</v>
      </c>
    </row>
    <row r="8" customFormat="false" ht="18" hidden="false" customHeight="false" outlineLevel="0" collapsed="false">
      <c r="A8" s="155" t="n">
        <v>2</v>
      </c>
      <c r="B8" s="156" t="s">
        <v>112</v>
      </c>
      <c r="C8" s="156" t="n">
        <f aca="false">'Page 4'!C143</f>
        <v>0</v>
      </c>
      <c r="D8" s="156" t="n">
        <f aca="false">'Page 4'!D143</f>
        <v>0</v>
      </c>
      <c r="E8" s="156" t="n">
        <f aca="false">'Page 4'!E143</f>
        <v>0</v>
      </c>
      <c r="F8" s="156" t="n">
        <f aca="false">'Page 4'!F143</f>
        <v>0</v>
      </c>
      <c r="G8" s="156" t="n">
        <f aca="false">'Page 4'!G143</f>
        <v>0</v>
      </c>
      <c r="H8" s="156"/>
      <c r="I8" s="140" t="n">
        <f aca="false">SUM('Page 4'!H143)</f>
        <v>0</v>
      </c>
      <c r="J8" s="156"/>
      <c r="K8" s="156"/>
      <c r="L8" s="158"/>
    </row>
    <row r="9" customFormat="false" ht="75.75" hidden="false" customHeight="true" outlineLevel="0" collapsed="false">
      <c r="A9" s="155" t="n">
        <v>3</v>
      </c>
      <c r="B9" s="156" t="s">
        <v>124</v>
      </c>
      <c r="C9" s="156" t="n">
        <f aca="false">'Page 4'!C144</f>
        <v>168</v>
      </c>
      <c r="D9" s="156" t="n">
        <f aca="false">'Page 4'!D144</f>
        <v>271</v>
      </c>
      <c r="E9" s="156" t="n">
        <f aca="false">'Page 4'!E144</f>
        <v>108</v>
      </c>
      <c r="F9" s="156" t="n">
        <f aca="false">'Page 4'!F144</f>
        <v>1014</v>
      </c>
      <c r="G9" s="156" t="n">
        <f aca="false">'Page 4'!G144</f>
        <v>1014</v>
      </c>
      <c r="H9" s="156"/>
      <c r="I9" s="140" t="n">
        <f aca="false">SUM('Page 4'!H144)</f>
        <v>1182</v>
      </c>
      <c r="J9" s="156"/>
      <c r="K9" s="156"/>
      <c r="L9" s="157" t="s">
        <v>125</v>
      </c>
    </row>
    <row r="10" customFormat="false" ht="75" hidden="false" customHeight="true" outlineLevel="0" collapsed="false">
      <c r="A10" s="155" t="n">
        <v>4</v>
      </c>
      <c r="B10" s="156" t="s">
        <v>114</v>
      </c>
      <c r="C10" s="156" t="n">
        <f aca="false">'Page 4'!C145</f>
        <v>164</v>
      </c>
      <c r="D10" s="156" t="n">
        <f aca="false">'Page 4'!D145</f>
        <v>94</v>
      </c>
      <c r="E10" s="156" t="n">
        <f aca="false">'Page 4'!E145</f>
        <v>121</v>
      </c>
      <c r="F10" s="156" t="n">
        <f aca="false">'Page 4'!F145</f>
        <v>853</v>
      </c>
      <c r="G10" s="156" t="n">
        <f aca="false">'Page 4'!G145</f>
        <v>853</v>
      </c>
      <c r="H10" s="156"/>
      <c r="I10" s="140" t="n">
        <f aca="false">SUM('Page 4'!H145)</f>
        <v>938</v>
      </c>
      <c r="J10" s="156"/>
      <c r="K10" s="156"/>
      <c r="L10" s="157" t="s">
        <v>126</v>
      </c>
    </row>
    <row r="11" customFormat="false" ht="132.75" hidden="false" customHeight="true" outlineLevel="0" collapsed="false">
      <c r="A11" s="155" t="n">
        <v>5</v>
      </c>
      <c r="B11" s="156" t="s">
        <v>115</v>
      </c>
      <c r="C11" s="156" t="n">
        <f aca="false">'Page 4'!C146</f>
        <v>480</v>
      </c>
      <c r="D11" s="156" t="n">
        <f aca="false">'Page 4'!D146</f>
        <v>504</v>
      </c>
      <c r="E11" s="156" t="n">
        <f aca="false">'Page 4'!E146</f>
        <v>469</v>
      </c>
      <c r="F11" s="156" t="n">
        <f aca="false">'Page 4'!F146</f>
        <v>2035</v>
      </c>
      <c r="G11" s="156" t="n">
        <f aca="false">'Page 4'!G146</f>
        <v>2035</v>
      </c>
      <c r="H11" s="156"/>
      <c r="I11" s="140" t="n">
        <f aca="false">SUM('Page 4'!H146)</f>
        <v>2235</v>
      </c>
      <c r="J11" s="156"/>
      <c r="K11" s="156"/>
      <c r="L11" s="157" t="s">
        <v>127</v>
      </c>
    </row>
    <row r="12" customFormat="false" ht="54" hidden="false" customHeight="false" outlineLevel="0" collapsed="false">
      <c r="A12" s="155" t="n">
        <v>6</v>
      </c>
      <c r="B12" s="156" t="s">
        <v>116</v>
      </c>
      <c r="C12" s="156" t="n">
        <f aca="false">'Page 4'!C147</f>
        <v>2</v>
      </c>
      <c r="D12" s="156" t="n">
        <f aca="false">'Page 4'!D147</f>
        <v>1</v>
      </c>
      <c r="E12" s="156" t="n">
        <f aca="false">'Page 4'!E147</f>
        <v>2</v>
      </c>
      <c r="F12" s="156" t="n">
        <f aca="false">'Page 4'!F147</f>
        <v>55</v>
      </c>
      <c r="G12" s="156" t="n">
        <f aca="false">'Page 4'!G147</f>
        <v>55</v>
      </c>
      <c r="H12" s="156"/>
      <c r="I12" s="140" t="n">
        <f aca="false">SUM('Page 4'!H147)</f>
        <v>55</v>
      </c>
      <c r="J12" s="156"/>
      <c r="K12" s="156"/>
      <c r="L12" s="157" t="s">
        <v>128</v>
      </c>
    </row>
    <row r="13" customFormat="false" ht="180" hidden="false" customHeight="false" outlineLevel="0" collapsed="false">
      <c r="A13" s="155" t="n">
        <v>7</v>
      </c>
      <c r="B13" s="156" t="s">
        <v>117</v>
      </c>
      <c r="C13" s="156" t="n">
        <f aca="false">'Page 4'!C148</f>
        <v>22</v>
      </c>
      <c r="D13" s="156" t="n">
        <f aca="false">'Page 4'!D148</f>
        <v>39</v>
      </c>
      <c r="E13" s="156" t="n">
        <f aca="false">'Page 4'!E148</f>
        <v>13</v>
      </c>
      <c r="F13" s="156" t="n">
        <f aca="false">'Page 4'!F148</f>
        <v>665</v>
      </c>
      <c r="G13" s="156" t="n">
        <f aca="false">'Page 4'!G148</f>
        <v>625</v>
      </c>
      <c r="H13" s="156"/>
      <c r="I13" s="140" t="n">
        <f aca="false">SUM('Page 4'!H148)</f>
        <v>695</v>
      </c>
      <c r="J13" s="156"/>
      <c r="K13" s="156"/>
      <c r="L13" s="157" t="s">
        <v>129</v>
      </c>
    </row>
    <row r="14" customFormat="false" ht="108" hidden="false" customHeight="false" outlineLevel="0" collapsed="false">
      <c r="A14" s="155" t="n">
        <v>8</v>
      </c>
      <c r="B14" s="156" t="s">
        <v>130</v>
      </c>
      <c r="C14" s="156" t="n">
        <v>0</v>
      </c>
      <c r="D14" s="156" t="n">
        <v>0</v>
      </c>
      <c r="E14" s="156" t="n">
        <v>0</v>
      </c>
      <c r="F14" s="156" t="n">
        <v>0</v>
      </c>
      <c r="G14" s="156" t="n">
        <v>0</v>
      </c>
      <c r="H14" s="156"/>
      <c r="I14" s="140" t="n">
        <v>0</v>
      </c>
      <c r="J14" s="156"/>
      <c r="K14" s="156"/>
      <c r="L14" s="157" t="s">
        <v>131</v>
      </c>
    </row>
    <row r="15" customFormat="false" ht="18" hidden="false" customHeight="false" outlineLevel="0" collapsed="false">
      <c r="A15" s="155" t="n">
        <v>9</v>
      </c>
      <c r="B15" s="156" t="s">
        <v>132</v>
      </c>
      <c r="C15" s="156" t="n">
        <f aca="false">'Page 4'!C149</f>
        <v>0</v>
      </c>
      <c r="D15" s="156" t="n">
        <f aca="false">'Page 4'!D149</f>
        <v>0</v>
      </c>
      <c r="E15" s="156" t="n">
        <f aca="false">'Page 4'!E149</f>
        <v>0</v>
      </c>
      <c r="F15" s="156" t="n">
        <f aca="false">'Page 4'!F149</f>
        <v>0</v>
      </c>
      <c r="G15" s="156" t="n">
        <f aca="false">'Page 4'!G149</f>
        <v>0</v>
      </c>
      <c r="H15" s="156"/>
      <c r="I15" s="140" t="n">
        <f aca="false">SUM('Page 4'!H149)</f>
        <v>0</v>
      </c>
      <c r="J15" s="156"/>
      <c r="K15" s="156"/>
      <c r="L15" s="157"/>
    </row>
    <row r="16" customFormat="false" ht="18" hidden="false" customHeight="false" outlineLevel="0" collapsed="false">
      <c r="A16" s="159" t="n">
        <v>10</v>
      </c>
      <c r="B16" s="156" t="s">
        <v>119</v>
      </c>
      <c r="C16" s="156" t="n">
        <f aca="false">'Page 4'!C150</f>
        <v>0</v>
      </c>
      <c r="D16" s="156" t="n">
        <f aca="false">'Page 4'!D150</f>
        <v>0</v>
      </c>
      <c r="E16" s="156" t="n">
        <f aca="false">'Page 4'!E150</f>
        <v>0</v>
      </c>
      <c r="F16" s="156" t="n">
        <f aca="false">'Page 4'!F150</f>
        <v>0</v>
      </c>
      <c r="G16" s="156" t="n">
        <f aca="false">'Page 4'!G150</f>
        <v>20</v>
      </c>
      <c r="H16" s="156"/>
      <c r="I16" s="140" t="n">
        <f aca="false">SUM('Page 4'!H150)</f>
        <v>20</v>
      </c>
      <c r="J16" s="156"/>
      <c r="K16" s="156"/>
      <c r="L16" s="157"/>
    </row>
    <row r="17" customFormat="false" ht="18.75" hidden="false" customHeight="false" outlineLevel="0" collapsed="false">
      <c r="A17" s="160"/>
      <c r="B17" s="160" t="s">
        <v>64</v>
      </c>
      <c r="C17" s="161" t="n">
        <f aca="false">SUM(C7:C16)</f>
        <v>25196</v>
      </c>
      <c r="D17" s="161" t="n">
        <f aca="false">SUM(D7:D16)</f>
        <v>25571</v>
      </c>
      <c r="E17" s="161" t="n">
        <f aca="false">SUM(E7:E16)</f>
        <v>28972</v>
      </c>
      <c r="F17" s="161" t="n">
        <f aca="false">SUM(F7:F16)</f>
        <v>53353</v>
      </c>
      <c r="G17" s="161" t="n">
        <f aca="false">SUM(G7:G16)</f>
        <v>53395</v>
      </c>
      <c r="H17" s="161"/>
      <c r="I17" s="161" t="n">
        <f aca="false">SUM(I7:I16)</f>
        <v>53682</v>
      </c>
      <c r="J17" s="161"/>
      <c r="K17" s="161"/>
      <c r="L17" s="162"/>
    </row>
    <row r="18" customFormat="false" ht="18.75" hidden="false" customHeight="false" outlineLevel="0" collapsed="false">
      <c r="A18" s="163"/>
      <c r="B18" s="163"/>
      <c r="C18" s="164"/>
      <c r="D18" s="164"/>
      <c r="E18" s="164"/>
      <c r="F18" s="164"/>
      <c r="G18" s="164"/>
      <c r="H18" s="164"/>
      <c r="I18" s="164"/>
      <c r="J18" s="164"/>
      <c r="K18" s="164"/>
      <c r="L18" s="164"/>
    </row>
    <row r="20" customFormat="false" ht="18" hidden="false" customHeight="false" outlineLevel="0" collapsed="false">
      <c r="L20" s="115" t="s">
        <v>57</v>
      </c>
      <c r="M20" s="113"/>
    </row>
    <row r="21" customFormat="false" ht="18" hidden="false" customHeight="false" outlineLevel="0" collapsed="false">
      <c r="L21" s="115" t="s">
        <v>58</v>
      </c>
      <c r="M21" s="113"/>
    </row>
    <row r="22" customFormat="false" ht="18" hidden="false" customHeight="false" outlineLevel="0" collapsed="false">
      <c r="L22" s="115" t="s">
        <v>56</v>
      </c>
      <c r="M22" s="113"/>
    </row>
  </sheetData>
  <mergeCells count="9">
    <mergeCell ref="A1:L1"/>
    <mergeCell ref="A2:L2"/>
    <mergeCell ref="A3:C3"/>
    <mergeCell ref="A4:A5"/>
    <mergeCell ref="B4:B5"/>
    <mergeCell ref="C4:E4"/>
    <mergeCell ref="G4:G5"/>
    <mergeCell ref="H4:K4"/>
    <mergeCell ref="L4:L5"/>
  </mergeCells>
  <printOptions headings="false" gridLines="false" gridLinesSet="true" horizontalCentered="false" verticalCentered="false"/>
  <pageMargins left="0.570138888888889" right="0.157638888888889" top="0.236111111111111" bottom="0.315277777777778" header="0.511811023622047" footer="0.157638888888889"/>
  <pageSetup paperSize="5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&amp;C&amp;Z&amp;F&amp;RPage &amp;P</oddFooter>
  </headerFooter>
  <rowBreaks count="1" manualBreakCount="1">
    <brk id="12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14" activeCellId="0" sqref="D14"/>
    </sheetView>
  </sheetViews>
  <sheetFormatPr defaultColWidth="9.13671875" defaultRowHeight="18" customHeight="true" zeroHeight="false" outlineLevelRow="0" outlineLevelCol="0"/>
  <cols>
    <col collapsed="false" customWidth="false" hidden="false" outlineLevel="0" max="1" min="1" style="153" width="9.14"/>
    <col collapsed="false" customWidth="true" hidden="false" outlineLevel="0" max="2" min="2" style="153" width="24.7"/>
    <col collapsed="false" customWidth="false" hidden="false" outlineLevel="0" max="6" min="3" style="153" width="9.14"/>
    <col collapsed="false" customWidth="true" hidden="false" outlineLevel="0" max="7" min="7" style="153" width="11.28"/>
    <col collapsed="false" customWidth="true" hidden="false" outlineLevel="0" max="8" min="8" style="153" width="9.41"/>
    <col collapsed="false" customWidth="true" hidden="false" outlineLevel="0" max="9" min="9" style="153" width="12.85"/>
    <col collapsed="false" customWidth="true" hidden="false" outlineLevel="0" max="10" min="10" style="153" width="15.56"/>
    <col collapsed="false" customWidth="true" hidden="false" outlineLevel="0" max="11" min="11" style="153" width="12.42"/>
    <col collapsed="false" customWidth="true" hidden="false" outlineLevel="0" max="13" min="12" style="153" width="8.99"/>
    <col collapsed="false" customWidth="false" hidden="false" outlineLevel="0" max="257" min="14" style="153" width="9.14"/>
  </cols>
  <sheetData>
    <row r="1" customFormat="false" ht="18" hidden="false" customHeight="false" outlineLevel="0" collapsed="false">
      <c r="A1" s="165" t="s">
        <v>19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customFormat="false" ht="18" hidden="false" customHeight="false" outlineLevel="0" collapsed="false">
      <c r="A2" s="165" t="s">
        <v>133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</row>
    <row r="3" customFormat="false" ht="18" hidden="false" customHeight="false" outlineLevel="0" collapsed="false">
      <c r="A3" s="165" t="s">
        <v>134</v>
      </c>
      <c r="B3" s="165" t="s">
        <v>135</v>
      </c>
      <c r="C3" s="166" t="s">
        <v>136</v>
      </c>
      <c r="D3" s="166" t="s">
        <v>137</v>
      </c>
      <c r="E3" s="166" t="s">
        <v>138</v>
      </c>
      <c r="F3" s="166" t="s">
        <v>139</v>
      </c>
      <c r="G3" s="166" t="s">
        <v>140</v>
      </c>
      <c r="H3" s="166" t="s">
        <v>141</v>
      </c>
      <c r="I3" s="166" t="s">
        <v>142</v>
      </c>
      <c r="J3" s="166" t="s">
        <v>143</v>
      </c>
      <c r="K3" s="166" t="s">
        <v>144</v>
      </c>
      <c r="L3" s="165" t="s">
        <v>145</v>
      </c>
      <c r="M3" s="165" t="s">
        <v>146</v>
      </c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7"/>
      <c r="BY3" s="167"/>
      <c r="BZ3" s="167"/>
      <c r="CA3" s="167"/>
      <c r="CB3" s="167"/>
      <c r="CC3" s="167"/>
      <c r="CD3" s="167"/>
      <c r="CE3" s="167"/>
      <c r="CF3" s="167"/>
      <c r="CG3" s="167"/>
      <c r="CH3" s="167"/>
      <c r="CI3" s="167"/>
      <c r="CJ3" s="167"/>
      <c r="CK3" s="167"/>
      <c r="CL3" s="167"/>
      <c r="CM3" s="167"/>
      <c r="CN3" s="167"/>
      <c r="CO3" s="167"/>
      <c r="CP3" s="167"/>
      <c r="CQ3" s="167"/>
      <c r="CR3" s="167"/>
      <c r="CS3" s="167"/>
      <c r="CT3" s="167"/>
      <c r="CU3" s="167"/>
      <c r="CV3" s="167"/>
      <c r="CW3" s="167"/>
      <c r="CX3" s="167"/>
      <c r="CY3" s="167"/>
      <c r="CZ3" s="167"/>
      <c r="DA3" s="167"/>
      <c r="DB3" s="167"/>
      <c r="DC3" s="167"/>
      <c r="DD3" s="167"/>
      <c r="DE3" s="167"/>
      <c r="DF3" s="167"/>
      <c r="DG3" s="167"/>
      <c r="DH3" s="167"/>
      <c r="DI3" s="167"/>
      <c r="DJ3" s="167"/>
      <c r="DK3" s="167"/>
      <c r="DL3" s="167"/>
      <c r="DM3" s="167"/>
      <c r="DN3" s="167"/>
      <c r="DO3" s="167"/>
      <c r="DP3" s="167"/>
      <c r="DQ3" s="167"/>
      <c r="DR3" s="167"/>
      <c r="DS3" s="167"/>
      <c r="DT3" s="167"/>
      <c r="DU3" s="167"/>
      <c r="DV3" s="167"/>
      <c r="DW3" s="167"/>
      <c r="DX3" s="167"/>
      <c r="DY3" s="167"/>
      <c r="DZ3" s="167"/>
      <c r="EA3" s="167"/>
      <c r="EB3" s="167"/>
      <c r="EC3" s="167"/>
      <c r="ED3" s="167"/>
      <c r="EE3" s="167"/>
      <c r="EF3" s="167"/>
      <c r="EG3" s="167"/>
      <c r="EH3" s="167"/>
      <c r="EI3" s="167"/>
      <c r="EJ3" s="167"/>
      <c r="EK3" s="167"/>
      <c r="EL3" s="167"/>
      <c r="EM3" s="167"/>
      <c r="EN3" s="167"/>
      <c r="EO3" s="167"/>
      <c r="EP3" s="167"/>
      <c r="EQ3" s="167"/>
      <c r="ER3" s="167"/>
      <c r="ES3" s="167"/>
      <c r="ET3" s="167"/>
      <c r="EU3" s="167"/>
      <c r="EV3" s="167"/>
      <c r="EW3" s="167"/>
      <c r="EX3" s="167"/>
      <c r="EY3" s="167"/>
      <c r="EZ3" s="167"/>
      <c r="FA3" s="167"/>
      <c r="FB3" s="167"/>
      <c r="FC3" s="167"/>
      <c r="FD3" s="167"/>
      <c r="FE3" s="167"/>
      <c r="FF3" s="167"/>
      <c r="FG3" s="167"/>
      <c r="FH3" s="167"/>
      <c r="FI3" s="167"/>
      <c r="FJ3" s="167"/>
      <c r="FK3" s="167"/>
      <c r="FL3" s="167"/>
      <c r="FM3" s="167"/>
      <c r="FN3" s="167"/>
      <c r="FO3" s="167"/>
      <c r="FP3" s="167"/>
      <c r="FQ3" s="167"/>
      <c r="FR3" s="167"/>
      <c r="FS3" s="167"/>
      <c r="FT3" s="167"/>
      <c r="FU3" s="167"/>
      <c r="FV3" s="167"/>
      <c r="FW3" s="167"/>
      <c r="FX3" s="167"/>
      <c r="FY3" s="167"/>
      <c r="FZ3" s="167"/>
      <c r="GA3" s="167"/>
      <c r="GB3" s="167"/>
      <c r="GC3" s="167"/>
      <c r="GD3" s="167"/>
      <c r="GE3" s="167"/>
      <c r="GF3" s="167"/>
      <c r="GG3" s="167"/>
      <c r="GH3" s="167"/>
      <c r="GI3" s="167"/>
      <c r="GJ3" s="167"/>
      <c r="GK3" s="167"/>
      <c r="GL3" s="167"/>
      <c r="GM3" s="167"/>
      <c r="GN3" s="167"/>
      <c r="GO3" s="167"/>
      <c r="GP3" s="167"/>
      <c r="GQ3" s="167"/>
      <c r="GR3" s="167"/>
      <c r="GS3" s="167"/>
      <c r="GT3" s="167"/>
      <c r="GU3" s="167"/>
      <c r="GV3" s="167"/>
      <c r="GW3" s="167"/>
      <c r="GX3" s="167"/>
      <c r="GY3" s="167"/>
      <c r="GZ3" s="167"/>
      <c r="HA3" s="167"/>
      <c r="HB3" s="167"/>
      <c r="HC3" s="167"/>
      <c r="HD3" s="167"/>
      <c r="HE3" s="167"/>
      <c r="HF3" s="167"/>
      <c r="HG3" s="167"/>
      <c r="HH3" s="167"/>
      <c r="HI3" s="167"/>
      <c r="HJ3" s="167"/>
      <c r="HK3" s="167"/>
      <c r="HL3" s="167"/>
      <c r="HM3" s="167"/>
      <c r="HN3" s="167"/>
      <c r="HO3" s="167"/>
      <c r="HP3" s="167"/>
      <c r="HQ3" s="167"/>
      <c r="HR3" s="167"/>
      <c r="HS3" s="167"/>
      <c r="HT3" s="167"/>
      <c r="HU3" s="167"/>
      <c r="HV3" s="167"/>
      <c r="HW3" s="167"/>
      <c r="HX3" s="167"/>
      <c r="HY3" s="167"/>
      <c r="HZ3" s="167"/>
      <c r="IA3" s="167"/>
      <c r="IB3" s="167"/>
      <c r="IC3" s="167"/>
      <c r="ID3" s="167"/>
      <c r="IE3" s="167"/>
      <c r="IF3" s="167"/>
      <c r="IG3" s="167"/>
      <c r="IH3" s="167"/>
      <c r="II3" s="167"/>
      <c r="IJ3" s="167"/>
      <c r="IK3" s="167"/>
      <c r="IL3" s="167"/>
      <c r="IM3" s="167"/>
      <c r="IN3" s="167"/>
      <c r="IO3" s="167"/>
      <c r="IP3" s="167"/>
      <c r="IQ3" s="167"/>
      <c r="IR3" s="167"/>
      <c r="IS3" s="167"/>
      <c r="IT3" s="167"/>
      <c r="IU3" s="167"/>
      <c r="IV3" s="167"/>
      <c r="IW3" s="167"/>
    </row>
    <row r="4" customFormat="false" ht="18" hidden="false" customHeight="false" outlineLevel="0" collapsed="false">
      <c r="A4" s="165" t="n">
        <v>1</v>
      </c>
      <c r="B4" s="168" t="s">
        <v>147</v>
      </c>
      <c r="C4" s="169" t="n">
        <v>236</v>
      </c>
      <c r="D4" s="169" t="n">
        <v>2526</v>
      </c>
      <c r="E4" s="169" t="n">
        <f aca="false">SUM(C4:D4)</f>
        <v>2762</v>
      </c>
      <c r="F4" s="169" t="n">
        <v>812</v>
      </c>
      <c r="G4" s="169" t="n">
        <v>1416</v>
      </c>
      <c r="H4" s="169" t="n">
        <v>2376</v>
      </c>
      <c r="I4" s="169" t="n">
        <v>0</v>
      </c>
      <c r="J4" s="169" t="n">
        <v>0</v>
      </c>
      <c r="K4" s="168" t="n">
        <v>1275</v>
      </c>
      <c r="L4" s="168" t="n">
        <f aca="false">SUM(F4:K4)</f>
        <v>5879</v>
      </c>
      <c r="M4" s="168" t="n">
        <f aca="false">SUM(L4+E4)</f>
        <v>8641</v>
      </c>
    </row>
    <row r="5" customFormat="false" ht="18" hidden="false" customHeight="false" outlineLevel="0" collapsed="false">
      <c r="A5" s="165" t="n">
        <v>6</v>
      </c>
      <c r="B5" s="168" t="s">
        <v>148</v>
      </c>
      <c r="C5" s="168"/>
      <c r="D5" s="168"/>
      <c r="E5" s="169" t="n">
        <f aca="false">SUM(C5:D5)</f>
        <v>0</v>
      </c>
      <c r="F5" s="168"/>
      <c r="G5" s="168" t="n">
        <v>0</v>
      </c>
      <c r="H5" s="168" t="n">
        <v>2</v>
      </c>
      <c r="I5" s="168"/>
      <c r="J5" s="168"/>
      <c r="K5" s="168" t="n">
        <v>8</v>
      </c>
      <c r="L5" s="168" t="n">
        <f aca="false">SUM(F5:K5)</f>
        <v>10</v>
      </c>
      <c r="M5" s="168" t="n">
        <f aca="false">SUM(L5+E5)</f>
        <v>10</v>
      </c>
    </row>
    <row r="6" customFormat="false" ht="18" hidden="false" customHeight="false" outlineLevel="0" collapsed="false">
      <c r="A6" s="165" t="n">
        <v>11</v>
      </c>
      <c r="B6" s="168" t="s">
        <v>149</v>
      </c>
      <c r="C6" s="168"/>
      <c r="D6" s="168"/>
      <c r="E6" s="169" t="n">
        <f aca="false">SUM(C6:D6)</f>
        <v>0</v>
      </c>
      <c r="F6" s="168"/>
      <c r="G6" s="168" t="n">
        <v>0</v>
      </c>
      <c r="H6" s="168"/>
      <c r="I6" s="168"/>
      <c r="J6" s="168"/>
      <c r="K6" s="168"/>
      <c r="L6" s="168" t="n">
        <f aca="false">SUM(F6:K6)</f>
        <v>0</v>
      </c>
      <c r="M6" s="168" t="n">
        <f aca="false">SUM(L6+E6)</f>
        <v>0</v>
      </c>
    </row>
    <row r="7" customFormat="false" ht="18" hidden="false" customHeight="false" outlineLevel="0" collapsed="false">
      <c r="A7" s="165" t="n">
        <v>13</v>
      </c>
      <c r="B7" s="168" t="s">
        <v>150</v>
      </c>
      <c r="C7" s="168"/>
      <c r="D7" s="168"/>
      <c r="E7" s="169" t="n">
        <f aca="false">SUM(C7:D7)</f>
        <v>0</v>
      </c>
      <c r="F7" s="168"/>
      <c r="G7" s="168" t="n">
        <v>0</v>
      </c>
      <c r="H7" s="168"/>
      <c r="I7" s="168"/>
      <c r="J7" s="168"/>
      <c r="K7" s="168"/>
      <c r="L7" s="168" t="n">
        <f aca="false">SUM(F7:K7)</f>
        <v>0</v>
      </c>
      <c r="M7" s="168" t="n">
        <f aca="false">SUM(L7+E7)</f>
        <v>0</v>
      </c>
    </row>
    <row r="8" customFormat="false" ht="18" hidden="false" customHeight="false" outlineLevel="0" collapsed="false">
      <c r="A8" s="170" t="n">
        <v>14</v>
      </c>
      <c r="B8" s="169" t="s">
        <v>151</v>
      </c>
      <c r="C8" s="168"/>
      <c r="D8" s="168"/>
      <c r="E8" s="169" t="n">
        <f aca="false">SUM(C8:D8)</f>
        <v>0</v>
      </c>
      <c r="F8" s="168"/>
      <c r="G8" s="168" t="n">
        <v>0</v>
      </c>
      <c r="H8" s="168"/>
      <c r="I8" s="168"/>
      <c r="J8" s="168"/>
      <c r="K8" s="168"/>
      <c r="L8" s="168" t="n">
        <f aca="false">SUM(F8:K8)</f>
        <v>0</v>
      </c>
      <c r="M8" s="168" t="n">
        <f aca="false">SUM(L8+E8)</f>
        <v>0</v>
      </c>
    </row>
    <row r="9" customFormat="false" ht="18" hidden="false" customHeight="false" outlineLevel="0" collapsed="false">
      <c r="A9" s="170" t="n">
        <v>17</v>
      </c>
      <c r="B9" s="169" t="s">
        <v>152</v>
      </c>
      <c r="C9" s="168"/>
      <c r="D9" s="168"/>
      <c r="E9" s="169" t="n">
        <f aca="false">SUM(C9:D9)</f>
        <v>0</v>
      </c>
      <c r="F9" s="168"/>
      <c r="G9" s="168" t="n">
        <v>0</v>
      </c>
      <c r="H9" s="168"/>
      <c r="I9" s="168"/>
      <c r="J9" s="168"/>
      <c r="K9" s="168"/>
      <c r="L9" s="168" t="n">
        <f aca="false">SUM(F9:K9)</f>
        <v>0</v>
      </c>
      <c r="M9" s="168" t="n">
        <f aca="false">SUM(L9+E9)</f>
        <v>0</v>
      </c>
    </row>
    <row r="10" customFormat="false" ht="18" hidden="false" customHeight="false" outlineLevel="0" collapsed="false">
      <c r="A10" s="170" t="n">
        <v>26</v>
      </c>
      <c r="B10" s="169" t="s">
        <v>153</v>
      </c>
      <c r="C10" s="168"/>
      <c r="D10" s="168"/>
      <c r="E10" s="169" t="n">
        <f aca="false">SUM(C10:D10)</f>
        <v>0</v>
      </c>
      <c r="F10" s="168"/>
      <c r="G10" s="168" t="n">
        <v>0</v>
      </c>
      <c r="H10" s="168"/>
      <c r="I10" s="168"/>
      <c r="J10" s="168"/>
      <c r="K10" s="168"/>
      <c r="L10" s="168" t="n">
        <f aca="false">SUM(F10:K10)</f>
        <v>0</v>
      </c>
      <c r="M10" s="168" t="n">
        <f aca="false">SUM(L10+E10)</f>
        <v>0</v>
      </c>
    </row>
    <row r="11" customFormat="false" ht="18" hidden="false" customHeight="false" outlineLevel="0" collapsed="false">
      <c r="A11" s="170" t="n">
        <v>51</v>
      </c>
      <c r="B11" s="169" t="s">
        <v>154</v>
      </c>
      <c r="C11" s="168"/>
      <c r="D11" s="168"/>
      <c r="E11" s="169" t="n">
        <f aca="false">SUM(C11:D11)</f>
        <v>0</v>
      </c>
      <c r="F11" s="168"/>
      <c r="G11" s="168" t="n">
        <v>0</v>
      </c>
      <c r="H11" s="168"/>
      <c r="I11" s="168"/>
      <c r="J11" s="168"/>
      <c r="K11" s="168"/>
      <c r="L11" s="168" t="n">
        <f aca="false">SUM(F11:K11)</f>
        <v>0</v>
      </c>
      <c r="M11" s="168" t="n">
        <f aca="false">SUM(L11+E11)</f>
        <v>0</v>
      </c>
    </row>
    <row r="12" customFormat="false" ht="18" hidden="false" customHeight="false" outlineLevel="0" collapsed="false">
      <c r="A12" s="168"/>
      <c r="B12" s="168"/>
      <c r="C12" s="168" t="n">
        <f aca="false">SUM(C4:C11)</f>
        <v>236</v>
      </c>
      <c r="D12" s="168" t="n">
        <f aca="false">SUM(D4:D11)</f>
        <v>2526</v>
      </c>
      <c r="E12" s="168" t="n">
        <f aca="false">SUM(E4:E11)</f>
        <v>2762</v>
      </c>
      <c r="F12" s="168" t="n">
        <f aca="false">SUM(F4:F11)</f>
        <v>812</v>
      </c>
      <c r="G12" s="168" t="n">
        <f aca="false">SUM(G4:G11)</f>
        <v>1416</v>
      </c>
      <c r="H12" s="168" t="n">
        <f aca="false">SUM(H4:H11)</f>
        <v>2378</v>
      </c>
      <c r="I12" s="168" t="n">
        <f aca="false">SUM(I4:I11)</f>
        <v>0</v>
      </c>
      <c r="J12" s="168" t="n">
        <f aca="false">SUM(J4:J11)</f>
        <v>0</v>
      </c>
      <c r="K12" s="168" t="n">
        <f aca="false">SUM(K4:K11)</f>
        <v>1283</v>
      </c>
      <c r="L12" s="168" t="n">
        <f aca="false">SUM(L4:L11)</f>
        <v>5889</v>
      </c>
      <c r="M12" s="168" t="n">
        <f aca="false">SUM(M4:M11)</f>
        <v>8651</v>
      </c>
    </row>
    <row r="15" customFormat="false" ht="18" hidden="false" customHeight="false" outlineLevel="0" collapsed="false">
      <c r="K15" s="84" t="s">
        <v>57</v>
      </c>
      <c r="L15" s="84"/>
      <c r="M15" s="84"/>
    </row>
    <row r="16" customFormat="false" ht="18" hidden="false" customHeight="false" outlineLevel="0" collapsed="false">
      <c r="K16" s="84" t="s">
        <v>58</v>
      </c>
      <c r="L16" s="84"/>
      <c r="M16" s="84"/>
    </row>
    <row r="17" customFormat="false" ht="18" hidden="false" customHeight="false" outlineLevel="0" collapsed="false">
      <c r="K17" s="84" t="s">
        <v>56</v>
      </c>
      <c r="L17" s="84"/>
      <c r="M17" s="84"/>
    </row>
    <row r="20" customFormat="false" ht="18" hidden="false" customHeight="false" outlineLevel="0" collapsed="false">
      <c r="J20" s="153" t="s">
        <v>155</v>
      </c>
    </row>
  </sheetData>
  <mergeCells count="5">
    <mergeCell ref="A1:M1"/>
    <mergeCell ref="A2:M2"/>
    <mergeCell ref="K15:M15"/>
    <mergeCell ref="K16:M16"/>
    <mergeCell ref="K17:M17"/>
  </mergeCells>
  <printOptions headings="false" gridLines="false" gridLinesSet="true" horizontalCentered="false" verticalCentered="false"/>
  <pageMargins left="0.859722222222222" right="0.309722222222222" top="1" bottom="1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7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1" activeCellId="0" sqref="A1:H2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53" width="10.13"/>
    <col collapsed="false" customWidth="true" hidden="false" outlineLevel="0" max="2" min="2" style="153" width="15.41"/>
    <col collapsed="false" customWidth="true" hidden="false" outlineLevel="0" max="8" min="3" style="153" width="17.28"/>
    <col collapsed="false" customWidth="false" hidden="false" outlineLevel="0" max="257" min="9" style="153" width="9.14"/>
  </cols>
  <sheetData>
    <row r="1" customFormat="false" ht="25.5" hidden="false" customHeight="true" outlineLevel="0" collapsed="false">
      <c r="A1" s="171" t="s">
        <v>156</v>
      </c>
      <c r="B1" s="171"/>
      <c r="C1" s="171"/>
      <c r="D1" s="171"/>
      <c r="E1" s="171"/>
      <c r="F1" s="171"/>
      <c r="G1" s="171"/>
      <c r="H1" s="171"/>
    </row>
    <row r="2" customFormat="false" ht="25.5" hidden="false" customHeight="true" outlineLevel="0" collapsed="false">
      <c r="A2" s="172" t="s">
        <v>157</v>
      </c>
      <c r="B2" s="172"/>
      <c r="C2" s="172"/>
      <c r="D2" s="172"/>
      <c r="E2" s="172"/>
      <c r="F2" s="172"/>
      <c r="G2" s="172"/>
      <c r="H2" s="172"/>
      <c r="I2" s="173"/>
      <c r="J2" s="173"/>
      <c r="K2" s="173"/>
      <c r="L2" s="173"/>
      <c r="M2" s="173"/>
      <c r="N2" s="173"/>
      <c r="O2" s="173"/>
      <c r="P2" s="173"/>
    </row>
    <row r="3" customFormat="false" ht="25.5" hidden="false" customHeight="true" outlineLevel="0" collapsed="false">
      <c r="A3" s="174" t="s">
        <v>158</v>
      </c>
      <c r="B3" s="174"/>
      <c r="C3" s="174"/>
      <c r="D3" s="174"/>
      <c r="E3" s="174"/>
      <c r="F3" s="174"/>
      <c r="G3" s="174"/>
      <c r="H3" s="174"/>
    </row>
    <row r="4" customFormat="false" ht="25.5" hidden="false" customHeight="true" outlineLevel="0" collapsed="false">
      <c r="A4" s="174" t="s">
        <v>159</v>
      </c>
      <c r="B4" s="174"/>
      <c r="C4" s="174"/>
      <c r="D4" s="174"/>
      <c r="E4" s="174"/>
      <c r="F4" s="174"/>
      <c r="G4" s="174"/>
      <c r="H4" s="174"/>
    </row>
    <row r="5" customFormat="false" ht="32.25" hidden="false" customHeight="true" outlineLevel="0" collapsed="false">
      <c r="A5" s="175" t="s">
        <v>86</v>
      </c>
      <c r="B5" s="175" t="s">
        <v>160</v>
      </c>
      <c r="C5" s="176" t="s">
        <v>7</v>
      </c>
      <c r="D5" s="176"/>
      <c r="E5" s="176" t="s">
        <v>62</v>
      </c>
      <c r="F5" s="176"/>
      <c r="G5" s="176" t="s">
        <v>63</v>
      </c>
      <c r="H5" s="176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177"/>
      <c r="BZ5" s="177"/>
      <c r="CA5" s="177"/>
      <c r="CB5" s="177"/>
      <c r="CC5" s="177"/>
      <c r="CD5" s="177"/>
      <c r="CE5" s="177"/>
      <c r="CF5" s="177"/>
      <c r="CG5" s="177"/>
      <c r="CH5" s="177"/>
      <c r="CI5" s="177"/>
      <c r="CJ5" s="177"/>
      <c r="CK5" s="177"/>
      <c r="CL5" s="177"/>
      <c r="CM5" s="177"/>
      <c r="CN5" s="177"/>
      <c r="CO5" s="177"/>
      <c r="CP5" s="177"/>
      <c r="CQ5" s="177"/>
      <c r="CR5" s="177"/>
      <c r="CS5" s="177"/>
      <c r="CT5" s="177"/>
      <c r="CU5" s="177"/>
      <c r="CV5" s="177"/>
      <c r="CW5" s="177"/>
      <c r="CX5" s="177"/>
      <c r="CY5" s="177"/>
      <c r="CZ5" s="177"/>
      <c r="DA5" s="177"/>
      <c r="DB5" s="177"/>
      <c r="DC5" s="177"/>
      <c r="DD5" s="177"/>
      <c r="DE5" s="177"/>
      <c r="DF5" s="177"/>
      <c r="DG5" s="177"/>
      <c r="DH5" s="177"/>
      <c r="DI5" s="177"/>
      <c r="DJ5" s="177"/>
      <c r="DK5" s="177"/>
      <c r="DL5" s="177"/>
      <c r="DM5" s="177"/>
      <c r="DN5" s="177"/>
      <c r="DO5" s="177"/>
      <c r="DP5" s="177"/>
      <c r="DQ5" s="177"/>
      <c r="DR5" s="177"/>
      <c r="DS5" s="177"/>
      <c r="DT5" s="177"/>
      <c r="DU5" s="177"/>
      <c r="DV5" s="177"/>
      <c r="DW5" s="177"/>
      <c r="DX5" s="177"/>
      <c r="DY5" s="177"/>
      <c r="DZ5" s="177"/>
      <c r="EA5" s="177"/>
      <c r="EB5" s="177"/>
      <c r="EC5" s="177"/>
      <c r="ED5" s="177"/>
      <c r="EE5" s="177"/>
      <c r="EF5" s="177"/>
      <c r="EG5" s="177"/>
      <c r="EH5" s="177"/>
      <c r="EI5" s="177"/>
      <c r="EJ5" s="177"/>
      <c r="EK5" s="177"/>
      <c r="EL5" s="177"/>
      <c r="EM5" s="177"/>
      <c r="EN5" s="177"/>
      <c r="EO5" s="177"/>
      <c r="EP5" s="177"/>
      <c r="EQ5" s="177"/>
      <c r="ER5" s="177"/>
      <c r="ES5" s="177"/>
      <c r="ET5" s="177"/>
      <c r="EU5" s="177"/>
      <c r="EV5" s="177"/>
      <c r="EW5" s="177"/>
      <c r="EX5" s="177"/>
      <c r="EY5" s="177"/>
      <c r="EZ5" s="177"/>
      <c r="FA5" s="177"/>
      <c r="FB5" s="177"/>
      <c r="FC5" s="177"/>
      <c r="FD5" s="177"/>
      <c r="FE5" s="177"/>
      <c r="FF5" s="177"/>
      <c r="FG5" s="177"/>
      <c r="FH5" s="177"/>
      <c r="FI5" s="177"/>
      <c r="FJ5" s="177"/>
      <c r="FK5" s="177"/>
      <c r="FL5" s="177"/>
      <c r="FM5" s="177"/>
      <c r="FN5" s="177"/>
      <c r="FO5" s="177"/>
      <c r="FP5" s="177"/>
      <c r="FQ5" s="177"/>
      <c r="FR5" s="177"/>
      <c r="FS5" s="177"/>
      <c r="FT5" s="177"/>
      <c r="FU5" s="177"/>
      <c r="FV5" s="177"/>
      <c r="FW5" s="177"/>
      <c r="FX5" s="177"/>
      <c r="FY5" s="177"/>
      <c r="FZ5" s="177"/>
      <c r="GA5" s="177"/>
      <c r="GB5" s="177"/>
      <c r="GC5" s="177"/>
      <c r="GD5" s="177"/>
      <c r="GE5" s="177"/>
      <c r="GF5" s="177"/>
      <c r="GG5" s="177"/>
      <c r="GH5" s="177"/>
      <c r="GI5" s="177"/>
      <c r="GJ5" s="177"/>
      <c r="GK5" s="177"/>
      <c r="GL5" s="177"/>
      <c r="GM5" s="177"/>
      <c r="GN5" s="177"/>
      <c r="GO5" s="177"/>
      <c r="GP5" s="177"/>
      <c r="GQ5" s="177"/>
      <c r="GR5" s="177"/>
      <c r="GS5" s="177"/>
      <c r="GT5" s="177"/>
      <c r="GU5" s="177"/>
      <c r="GV5" s="177"/>
      <c r="GW5" s="177"/>
      <c r="GX5" s="177"/>
      <c r="GY5" s="177"/>
      <c r="GZ5" s="177"/>
      <c r="HA5" s="177"/>
      <c r="HB5" s="177"/>
      <c r="HC5" s="177"/>
      <c r="HD5" s="177"/>
      <c r="HE5" s="177"/>
      <c r="HF5" s="177"/>
      <c r="HG5" s="177"/>
      <c r="HH5" s="177"/>
      <c r="HI5" s="177"/>
      <c r="HJ5" s="177"/>
      <c r="HK5" s="177"/>
      <c r="HL5" s="177"/>
      <c r="HM5" s="177"/>
      <c r="HN5" s="177"/>
      <c r="HO5" s="177"/>
      <c r="HP5" s="177"/>
      <c r="HQ5" s="177"/>
      <c r="HR5" s="177"/>
      <c r="HS5" s="177"/>
      <c r="HT5" s="177"/>
      <c r="HU5" s="177"/>
      <c r="HV5" s="177"/>
      <c r="HW5" s="177"/>
      <c r="HX5" s="177"/>
      <c r="HY5" s="177"/>
      <c r="HZ5" s="177"/>
      <c r="IA5" s="177"/>
      <c r="IB5" s="177"/>
      <c r="IC5" s="177"/>
      <c r="ID5" s="177"/>
      <c r="IE5" s="177"/>
      <c r="IF5" s="177"/>
      <c r="IG5" s="177"/>
      <c r="IH5" s="177"/>
      <c r="II5" s="177"/>
      <c r="IJ5" s="177"/>
      <c r="IK5" s="177"/>
      <c r="IL5" s="177"/>
      <c r="IM5" s="177"/>
      <c r="IN5" s="177"/>
      <c r="IO5" s="177"/>
      <c r="IP5" s="177"/>
      <c r="IQ5" s="177"/>
      <c r="IR5" s="177"/>
      <c r="IS5" s="177"/>
      <c r="IT5" s="177"/>
      <c r="IU5" s="177"/>
      <c r="IV5" s="177"/>
      <c r="IW5" s="177"/>
    </row>
    <row r="6" customFormat="false" ht="32.25" hidden="false" customHeight="true" outlineLevel="0" collapsed="false">
      <c r="A6" s="175"/>
      <c r="B6" s="175"/>
      <c r="C6" s="175" t="s">
        <v>21</v>
      </c>
      <c r="D6" s="175" t="s">
        <v>36</v>
      </c>
      <c r="E6" s="175" t="s">
        <v>21</v>
      </c>
      <c r="F6" s="175" t="s">
        <v>36</v>
      </c>
      <c r="G6" s="175" t="s">
        <v>21</v>
      </c>
      <c r="H6" s="175" t="s">
        <v>36</v>
      </c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7"/>
      <c r="BK6" s="177"/>
      <c r="BL6" s="177"/>
      <c r="BM6" s="177"/>
      <c r="BN6" s="177"/>
      <c r="BO6" s="177"/>
      <c r="BP6" s="177"/>
      <c r="BQ6" s="177"/>
      <c r="BR6" s="177"/>
      <c r="BS6" s="177"/>
      <c r="BT6" s="177"/>
      <c r="BU6" s="177"/>
      <c r="BV6" s="177"/>
      <c r="BW6" s="177"/>
      <c r="BX6" s="177"/>
      <c r="BY6" s="177"/>
      <c r="BZ6" s="177"/>
      <c r="CA6" s="177"/>
      <c r="CB6" s="177"/>
      <c r="CC6" s="177"/>
      <c r="CD6" s="177"/>
      <c r="CE6" s="177"/>
      <c r="CF6" s="177"/>
      <c r="CG6" s="177"/>
      <c r="CH6" s="177"/>
      <c r="CI6" s="177"/>
      <c r="CJ6" s="177"/>
      <c r="CK6" s="177"/>
      <c r="CL6" s="177"/>
      <c r="CM6" s="177"/>
      <c r="CN6" s="177"/>
      <c r="CO6" s="177"/>
      <c r="CP6" s="177"/>
      <c r="CQ6" s="177"/>
      <c r="CR6" s="177"/>
      <c r="CS6" s="177"/>
      <c r="CT6" s="177"/>
      <c r="CU6" s="177"/>
      <c r="CV6" s="177"/>
      <c r="CW6" s="177"/>
      <c r="CX6" s="177"/>
      <c r="CY6" s="177"/>
      <c r="CZ6" s="177"/>
      <c r="DA6" s="177"/>
      <c r="DB6" s="177"/>
      <c r="DC6" s="177"/>
      <c r="DD6" s="177"/>
      <c r="DE6" s="177"/>
      <c r="DF6" s="177"/>
      <c r="DG6" s="177"/>
      <c r="DH6" s="177"/>
      <c r="DI6" s="177"/>
      <c r="DJ6" s="177"/>
      <c r="DK6" s="177"/>
      <c r="DL6" s="177"/>
      <c r="DM6" s="177"/>
      <c r="DN6" s="177"/>
      <c r="DO6" s="177"/>
      <c r="DP6" s="177"/>
      <c r="DQ6" s="177"/>
      <c r="DR6" s="177"/>
      <c r="DS6" s="177"/>
      <c r="DT6" s="177"/>
      <c r="DU6" s="177"/>
      <c r="DV6" s="177"/>
      <c r="DW6" s="177"/>
      <c r="DX6" s="177"/>
      <c r="DY6" s="177"/>
      <c r="DZ6" s="177"/>
      <c r="EA6" s="177"/>
      <c r="EB6" s="177"/>
      <c r="EC6" s="177"/>
      <c r="ED6" s="177"/>
      <c r="EE6" s="177"/>
      <c r="EF6" s="177"/>
      <c r="EG6" s="177"/>
      <c r="EH6" s="177"/>
      <c r="EI6" s="177"/>
      <c r="EJ6" s="177"/>
      <c r="EK6" s="177"/>
      <c r="EL6" s="177"/>
      <c r="EM6" s="177"/>
      <c r="EN6" s="177"/>
      <c r="EO6" s="177"/>
      <c r="EP6" s="177"/>
      <c r="EQ6" s="177"/>
      <c r="ER6" s="177"/>
      <c r="ES6" s="177"/>
      <c r="ET6" s="177"/>
      <c r="EU6" s="177"/>
      <c r="EV6" s="177"/>
      <c r="EW6" s="177"/>
      <c r="EX6" s="177"/>
      <c r="EY6" s="177"/>
      <c r="EZ6" s="177"/>
      <c r="FA6" s="177"/>
      <c r="FB6" s="177"/>
      <c r="FC6" s="177"/>
      <c r="FD6" s="177"/>
      <c r="FE6" s="177"/>
      <c r="FF6" s="177"/>
      <c r="FG6" s="177"/>
      <c r="FH6" s="177"/>
      <c r="FI6" s="177"/>
      <c r="FJ6" s="177"/>
      <c r="FK6" s="177"/>
      <c r="FL6" s="177"/>
      <c r="FM6" s="177"/>
      <c r="FN6" s="177"/>
      <c r="FO6" s="177"/>
      <c r="FP6" s="177"/>
      <c r="FQ6" s="177"/>
      <c r="FR6" s="177"/>
      <c r="FS6" s="177"/>
      <c r="FT6" s="177"/>
      <c r="FU6" s="177"/>
      <c r="FV6" s="177"/>
      <c r="FW6" s="177"/>
      <c r="FX6" s="177"/>
      <c r="FY6" s="177"/>
      <c r="FZ6" s="177"/>
      <c r="GA6" s="177"/>
      <c r="GB6" s="177"/>
      <c r="GC6" s="177"/>
      <c r="GD6" s="177"/>
      <c r="GE6" s="177"/>
      <c r="GF6" s="177"/>
      <c r="GG6" s="177"/>
      <c r="GH6" s="177"/>
      <c r="GI6" s="177"/>
      <c r="GJ6" s="177"/>
      <c r="GK6" s="177"/>
      <c r="GL6" s="177"/>
      <c r="GM6" s="177"/>
      <c r="GN6" s="177"/>
      <c r="GO6" s="177"/>
      <c r="GP6" s="177"/>
      <c r="GQ6" s="177"/>
      <c r="GR6" s="177"/>
      <c r="GS6" s="177"/>
      <c r="GT6" s="177"/>
      <c r="GU6" s="177"/>
      <c r="GV6" s="177"/>
      <c r="GW6" s="177"/>
      <c r="GX6" s="177"/>
      <c r="GY6" s="177"/>
      <c r="GZ6" s="177"/>
      <c r="HA6" s="177"/>
      <c r="HB6" s="177"/>
      <c r="HC6" s="177"/>
      <c r="HD6" s="177"/>
      <c r="HE6" s="177"/>
      <c r="HF6" s="177"/>
      <c r="HG6" s="177"/>
      <c r="HH6" s="177"/>
      <c r="HI6" s="177"/>
      <c r="HJ6" s="177"/>
      <c r="HK6" s="177"/>
      <c r="HL6" s="177"/>
      <c r="HM6" s="177"/>
      <c r="HN6" s="177"/>
      <c r="HO6" s="177"/>
      <c r="HP6" s="177"/>
      <c r="HQ6" s="177"/>
      <c r="HR6" s="177"/>
      <c r="HS6" s="177"/>
      <c r="HT6" s="177"/>
      <c r="HU6" s="177"/>
      <c r="HV6" s="177"/>
      <c r="HW6" s="177"/>
      <c r="HX6" s="177"/>
      <c r="HY6" s="177"/>
      <c r="HZ6" s="177"/>
      <c r="IA6" s="177"/>
      <c r="IB6" s="177"/>
      <c r="IC6" s="177"/>
      <c r="ID6" s="177"/>
      <c r="IE6" s="177"/>
      <c r="IF6" s="177"/>
      <c r="IG6" s="177"/>
      <c r="IH6" s="177"/>
      <c r="II6" s="177"/>
      <c r="IJ6" s="177"/>
      <c r="IK6" s="177"/>
      <c r="IL6" s="177"/>
      <c r="IM6" s="177"/>
      <c r="IN6" s="177"/>
      <c r="IO6" s="177"/>
      <c r="IP6" s="177"/>
      <c r="IQ6" s="177"/>
      <c r="IR6" s="177"/>
      <c r="IS6" s="177"/>
      <c r="IT6" s="177"/>
      <c r="IU6" s="177"/>
      <c r="IV6" s="177"/>
      <c r="IW6" s="177"/>
    </row>
    <row r="7" customFormat="false" ht="32.25" hidden="false" customHeight="true" outlineLevel="0" collapsed="false">
      <c r="A7" s="175" t="n">
        <v>1</v>
      </c>
      <c r="B7" s="175" t="s">
        <v>161</v>
      </c>
      <c r="C7" s="178" t="n">
        <f aca="false">'Page 1'!$E$270</f>
        <v>1</v>
      </c>
      <c r="D7" s="178" t="n">
        <f aca="false">SUM('Page 1'!E284:E285)</f>
        <v>8</v>
      </c>
      <c r="E7" s="178" t="n">
        <f aca="false">SUM('Page 3'!C134)</f>
        <v>1</v>
      </c>
      <c r="F7" s="178" t="n">
        <f aca="false">SUM('Page 3'!E134)</f>
        <v>4</v>
      </c>
      <c r="G7" s="178" t="n">
        <f aca="false">SUM('Page 3'!D134)</f>
        <v>0</v>
      </c>
      <c r="H7" s="178" t="n">
        <f aca="false">SUM('Page 3'!F134)</f>
        <v>4</v>
      </c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  <c r="BB7" s="177"/>
      <c r="BC7" s="177"/>
      <c r="BD7" s="177"/>
      <c r="BE7" s="177"/>
      <c r="BF7" s="177"/>
      <c r="BG7" s="177"/>
      <c r="BH7" s="177"/>
      <c r="BI7" s="177"/>
      <c r="BJ7" s="177"/>
      <c r="BK7" s="177"/>
      <c r="BL7" s="177"/>
      <c r="BM7" s="177"/>
      <c r="BN7" s="177"/>
      <c r="BO7" s="177"/>
      <c r="BP7" s="177"/>
      <c r="BQ7" s="177"/>
      <c r="BR7" s="177"/>
      <c r="BS7" s="177"/>
      <c r="BT7" s="177"/>
      <c r="BU7" s="177"/>
      <c r="BV7" s="177"/>
      <c r="BW7" s="177"/>
      <c r="BX7" s="177"/>
      <c r="BY7" s="177"/>
      <c r="BZ7" s="177"/>
      <c r="CA7" s="177"/>
      <c r="CB7" s="177"/>
      <c r="CC7" s="177"/>
      <c r="CD7" s="177"/>
      <c r="CE7" s="177"/>
      <c r="CF7" s="177"/>
      <c r="CG7" s="177"/>
      <c r="CH7" s="177"/>
      <c r="CI7" s="177"/>
      <c r="CJ7" s="177"/>
      <c r="CK7" s="177"/>
      <c r="CL7" s="177"/>
      <c r="CM7" s="177"/>
      <c r="CN7" s="177"/>
      <c r="CO7" s="177"/>
      <c r="CP7" s="177"/>
      <c r="CQ7" s="177"/>
      <c r="CR7" s="177"/>
      <c r="CS7" s="177"/>
      <c r="CT7" s="177"/>
      <c r="CU7" s="177"/>
      <c r="CV7" s="177"/>
      <c r="CW7" s="177"/>
      <c r="CX7" s="177"/>
      <c r="CY7" s="177"/>
      <c r="CZ7" s="177"/>
      <c r="DA7" s="177"/>
      <c r="DB7" s="177"/>
      <c r="DC7" s="177"/>
      <c r="DD7" s="177"/>
      <c r="DE7" s="177"/>
      <c r="DF7" s="177"/>
      <c r="DG7" s="177"/>
      <c r="DH7" s="177"/>
      <c r="DI7" s="177"/>
      <c r="DJ7" s="177"/>
      <c r="DK7" s="177"/>
      <c r="DL7" s="177"/>
      <c r="DM7" s="177"/>
      <c r="DN7" s="177"/>
      <c r="DO7" s="177"/>
      <c r="DP7" s="177"/>
      <c r="DQ7" s="177"/>
      <c r="DR7" s="177"/>
      <c r="DS7" s="177"/>
      <c r="DT7" s="177"/>
      <c r="DU7" s="177"/>
      <c r="DV7" s="177"/>
      <c r="DW7" s="177"/>
      <c r="DX7" s="177"/>
      <c r="DY7" s="177"/>
      <c r="DZ7" s="177"/>
      <c r="EA7" s="177"/>
      <c r="EB7" s="177"/>
      <c r="EC7" s="177"/>
      <c r="ED7" s="177"/>
      <c r="EE7" s="177"/>
      <c r="EF7" s="177"/>
      <c r="EG7" s="177"/>
      <c r="EH7" s="177"/>
      <c r="EI7" s="177"/>
      <c r="EJ7" s="177"/>
      <c r="EK7" s="177"/>
      <c r="EL7" s="177"/>
      <c r="EM7" s="177"/>
      <c r="EN7" s="177"/>
      <c r="EO7" s="177"/>
      <c r="EP7" s="177"/>
      <c r="EQ7" s="177"/>
      <c r="ER7" s="177"/>
      <c r="ES7" s="177"/>
      <c r="ET7" s="177"/>
      <c r="EU7" s="177"/>
      <c r="EV7" s="177"/>
      <c r="EW7" s="177"/>
      <c r="EX7" s="177"/>
      <c r="EY7" s="177"/>
      <c r="EZ7" s="177"/>
      <c r="FA7" s="177"/>
      <c r="FB7" s="177"/>
      <c r="FC7" s="177"/>
      <c r="FD7" s="177"/>
      <c r="FE7" s="177"/>
      <c r="FF7" s="177"/>
      <c r="FG7" s="177"/>
      <c r="FH7" s="177"/>
      <c r="FI7" s="177"/>
      <c r="FJ7" s="177"/>
      <c r="FK7" s="177"/>
      <c r="FL7" s="177"/>
      <c r="FM7" s="177"/>
      <c r="FN7" s="177"/>
      <c r="FO7" s="177"/>
      <c r="FP7" s="177"/>
      <c r="FQ7" s="177"/>
      <c r="FR7" s="177"/>
      <c r="FS7" s="177"/>
      <c r="FT7" s="177"/>
      <c r="FU7" s="177"/>
      <c r="FV7" s="177"/>
      <c r="FW7" s="177"/>
      <c r="FX7" s="177"/>
      <c r="FY7" s="177"/>
      <c r="FZ7" s="177"/>
      <c r="GA7" s="177"/>
      <c r="GB7" s="177"/>
      <c r="GC7" s="177"/>
      <c r="GD7" s="177"/>
      <c r="GE7" s="177"/>
      <c r="GF7" s="177"/>
      <c r="GG7" s="177"/>
      <c r="GH7" s="177"/>
      <c r="GI7" s="177"/>
      <c r="GJ7" s="177"/>
      <c r="GK7" s="177"/>
      <c r="GL7" s="177"/>
      <c r="GM7" s="177"/>
      <c r="GN7" s="177"/>
      <c r="GO7" s="177"/>
      <c r="GP7" s="177"/>
      <c r="GQ7" s="177"/>
      <c r="GR7" s="177"/>
      <c r="GS7" s="177"/>
      <c r="GT7" s="177"/>
      <c r="GU7" s="177"/>
      <c r="GV7" s="177"/>
      <c r="GW7" s="177"/>
      <c r="GX7" s="177"/>
      <c r="GY7" s="177"/>
      <c r="GZ7" s="177"/>
      <c r="HA7" s="177"/>
      <c r="HB7" s="177"/>
      <c r="HC7" s="177"/>
      <c r="HD7" s="177"/>
      <c r="HE7" s="177"/>
      <c r="HF7" s="177"/>
      <c r="HG7" s="177"/>
      <c r="HH7" s="177"/>
      <c r="HI7" s="177"/>
      <c r="HJ7" s="177"/>
      <c r="HK7" s="177"/>
      <c r="HL7" s="177"/>
      <c r="HM7" s="177"/>
      <c r="HN7" s="177"/>
      <c r="HO7" s="177"/>
      <c r="HP7" s="177"/>
      <c r="HQ7" s="177"/>
      <c r="HR7" s="177"/>
      <c r="HS7" s="177"/>
      <c r="HT7" s="177"/>
      <c r="HU7" s="177"/>
      <c r="HV7" s="177"/>
      <c r="HW7" s="177"/>
      <c r="HX7" s="177"/>
      <c r="HY7" s="177"/>
      <c r="HZ7" s="177"/>
      <c r="IA7" s="177"/>
      <c r="IB7" s="177"/>
      <c r="IC7" s="177"/>
      <c r="ID7" s="177"/>
      <c r="IE7" s="177"/>
      <c r="IF7" s="177"/>
      <c r="IG7" s="177"/>
      <c r="IH7" s="177"/>
      <c r="II7" s="177"/>
      <c r="IJ7" s="177"/>
      <c r="IK7" s="177"/>
      <c r="IL7" s="177"/>
      <c r="IM7" s="177"/>
      <c r="IN7" s="177"/>
      <c r="IO7" s="177"/>
      <c r="IP7" s="177"/>
      <c r="IQ7" s="177"/>
      <c r="IR7" s="177"/>
      <c r="IS7" s="177"/>
      <c r="IT7" s="177"/>
      <c r="IU7" s="177"/>
      <c r="IV7" s="177"/>
      <c r="IW7" s="177"/>
    </row>
    <row r="8" customFormat="false" ht="32.25" hidden="false" customHeight="true" outlineLevel="0" collapsed="false">
      <c r="A8" s="175" t="n">
        <v>2</v>
      </c>
      <c r="B8" s="175" t="s">
        <v>162</v>
      </c>
      <c r="C8" s="178" t="n">
        <v>0</v>
      </c>
      <c r="D8" s="178" t="n">
        <f aca="false">SUM('Page 1'!D286)</f>
        <v>1</v>
      </c>
      <c r="E8" s="178" t="n">
        <f aca="false">SUM('Page 3'!C135)</f>
        <v>0</v>
      </c>
      <c r="F8" s="178" t="n">
        <f aca="false">SUM('Page 3'!E135)</f>
        <v>1</v>
      </c>
      <c r="G8" s="178" t="n">
        <f aca="false">SUM('Page 3'!D135)</f>
        <v>0</v>
      </c>
      <c r="H8" s="178" t="n">
        <f aca="false">SUM('Page 3'!F135)</f>
        <v>0</v>
      </c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7"/>
      <c r="BB8" s="177"/>
      <c r="BC8" s="177"/>
      <c r="BD8" s="177"/>
      <c r="BE8" s="177"/>
      <c r="BF8" s="177"/>
      <c r="BG8" s="177"/>
      <c r="BH8" s="177"/>
      <c r="BI8" s="177"/>
      <c r="BJ8" s="177"/>
      <c r="BK8" s="177"/>
      <c r="BL8" s="177"/>
      <c r="BM8" s="177"/>
      <c r="BN8" s="177"/>
      <c r="BO8" s="177"/>
      <c r="BP8" s="177"/>
      <c r="BQ8" s="177"/>
      <c r="BR8" s="177"/>
      <c r="BS8" s="177"/>
      <c r="BT8" s="177"/>
      <c r="BU8" s="177"/>
      <c r="BV8" s="177"/>
      <c r="BW8" s="177"/>
      <c r="BX8" s="177"/>
      <c r="BY8" s="177"/>
      <c r="BZ8" s="177"/>
      <c r="CA8" s="177"/>
      <c r="CB8" s="177"/>
      <c r="CC8" s="177"/>
      <c r="CD8" s="177"/>
      <c r="CE8" s="177"/>
      <c r="CF8" s="177"/>
      <c r="CG8" s="177"/>
      <c r="CH8" s="177"/>
      <c r="CI8" s="177"/>
      <c r="CJ8" s="177"/>
      <c r="CK8" s="177"/>
      <c r="CL8" s="177"/>
      <c r="CM8" s="177"/>
      <c r="CN8" s="177"/>
      <c r="CO8" s="177"/>
      <c r="CP8" s="177"/>
      <c r="CQ8" s="177"/>
      <c r="CR8" s="177"/>
      <c r="CS8" s="177"/>
      <c r="CT8" s="177"/>
      <c r="CU8" s="177"/>
      <c r="CV8" s="177"/>
      <c r="CW8" s="177"/>
      <c r="CX8" s="177"/>
      <c r="CY8" s="177"/>
      <c r="CZ8" s="177"/>
      <c r="DA8" s="177"/>
      <c r="DB8" s="177"/>
      <c r="DC8" s="177"/>
      <c r="DD8" s="177"/>
      <c r="DE8" s="177"/>
      <c r="DF8" s="177"/>
      <c r="DG8" s="177"/>
      <c r="DH8" s="177"/>
      <c r="DI8" s="177"/>
      <c r="DJ8" s="177"/>
      <c r="DK8" s="177"/>
      <c r="DL8" s="177"/>
      <c r="DM8" s="177"/>
      <c r="DN8" s="177"/>
      <c r="DO8" s="177"/>
      <c r="DP8" s="177"/>
      <c r="DQ8" s="177"/>
      <c r="DR8" s="177"/>
      <c r="DS8" s="177"/>
      <c r="DT8" s="177"/>
      <c r="DU8" s="177"/>
      <c r="DV8" s="177"/>
      <c r="DW8" s="177"/>
      <c r="DX8" s="177"/>
      <c r="DY8" s="177"/>
      <c r="DZ8" s="177"/>
      <c r="EA8" s="177"/>
      <c r="EB8" s="177"/>
      <c r="EC8" s="177"/>
      <c r="ED8" s="177"/>
      <c r="EE8" s="177"/>
      <c r="EF8" s="177"/>
      <c r="EG8" s="177"/>
      <c r="EH8" s="177"/>
      <c r="EI8" s="177"/>
      <c r="EJ8" s="177"/>
      <c r="EK8" s="177"/>
      <c r="EL8" s="177"/>
      <c r="EM8" s="177"/>
      <c r="EN8" s="177"/>
      <c r="EO8" s="177"/>
      <c r="EP8" s="177"/>
      <c r="EQ8" s="177"/>
      <c r="ER8" s="177"/>
      <c r="ES8" s="177"/>
      <c r="ET8" s="177"/>
      <c r="EU8" s="177"/>
      <c r="EV8" s="177"/>
      <c r="EW8" s="177"/>
      <c r="EX8" s="177"/>
      <c r="EY8" s="177"/>
      <c r="EZ8" s="177"/>
      <c r="FA8" s="177"/>
      <c r="FB8" s="177"/>
      <c r="FC8" s="177"/>
      <c r="FD8" s="177"/>
      <c r="FE8" s="177"/>
      <c r="FF8" s="177"/>
      <c r="FG8" s="177"/>
      <c r="FH8" s="177"/>
      <c r="FI8" s="177"/>
      <c r="FJ8" s="177"/>
      <c r="FK8" s="177"/>
      <c r="FL8" s="177"/>
      <c r="FM8" s="177"/>
      <c r="FN8" s="177"/>
      <c r="FO8" s="177"/>
      <c r="FP8" s="177"/>
      <c r="FQ8" s="177"/>
      <c r="FR8" s="177"/>
      <c r="FS8" s="177"/>
      <c r="FT8" s="177"/>
      <c r="FU8" s="177"/>
      <c r="FV8" s="177"/>
      <c r="FW8" s="177"/>
      <c r="FX8" s="177"/>
      <c r="FY8" s="177"/>
      <c r="FZ8" s="177"/>
      <c r="GA8" s="177"/>
      <c r="GB8" s="177"/>
      <c r="GC8" s="177"/>
      <c r="GD8" s="177"/>
      <c r="GE8" s="177"/>
      <c r="GF8" s="177"/>
      <c r="GG8" s="177"/>
      <c r="GH8" s="177"/>
      <c r="GI8" s="177"/>
      <c r="GJ8" s="177"/>
      <c r="GK8" s="177"/>
      <c r="GL8" s="177"/>
      <c r="GM8" s="177"/>
      <c r="GN8" s="177"/>
      <c r="GO8" s="177"/>
      <c r="GP8" s="177"/>
      <c r="GQ8" s="177"/>
      <c r="GR8" s="177"/>
      <c r="GS8" s="177"/>
      <c r="GT8" s="177"/>
      <c r="GU8" s="177"/>
      <c r="GV8" s="177"/>
      <c r="GW8" s="177"/>
      <c r="GX8" s="177"/>
      <c r="GY8" s="177"/>
      <c r="GZ8" s="177"/>
      <c r="HA8" s="177"/>
      <c r="HB8" s="177"/>
      <c r="HC8" s="177"/>
      <c r="HD8" s="177"/>
      <c r="HE8" s="177"/>
      <c r="HF8" s="177"/>
      <c r="HG8" s="177"/>
      <c r="HH8" s="177"/>
      <c r="HI8" s="177"/>
      <c r="HJ8" s="177"/>
      <c r="HK8" s="177"/>
      <c r="HL8" s="177"/>
      <c r="HM8" s="177"/>
      <c r="HN8" s="177"/>
      <c r="HO8" s="177"/>
      <c r="HP8" s="177"/>
      <c r="HQ8" s="177"/>
      <c r="HR8" s="177"/>
      <c r="HS8" s="177"/>
      <c r="HT8" s="177"/>
      <c r="HU8" s="177"/>
      <c r="HV8" s="177"/>
      <c r="HW8" s="177"/>
      <c r="HX8" s="177"/>
      <c r="HY8" s="177"/>
      <c r="HZ8" s="177"/>
      <c r="IA8" s="177"/>
      <c r="IB8" s="177"/>
      <c r="IC8" s="177"/>
      <c r="ID8" s="177"/>
      <c r="IE8" s="177"/>
      <c r="IF8" s="177"/>
      <c r="IG8" s="177"/>
      <c r="IH8" s="177"/>
      <c r="II8" s="177"/>
      <c r="IJ8" s="177"/>
      <c r="IK8" s="177"/>
      <c r="IL8" s="177"/>
      <c r="IM8" s="177"/>
      <c r="IN8" s="177"/>
      <c r="IO8" s="177"/>
      <c r="IP8" s="177"/>
      <c r="IQ8" s="177"/>
      <c r="IR8" s="177"/>
      <c r="IS8" s="177"/>
      <c r="IT8" s="177"/>
      <c r="IU8" s="177"/>
      <c r="IV8" s="177"/>
      <c r="IW8" s="177"/>
    </row>
    <row r="9" customFormat="false" ht="32.25" hidden="false" customHeight="true" outlineLevel="0" collapsed="false">
      <c r="A9" s="175" t="n">
        <v>3</v>
      </c>
      <c r="B9" s="175" t="s">
        <v>25</v>
      </c>
      <c r="C9" s="178" t="n">
        <f aca="false">'Page 1'!$E$275</f>
        <v>9</v>
      </c>
      <c r="D9" s="178" t="n">
        <f aca="false">SUM('Page 1'!E292)</f>
        <v>20</v>
      </c>
      <c r="E9" s="178" t="n">
        <f aca="false">SUM('Page 3'!C136)</f>
        <v>6</v>
      </c>
      <c r="F9" s="178" t="n">
        <f aca="false">SUM('Page 3'!E136)</f>
        <v>17</v>
      </c>
      <c r="G9" s="178" t="n">
        <f aca="false">SUM('Page 3'!D136)</f>
        <v>3</v>
      </c>
      <c r="H9" s="178" t="n">
        <f aca="false">SUM('Page 3'!F136)</f>
        <v>3</v>
      </c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7"/>
      <c r="BN9" s="177"/>
      <c r="BO9" s="177"/>
      <c r="BP9" s="177"/>
      <c r="BQ9" s="177"/>
      <c r="BR9" s="177"/>
      <c r="BS9" s="177"/>
      <c r="BT9" s="177"/>
      <c r="BU9" s="177"/>
      <c r="BV9" s="177"/>
      <c r="BW9" s="177"/>
      <c r="BX9" s="177"/>
      <c r="BY9" s="177"/>
      <c r="BZ9" s="177"/>
      <c r="CA9" s="177"/>
      <c r="CB9" s="177"/>
      <c r="CC9" s="177"/>
      <c r="CD9" s="177"/>
      <c r="CE9" s="177"/>
      <c r="CF9" s="177"/>
      <c r="CG9" s="177"/>
      <c r="CH9" s="177"/>
      <c r="CI9" s="177"/>
      <c r="CJ9" s="177"/>
      <c r="CK9" s="177"/>
      <c r="CL9" s="177"/>
      <c r="CM9" s="177"/>
      <c r="CN9" s="177"/>
      <c r="CO9" s="177"/>
      <c r="CP9" s="177"/>
      <c r="CQ9" s="177"/>
      <c r="CR9" s="177"/>
      <c r="CS9" s="177"/>
      <c r="CT9" s="177"/>
      <c r="CU9" s="177"/>
      <c r="CV9" s="177"/>
      <c r="CW9" s="177"/>
      <c r="CX9" s="177"/>
      <c r="CY9" s="177"/>
      <c r="CZ9" s="177"/>
      <c r="DA9" s="177"/>
      <c r="DB9" s="177"/>
      <c r="DC9" s="177"/>
      <c r="DD9" s="177"/>
      <c r="DE9" s="177"/>
      <c r="DF9" s="177"/>
      <c r="DG9" s="177"/>
      <c r="DH9" s="177"/>
      <c r="DI9" s="177"/>
      <c r="DJ9" s="177"/>
      <c r="DK9" s="177"/>
      <c r="DL9" s="177"/>
      <c r="DM9" s="177"/>
      <c r="DN9" s="177"/>
      <c r="DO9" s="177"/>
      <c r="DP9" s="177"/>
      <c r="DQ9" s="177"/>
      <c r="DR9" s="177"/>
      <c r="DS9" s="177"/>
      <c r="DT9" s="177"/>
      <c r="DU9" s="177"/>
      <c r="DV9" s="177"/>
      <c r="DW9" s="177"/>
      <c r="DX9" s="177"/>
      <c r="DY9" s="177"/>
      <c r="DZ9" s="177"/>
      <c r="EA9" s="177"/>
      <c r="EB9" s="177"/>
      <c r="EC9" s="177"/>
      <c r="ED9" s="177"/>
      <c r="EE9" s="177"/>
      <c r="EF9" s="177"/>
      <c r="EG9" s="177"/>
      <c r="EH9" s="177"/>
      <c r="EI9" s="177"/>
      <c r="EJ9" s="177"/>
      <c r="EK9" s="177"/>
      <c r="EL9" s="177"/>
      <c r="EM9" s="177"/>
      <c r="EN9" s="177"/>
      <c r="EO9" s="177"/>
      <c r="EP9" s="177"/>
      <c r="EQ9" s="177"/>
      <c r="ER9" s="177"/>
      <c r="ES9" s="177"/>
      <c r="ET9" s="177"/>
      <c r="EU9" s="177"/>
      <c r="EV9" s="177"/>
      <c r="EW9" s="177"/>
      <c r="EX9" s="177"/>
      <c r="EY9" s="177"/>
      <c r="EZ9" s="177"/>
      <c r="FA9" s="177"/>
      <c r="FB9" s="177"/>
      <c r="FC9" s="177"/>
      <c r="FD9" s="177"/>
      <c r="FE9" s="177"/>
      <c r="FF9" s="177"/>
      <c r="FG9" s="177"/>
      <c r="FH9" s="177"/>
      <c r="FI9" s="177"/>
      <c r="FJ9" s="177"/>
      <c r="FK9" s="177"/>
      <c r="FL9" s="177"/>
      <c r="FM9" s="177"/>
      <c r="FN9" s="177"/>
      <c r="FO9" s="177"/>
      <c r="FP9" s="177"/>
      <c r="FQ9" s="177"/>
      <c r="FR9" s="177"/>
      <c r="FS9" s="177"/>
      <c r="FT9" s="177"/>
      <c r="FU9" s="177"/>
      <c r="FV9" s="177"/>
      <c r="FW9" s="177"/>
      <c r="FX9" s="177"/>
      <c r="FY9" s="177"/>
      <c r="FZ9" s="177"/>
      <c r="GA9" s="177"/>
      <c r="GB9" s="177"/>
      <c r="GC9" s="177"/>
      <c r="GD9" s="177"/>
      <c r="GE9" s="177"/>
      <c r="GF9" s="177"/>
      <c r="GG9" s="177"/>
      <c r="GH9" s="177"/>
      <c r="GI9" s="177"/>
      <c r="GJ9" s="177"/>
      <c r="GK9" s="177"/>
      <c r="GL9" s="177"/>
      <c r="GM9" s="177"/>
      <c r="GN9" s="177"/>
      <c r="GO9" s="177"/>
      <c r="GP9" s="177"/>
      <c r="GQ9" s="177"/>
      <c r="GR9" s="177"/>
      <c r="GS9" s="177"/>
      <c r="GT9" s="177"/>
      <c r="GU9" s="177"/>
      <c r="GV9" s="177"/>
      <c r="GW9" s="177"/>
      <c r="GX9" s="177"/>
      <c r="GY9" s="177"/>
      <c r="GZ9" s="177"/>
      <c r="HA9" s="177"/>
      <c r="HB9" s="177"/>
      <c r="HC9" s="177"/>
      <c r="HD9" s="177"/>
      <c r="HE9" s="177"/>
      <c r="HF9" s="177"/>
      <c r="HG9" s="177"/>
      <c r="HH9" s="177"/>
      <c r="HI9" s="177"/>
      <c r="HJ9" s="177"/>
      <c r="HK9" s="177"/>
      <c r="HL9" s="177"/>
      <c r="HM9" s="177"/>
      <c r="HN9" s="177"/>
      <c r="HO9" s="177"/>
      <c r="HP9" s="177"/>
      <c r="HQ9" s="177"/>
      <c r="HR9" s="177"/>
      <c r="HS9" s="177"/>
      <c r="HT9" s="177"/>
      <c r="HU9" s="177"/>
      <c r="HV9" s="177"/>
      <c r="HW9" s="177"/>
      <c r="HX9" s="177"/>
      <c r="HY9" s="177"/>
      <c r="HZ9" s="177"/>
      <c r="IA9" s="177"/>
      <c r="IB9" s="177"/>
      <c r="IC9" s="177"/>
      <c r="ID9" s="177"/>
      <c r="IE9" s="177"/>
      <c r="IF9" s="177"/>
      <c r="IG9" s="177"/>
      <c r="IH9" s="177"/>
      <c r="II9" s="177"/>
      <c r="IJ9" s="177"/>
      <c r="IK9" s="177"/>
      <c r="IL9" s="177"/>
      <c r="IM9" s="177"/>
      <c r="IN9" s="177"/>
      <c r="IO9" s="177"/>
      <c r="IP9" s="177"/>
      <c r="IQ9" s="177"/>
      <c r="IR9" s="177"/>
      <c r="IS9" s="177"/>
      <c r="IT9" s="177"/>
      <c r="IU9" s="177"/>
      <c r="IV9" s="177"/>
      <c r="IW9" s="177"/>
    </row>
    <row r="10" customFormat="false" ht="32.25" hidden="false" customHeight="true" outlineLevel="0" collapsed="false">
      <c r="A10" s="179" t="n">
        <v>4</v>
      </c>
      <c r="B10" s="179" t="s">
        <v>30</v>
      </c>
      <c r="C10" s="180" t="n">
        <f aca="false">'Page 1'!$E$278</f>
        <v>8</v>
      </c>
      <c r="D10" s="180" t="n">
        <f aca="false">SUM('Page 1'!E294)</f>
        <v>6</v>
      </c>
      <c r="E10" s="180" t="n">
        <f aca="false">SUM('Page 3'!C137)</f>
        <v>7</v>
      </c>
      <c r="F10" s="180" t="n">
        <f aca="false">SUM('Page 3'!E137)</f>
        <v>3</v>
      </c>
      <c r="G10" s="180" t="n">
        <f aca="false">SUM('Page 3'!D137)</f>
        <v>1</v>
      </c>
      <c r="H10" s="180" t="n">
        <f aca="false">SUM('Page 3'!F137)</f>
        <v>3</v>
      </c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7"/>
      <c r="EH10" s="177"/>
      <c r="EI10" s="177"/>
      <c r="EJ10" s="177"/>
      <c r="EK10" s="177"/>
      <c r="EL10" s="177"/>
      <c r="EM10" s="177"/>
      <c r="EN10" s="177"/>
      <c r="EO10" s="177"/>
      <c r="EP10" s="177"/>
      <c r="EQ10" s="177"/>
      <c r="ER10" s="177"/>
      <c r="ES10" s="177"/>
      <c r="ET10" s="177"/>
      <c r="EU10" s="177"/>
      <c r="EV10" s="177"/>
      <c r="EW10" s="177"/>
      <c r="EX10" s="177"/>
      <c r="EY10" s="177"/>
      <c r="EZ10" s="177"/>
      <c r="FA10" s="177"/>
      <c r="FB10" s="177"/>
      <c r="FC10" s="177"/>
      <c r="FD10" s="177"/>
      <c r="FE10" s="177"/>
      <c r="FF10" s="177"/>
      <c r="FG10" s="177"/>
      <c r="FH10" s="177"/>
      <c r="FI10" s="177"/>
      <c r="FJ10" s="177"/>
      <c r="FK10" s="177"/>
      <c r="FL10" s="177"/>
      <c r="FM10" s="177"/>
      <c r="FN10" s="177"/>
      <c r="FO10" s="177"/>
      <c r="FP10" s="177"/>
      <c r="FQ10" s="177"/>
      <c r="FR10" s="177"/>
      <c r="FS10" s="177"/>
      <c r="FT10" s="177"/>
      <c r="FU10" s="177"/>
      <c r="FV10" s="177"/>
      <c r="FW10" s="177"/>
      <c r="FX10" s="177"/>
      <c r="FY10" s="177"/>
      <c r="FZ10" s="177"/>
      <c r="GA10" s="177"/>
      <c r="GB10" s="177"/>
      <c r="GC10" s="177"/>
      <c r="GD10" s="177"/>
      <c r="GE10" s="177"/>
      <c r="GF10" s="177"/>
      <c r="GG10" s="177"/>
      <c r="GH10" s="177"/>
      <c r="GI10" s="177"/>
      <c r="GJ10" s="177"/>
      <c r="GK10" s="177"/>
      <c r="GL10" s="177"/>
      <c r="GM10" s="177"/>
      <c r="GN10" s="177"/>
      <c r="GO10" s="177"/>
      <c r="GP10" s="177"/>
      <c r="GQ10" s="177"/>
      <c r="GR10" s="177"/>
      <c r="GS10" s="177"/>
      <c r="GT10" s="177"/>
      <c r="GU10" s="177"/>
      <c r="GV10" s="177"/>
      <c r="GW10" s="177"/>
      <c r="GX10" s="177"/>
      <c r="GY10" s="177"/>
      <c r="GZ10" s="177"/>
      <c r="HA10" s="177"/>
      <c r="HB10" s="177"/>
      <c r="HC10" s="177"/>
      <c r="HD10" s="177"/>
      <c r="HE10" s="177"/>
      <c r="HF10" s="177"/>
      <c r="HG10" s="177"/>
      <c r="HH10" s="177"/>
      <c r="HI10" s="177"/>
      <c r="HJ10" s="177"/>
      <c r="HK10" s="177"/>
      <c r="HL10" s="177"/>
      <c r="HM10" s="177"/>
      <c r="HN10" s="177"/>
      <c r="HO10" s="177"/>
      <c r="HP10" s="177"/>
      <c r="HQ10" s="177"/>
      <c r="HR10" s="177"/>
      <c r="HS10" s="177"/>
      <c r="HT10" s="177"/>
      <c r="HU10" s="177"/>
      <c r="HV10" s="177"/>
      <c r="HW10" s="177"/>
      <c r="HX10" s="177"/>
      <c r="HY10" s="177"/>
      <c r="HZ10" s="177"/>
      <c r="IA10" s="177"/>
      <c r="IB10" s="177"/>
      <c r="IC10" s="177"/>
      <c r="ID10" s="177"/>
      <c r="IE10" s="177"/>
      <c r="IF10" s="177"/>
      <c r="IG10" s="177"/>
      <c r="IH10" s="177"/>
      <c r="II10" s="177"/>
      <c r="IJ10" s="177"/>
      <c r="IK10" s="177"/>
      <c r="IL10" s="177"/>
      <c r="IM10" s="177"/>
      <c r="IN10" s="177"/>
      <c r="IO10" s="177"/>
      <c r="IP10" s="177"/>
      <c r="IQ10" s="177"/>
      <c r="IR10" s="177"/>
      <c r="IS10" s="177"/>
      <c r="IT10" s="177"/>
      <c r="IU10" s="177"/>
      <c r="IV10" s="177"/>
      <c r="IW10" s="177"/>
    </row>
    <row r="11" customFormat="false" ht="32.25" hidden="false" customHeight="true" outlineLevel="0" collapsed="false">
      <c r="A11" s="181"/>
      <c r="B11" s="182" t="s">
        <v>11</v>
      </c>
      <c r="C11" s="183" t="n">
        <f aca="false">SUM(C7:C10)</f>
        <v>18</v>
      </c>
      <c r="D11" s="183" t="n">
        <f aca="false">SUM(D7:D10)</f>
        <v>35</v>
      </c>
      <c r="E11" s="183" t="n">
        <f aca="false">SUM(E7:E10)</f>
        <v>14</v>
      </c>
      <c r="F11" s="183" t="n">
        <f aca="false">SUM(F7:F10)</f>
        <v>25</v>
      </c>
      <c r="G11" s="183" t="n">
        <f aca="false">SUM(G7:G10)</f>
        <v>4</v>
      </c>
      <c r="H11" s="183" t="n">
        <f aca="false">SUM(H7:H10)</f>
        <v>10</v>
      </c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7"/>
      <c r="BU11" s="177"/>
      <c r="BV11" s="177"/>
      <c r="BW11" s="177"/>
      <c r="BX11" s="177"/>
      <c r="BY11" s="177"/>
      <c r="BZ11" s="177"/>
      <c r="CA11" s="177"/>
      <c r="CB11" s="177"/>
      <c r="CC11" s="177"/>
      <c r="CD11" s="177"/>
      <c r="CE11" s="177"/>
      <c r="CF11" s="177"/>
      <c r="CG11" s="177"/>
      <c r="CH11" s="177"/>
      <c r="CI11" s="177"/>
      <c r="CJ11" s="177"/>
      <c r="CK11" s="177"/>
      <c r="CL11" s="177"/>
      <c r="CM11" s="177"/>
      <c r="CN11" s="177"/>
      <c r="CO11" s="177"/>
      <c r="CP11" s="177"/>
      <c r="CQ11" s="177"/>
      <c r="CR11" s="177"/>
      <c r="CS11" s="177"/>
      <c r="CT11" s="177"/>
      <c r="CU11" s="177"/>
      <c r="CV11" s="177"/>
      <c r="CW11" s="177"/>
      <c r="CX11" s="177"/>
      <c r="CY11" s="177"/>
      <c r="CZ11" s="177"/>
      <c r="DA11" s="177"/>
      <c r="DB11" s="177"/>
      <c r="DC11" s="177"/>
      <c r="DD11" s="177"/>
      <c r="DE11" s="177"/>
      <c r="DF11" s="177"/>
      <c r="DG11" s="177"/>
      <c r="DH11" s="177"/>
      <c r="DI11" s="177"/>
      <c r="DJ11" s="177"/>
      <c r="DK11" s="177"/>
      <c r="DL11" s="177"/>
      <c r="DM11" s="177"/>
      <c r="DN11" s="177"/>
      <c r="DO11" s="177"/>
      <c r="DP11" s="177"/>
      <c r="DQ11" s="177"/>
      <c r="DR11" s="177"/>
      <c r="DS11" s="177"/>
      <c r="DT11" s="177"/>
      <c r="DU11" s="177"/>
      <c r="DV11" s="177"/>
      <c r="DW11" s="177"/>
      <c r="DX11" s="177"/>
      <c r="DY11" s="177"/>
      <c r="DZ11" s="177"/>
      <c r="EA11" s="177"/>
      <c r="EB11" s="177"/>
      <c r="EC11" s="177"/>
      <c r="ED11" s="177"/>
      <c r="EE11" s="177"/>
      <c r="EF11" s="177"/>
      <c r="EG11" s="177"/>
      <c r="EH11" s="177"/>
      <c r="EI11" s="177"/>
      <c r="EJ11" s="177"/>
      <c r="EK11" s="177"/>
      <c r="EL11" s="177"/>
      <c r="EM11" s="177"/>
      <c r="EN11" s="177"/>
      <c r="EO11" s="177"/>
      <c r="EP11" s="177"/>
      <c r="EQ11" s="177"/>
      <c r="ER11" s="177"/>
      <c r="ES11" s="177"/>
      <c r="ET11" s="177"/>
      <c r="EU11" s="177"/>
      <c r="EV11" s="177"/>
      <c r="EW11" s="177"/>
      <c r="EX11" s="177"/>
      <c r="EY11" s="177"/>
      <c r="EZ11" s="177"/>
      <c r="FA11" s="177"/>
      <c r="FB11" s="177"/>
      <c r="FC11" s="177"/>
      <c r="FD11" s="177"/>
      <c r="FE11" s="177"/>
      <c r="FF11" s="177"/>
      <c r="FG11" s="177"/>
      <c r="FH11" s="177"/>
      <c r="FI11" s="177"/>
      <c r="FJ11" s="177"/>
      <c r="FK11" s="177"/>
      <c r="FL11" s="177"/>
      <c r="FM11" s="177"/>
      <c r="FN11" s="177"/>
      <c r="FO11" s="177"/>
      <c r="FP11" s="177"/>
      <c r="FQ11" s="177"/>
      <c r="FR11" s="177"/>
      <c r="FS11" s="177"/>
      <c r="FT11" s="177"/>
      <c r="FU11" s="177"/>
      <c r="FV11" s="177"/>
      <c r="FW11" s="177"/>
      <c r="FX11" s="177"/>
      <c r="FY11" s="177"/>
      <c r="FZ11" s="177"/>
      <c r="GA11" s="177"/>
      <c r="GB11" s="177"/>
      <c r="GC11" s="177"/>
      <c r="GD11" s="177"/>
      <c r="GE11" s="177"/>
      <c r="GF11" s="177"/>
      <c r="GG11" s="177"/>
      <c r="GH11" s="177"/>
      <c r="GI11" s="177"/>
      <c r="GJ11" s="177"/>
      <c r="GK11" s="177"/>
      <c r="GL11" s="177"/>
      <c r="GM11" s="177"/>
      <c r="GN11" s="177"/>
      <c r="GO11" s="177"/>
      <c r="GP11" s="177"/>
      <c r="GQ11" s="177"/>
      <c r="GR11" s="177"/>
      <c r="GS11" s="177"/>
      <c r="GT11" s="177"/>
      <c r="GU11" s="177"/>
      <c r="GV11" s="177"/>
      <c r="GW11" s="177"/>
      <c r="GX11" s="177"/>
      <c r="GY11" s="177"/>
      <c r="GZ11" s="177"/>
      <c r="HA11" s="177"/>
      <c r="HB11" s="177"/>
      <c r="HC11" s="177"/>
      <c r="HD11" s="177"/>
      <c r="HE11" s="177"/>
      <c r="HF11" s="177"/>
      <c r="HG11" s="177"/>
      <c r="HH11" s="177"/>
      <c r="HI11" s="177"/>
      <c r="HJ11" s="177"/>
      <c r="HK11" s="177"/>
      <c r="HL11" s="177"/>
      <c r="HM11" s="177"/>
      <c r="HN11" s="177"/>
      <c r="HO11" s="177"/>
      <c r="HP11" s="177"/>
      <c r="HQ11" s="177"/>
      <c r="HR11" s="177"/>
      <c r="HS11" s="177"/>
      <c r="HT11" s="177"/>
      <c r="HU11" s="177"/>
      <c r="HV11" s="177"/>
      <c r="HW11" s="177"/>
      <c r="HX11" s="177"/>
      <c r="HY11" s="177"/>
      <c r="HZ11" s="177"/>
      <c r="IA11" s="177"/>
      <c r="IB11" s="177"/>
      <c r="IC11" s="177"/>
      <c r="ID11" s="177"/>
      <c r="IE11" s="177"/>
      <c r="IF11" s="177"/>
      <c r="IG11" s="177"/>
      <c r="IH11" s="177"/>
      <c r="II11" s="177"/>
      <c r="IJ11" s="177"/>
      <c r="IK11" s="177"/>
      <c r="IL11" s="177"/>
      <c r="IM11" s="177"/>
      <c r="IN11" s="177"/>
      <c r="IO11" s="177"/>
      <c r="IP11" s="177"/>
      <c r="IQ11" s="177"/>
      <c r="IR11" s="177"/>
      <c r="IS11" s="177"/>
      <c r="IT11" s="177"/>
      <c r="IU11" s="177"/>
      <c r="IV11" s="177"/>
      <c r="IW11" s="177"/>
    </row>
    <row r="12" customFormat="false" ht="18.75" hidden="false" customHeight="false" outlineLevel="0" collapsed="false"/>
    <row r="15" customFormat="false" ht="18" hidden="false" customHeight="false" outlineLevel="0" collapsed="false">
      <c r="F15" s="84" t="s">
        <v>57</v>
      </c>
      <c r="G15" s="84"/>
      <c r="H15" s="84"/>
    </row>
    <row r="16" customFormat="false" ht="18" hidden="false" customHeight="false" outlineLevel="0" collapsed="false">
      <c r="F16" s="84" t="s">
        <v>58</v>
      </c>
      <c r="G16" s="84"/>
      <c r="H16" s="84"/>
    </row>
    <row r="17" customFormat="false" ht="18" hidden="false" customHeight="false" outlineLevel="0" collapsed="false">
      <c r="F17" s="84" t="s">
        <v>56</v>
      </c>
      <c r="G17" s="84"/>
      <c r="H17" s="84"/>
    </row>
  </sheetData>
  <mergeCells count="10">
    <mergeCell ref="A1:H1"/>
    <mergeCell ref="A2:H2"/>
    <mergeCell ref="A3:H3"/>
    <mergeCell ref="A4:H4"/>
    <mergeCell ref="C5:D5"/>
    <mergeCell ref="E5:F5"/>
    <mergeCell ref="G5:H5"/>
    <mergeCell ref="F15:H15"/>
    <mergeCell ref="F16:H16"/>
    <mergeCell ref="F17:H17"/>
  </mergeCells>
  <printOptions headings="false" gridLines="false" gridLinesSet="true" horizontalCentered="false" verticalCentered="false"/>
  <pageMargins left="2.00972222222222" right="0.7" top="0.75" bottom="0.7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7" activeCellId="0" sqref="A17:K17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84" width="5.71"/>
    <col collapsed="false" customWidth="true" hidden="false" outlineLevel="0" max="2" min="2" style="184" width="28.14"/>
    <col collapsed="false" customWidth="true" hidden="false" outlineLevel="0" max="3" min="3" style="184" width="13.41"/>
    <col collapsed="false" customWidth="true" hidden="false" outlineLevel="0" max="4" min="4" style="184" width="12.99"/>
    <col collapsed="false" customWidth="true" hidden="false" outlineLevel="0" max="5" min="5" style="184" width="13.41"/>
    <col collapsed="false" customWidth="true" hidden="false" outlineLevel="0" max="6" min="6" style="184" width="14.41"/>
    <col collapsed="false" customWidth="true" hidden="false" outlineLevel="0" max="7" min="7" style="184" width="12.99"/>
    <col collapsed="false" customWidth="true" hidden="false" outlineLevel="0" max="8" min="8" style="184" width="12.42"/>
    <col collapsed="false" customWidth="true" hidden="false" outlineLevel="0" max="9" min="9" style="184" width="13.41"/>
    <col collapsed="false" customWidth="true" hidden="false" outlineLevel="0" max="10" min="10" style="184" width="14.28"/>
    <col collapsed="false" customWidth="true" hidden="false" outlineLevel="0" max="11" min="11" style="184" width="13.7"/>
    <col collapsed="false" customWidth="false" hidden="false" outlineLevel="0" max="257" min="12" style="184" width="9.14"/>
  </cols>
  <sheetData>
    <row r="1" customFormat="false" ht="18" hidden="false" customHeight="true" outlineLevel="0" collapsed="false">
      <c r="A1" s="84" t="s">
        <v>163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113"/>
    </row>
    <row r="2" customFormat="false" ht="18" hidden="false" customHeight="true" outlineLevel="0" collapsed="false">
      <c r="A2" s="185" t="s">
        <v>164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</row>
    <row r="3" customFormat="false" ht="18.75" hidden="false" customHeight="true" outlineLevel="0" collapsed="false">
      <c r="A3" s="186" t="s">
        <v>3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</row>
    <row r="4" customFormat="false" ht="38.25" hidden="false" customHeight="true" outlineLevel="0" collapsed="false">
      <c r="A4" s="187" t="s">
        <v>165</v>
      </c>
      <c r="B4" s="187" t="s">
        <v>166</v>
      </c>
      <c r="C4" s="188" t="s">
        <v>65</v>
      </c>
      <c r="D4" s="188" t="s">
        <v>76</v>
      </c>
      <c r="E4" s="188" t="s">
        <v>77</v>
      </c>
      <c r="F4" s="188" t="s">
        <v>78</v>
      </c>
      <c r="G4" s="188" t="s">
        <v>79</v>
      </c>
      <c r="H4" s="188" t="s">
        <v>80</v>
      </c>
      <c r="I4" s="188" t="s">
        <v>81</v>
      </c>
      <c r="J4" s="188" t="s">
        <v>167</v>
      </c>
      <c r="K4" s="188" t="s">
        <v>11</v>
      </c>
    </row>
    <row r="5" customFormat="false" ht="18" hidden="false" customHeight="false" outlineLevel="0" collapsed="false">
      <c r="A5" s="155" t="n">
        <v>1</v>
      </c>
      <c r="B5" s="156" t="s">
        <v>111</v>
      </c>
      <c r="C5" s="156" t="n">
        <f aca="false">SUM('Page 4'!H7)</f>
        <v>3051</v>
      </c>
      <c r="D5" s="156" t="n">
        <f aca="false">SUM('Page 4'!H24)</f>
        <v>13114</v>
      </c>
      <c r="E5" s="156" t="n">
        <f aca="false">SUM('Page 4'!H41)</f>
        <v>6380</v>
      </c>
      <c r="F5" s="156" t="n">
        <f aca="false">SUM('Page 4'!H57)</f>
        <v>8915</v>
      </c>
      <c r="G5" s="156" t="n">
        <f aca="false">SUM('Page 4'!H74)</f>
        <v>10278</v>
      </c>
      <c r="H5" s="156" t="n">
        <f aca="false">SUM('Page 4'!H91)</f>
        <v>0</v>
      </c>
      <c r="I5" s="156" t="n">
        <f aca="false">SUM('Page 4'!H108)</f>
        <v>0</v>
      </c>
      <c r="J5" s="156" t="n">
        <f aca="false">SUM('Page 4'!H125)</f>
        <v>6819</v>
      </c>
      <c r="K5" s="189" t="n">
        <f aca="false">SUM(C5:J5)</f>
        <v>48557</v>
      </c>
    </row>
    <row r="6" customFormat="false" ht="18" hidden="false" customHeight="false" outlineLevel="0" collapsed="false">
      <c r="A6" s="155" t="n">
        <v>2</v>
      </c>
      <c r="B6" s="156" t="s">
        <v>168</v>
      </c>
      <c r="C6" s="156" t="n">
        <f aca="false">SUM('Page 4'!H8)</f>
        <v>0</v>
      </c>
      <c r="D6" s="156" t="n">
        <f aca="false">SUM('Page 4'!H25)</f>
        <v>0</v>
      </c>
      <c r="E6" s="156" t="n">
        <f aca="false">SUM('Page 4'!H42)</f>
        <v>0</v>
      </c>
      <c r="F6" s="156" t="n">
        <f aca="false">SUM('Page 4'!H58)</f>
        <v>0</v>
      </c>
      <c r="G6" s="156" t="n">
        <f aca="false">SUM('Page 4'!H75)</f>
        <v>0</v>
      </c>
      <c r="H6" s="156" t="n">
        <f aca="false">SUM('Page 4'!H92)</f>
        <v>0</v>
      </c>
      <c r="I6" s="156" t="n">
        <f aca="false">SUM('Page 4'!H109)</f>
        <v>0</v>
      </c>
      <c r="J6" s="156" t="n">
        <f aca="false">SUM('Page 4'!H126)</f>
        <v>0</v>
      </c>
      <c r="K6" s="189" t="n">
        <f aca="false">SUM(C6:J6)</f>
        <v>0</v>
      </c>
    </row>
    <row r="7" customFormat="false" ht="20.25" hidden="false" customHeight="true" outlineLevel="0" collapsed="false">
      <c r="A7" s="155" t="n">
        <v>3</v>
      </c>
      <c r="B7" s="156" t="s">
        <v>121</v>
      </c>
      <c r="C7" s="156" t="n">
        <f aca="false">SUM('Page 4'!H9)</f>
        <v>240</v>
      </c>
      <c r="D7" s="156" t="n">
        <f aca="false">SUM('Page 4'!H26)</f>
        <v>40</v>
      </c>
      <c r="E7" s="156" t="n">
        <f aca="false">SUM('Page 4'!H43)</f>
        <v>300</v>
      </c>
      <c r="F7" s="156" t="n">
        <f aca="false">SUM('Page 4'!H59)</f>
        <v>60</v>
      </c>
      <c r="G7" s="156" t="n">
        <f aca="false">SUM('Page 4'!H76)</f>
        <v>400</v>
      </c>
      <c r="H7" s="156" t="n">
        <f aca="false">SUM('Page 4'!H93)</f>
        <v>0</v>
      </c>
      <c r="I7" s="156" t="n">
        <f aca="false">SUM('Page 4'!H110)</f>
        <v>0</v>
      </c>
      <c r="J7" s="156" t="n">
        <f aca="false">SUM('Page 4'!H127)</f>
        <v>142</v>
      </c>
      <c r="K7" s="189" t="n">
        <f aca="false">SUM(C7:J7)</f>
        <v>1182</v>
      </c>
    </row>
    <row r="8" customFormat="false" ht="18" hidden="false" customHeight="false" outlineLevel="0" collapsed="false">
      <c r="A8" s="155" t="n">
        <v>4</v>
      </c>
      <c r="B8" s="156" t="s">
        <v>114</v>
      </c>
      <c r="C8" s="156" t="n">
        <f aca="false">SUM('Page 4'!H10)</f>
        <v>55</v>
      </c>
      <c r="D8" s="156" t="n">
        <f aca="false">SUM('Page 4'!H27)</f>
        <v>83</v>
      </c>
      <c r="E8" s="156" t="n">
        <f aca="false">SUM('Page 4'!H44)</f>
        <v>200</v>
      </c>
      <c r="F8" s="156" t="n">
        <f aca="false">SUM('Page 4'!H60)</f>
        <v>60</v>
      </c>
      <c r="G8" s="156" t="n">
        <f aca="false">SUM('Page 4'!H77)</f>
        <v>450</v>
      </c>
      <c r="H8" s="156" t="n">
        <f aca="false">SUM('Page 4'!H94)</f>
        <v>0</v>
      </c>
      <c r="I8" s="156" t="n">
        <f aca="false">SUM('Page 4'!H111)</f>
        <v>0</v>
      </c>
      <c r="J8" s="156" t="n">
        <f aca="false">SUM('Page 4'!H128)</f>
        <v>90</v>
      </c>
      <c r="K8" s="189" t="n">
        <f aca="false">SUM(C8:J8)</f>
        <v>938</v>
      </c>
    </row>
    <row r="9" customFormat="false" ht="18" hidden="false" customHeight="false" outlineLevel="0" collapsed="false">
      <c r="A9" s="155" t="n">
        <v>5</v>
      </c>
      <c r="B9" s="156" t="s">
        <v>115</v>
      </c>
      <c r="C9" s="156" t="n">
        <f aca="false">SUM('Page 4'!H11)</f>
        <v>200</v>
      </c>
      <c r="D9" s="156" t="n">
        <f aca="false">SUM('Page 4'!H28)</f>
        <v>205</v>
      </c>
      <c r="E9" s="156" t="n">
        <f aca="false">SUM('Page 4'!H45)</f>
        <v>300</v>
      </c>
      <c r="F9" s="156" t="n">
        <f aca="false">SUM('Page 4'!H61)</f>
        <v>80</v>
      </c>
      <c r="G9" s="156" t="n">
        <f aca="false">SUM('Page 4'!H78)</f>
        <v>650</v>
      </c>
      <c r="H9" s="156" t="n">
        <f aca="false">SUM('Page 4'!H95)</f>
        <v>0</v>
      </c>
      <c r="I9" s="156" t="n">
        <f aca="false">SUM('Page 4'!H112)</f>
        <v>0</v>
      </c>
      <c r="J9" s="156" t="n">
        <f aca="false">SUM('Page 4'!H129)</f>
        <v>800</v>
      </c>
      <c r="K9" s="189" t="n">
        <f aca="false">SUM(C9:J9)</f>
        <v>2235</v>
      </c>
    </row>
    <row r="10" customFormat="false" ht="18" hidden="false" customHeight="false" outlineLevel="0" collapsed="false">
      <c r="A10" s="155" t="n">
        <v>6</v>
      </c>
      <c r="B10" s="156" t="s">
        <v>169</v>
      </c>
      <c r="C10" s="156" t="n">
        <f aca="false">SUM('Page 4'!H12)</f>
        <v>0</v>
      </c>
      <c r="D10" s="156" t="n">
        <f aca="false">SUM('Page 4'!H29)</f>
        <v>0</v>
      </c>
      <c r="E10" s="156" t="n">
        <f aca="false">SUM('Page 4'!H46)</f>
        <v>50</v>
      </c>
      <c r="F10" s="156" t="n">
        <f aca="false">SUM('Page 4'!H62)</f>
        <v>0</v>
      </c>
      <c r="G10" s="156" t="n">
        <f aca="false">SUM('Page 4'!H79)</f>
        <v>0</v>
      </c>
      <c r="H10" s="156" t="n">
        <f aca="false">SUM('Page 4'!H96)</f>
        <v>0</v>
      </c>
      <c r="I10" s="156" t="n">
        <f aca="false">SUM('Page 4'!H113)</f>
        <v>0</v>
      </c>
      <c r="J10" s="156" t="n">
        <f aca="false">SUM('Page 4'!H130)</f>
        <v>5</v>
      </c>
      <c r="K10" s="189" t="n">
        <f aca="false">SUM(C10:J10)</f>
        <v>55</v>
      </c>
    </row>
    <row r="11" customFormat="false" ht="18" hidden="false" customHeight="false" outlineLevel="0" collapsed="false">
      <c r="A11" s="155" t="n">
        <v>7</v>
      </c>
      <c r="B11" s="156" t="s">
        <v>117</v>
      </c>
      <c r="C11" s="156" t="n">
        <f aca="false">SUM('Page 4'!H13)</f>
        <v>110</v>
      </c>
      <c r="D11" s="156" t="n">
        <f aca="false">SUM('Page 4'!H30)</f>
        <v>5</v>
      </c>
      <c r="E11" s="156" t="n">
        <f aca="false">SUM('Page 4'!H47)</f>
        <v>160</v>
      </c>
      <c r="F11" s="156" t="n">
        <f aca="false">SUM('Page 4'!H63)</f>
        <v>20</v>
      </c>
      <c r="G11" s="156" t="n">
        <f aca="false">SUM('Page 4'!H80)</f>
        <v>250</v>
      </c>
      <c r="H11" s="156" t="n">
        <f aca="false">SUM('Page 4'!H97)</f>
        <v>0</v>
      </c>
      <c r="I11" s="156" t="n">
        <f aca="false">SUM('Page 4'!H114)</f>
        <v>0</v>
      </c>
      <c r="J11" s="156" t="n">
        <f aca="false">SUM('Page 4'!H131)</f>
        <v>150</v>
      </c>
      <c r="K11" s="189" t="n">
        <f aca="false">SUM(C11:J11)</f>
        <v>695</v>
      </c>
    </row>
    <row r="12" customFormat="false" ht="18" hidden="false" customHeight="false" outlineLevel="0" collapsed="false">
      <c r="A12" s="155" t="n">
        <v>8</v>
      </c>
      <c r="B12" s="156" t="s">
        <v>130</v>
      </c>
      <c r="C12" s="156" t="n">
        <v>0</v>
      </c>
      <c r="D12" s="156" t="n">
        <v>0</v>
      </c>
      <c r="E12" s="156" t="n">
        <v>0</v>
      </c>
      <c r="F12" s="156" t="n">
        <v>0</v>
      </c>
      <c r="G12" s="156" t="n">
        <v>0</v>
      </c>
      <c r="H12" s="156" t="n">
        <v>0</v>
      </c>
      <c r="I12" s="156" t="n">
        <v>0</v>
      </c>
      <c r="J12" s="156" t="n">
        <v>0</v>
      </c>
      <c r="K12" s="189" t="n">
        <f aca="false">SUM(C12:J12)</f>
        <v>0</v>
      </c>
    </row>
    <row r="13" customFormat="false" ht="18" hidden="false" customHeight="false" outlineLevel="0" collapsed="false">
      <c r="A13" s="155" t="n">
        <v>9</v>
      </c>
      <c r="B13" s="156" t="s">
        <v>118</v>
      </c>
      <c r="C13" s="156" t="n">
        <f aca="false">SUM('Page 4'!H14)</f>
        <v>0</v>
      </c>
      <c r="D13" s="156" t="n">
        <f aca="false">SUM('Page 4'!H31)</f>
        <v>0</v>
      </c>
      <c r="E13" s="156" t="n">
        <f aca="false">SUM('Page 4'!H48)</f>
        <v>0</v>
      </c>
      <c r="F13" s="156" t="n">
        <f aca="false">SUM('Page 4'!H64)</f>
        <v>0</v>
      </c>
      <c r="G13" s="156" t="n">
        <f aca="false">SUM('Page 4'!H81)</f>
        <v>0</v>
      </c>
      <c r="H13" s="156" t="n">
        <f aca="false">SUM('Page 4'!H98)</f>
        <v>0</v>
      </c>
      <c r="I13" s="156" t="n">
        <f aca="false">SUM('Page 4'!H115)</f>
        <v>0</v>
      </c>
      <c r="J13" s="156" t="n">
        <f aca="false">SUM('Page 4'!H132)</f>
        <v>0</v>
      </c>
      <c r="K13" s="189" t="n">
        <f aca="false">SUM(C13:J13)</f>
        <v>0</v>
      </c>
    </row>
    <row r="14" customFormat="false" ht="18" hidden="false" customHeight="false" outlineLevel="0" collapsed="false">
      <c r="A14" s="155" t="n">
        <v>10</v>
      </c>
      <c r="B14" s="156" t="s">
        <v>119</v>
      </c>
      <c r="C14" s="156" t="n">
        <f aca="false">SUM('Page 4'!H15)</f>
        <v>0</v>
      </c>
      <c r="D14" s="156" t="n">
        <f aca="false">SUM('Page 4'!H32)</f>
        <v>0</v>
      </c>
      <c r="E14" s="156" t="n">
        <f aca="false">SUM('Page 4'!H49)</f>
        <v>0</v>
      </c>
      <c r="F14" s="156" t="n">
        <f aca="false">SUM('Page 4'!H65)</f>
        <v>20</v>
      </c>
      <c r="G14" s="156" t="n">
        <f aca="false">SUM('Page 4'!H82)</f>
        <v>0</v>
      </c>
      <c r="H14" s="156" t="n">
        <f aca="false">SUM('Page 4'!H99)</f>
        <v>0</v>
      </c>
      <c r="I14" s="156" t="n">
        <f aca="false">SUM('Page 4'!H116)</f>
        <v>0</v>
      </c>
      <c r="J14" s="156" t="n">
        <f aca="false">SUM('Page 4'!H133)</f>
        <v>0</v>
      </c>
      <c r="K14" s="189" t="n">
        <f aca="false">SUM(C14:J14)</f>
        <v>20</v>
      </c>
    </row>
    <row r="15" customFormat="false" ht="18.75" hidden="false" customHeight="true" outlineLevel="0" collapsed="false">
      <c r="A15" s="190" t="s">
        <v>11</v>
      </c>
      <c r="B15" s="190"/>
      <c r="C15" s="191" t="n">
        <f aca="false">SUM(C5:C14)</f>
        <v>3656</v>
      </c>
      <c r="D15" s="191" t="n">
        <f aca="false">SUM(D5:D14)</f>
        <v>13447</v>
      </c>
      <c r="E15" s="191" t="n">
        <f aca="false">SUM(E5:E14)</f>
        <v>7390</v>
      </c>
      <c r="F15" s="191" t="n">
        <f aca="false">SUM(F5:F14)</f>
        <v>9155</v>
      </c>
      <c r="G15" s="191" t="n">
        <f aca="false">SUM(G5:G14)</f>
        <v>12028</v>
      </c>
      <c r="H15" s="191" t="n">
        <f aca="false">SUM(H5:H14)</f>
        <v>0</v>
      </c>
      <c r="I15" s="191" t="n">
        <f aca="false">SUM(I5:I14)</f>
        <v>0</v>
      </c>
      <c r="J15" s="191" t="n">
        <f aca="false">SUM(J5:J14)</f>
        <v>8006</v>
      </c>
      <c r="K15" s="191" t="n">
        <f aca="false">SUM(K5:K14)</f>
        <v>53682</v>
      </c>
    </row>
    <row r="16" customFormat="false" ht="23.25" hidden="false" customHeight="true" outlineLevel="0" collapsed="false">
      <c r="A16" s="192"/>
      <c r="B16" s="185"/>
      <c r="C16" s="192"/>
      <c r="D16" s="192"/>
      <c r="E16" s="192"/>
    </row>
    <row r="17" customFormat="false" ht="18" hidden="false" customHeight="true" outlineLevel="0" collapsed="false">
      <c r="A17" s="193" t="s">
        <v>163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</row>
    <row r="18" customFormat="false" ht="18" hidden="false" customHeight="true" outlineLevel="0" collapsed="false">
      <c r="A18" s="193" t="s">
        <v>164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</row>
    <row r="19" customFormat="false" ht="18" hidden="false" customHeight="true" outlineLevel="0" collapsed="false">
      <c r="A19" s="193" t="s">
        <v>3</v>
      </c>
      <c r="B19" s="193"/>
      <c r="C19" s="193"/>
      <c r="D19" s="193"/>
      <c r="E19" s="193"/>
      <c r="F19" s="193"/>
      <c r="G19" s="193"/>
      <c r="H19" s="193"/>
      <c r="I19" s="193"/>
      <c r="J19" s="193"/>
      <c r="K19" s="193"/>
    </row>
    <row r="20" customFormat="false" ht="36" hidden="false" customHeight="false" outlineLevel="0" collapsed="false">
      <c r="A20" s="155" t="s">
        <v>165</v>
      </c>
      <c r="B20" s="155" t="s">
        <v>166</v>
      </c>
      <c r="C20" s="155" t="s">
        <v>65</v>
      </c>
      <c r="D20" s="155" t="s">
        <v>76</v>
      </c>
      <c r="E20" s="155" t="s">
        <v>77</v>
      </c>
      <c r="F20" s="155" t="s">
        <v>78</v>
      </c>
      <c r="G20" s="155" t="s">
        <v>79</v>
      </c>
      <c r="H20" s="155" t="s">
        <v>80</v>
      </c>
      <c r="I20" s="155" t="s">
        <v>81</v>
      </c>
      <c r="J20" s="155" t="s">
        <v>167</v>
      </c>
      <c r="K20" s="155" t="s">
        <v>11</v>
      </c>
    </row>
    <row r="21" customFormat="false" ht="18" hidden="false" customHeight="false" outlineLevel="0" collapsed="false">
      <c r="A21" s="156" t="n">
        <v>1</v>
      </c>
      <c r="B21" s="156" t="s">
        <v>111</v>
      </c>
      <c r="C21" s="194" t="n">
        <f aca="false">SUM((C5/K5)*100)</f>
        <v>6.28333710896472</v>
      </c>
      <c r="D21" s="194" t="n">
        <f aca="false">SUM((D5/K5)*100)</f>
        <v>27.0074345614433</v>
      </c>
      <c r="E21" s="194" t="n">
        <f aca="false">SUM((E5/K5)*100)</f>
        <v>13.139197232119</v>
      </c>
      <c r="F21" s="194" t="n">
        <f aca="false">SUM((F5/K5)*100)</f>
        <v>18.3598657248183</v>
      </c>
      <c r="G21" s="194" t="n">
        <f aca="false">SUM((G5/K5)*100)</f>
        <v>21.1668760425891</v>
      </c>
      <c r="H21" s="194" t="n">
        <f aca="false">SUM((H5/K5)*100)</f>
        <v>0</v>
      </c>
      <c r="I21" s="194" t="n">
        <f aca="false">SUM((I5/K5)*100)</f>
        <v>0</v>
      </c>
      <c r="J21" s="194" t="n">
        <f aca="false">SUM((J5/K5)*100)</f>
        <v>14.0432893300657</v>
      </c>
      <c r="K21" s="195" t="n">
        <v>32738</v>
      </c>
      <c r="L21" s="196" t="n">
        <f aca="false">SUM(C21:J21)</f>
        <v>100</v>
      </c>
    </row>
    <row r="22" customFormat="false" ht="18" hidden="false" customHeight="false" outlineLevel="0" collapsed="false">
      <c r="A22" s="156" t="n">
        <v>2</v>
      </c>
      <c r="B22" s="156" t="s">
        <v>168</v>
      </c>
      <c r="C22" s="194" t="e">
        <f aca="false">SUM((C6/K6)*100)</f>
        <v>#DIV/0!</v>
      </c>
      <c r="D22" s="194" t="e">
        <f aca="false">SUM((D6/K6)*100)</f>
        <v>#DIV/0!</v>
      </c>
      <c r="E22" s="194" t="e">
        <f aca="false">SUM((E6/K6)*100)</f>
        <v>#DIV/0!</v>
      </c>
      <c r="F22" s="194" t="e">
        <f aca="false">SUM((F6/K6)*100)</f>
        <v>#DIV/0!</v>
      </c>
      <c r="G22" s="194" t="e">
        <f aca="false">SUM((G6/K6)*100)</f>
        <v>#DIV/0!</v>
      </c>
      <c r="H22" s="194" t="e">
        <f aca="false">SUM((H6/K6)*100)</f>
        <v>#DIV/0!</v>
      </c>
      <c r="I22" s="194" t="e">
        <f aca="false">SUM((I6/K6)*100)</f>
        <v>#DIV/0!</v>
      </c>
      <c r="J22" s="194" t="e">
        <f aca="false">SUM((J6/K6)*100)</f>
        <v>#DIV/0!</v>
      </c>
      <c r="K22" s="195" t="n">
        <v>0</v>
      </c>
      <c r="L22" s="196" t="e">
        <f aca="false">SUM(C22:J22)</f>
        <v>#DIV/0!</v>
      </c>
    </row>
    <row r="23" customFormat="false" ht="18" hidden="false" customHeight="false" outlineLevel="0" collapsed="false">
      <c r="A23" s="156" t="n">
        <v>3</v>
      </c>
      <c r="B23" s="156" t="s">
        <v>121</v>
      </c>
      <c r="C23" s="194" t="n">
        <f aca="false">SUM((C7/K7)*100)</f>
        <v>20.3045685279188</v>
      </c>
      <c r="D23" s="194" t="n">
        <f aca="false">SUM((D7/K7)*100)</f>
        <v>3.38409475465313</v>
      </c>
      <c r="E23" s="194" t="n">
        <f aca="false">SUM((E7/K7)*100)</f>
        <v>25.3807106598985</v>
      </c>
      <c r="F23" s="194" t="n">
        <f aca="false">SUM((F7/K7)*100)</f>
        <v>5.0761421319797</v>
      </c>
      <c r="G23" s="194" t="n">
        <f aca="false">SUM((G7/K7)*100)</f>
        <v>33.8409475465313</v>
      </c>
      <c r="H23" s="194" t="n">
        <f aca="false">SUM((H7/K7)*100)</f>
        <v>0</v>
      </c>
      <c r="I23" s="194" t="n">
        <f aca="false">SUM((I7/K7)*100)</f>
        <v>0</v>
      </c>
      <c r="J23" s="194" t="n">
        <f aca="false">SUM((J7/K7)*100)</f>
        <v>12.0135363790186</v>
      </c>
      <c r="K23" s="195" t="n">
        <v>1108</v>
      </c>
      <c r="L23" s="196" t="n">
        <f aca="false">SUM(C23:J23)</f>
        <v>100</v>
      </c>
    </row>
    <row r="24" customFormat="false" ht="18" hidden="false" customHeight="false" outlineLevel="0" collapsed="false">
      <c r="A24" s="156" t="n">
        <v>4</v>
      </c>
      <c r="B24" s="156" t="s">
        <v>114</v>
      </c>
      <c r="C24" s="194" t="n">
        <f aca="false">SUM((C8/K8)*100)</f>
        <v>5.863539445629</v>
      </c>
      <c r="D24" s="194" t="n">
        <f aca="false">SUM((D8/K8)*100)</f>
        <v>8.84861407249467</v>
      </c>
      <c r="E24" s="194" t="n">
        <f aca="false">SUM((E8/K8)*100)</f>
        <v>21.3219616204691</v>
      </c>
      <c r="F24" s="194" t="n">
        <f aca="false">SUM((F8/K8)*100)</f>
        <v>6.39658848614073</v>
      </c>
      <c r="G24" s="194" t="n">
        <f aca="false">SUM((G8/K8)*100)</f>
        <v>47.9744136460554</v>
      </c>
      <c r="H24" s="194" t="n">
        <f aca="false">SUM((H8/K8)*100)</f>
        <v>0</v>
      </c>
      <c r="I24" s="194" t="n">
        <f aca="false">SUM((I8/K8)*100)</f>
        <v>0</v>
      </c>
      <c r="J24" s="194" t="n">
        <f aca="false">SUM((J8/K8)*100)</f>
        <v>9.59488272921109</v>
      </c>
      <c r="K24" s="195" t="n">
        <v>800</v>
      </c>
      <c r="L24" s="196" t="n">
        <f aca="false">SUM(C24:J24)</f>
        <v>100</v>
      </c>
    </row>
    <row r="25" customFormat="false" ht="18" hidden="false" customHeight="false" outlineLevel="0" collapsed="false">
      <c r="A25" s="156" t="n">
        <v>5</v>
      </c>
      <c r="B25" s="156" t="s">
        <v>115</v>
      </c>
      <c r="C25" s="194" t="n">
        <f aca="false">SUM((C9/K9)*100)</f>
        <v>8.94854586129754</v>
      </c>
      <c r="D25" s="194" t="n">
        <f aca="false">SUM((D9/K9)*100)</f>
        <v>9.17225950782998</v>
      </c>
      <c r="E25" s="194" t="n">
        <f aca="false">SUM((E9/K9)*100)</f>
        <v>13.4228187919463</v>
      </c>
      <c r="F25" s="194" t="n">
        <f aca="false">SUM((F9/K9)*100)</f>
        <v>3.57941834451902</v>
      </c>
      <c r="G25" s="194" t="n">
        <f aca="false">SUM((G9/K9)*100)</f>
        <v>29.082774049217</v>
      </c>
      <c r="H25" s="194" t="n">
        <f aca="false">SUM((H9/K9)*100)</f>
        <v>0</v>
      </c>
      <c r="I25" s="194" t="n">
        <f aca="false">SUM((I9/K9)*100)</f>
        <v>0</v>
      </c>
      <c r="J25" s="194" t="n">
        <f aca="false">SUM((J9/K9)*100)</f>
        <v>35.7941834451902</v>
      </c>
      <c r="K25" s="195" t="n">
        <v>1820</v>
      </c>
      <c r="L25" s="196" t="n">
        <f aca="false">SUM(C25:J25)</f>
        <v>100</v>
      </c>
    </row>
    <row r="26" customFormat="false" ht="18" hidden="false" customHeight="false" outlineLevel="0" collapsed="false">
      <c r="A26" s="156" t="n">
        <v>6</v>
      </c>
      <c r="B26" s="156" t="s">
        <v>169</v>
      </c>
      <c r="C26" s="194" t="n">
        <f aca="false">SUM((C10/K10)*100)</f>
        <v>0</v>
      </c>
      <c r="D26" s="194" t="n">
        <f aca="false">SUM((D10/K10)*100)</f>
        <v>0</v>
      </c>
      <c r="E26" s="194" t="n">
        <f aca="false">SUM((E10/K10)*100)</f>
        <v>90.9090909090909</v>
      </c>
      <c r="F26" s="194" t="n">
        <f aca="false">SUM((F10/K10)*100)</f>
        <v>0</v>
      </c>
      <c r="G26" s="194" t="n">
        <f aca="false">SUM((G10/K10)*100)</f>
        <v>0</v>
      </c>
      <c r="H26" s="194" t="n">
        <f aca="false">SUM((H10/K10)*100)</f>
        <v>0</v>
      </c>
      <c r="I26" s="194" t="n">
        <f aca="false">SUM((I10/K10)*100)</f>
        <v>0</v>
      </c>
      <c r="J26" s="194" t="n">
        <f aca="false">SUM((J10/K10)*100)</f>
        <v>9.09090909090909</v>
      </c>
      <c r="K26" s="195" t="n">
        <v>45</v>
      </c>
      <c r="L26" s="196" t="n">
        <f aca="false">SUM(C26:J26)</f>
        <v>100</v>
      </c>
    </row>
    <row r="27" customFormat="false" ht="18" hidden="false" customHeight="false" outlineLevel="0" collapsed="false">
      <c r="A27" s="156" t="n">
        <v>7</v>
      </c>
      <c r="B27" s="156" t="s">
        <v>117</v>
      </c>
      <c r="C27" s="194" t="n">
        <f aca="false">SUM((C11/K11)*100)</f>
        <v>15.8273381294964</v>
      </c>
      <c r="D27" s="194" t="n">
        <f aca="false">SUM((D11/K11)*100)</f>
        <v>0.719424460431655</v>
      </c>
      <c r="E27" s="194" t="n">
        <f aca="false">SUM((E11/K11)*100)</f>
        <v>23.021582733813</v>
      </c>
      <c r="F27" s="194" t="n">
        <f aca="false">SUM((F11/K11)*100)</f>
        <v>2.87769784172662</v>
      </c>
      <c r="G27" s="194" t="n">
        <f aca="false">SUM((G11/K11)*100)</f>
        <v>35.9712230215827</v>
      </c>
      <c r="H27" s="194" t="n">
        <f aca="false">SUM((H11/K11)*100)</f>
        <v>0</v>
      </c>
      <c r="I27" s="194" t="n">
        <f aca="false">SUM((I11/K11)*100)</f>
        <v>0</v>
      </c>
      <c r="J27" s="194" t="n">
        <f aca="false">SUM((J11/K11)*100)</f>
        <v>21.5827338129496</v>
      </c>
      <c r="K27" s="195" t="n">
        <v>630</v>
      </c>
      <c r="L27" s="196" t="n">
        <f aca="false">SUM(C27:J27)</f>
        <v>100</v>
      </c>
    </row>
    <row r="28" customFormat="false" ht="18" hidden="false" customHeight="false" outlineLevel="0" collapsed="false">
      <c r="A28" s="156" t="n">
        <v>8</v>
      </c>
      <c r="B28" s="156" t="s">
        <v>130</v>
      </c>
      <c r="C28" s="194" t="e">
        <f aca="false">SUM((C12/K12)*100)</f>
        <v>#DIV/0!</v>
      </c>
      <c r="D28" s="194" t="e">
        <f aca="false">SUM((D12/K12)*100)</f>
        <v>#DIV/0!</v>
      </c>
      <c r="E28" s="194" t="e">
        <f aca="false">SUM((E12/K12)*100)</f>
        <v>#DIV/0!</v>
      </c>
      <c r="F28" s="194" t="e">
        <f aca="false">SUM((F12/K12)*100)</f>
        <v>#DIV/0!</v>
      </c>
      <c r="G28" s="194" t="e">
        <f aca="false">SUM((G12/K12)*100)</f>
        <v>#DIV/0!</v>
      </c>
      <c r="H28" s="194" t="e">
        <f aca="false">SUM((H12/K12)*100)</f>
        <v>#DIV/0!</v>
      </c>
      <c r="I28" s="194" t="e">
        <f aca="false">SUM((I12/K12)*100)</f>
        <v>#DIV/0!</v>
      </c>
      <c r="J28" s="194" t="e">
        <f aca="false">SUM((J12/K12)*100)</f>
        <v>#DIV/0!</v>
      </c>
      <c r="K28" s="195" t="n">
        <v>0</v>
      </c>
      <c r="L28" s="196" t="e">
        <f aca="false">SUM(C28:J28)</f>
        <v>#DIV/0!</v>
      </c>
    </row>
    <row r="29" customFormat="false" ht="18" hidden="false" customHeight="false" outlineLevel="0" collapsed="false">
      <c r="A29" s="156" t="n">
        <v>9</v>
      </c>
      <c r="B29" s="156" t="s">
        <v>118</v>
      </c>
      <c r="C29" s="194" t="e">
        <f aca="false">SUM((C13/K13)*100)</f>
        <v>#DIV/0!</v>
      </c>
      <c r="D29" s="194" t="e">
        <f aca="false">SUM((D13/K13)*100)</f>
        <v>#DIV/0!</v>
      </c>
      <c r="E29" s="194" t="e">
        <f aca="false">SUM((E13/K13)*100)</f>
        <v>#DIV/0!</v>
      </c>
      <c r="F29" s="194" t="e">
        <f aca="false">SUM((F13/K13)*100)</f>
        <v>#DIV/0!</v>
      </c>
      <c r="G29" s="194" t="e">
        <f aca="false">SUM((G13/K13)*100)</f>
        <v>#DIV/0!</v>
      </c>
      <c r="H29" s="194" t="e">
        <f aca="false">SUM((H13/K13)*100)</f>
        <v>#DIV/0!</v>
      </c>
      <c r="I29" s="194" t="e">
        <f aca="false">SUM((I13/K13)*100)</f>
        <v>#DIV/0!</v>
      </c>
      <c r="J29" s="194" t="e">
        <f aca="false">SUM((J13/K13)*100)</f>
        <v>#DIV/0!</v>
      </c>
      <c r="K29" s="195" t="n">
        <v>0</v>
      </c>
      <c r="L29" s="196" t="e">
        <f aca="false">SUM(C29:J29)</f>
        <v>#DIV/0!</v>
      </c>
    </row>
    <row r="30" customFormat="false" ht="18" hidden="false" customHeight="false" outlineLevel="0" collapsed="false">
      <c r="A30" s="156" t="n">
        <v>10</v>
      </c>
      <c r="B30" s="156" t="s">
        <v>119</v>
      </c>
      <c r="C30" s="194" t="n">
        <f aca="false">SUM((C14/K14)*100)</f>
        <v>0</v>
      </c>
      <c r="D30" s="194" t="n">
        <f aca="false">SUM((D14/K14)*100)</f>
        <v>0</v>
      </c>
      <c r="E30" s="194" t="n">
        <f aca="false">SUM((E14/K14)*100)</f>
        <v>0</v>
      </c>
      <c r="F30" s="194" t="n">
        <f aca="false">SUM((F14/K14)*100)</f>
        <v>100</v>
      </c>
      <c r="G30" s="194" t="n">
        <f aca="false">SUM((G14/K14)*100)</f>
        <v>0</v>
      </c>
      <c r="H30" s="194" t="n">
        <f aca="false">SUM((H14/K14)*100)</f>
        <v>0</v>
      </c>
      <c r="I30" s="194" t="n">
        <f aca="false">SUM((I14/K14)*100)</f>
        <v>0</v>
      </c>
      <c r="J30" s="194" t="n">
        <f aca="false">SUM((J14/K14)*100)</f>
        <v>0</v>
      </c>
      <c r="K30" s="195" t="n">
        <v>0</v>
      </c>
      <c r="L30" s="196" t="n">
        <f aca="false">SUM(C30:J30)</f>
        <v>100</v>
      </c>
    </row>
    <row r="31" customFormat="false" ht="18" hidden="false" customHeight="false" outlineLevel="0" collapsed="false">
      <c r="A31" s="156" t="s">
        <v>11</v>
      </c>
      <c r="B31" s="156"/>
      <c r="C31" s="194" t="n">
        <f aca="false">SUM((C15/K15)*100)</f>
        <v>6.81047650981707</v>
      </c>
      <c r="D31" s="194" t="n">
        <f aca="false">SUM((D15/K15)*100)</f>
        <v>25.0493647777654</v>
      </c>
      <c r="E31" s="194" t="n">
        <f aca="false">SUM((E15/K15)*100)</f>
        <v>13.7662531202265</v>
      </c>
      <c r="F31" s="194" t="n">
        <f aca="false">SUM((F15/K15)*100)</f>
        <v>17.0541336015797</v>
      </c>
      <c r="G31" s="194" t="n">
        <f aca="false">SUM((G15/K15)*100)</f>
        <v>22.4060206400656</v>
      </c>
      <c r="H31" s="194" t="n">
        <f aca="false">SUM((H15/K15)*100)</f>
        <v>0</v>
      </c>
      <c r="I31" s="194" t="n">
        <f aca="false">SUM((I15/K15)*100)</f>
        <v>0</v>
      </c>
      <c r="J31" s="194" t="n">
        <f aca="false">SUM((J15/K15)*100)</f>
        <v>14.9137513505458</v>
      </c>
      <c r="K31" s="195" t="n">
        <v>37141</v>
      </c>
      <c r="L31" s="196" t="n">
        <f aca="false">SUM(C31:J31)</f>
        <v>100</v>
      </c>
    </row>
  </sheetData>
  <mergeCells count="7">
    <mergeCell ref="A1:K1"/>
    <mergeCell ref="A2:K2"/>
    <mergeCell ref="A3:K3"/>
    <mergeCell ref="A15:B15"/>
    <mergeCell ref="A17:K17"/>
    <mergeCell ref="A18:K18"/>
    <mergeCell ref="A19:K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6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2012-06-14T06:07:46Z</dcterms:created>
  <dc:creator>REVENUE</dc:creator>
  <dc:description/>
  <dc:language>en-US</dc:language>
  <cp:lastModifiedBy>Lekha</cp:lastModifiedBy>
  <cp:lastPrinted>2020-10-27T07:45:57Z</cp:lastPrinted>
  <dcterms:modified xsi:type="dcterms:W3CDTF">2020-10-27T07:48:29Z</dcterms:modified>
  <cp:revision>0</cp:revision>
  <dc:subject/>
  <dc:title/>
</cp:coreProperties>
</file>