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ternship\Agenthix AI\GOM PROJECTS\BudgetMakingSystem\MAIN_PROJECT\excel_templates\s2029\subs\s20290262\"/>
    </mc:Choice>
  </mc:AlternateContent>
  <xr:revisionPtr revIDLastSave="0" documentId="13_ncr:1_{E5DC84AA-161D-48F5-B1C6-620442210D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e 1" sheetId="4" r:id="rId1"/>
    <sheet name="Page 2" sheetId="3" r:id="rId2"/>
    <sheet name="Page 3" sheetId="2" r:id="rId3"/>
    <sheet name="Page 4" sheetId="1" r:id="rId4"/>
    <sheet name="Page 5" sheetId="5" r:id="rId5"/>
    <sheet name="4-12 TO 7-12 MES" sheetId="6" r:id="rId6"/>
    <sheet name="jodpatra D" sheetId="8" r:id="rId7"/>
    <sheet name="Sheet1" sheetId="7" r:id="rId8"/>
  </sheets>
  <definedNames>
    <definedName name="_xlnm.Print_Area" localSheetId="6">'jodpatra D'!$A$1:$H$15</definedName>
    <definedName name="_xlnm.Print_Area" localSheetId="1">'Page 2'!$A$1:$P$290</definedName>
    <definedName name="_xlnm.Print_Area" localSheetId="2">'Page 3'!$A$1:$I$145</definedName>
    <definedName name="_xlnm.Print_Area" localSheetId="4">'Page 5'!$A$1:$L$19</definedName>
    <definedName name="_xlnm.Print_Area" localSheetId="7">Sheet1!$A$1:$K$29</definedName>
    <definedName name="_xlnm.Print_Titles" localSheetId="4">'Page 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8" i="3" l="1" a="1"/>
  <c r="K118" i="3" s="1"/>
  <c r="K7" i="3" a="1"/>
  <c r="K7" i="3" s="1"/>
  <c r="K22" i="3" a="1"/>
  <c r="K22" i="3" s="1"/>
  <c r="O21" i="3" s="1"/>
  <c r="P21" i="3" s="1"/>
  <c r="N21" i="3"/>
  <c r="O53" i="3"/>
  <c r="P53" i="3" s="1"/>
  <c r="N53" i="3"/>
  <c r="P245" i="3"/>
  <c r="K246" i="3" a="1"/>
  <c r="K246" i="3" s="1"/>
  <c r="J246" i="3"/>
  <c r="F246" i="3"/>
  <c r="K231" i="3" a="1"/>
  <c r="K231" i="3" s="1"/>
  <c r="J231" i="3"/>
  <c r="F231" i="3"/>
  <c r="K150" i="3" a="1"/>
  <c r="K150" i="3" s="1"/>
  <c r="J150" i="3"/>
  <c r="F150" i="3"/>
  <c r="J118" i="3"/>
  <c r="F118" i="3"/>
  <c r="K54" i="3" a="1"/>
  <c r="K54" i="3"/>
  <c r="J54" i="3"/>
  <c r="F54" i="3"/>
  <c r="K39" i="3" a="1"/>
  <c r="K39" i="3" s="1"/>
  <c r="J39" i="3"/>
  <c r="F39" i="3"/>
  <c r="J7" i="3"/>
  <c r="F7" i="3"/>
  <c r="J22" i="3"/>
  <c r="F22" i="3"/>
  <c r="F142" i="1"/>
  <c r="F7" i="5" s="1"/>
  <c r="G9" i="5"/>
  <c r="G10" i="5"/>
  <c r="F15" i="5"/>
  <c r="H142" i="1"/>
  <c r="I7" i="5" s="1"/>
  <c r="J112" i="3"/>
  <c r="J111" i="3"/>
  <c r="J110" i="3"/>
  <c r="J109" i="3"/>
  <c r="J108" i="3"/>
  <c r="J107" i="3"/>
  <c r="J105" i="3"/>
  <c r="J104" i="3"/>
  <c r="A257" i="3"/>
  <c r="A225" i="3"/>
  <c r="A193" i="3"/>
  <c r="A161" i="3"/>
  <c r="A129" i="3"/>
  <c r="A97" i="3"/>
  <c r="A65" i="3"/>
  <c r="A33" i="3"/>
  <c r="A127" i="2"/>
  <c r="A111" i="2"/>
  <c r="A95" i="2"/>
  <c r="A79" i="2"/>
  <c r="A63" i="2"/>
  <c r="A48" i="2"/>
  <c r="A33" i="2"/>
  <c r="A17" i="2"/>
  <c r="A136" i="1"/>
  <c r="A1" i="5" s="1"/>
  <c r="A119" i="1"/>
  <c r="A102" i="1"/>
  <c r="A85" i="1"/>
  <c r="A68" i="1"/>
  <c r="A51" i="1"/>
  <c r="A35" i="1"/>
  <c r="A18" i="1"/>
  <c r="J38" i="4"/>
  <c r="H141" i="2"/>
  <c r="G141" i="2"/>
  <c r="F141" i="2"/>
  <c r="I125" i="2"/>
  <c r="I109" i="2"/>
  <c r="I93" i="2"/>
  <c r="I77" i="2"/>
  <c r="I62" i="2"/>
  <c r="I47" i="2"/>
  <c r="I31" i="2"/>
  <c r="I15" i="2"/>
  <c r="H8" i="8"/>
  <c r="G7" i="8"/>
  <c r="D11" i="8"/>
  <c r="H268" i="3"/>
  <c r="D268" i="3"/>
  <c r="A121" i="4"/>
  <c r="A106" i="4"/>
  <c r="A91" i="4"/>
  <c r="A76" i="4"/>
  <c r="A61" i="4"/>
  <c r="A45" i="4"/>
  <c r="A31" i="4"/>
  <c r="A16" i="4"/>
  <c r="J82" i="4"/>
  <c r="K29" i="7"/>
  <c r="D117" i="1"/>
  <c r="C4" i="5"/>
  <c r="F4" i="5"/>
  <c r="G4" i="5"/>
  <c r="H4" i="5"/>
  <c r="C5" i="5"/>
  <c r="D5" i="5"/>
  <c r="E5" i="5"/>
  <c r="F5" i="5"/>
  <c r="H5" i="5"/>
  <c r="I5" i="5"/>
  <c r="J5" i="5"/>
  <c r="K5" i="5"/>
  <c r="G142" i="1"/>
  <c r="G7" i="5" s="1"/>
  <c r="G144" i="1"/>
  <c r="G150" i="1"/>
  <c r="G15" i="5" s="1"/>
  <c r="J13" i="7"/>
  <c r="J12" i="7"/>
  <c r="J11" i="7"/>
  <c r="J10" i="7"/>
  <c r="J9" i="7"/>
  <c r="J8" i="7"/>
  <c r="J7" i="7"/>
  <c r="J6" i="7"/>
  <c r="I13" i="7"/>
  <c r="I12" i="7"/>
  <c r="I11" i="7"/>
  <c r="I10" i="7"/>
  <c r="I9" i="7"/>
  <c r="I8" i="7"/>
  <c r="I7" i="7"/>
  <c r="I6" i="7"/>
  <c r="H13" i="7"/>
  <c r="H12" i="7"/>
  <c r="H11" i="7"/>
  <c r="H10" i="7"/>
  <c r="H9" i="7"/>
  <c r="H8" i="7"/>
  <c r="H7" i="7"/>
  <c r="H6" i="7"/>
  <c r="G13" i="7"/>
  <c r="G12" i="7"/>
  <c r="G11" i="7"/>
  <c r="G10" i="7"/>
  <c r="G9" i="7"/>
  <c r="G8" i="7"/>
  <c r="G7" i="7"/>
  <c r="G6" i="7"/>
  <c r="F13" i="7"/>
  <c r="F12" i="7"/>
  <c r="F11" i="7"/>
  <c r="F10" i="7"/>
  <c r="F9" i="7"/>
  <c r="F8" i="7"/>
  <c r="F7" i="7"/>
  <c r="F6" i="7"/>
  <c r="E13" i="7"/>
  <c r="E12" i="7"/>
  <c r="E11" i="7"/>
  <c r="E10" i="7"/>
  <c r="E9" i="7"/>
  <c r="E8" i="7"/>
  <c r="E7" i="7"/>
  <c r="E6" i="7"/>
  <c r="D13" i="7"/>
  <c r="D12" i="7"/>
  <c r="D11" i="7"/>
  <c r="D10" i="7"/>
  <c r="D9" i="7"/>
  <c r="D8" i="7"/>
  <c r="D7" i="7"/>
  <c r="D6" i="7"/>
  <c r="C13" i="7"/>
  <c r="C12" i="7"/>
  <c r="C11" i="7"/>
  <c r="C10" i="7"/>
  <c r="C9" i="7"/>
  <c r="C8" i="7"/>
  <c r="C7" i="7"/>
  <c r="K7" i="7" s="1"/>
  <c r="C6" i="7"/>
  <c r="J5" i="7"/>
  <c r="I5" i="7"/>
  <c r="H5" i="7"/>
  <c r="G5" i="7"/>
  <c r="F5" i="7"/>
  <c r="E5" i="7"/>
  <c r="D5" i="7"/>
  <c r="C5" i="7"/>
  <c r="H12" i="6"/>
  <c r="K16" i="5"/>
  <c r="J16" i="5"/>
  <c r="K12" i="6"/>
  <c r="J12" i="6"/>
  <c r="I12" i="6"/>
  <c r="G12" i="6"/>
  <c r="F12" i="6"/>
  <c r="D12" i="6"/>
  <c r="L11" i="6"/>
  <c r="L10" i="6"/>
  <c r="L9" i="6"/>
  <c r="L8" i="6"/>
  <c r="L7" i="6"/>
  <c r="M7" i="6" s="1"/>
  <c r="L6" i="6"/>
  <c r="L5" i="6"/>
  <c r="M5" i="6" s="1"/>
  <c r="L4" i="6"/>
  <c r="K150" i="1"/>
  <c r="J150" i="1"/>
  <c r="I150" i="1"/>
  <c r="H150" i="1"/>
  <c r="I15" i="5" s="1"/>
  <c r="F150" i="1"/>
  <c r="E150" i="1"/>
  <c r="E15" i="5" s="1"/>
  <c r="D150" i="1"/>
  <c r="D15" i="5" s="1"/>
  <c r="C150" i="1"/>
  <c r="C15" i="5" s="1"/>
  <c r="K149" i="1"/>
  <c r="J149" i="1"/>
  <c r="I149" i="1"/>
  <c r="H149" i="1"/>
  <c r="I14" i="5" s="1"/>
  <c r="G149" i="1"/>
  <c r="G14" i="5" s="1"/>
  <c r="F149" i="1"/>
  <c r="F14" i="5" s="1"/>
  <c r="E149" i="1"/>
  <c r="E14" i="5" s="1"/>
  <c r="D149" i="1"/>
  <c r="D14" i="5" s="1"/>
  <c r="C149" i="1"/>
  <c r="C14" i="5" s="1"/>
  <c r="K148" i="1"/>
  <c r="J148" i="1"/>
  <c r="I148" i="1"/>
  <c r="H148" i="1"/>
  <c r="I13" i="5" s="1"/>
  <c r="G148" i="1"/>
  <c r="G13" i="5" s="1"/>
  <c r="F148" i="1"/>
  <c r="F13" i="5" s="1"/>
  <c r="E148" i="1"/>
  <c r="E13" i="5" s="1"/>
  <c r="D148" i="1"/>
  <c r="D13" i="5" s="1"/>
  <c r="C148" i="1"/>
  <c r="C13" i="5" s="1"/>
  <c r="K147" i="1"/>
  <c r="J147" i="1"/>
  <c r="I147" i="1"/>
  <c r="H147" i="1"/>
  <c r="I12" i="5" s="1"/>
  <c r="G147" i="1"/>
  <c r="G12" i="5" s="1"/>
  <c r="F147" i="1"/>
  <c r="F12" i="5" s="1"/>
  <c r="E147" i="1"/>
  <c r="E12" i="5" s="1"/>
  <c r="D147" i="1"/>
  <c r="D12" i="5" s="1"/>
  <c r="C147" i="1"/>
  <c r="C12" i="5" s="1"/>
  <c r="K146" i="1"/>
  <c r="J146" i="1"/>
  <c r="I146" i="1"/>
  <c r="H146" i="1"/>
  <c r="I11" i="5" s="1"/>
  <c r="G146" i="1"/>
  <c r="G11" i="5" s="1"/>
  <c r="F146" i="1"/>
  <c r="F11" i="5" s="1"/>
  <c r="E146" i="1"/>
  <c r="E11" i="5" s="1"/>
  <c r="D146" i="1"/>
  <c r="D11" i="5" s="1"/>
  <c r="C146" i="1"/>
  <c r="C11" i="5" s="1"/>
  <c r="K145" i="1"/>
  <c r="J145" i="1"/>
  <c r="I145" i="1"/>
  <c r="H145" i="1"/>
  <c r="I10" i="5" s="1"/>
  <c r="G145" i="1"/>
  <c r="F145" i="1"/>
  <c r="F10" i="5" s="1"/>
  <c r="E145" i="1"/>
  <c r="E10" i="5" s="1"/>
  <c r="D145" i="1"/>
  <c r="D10" i="5" s="1"/>
  <c r="C145" i="1"/>
  <c r="C10" i="5" s="1"/>
  <c r="K144" i="1"/>
  <c r="J144" i="1"/>
  <c r="I144" i="1"/>
  <c r="H144" i="1"/>
  <c r="I9" i="5" s="1"/>
  <c r="F144" i="1"/>
  <c r="F9" i="5" s="1"/>
  <c r="E144" i="1"/>
  <c r="E9" i="5" s="1"/>
  <c r="D144" i="1"/>
  <c r="D9" i="5" s="1"/>
  <c r="C144" i="1"/>
  <c r="C9" i="5" s="1"/>
  <c r="K143" i="1"/>
  <c r="J143" i="1"/>
  <c r="I143" i="1"/>
  <c r="H143" i="1"/>
  <c r="I8" i="5" s="1"/>
  <c r="G143" i="1"/>
  <c r="G8" i="5" s="1"/>
  <c r="F143" i="1"/>
  <c r="F8" i="5" s="1"/>
  <c r="E143" i="1"/>
  <c r="E8" i="5" s="1"/>
  <c r="D143" i="1"/>
  <c r="D8" i="5" s="1"/>
  <c r="C143" i="1"/>
  <c r="C8" i="5" s="1"/>
  <c r="K142" i="1"/>
  <c r="J142" i="1"/>
  <c r="I142" i="1"/>
  <c r="E142" i="1"/>
  <c r="E7" i="5" s="1"/>
  <c r="D142" i="1"/>
  <c r="D7" i="5" s="1"/>
  <c r="C142" i="1"/>
  <c r="C7" i="5" s="1"/>
  <c r="L66" i="1"/>
  <c r="K66" i="1"/>
  <c r="J66" i="1"/>
  <c r="I66" i="1"/>
  <c r="H66" i="1"/>
  <c r="F66" i="1"/>
  <c r="E66" i="1"/>
  <c r="D66" i="1"/>
  <c r="C66" i="1"/>
  <c r="E141" i="2"/>
  <c r="D141" i="2"/>
  <c r="C141" i="2"/>
  <c r="F135" i="2"/>
  <c r="H10" i="8" s="1"/>
  <c r="E135" i="2"/>
  <c r="F10" i="8" s="1"/>
  <c r="D135" i="2"/>
  <c r="G10" i="8" s="1"/>
  <c r="C135" i="2"/>
  <c r="E10" i="8" s="1"/>
  <c r="F134" i="2"/>
  <c r="H9" i="8" s="1"/>
  <c r="E134" i="2"/>
  <c r="F9" i="8" s="1"/>
  <c r="D134" i="2"/>
  <c r="G9" i="8" s="1"/>
  <c r="C134" i="2"/>
  <c r="E9" i="8" s="1"/>
  <c r="F133" i="2"/>
  <c r="E133" i="2"/>
  <c r="F8" i="8" s="1"/>
  <c r="D133" i="2"/>
  <c r="G8" i="8" s="1"/>
  <c r="C133" i="2"/>
  <c r="E8" i="8" s="1"/>
  <c r="F132" i="2"/>
  <c r="H7" i="8" s="1"/>
  <c r="H11" i="8" s="1"/>
  <c r="E132" i="2"/>
  <c r="F7" i="8" s="1"/>
  <c r="D132" i="2"/>
  <c r="C132" i="2"/>
  <c r="E7" i="8" s="1"/>
  <c r="G56" i="2"/>
  <c r="G55" i="2"/>
  <c r="G54" i="2"/>
  <c r="G53" i="2"/>
  <c r="F57" i="2"/>
  <c r="E57" i="2"/>
  <c r="E136" i="2" s="1"/>
  <c r="D57" i="2"/>
  <c r="C57" i="2"/>
  <c r="K288" i="3"/>
  <c r="J288" i="3"/>
  <c r="I288" i="3"/>
  <c r="H288" i="3"/>
  <c r="G288" i="3"/>
  <c r="F288" i="3"/>
  <c r="E288" i="3"/>
  <c r="D288" i="3"/>
  <c r="C288" i="3"/>
  <c r="K287" i="3"/>
  <c r="J287" i="3"/>
  <c r="I287" i="3"/>
  <c r="H287" i="3"/>
  <c r="G287" i="3"/>
  <c r="F287" i="3"/>
  <c r="E287" i="3"/>
  <c r="D287" i="3"/>
  <c r="C287" i="3"/>
  <c r="K286" i="3"/>
  <c r="J286" i="3"/>
  <c r="I286" i="3"/>
  <c r="H286" i="3"/>
  <c r="G286" i="3"/>
  <c r="F286" i="3"/>
  <c r="E286" i="3"/>
  <c r="D286" i="3"/>
  <c r="C286" i="3"/>
  <c r="K285" i="3"/>
  <c r="J285" i="3"/>
  <c r="I285" i="3"/>
  <c r="H285" i="3"/>
  <c r="G285" i="3"/>
  <c r="F285" i="3"/>
  <c r="E285" i="3"/>
  <c r="D285" i="3"/>
  <c r="C285" i="3"/>
  <c r="K284" i="3"/>
  <c r="J284" i="3"/>
  <c r="I284" i="3"/>
  <c r="H284" i="3"/>
  <c r="G284" i="3"/>
  <c r="F284" i="3"/>
  <c r="E284" i="3"/>
  <c r="D284" i="3"/>
  <c r="C284" i="3"/>
  <c r="K283" i="3"/>
  <c r="J283" i="3"/>
  <c r="I283" i="3"/>
  <c r="H283" i="3"/>
  <c r="G283" i="3"/>
  <c r="F283" i="3"/>
  <c r="E283" i="3"/>
  <c r="D283" i="3"/>
  <c r="C283" i="3"/>
  <c r="K282" i="3"/>
  <c r="J282" i="3"/>
  <c r="I282" i="3"/>
  <c r="H282" i="3"/>
  <c r="G282" i="3"/>
  <c r="F282" i="3"/>
  <c r="E282" i="3"/>
  <c r="D282" i="3"/>
  <c r="C282" i="3"/>
  <c r="K281" i="3"/>
  <c r="J281" i="3"/>
  <c r="I281" i="3"/>
  <c r="H281" i="3"/>
  <c r="G281" i="3"/>
  <c r="F281" i="3"/>
  <c r="E281" i="3"/>
  <c r="D281" i="3"/>
  <c r="C281" i="3"/>
  <c r="K280" i="3"/>
  <c r="J280" i="3"/>
  <c r="I280" i="3"/>
  <c r="H280" i="3"/>
  <c r="G280" i="3"/>
  <c r="F280" i="3"/>
  <c r="E280" i="3"/>
  <c r="D280" i="3"/>
  <c r="C280" i="3"/>
  <c r="K279" i="3"/>
  <c r="J279" i="3"/>
  <c r="I279" i="3"/>
  <c r="H279" i="3"/>
  <c r="G279" i="3"/>
  <c r="F279" i="3"/>
  <c r="E279" i="3"/>
  <c r="D279" i="3"/>
  <c r="C279" i="3"/>
  <c r="J278" i="3"/>
  <c r="I278" i="3"/>
  <c r="H278" i="3"/>
  <c r="G278" i="3"/>
  <c r="F278" i="3"/>
  <c r="E278" i="3"/>
  <c r="D278" i="3"/>
  <c r="C278" i="3"/>
  <c r="I272" i="3"/>
  <c r="H272" i="3"/>
  <c r="G272" i="3"/>
  <c r="E272" i="3"/>
  <c r="D272" i="3"/>
  <c r="C272" i="3"/>
  <c r="I271" i="3"/>
  <c r="H271" i="3"/>
  <c r="G271" i="3"/>
  <c r="E271" i="3"/>
  <c r="D271" i="3"/>
  <c r="C271" i="3"/>
  <c r="I270" i="3"/>
  <c r="H270" i="3"/>
  <c r="G270" i="3"/>
  <c r="E270" i="3"/>
  <c r="D270" i="3"/>
  <c r="C270" i="3"/>
  <c r="I269" i="3"/>
  <c r="H269" i="3"/>
  <c r="G269" i="3"/>
  <c r="E269" i="3"/>
  <c r="D269" i="3"/>
  <c r="C269" i="3"/>
  <c r="I268" i="3"/>
  <c r="G268" i="3"/>
  <c r="E268" i="3"/>
  <c r="C268" i="3"/>
  <c r="I267" i="3"/>
  <c r="H267" i="3"/>
  <c r="G267" i="3"/>
  <c r="E267" i="3"/>
  <c r="D267" i="3"/>
  <c r="C267" i="3"/>
  <c r="I265" i="3"/>
  <c r="H265" i="3"/>
  <c r="G265" i="3"/>
  <c r="E265" i="3"/>
  <c r="D265" i="3"/>
  <c r="C265" i="3"/>
  <c r="I264" i="3"/>
  <c r="H264" i="3"/>
  <c r="G264" i="3"/>
  <c r="E264" i="3"/>
  <c r="D264" i="3"/>
  <c r="C264" i="3"/>
  <c r="I263" i="3"/>
  <c r="H263" i="3"/>
  <c r="G263" i="3"/>
  <c r="E263" i="3"/>
  <c r="D263" i="3"/>
  <c r="C263" i="3"/>
  <c r="O120" i="3"/>
  <c r="F112" i="3"/>
  <c r="F111" i="3"/>
  <c r="F110" i="3"/>
  <c r="K110" i="3" s="1"/>
  <c r="N124" i="3" s="1"/>
  <c r="P124" i="3" s="1"/>
  <c r="F109" i="3"/>
  <c r="F108" i="3"/>
  <c r="K108" i="3" s="1"/>
  <c r="N121" i="3" s="1"/>
  <c r="P121" i="3" s="1"/>
  <c r="F107" i="3"/>
  <c r="J103" i="3"/>
  <c r="F105" i="3"/>
  <c r="K105" i="3" s="1"/>
  <c r="F104" i="3"/>
  <c r="F103" i="3"/>
  <c r="C106" i="3"/>
  <c r="C113" i="3"/>
  <c r="J106" i="3"/>
  <c r="I106" i="3"/>
  <c r="I113" i="3"/>
  <c r="H106" i="3"/>
  <c r="H113" i="3" s="1"/>
  <c r="G106" i="3"/>
  <c r="G113" i="3" s="1"/>
  <c r="E106" i="3"/>
  <c r="E113" i="3" s="1"/>
  <c r="E273" i="3" s="1"/>
  <c r="D106" i="3"/>
  <c r="D113" i="3"/>
  <c r="E134" i="4"/>
  <c r="P133" i="4"/>
  <c r="O133" i="4"/>
  <c r="N133" i="4"/>
  <c r="M133" i="4"/>
  <c r="L133" i="4"/>
  <c r="K133" i="4"/>
  <c r="H133" i="4"/>
  <c r="G133" i="4"/>
  <c r="F133" i="4"/>
  <c r="E133" i="4"/>
  <c r="D133" i="4"/>
  <c r="N129" i="4"/>
  <c r="P128" i="4"/>
  <c r="O128" i="4"/>
  <c r="N128" i="4"/>
  <c r="M128" i="4"/>
  <c r="L128" i="4"/>
  <c r="K128" i="4"/>
  <c r="H128" i="4"/>
  <c r="G128" i="4"/>
  <c r="F128" i="4"/>
  <c r="E128" i="4"/>
  <c r="D128" i="4"/>
  <c r="P127" i="4"/>
  <c r="O127" i="4"/>
  <c r="N127" i="4"/>
  <c r="M127" i="4"/>
  <c r="L127" i="4"/>
  <c r="K127" i="4"/>
  <c r="H127" i="4"/>
  <c r="G127" i="4"/>
  <c r="F127" i="4"/>
  <c r="E127" i="4"/>
  <c r="D127" i="4"/>
  <c r="P53" i="4"/>
  <c r="O53" i="4"/>
  <c r="N53" i="4"/>
  <c r="M53" i="4"/>
  <c r="L53" i="4"/>
  <c r="K53" i="4"/>
  <c r="H53" i="4"/>
  <c r="G53" i="4"/>
  <c r="F53" i="4"/>
  <c r="E53" i="4"/>
  <c r="D53" i="4"/>
  <c r="I52" i="4"/>
  <c r="I51" i="4"/>
  <c r="J51" i="4" s="1"/>
  <c r="L50" i="1"/>
  <c r="K50" i="1"/>
  <c r="K151" i="1" s="1"/>
  <c r="J50" i="1"/>
  <c r="J151" i="1" s="1"/>
  <c r="I50" i="1"/>
  <c r="H50" i="1"/>
  <c r="G50" i="1"/>
  <c r="F50" i="1"/>
  <c r="E50" i="1"/>
  <c r="D50" i="1"/>
  <c r="C50" i="1"/>
  <c r="G41" i="2"/>
  <c r="G135" i="2" s="1"/>
  <c r="G40" i="2"/>
  <c r="G39" i="2"/>
  <c r="G38" i="2"/>
  <c r="G132" i="2" s="1"/>
  <c r="F42" i="2"/>
  <c r="F136" i="2" s="1"/>
  <c r="E42" i="2"/>
  <c r="D42" i="2"/>
  <c r="C42" i="2"/>
  <c r="O88" i="3"/>
  <c r="F80" i="3"/>
  <c r="F79" i="3"/>
  <c r="F78" i="3"/>
  <c r="F77" i="3"/>
  <c r="F269" i="3" s="1"/>
  <c r="F76" i="3"/>
  <c r="F75" i="3"/>
  <c r="J80" i="3"/>
  <c r="K80" i="3" s="1"/>
  <c r="N94" i="3" s="1"/>
  <c r="J79" i="3"/>
  <c r="J78" i="3"/>
  <c r="J77" i="3"/>
  <c r="J76" i="3"/>
  <c r="J75" i="3"/>
  <c r="J73" i="3"/>
  <c r="J72" i="3"/>
  <c r="J74" i="3" s="1"/>
  <c r="J81" i="3" s="1"/>
  <c r="J71" i="3"/>
  <c r="I74" i="3"/>
  <c r="I266" i="3" s="1"/>
  <c r="H74" i="3"/>
  <c r="H81" i="3"/>
  <c r="G74" i="3"/>
  <c r="E74" i="3"/>
  <c r="D74" i="3"/>
  <c r="D81" i="3" s="1"/>
  <c r="C74" i="3"/>
  <c r="F73" i="3"/>
  <c r="F72" i="3"/>
  <c r="K72" i="3"/>
  <c r="N86" i="3" s="1"/>
  <c r="F71" i="3"/>
  <c r="P39" i="4"/>
  <c r="O39" i="4"/>
  <c r="N39" i="4"/>
  <c r="M39" i="4"/>
  <c r="L39" i="4"/>
  <c r="K39" i="4"/>
  <c r="H39" i="4"/>
  <c r="G39" i="4"/>
  <c r="F39" i="4"/>
  <c r="E39" i="4"/>
  <c r="D39" i="4"/>
  <c r="I38" i="4"/>
  <c r="I37" i="4"/>
  <c r="J37" i="4"/>
  <c r="L117" i="1"/>
  <c r="K117" i="1"/>
  <c r="J117" i="1"/>
  <c r="I117" i="1"/>
  <c r="H117" i="1"/>
  <c r="G117" i="1"/>
  <c r="F117" i="1"/>
  <c r="E117" i="1"/>
  <c r="C117" i="1"/>
  <c r="G103" i="2"/>
  <c r="G102" i="2"/>
  <c r="G104" i="2" s="1"/>
  <c r="G101" i="2"/>
  <c r="G100" i="2"/>
  <c r="F104" i="2"/>
  <c r="E104" i="2"/>
  <c r="D104" i="2"/>
  <c r="C104" i="2"/>
  <c r="O222" i="3"/>
  <c r="O286" i="3"/>
  <c r="O221" i="3"/>
  <c r="O285" i="3" s="1"/>
  <c r="O220" i="3"/>
  <c r="O284" i="3" s="1"/>
  <c r="O219" i="3"/>
  <c r="O283" i="3"/>
  <c r="O218" i="3"/>
  <c r="O282" i="3"/>
  <c r="O217" i="3"/>
  <c r="O281" i="3" s="1"/>
  <c r="O213" i="3"/>
  <c r="O277" i="3" s="1"/>
  <c r="O214" i="3"/>
  <c r="O278" i="3"/>
  <c r="O215" i="3"/>
  <c r="O279" i="3" s="1"/>
  <c r="O216" i="3"/>
  <c r="O280" i="3" s="1"/>
  <c r="F208" i="3"/>
  <c r="K208" i="3" s="1"/>
  <c r="N222" i="3" s="1"/>
  <c r="F207" i="3"/>
  <c r="K207" i="3" s="1"/>
  <c r="N221" i="3" s="1"/>
  <c r="P221" i="3" s="1"/>
  <c r="F206" i="3"/>
  <c r="K206" i="3" s="1"/>
  <c r="N220" i="3" s="1"/>
  <c r="P220" i="3" s="1"/>
  <c r="F205" i="3"/>
  <c r="K205" i="3" s="1"/>
  <c r="N219" i="3" s="1"/>
  <c r="P219" i="3" s="1"/>
  <c r="F204" i="3"/>
  <c r="K204" i="3"/>
  <c r="N217" i="3" s="1"/>
  <c r="P217" i="3" s="1"/>
  <c r="F203" i="3"/>
  <c r="K203" i="3" s="1"/>
  <c r="N218" i="3" s="1"/>
  <c r="P218" i="3" s="1"/>
  <c r="J201" i="3"/>
  <c r="J202" i="3" s="1"/>
  <c r="J209" i="3" s="1"/>
  <c r="J200" i="3"/>
  <c r="J199" i="3"/>
  <c r="F201" i="3"/>
  <c r="F200" i="3"/>
  <c r="F202" i="3" s="1"/>
  <c r="F199" i="3"/>
  <c r="I202" i="3"/>
  <c r="I209" i="3" s="1"/>
  <c r="H202" i="3"/>
  <c r="H209" i="3"/>
  <c r="G202" i="3"/>
  <c r="G209" i="3" s="1"/>
  <c r="E202" i="3"/>
  <c r="E209" i="3" s="1"/>
  <c r="D202" i="3"/>
  <c r="D209" i="3" s="1"/>
  <c r="C202" i="3"/>
  <c r="C209" i="3"/>
  <c r="I98" i="4"/>
  <c r="I99" i="4" s="1"/>
  <c r="P104" i="4"/>
  <c r="O104" i="4"/>
  <c r="N104" i="4"/>
  <c r="M104" i="4"/>
  <c r="L104" i="4"/>
  <c r="K104" i="4"/>
  <c r="H104" i="4"/>
  <c r="G104" i="4"/>
  <c r="F104" i="4"/>
  <c r="E104" i="4"/>
  <c r="D104" i="4"/>
  <c r="P99" i="4"/>
  <c r="O99" i="4"/>
  <c r="N99" i="4"/>
  <c r="M99" i="4"/>
  <c r="L99" i="4"/>
  <c r="K99" i="4"/>
  <c r="H99" i="4"/>
  <c r="G99" i="4"/>
  <c r="G129" i="4" s="1"/>
  <c r="F99" i="4"/>
  <c r="E99" i="4"/>
  <c r="D99" i="4"/>
  <c r="I103" i="4"/>
  <c r="I104" i="4" s="1"/>
  <c r="I97" i="4"/>
  <c r="L83" i="1"/>
  <c r="K83" i="1"/>
  <c r="J83" i="1"/>
  <c r="I83" i="1"/>
  <c r="I151" i="1" s="1"/>
  <c r="H83" i="1"/>
  <c r="G83" i="1"/>
  <c r="F83" i="1"/>
  <c r="E83" i="1"/>
  <c r="D83" i="1"/>
  <c r="C83" i="1"/>
  <c r="G71" i="2"/>
  <c r="G70" i="2"/>
  <c r="G69" i="2"/>
  <c r="G68" i="2"/>
  <c r="F72" i="2"/>
  <c r="E72" i="2"/>
  <c r="D72" i="2"/>
  <c r="C72" i="2"/>
  <c r="F144" i="3"/>
  <c r="K144" i="3" s="1"/>
  <c r="N158" i="3" s="1"/>
  <c r="P158" i="3" s="1"/>
  <c r="F143" i="3"/>
  <c r="K143" i="3" s="1"/>
  <c r="N157" i="3" s="1"/>
  <c r="P157" i="3" s="1"/>
  <c r="F142" i="3"/>
  <c r="F141" i="3"/>
  <c r="F140" i="3"/>
  <c r="F139" i="3"/>
  <c r="J144" i="3"/>
  <c r="J143" i="3"/>
  <c r="J142" i="3"/>
  <c r="J141" i="3"/>
  <c r="J140" i="3"/>
  <c r="K140" i="3" s="1"/>
  <c r="N153" i="3" s="1"/>
  <c r="P153" i="3" s="1"/>
  <c r="J139" i="3"/>
  <c r="K139" i="3" s="1"/>
  <c r="N154" i="3" s="1"/>
  <c r="P154" i="3" s="1"/>
  <c r="J137" i="3"/>
  <c r="K137" i="3" s="1"/>
  <c r="N151" i="3" s="1"/>
  <c r="P151" i="3" s="1"/>
  <c r="J136" i="3"/>
  <c r="J135" i="3"/>
  <c r="F137" i="3"/>
  <c r="F136" i="3"/>
  <c r="F135" i="3"/>
  <c r="I138" i="3"/>
  <c r="I145" i="3"/>
  <c r="H138" i="3"/>
  <c r="H145" i="3"/>
  <c r="G138" i="3"/>
  <c r="G145" i="3" s="1"/>
  <c r="E138" i="3"/>
  <c r="E145" i="3"/>
  <c r="D138" i="3"/>
  <c r="D145" i="3" s="1"/>
  <c r="C138" i="3"/>
  <c r="C145" i="3"/>
  <c r="I73" i="4"/>
  <c r="I68" i="4"/>
  <c r="I67" i="4"/>
  <c r="I69" i="4" s="1"/>
  <c r="P74" i="4"/>
  <c r="P134" i="4" s="1"/>
  <c r="O74" i="4"/>
  <c r="N74" i="4"/>
  <c r="M74" i="4"/>
  <c r="L74" i="4"/>
  <c r="K74" i="4"/>
  <c r="H74" i="4"/>
  <c r="G74" i="4"/>
  <c r="F74" i="4"/>
  <c r="F134" i="4" s="1"/>
  <c r="E74" i="4"/>
  <c r="D74" i="4"/>
  <c r="P69" i="4"/>
  <c r="O69" i="4"/>
  <c r="N69" i="4"/>
  <c r="M69" i="4"/>
  <c r="L69" i="4"/>
  <c r="K69" i="4"/>
  <c r="H69" i="4"/>
  <c r="G69" i="4"/>
  <c r="F69" i="4"/>
  <c r="E69" i="4"/>
  <c r="D69" i="4"/>
  <c r="L100" i="1"/>
  <c r="K100" i="1"/>
  <c r="J100" i="1"/>
  <c r="I100" i="1"/>
  <c r="H100" i="1"/>
  <c r="G100" i="1"/>
  <c r="F100" i="1"/>
  <c r="E100" i="1"/>
  <c r="D100" i="1"/>
  <c r="C100" i="1"/>
  <c r="G87" i="2"/>
  <c r="G86" i="2"/>
  <c r="G85" i="2"/>
  <c r="G133" i="2" s="1"/>
  <c r="G84" i="2"/>
  <c r="F88" i="2"/>
  <c r="E88" i="2"/>
  <c r="D88" i="2"/>
  <c r="C88" i="2"/>
  <c r="J176" i="3"/>
  <c r="J175" i="3"/>
  <c r="K175" i="3" s="1"/>
  <c r="N189" i="3" s="1"/>
  <c r="P189" i="3" s="1"/>
  <c r="J174" i="3"/>
  <c r="K174" i="3" s="1"/>
  <c r="J173" i="3"/>
  <c r="K173" i="3" s="1"/>
  <c r="N187" i="3" s="1"/>
  <c r="P187" i="3" s="1"/>
  <c r="J269" i="3"/>
  <c r="J172" i="3"/>
  <c r="K172" i="3" s="1"/>
  <c r="N185" i="3" s="1"/>
  <c r="P185" i="3" s="1"/>
  <c r="J171" i="3"/>
  <c r="K171" i="3" s="1"/>
  <c r="N186" i="3" s="1"/>
  <c r="P186" i="3" s="1"/>
  <c r="F176" i="3"/>
  <c r="K176" i="3" s="1"/>
  <c r="N190" i="3" s="1"/>
  <c r="P190" i="3" s="1"/>
  <c r="F175" i="3"/>
  <c r="F174" i="3"/>
  <c r="F173" i="3"/>
  <c r="F172" i="3"/>
  <c r="F171" i="3"/>
  <c r="F267" i="3" s="1"/>
  <c r="J169" i="3"/>
  <c r="K169" i="3" s="1"/>
  <c r="N183" i="3" s="1"/>
  <c r="P183" i="3" s="1"/>
  <c r="J168" i="3"/>
  <c r="J167" i="3"/>
  <c r="K167" i="3" s="1"/>
  <c r="N181" i="3" s="1"/>
  <c r="P181" i="3" s="1"/>
  <c r="F169" i="3"/>
  <c r="F168" i="3"/>
  <c r="F167" i="3"/>
  <c r="I170" i="3"/>
  <c r="I177" i="3" s="1"/>
  <c r="H170" i="3"/>
  <c r="H177" i="3"/>
  <c r="G170" i="3"/>
  <c r="G177" i="3"/>
  <c r="E170" i="3"/>
  <c r="E177" i="3" s="1"/>
  <c r="D170" i="3"/>
  <c r="D177" i="3" s="1"/>
  <c r="C170" i="3"/>
  <c r="C177" i="3" s="1"/>
  <c r="P89" i="4"/>
  <c r="O89" i="4"/>
  <c r="N89" i="4"/>
  <c r="M89" i="4"/>
  <c r="L89" i="4"/>
  <c r="K89" i="4"/>
  <c r="H89" i="4"/>
  <c r="G89" i="4"/>
  <c r="G134" i="4" s="1"/>
  <c r="F89" i="4"/>
  <c r="E89" i="4"/>
  <c r="D89" i="4"/>
  <c r="D134" i="4" s="1"/>
  <c r="I88" i="4"/>
  <c r="P84" i="4"/>
  <c r="O84" i="4"/>
  <c r="N84" i="4"/>
  <c r="M84" i="4"/>
  <c r="L84" i="4"/>
  <c r="K84" i="4"/>
  <c r="H84" i="4"/>
  <c r="G84" i="4"/>
  <c r="F84" i="4"/>
  <c r="E84" i="4"/>
  <c r="D84" i="4"/>
  <c r="I82" i="4"/>
  <c r="I83" i="4"/>
  <c r="J83" i="4" s="1"/>
  <c r="Q83" i="4" s="1"/>
  <c r="Q84" i="4" s="1"/>
  <c r="E4" i="6"/>
  <c r="E5" i="6"/>
  <c r="E6" i="6"/>
  <c r="E7" i="6"/>
  <c r="E8" i="6"/>
  <c r="E9" i="6"/>
  <c r="M9" i="6" s="1"/>
  <c r="E10" i="6"/>
  <c r="M10" i="6" s="1"/>
  <c r="E11" i="6"/>
  <c r="C12" i="6"/>
  <c r="F138" i="3"/>
  <c r="I74" i="4"/>
  <c r="Q82" i="4"/>
  <c r="F74" i="3"/>
  <c r="K79" i="3"/>
  <c r="N93" i="3" s="1"/>
  <c r="P93" i="3" s="1"/>
  <c r="K77" i="3"/>
  <c r="N91" i="3" s="1"/>
  <c r="K109" i="3"/>
  <c r="N123" i="3" s="1"/>
  <c r="P123" i="3" s="1"/>
  <c r="E81" i="3"/>
  <c r="C81" i="3"/>
  <c r="H16" i="5"/>
  <c r="G66" i="1"/>
  <c r="K135" i="3"/>
  <c r="N149" i="3" s="1"/>
  <c r="P149" i="3" s="1"/>
  <c r="N188" i="3"/>
  <c r="P188" i="3" s="1"/>
  <c r="D22" i="7"/>
  <c r="K278" i="3" l="1"/>
  <c r="G16" i="5"/>
  <c r="C16" i="5"/>
  <c r="M8" i="6"/>
  <c r="I84" i="4"/>
  <c r="F170" i="3"/>
  <c r="F177" i="3" s="1"/>
  <c r="E151" i="1"/>
  <c r="F268" i="3"/>
  <c r="Q67" i="4"/>
  <c r="G88" i="2"/>
  <c r="J67" i="4"/>
  <c r="F11" i="8"/>
  <c r="J14" i="7"/>
  <c r="G11" i="8"/>
  <c r="J68" i="4"/>
  <c r="Q68" i="4" s="1"/>
  <c r="H129" i="4"/>
  <c r="H266" i="3"/>
  <c r="F81" i="3"/>
  <c r="M6" i="6"/>
  <c r="I133" i="4"/>
  <c r="G72" i="2"/>
  <c r="C151" i="1"/>
  <c r="Q51" i="4"/>
  <c r="H14" i="7"/>
  <c r="H273" i="3"/>
  <c r="K134" i="4"/>
  <c r="C273" i="3"/>
  <c r="J264" i="3"/>
  <c r="D151" i="1"/>
  <c r="G57" i="2"/>
  <c r="I141" i="2"/>
  <c r="D14" i="7"/>
  <c r="H22" i="7"/>
  <c r="L134" i="4"/>
  <c r="C266" i="3"/>
  <c r="K73" i="3"/>
  <c r="N87" i="3" s="1"/>
  <c r="P87" i="3" s="1"/>
  <c r="D266" i="3"/>
  <c r="K107" i="3"/>
  <c r="N122" i="3" s="1"/>
  <c r="P122" i="3" s="1"/>
  <c r="M134" i="4"/>
  <c r="J103" i="4"/>
  <c r="J104" i="4" s="1"/>
  <c r="P129" i="4"/>
  <c r="J98" i="4"/>
  <c r="Q98" i="4" s="1"/>
  <c r="P222" i="3"/>
  <c r="K13" i="7"/>
  <c r="K9" i="7"/>
  <c r="I24" i="7" s="1"/>
  <c r="E11" i="8"/>
  <c r="K6" i="7"/>
  <c r="I21" i="7" s="1"/>
  <c r="K141" i="3"/>
  <c r="K200" i="3"/>
  <c r="C136" i="2"/>
  <c r="F265" i="3"/>
  <c r="K142" i="3"/>
  <c r="N156" i="3" s="1"/>
  <c r="P156" i="3" s="1"/>
  <c r="K103" i="3"/>
  <c r="N117" i="3" s="1"/>
  <c r="P117" i="3" s="1"/>
  <c r="D16" i="5"/>
  <c r="J73" i="4"/>
  <c r="J74" i="4" s="1"/>
  <c r="K269" i="3"/>
  <c r="N155" i="3"/>
  <c r="P155" i="3" s="1"/>
  <c r="K136" i="3"/>
  <c r="J138" i="3"/>
  <c r="J145" i="3" s="1"/>
  <c r="E129" i="4"/>
  <c r="C9" i="8" s="1"/>
  <c r="C11" i="8" s="1"/>
  <c r="P285" i="3"/>
  <c r="K271" i="3"/>
  <c r="H23" i="7"/>
  <c r="F145" i="3"/>
  <c r="P91" i="3"/>
  <c r="G81" i="3"/>
  <c r="G273" i="3" s="1"/>
  <c r="G266" i="3"/>
  <c r="G22" i="7"/>
  <c r="P94" i="3"/>
  <c r="N88" i="3"/>
  <c r="P86" i="3"/>
  <c r="J52" i="4"/>
  <c r="J128" i="4" s="1"/>
  <c r="Q52" i="4"/>
  <c r="Q53" i="4" s="1"/>
  <c r="I53" i="4"/>
  <c r="K104" i="3"/>
  <c r="F106" i="3"/>
  <c r="F113" i="3" s="1"/>
  <c r="G134" i="2"/>
  <c r="G42" i="2"/>
  <c r="F129" i="4"/>
  <c r="K111" i="3"/>
  <c r="N125" i="3" s="1"/>
  <c r="P125" i="3" s="1"/>
  <c r="J271" i="3"/>
  <c r="F22" i="7"/>
  <c r="J22" i="7"/>
  <c r="C22" i="7"/>
  <c r="J272" i="3"/>
  <c r="K112" i="3"/>
  <c r="N126" i="3" s="1"/>
  <c r="P126" i="3" s="1"/>
  <c r="I22" i="7"/>
  <c r="K272" i="3"/>
  <c r="K199" i="3"/>
  <c r="N213" i="3" s="1"/>
  <c r="P213" i="3" s="1"/>
  <c r="F263" i="3"/>
  <c r="N119" i="3"/>
  <c r="D129" i="4"/>
  <c r="F26" i="7"/>
  <c r="J26" i="7"/>
  <c r="N285" i="3"/>
  <c r="K8" i="7"/>
  <c r="G23" i="7" s="1"/>
  <c r="E23" i="7"/>
  <c r="E14" i="7"/>
  <c r="I16" i="5"/>
  <c r="K10" i="7"/>
  <c r="K78" i="3"/>
  <c r="F270" i="3"/>
  <c r="K11" i="7"/>
  <c r="C26" i="7" s="1"/>
  <c r="F209" i="3"/>
  <c r="L129" i="4"/>
  <c r="K12" i="7"/>
  <c r="C27" i="7"/>
  <c r="L27" i="7" s="1"/>
  <c r="D21" i="7"/>
  <c r="N214" i="3"/>
  <c r="P214" i="3" s="1"/>
  <c r="M129" i="4"/>
  <c r="J263" i="3"/>
  <c r="M4" i="6"/>
  <c r="L12" i="6"/>
  <c r="C14" i="7"/>
  <c r="K5" i="7"/>
  <c r="F271" i="3"/>
  <c r="K201" i="3"/>
  <c r="N215" i="3" s="1"/>
  <c r="P215" i="3" s="1"/>
  <c r="F151" i="1"/>
  <c r="H134" i="4"/>
  <c r="G151" i="1"/>
  <c r="J21" i="7"/>
  <c r="K74" i="3"/>
  <c r="J39" i="4"/>
  <c r="M11" i="6"/>
  <c r="E12" i="6"/>
  <c r="J97" i="4"/>
  <c r="J99" i="4" s="1"/>
  <c r="Q97" i="4"/>
  <c r="I39" i="4"/>
  <c r="I127" i="4"/>
  <c r="Q37" i="4"/>
  <c r="K75" i="3"/>
  <c r="D136" i="2"/>
  <c r="I128" i="4"/>
  <c r="Q38" i="4"/>
  <c r="E16" i="5"/>
  <c r="I81" i="3"/>
  <c r="I273" i="3" s="1"/>
  <c r="O129" i="4"/>
  <c r="F272" i="3"/>
  <c r="F14" i="7"/>
  <c r="F21" i="7"/>
  <c r="K71" i="3"/>
  <c r="N134" i="4"/>
  <c r="K76" i="3"/>
  <c r="H21" i="7"/>
  <c r="O134" i="4"/>
  <c r="F264" i="3"/>
  <c r="E21" i="7"/>
  <c r="H26" i="7"/>
  <c r="I89" i="4"/>
  <c r="I134" i="4" s="1"/>
  <c r="J88" i="4"/>
  <c r="J89" i="4" s="1"/>
  <c r="J84" i="4"/>
  <c r="K168" i="3"/>
  <c r="K264" i="3" s="1"/>
  <c r="J170" i="3"/>
  <c r="J177" i="3" s="1"/>
  <c r="J270" i="3"/>
  <c r="J113" i="3"/>
  <c r="J273" i="3" s="1"/>
  <c r="E22" i="7"/>
  <c r="H151" i="1"/>
  <c r="O223" i="3"/>
  <c r="O287" i="3" s="1"/>
  <c r="E266" i="3"/>
  <c r="I14" i="7"/>
  <c r="K129" i="4"/>
  <c r="Q88" i="4"/>
  <c r="Q89" i="4" s="1"/>
  <c r="J265" i="3"/>
  <c r="D273" i="3"/>
  <c r="G14" i="7"/>
  <c r="F16" i="5"/>
  <c r="J267" i="3"/>
  <c r="G21" i="7"/>
  <c r="J268" i="3"/>
  <c r="Q103" i="4"/>
  <c r="Q104" i="4" s="1"/>
  <c r="C28" i="7" l="1"/>
  <c r="L28" i="7" s="1"/>
  <c r="E28" i="7"/>
  <c r="H24" i="7"/>
  <c r="Q128" i="4"/>
  <c r="F24" i="7"/>
  <c r="G136" i="2"/>
  <c r="E24" i="7"/>
  <c r="D24" i="7"/>
  <c r="C21" i="7"/>
  <c r="L21" i="7" s="1"/>
  <c r="G28" i="7"/>
  <c r="C24" i="7"/>
  <c r="L24" i="7" s="1"/>
  <c r="F28" i="7"/>
  <c r="P216" i="3"/>
  <c r="P223" i="3" s="1"/>
  <c r="F273" i="3"/>
  <c r="N283" i="3"/>
  <c r="J24" i="7"/>
  <c r="Q69" i="4"/>
  <c r="J28" i="7"/>
  <c r="H28" i="7"/>
  <c r="J127" i="4"/>
  <c r="K202" i="3"/>
  <c r="N216" i="3" s="1"/>
  <c r="J133" i="4"/>
  <c r="G24" i="7"/>
  <c r="J53" i="4"/>
  <c r="J129" i="4" s="1"/>
  <c r="Q73" i="4"/>
  <c r="I28" i="7"/>
  <c r="J134" i="4"/>
  <c r="J69" i="4"/>
  <c r="D28" i="7"/>
  <c r="D25" i="7"/>
  <c r="I25" i="7"/>
  <c r="G25" i="7"/>
  <c r="F25" i="7"/>
  <c r="D23" i="7"/>
  <c r="I23" i="7"/>
  <c r="C23" i="7"/>
  <c r="J23" i="7"/>
  <c r="N89" i="3"/>
  <c r="N95" i="3" s="1"/>
  <c r="K268" i="3"/>
  <c r="E25" i="7"/>
  <c r="P286" i="3"/>
  <c r="E29" i="7"/>
  <c r="I129" i="4"/>
  <c r="N150" i="3"/>
  <c r="P150" i="3" s="1"/>
  <c r="P152" i="3" s="1"/>
  <c r="P159" i="3" s="1"/>
  <c r="K138" i="3"/>
  <c r="H20" i="7"/>
  <c r="F20" i="7"/>
  <c r="D20" i="7"/>
  <c r="I20" i="7"/>
  <c r="G20" i="7"/>
  <c r="E20" i="7"/>
  <c r="K14" i="7"/>
  <c r="I29" i="7" s="1"/>
  <c r="J266" i="3"/>
  <c r="F23" i="7"/>
  <c r="K265" i="3"/>
  <c r="C29" i="7"/>
  <c r="P119" i="3"/>
  <c r="P279" i="3" s="1"/>
  <c r="N279" i="3"/>
  <c r="K81" i="3"/>
  <c r="N90" i="3"/>
  <c r="K267" i="3"/>
  <c r="I27" i="7"/>
  <c r="G27" i="7"/>
  <c r="E27" i="7"/>
  <c r="J27" i="7"/>
  <c r="H27" i="7"/>
  <c r="D27" i="7"/>
  <c r="F27" i="7"/>
  <c r="N85" i="3"/>
  <c r="K263" i="3"/>
  <c r="H25" i="7"/>
  <c r="N182" i="3"/>
  <c r="P182" i="3" s="1"/>
  <c r="K170" i="3"/>
  <c r="C20" i="7"/>
  <c r="K270" i="3"/>
  <c r="N92" i="3"/>
  <c r="F266" i="3"/>
  <c r="K106" i="3"/>
  <c r="K113" i="3" s="1"/>
  <c r="N118" i="3"/>
  <c r="Q74" i="4"/>
  <c r="Q134" i="4" s="1"/>
  <c r="Q133" i="4"/>
  <c r="P88" i="3"/>
  <c r="Q39" i="4"/>
  <c r="Q127" i="4"/>
  <c r="L22" i="7"/>
  <c r="Q99" i="4"/>
  <c r="N286" i="3"/>
  <c r="E26" i="7"/>
  <c r="I26" i="7"/>
  <c r="D26" i="7"/>
  <c r="L26" i="7" s="1"/>
  <c r="G26" i="7"/>
  <c r="J25" i="7"/>
  <c r="J20" i="7"/>
  <c r="M12" i="6"/>
  <c r="C25" i="7"/>
  <c r="L25" i="7" s="1"/>
  <c r="P283" i="3"/>
  <c r="F29" i="7" l="1"/>
  <c r="Q129" i="4"/>
  <c r="G29" i="7"/>
  <c r="K209" i="3"/>
  <c r="N223" i="3" s="1"/>
  <c r="P85" i="3"/>
  <c r="P277" i="3" s="1"/>
  <c r="N277" i="3"/>
  <c r="H29" i="7"/>
  <c r="D29" i="7"/>
  <c r="J29" i="7"/>
  <c r="L23" i="7"/>
  <c r="L29" i="7"/>
  <c r="N120" i="3"/>
  <c r="P118" i="3"/>
  <c r="N278" i="3"/>
  <c r="N281" i="3"/>
  <c r="P89" i="3"/>
  <c r="P281" i="3" s="1"/>
  <c r="P92" i="3"/>
  <c r="P284" i="3" s="1"/>
  <c r="N284" i="3"/>
  <c r="P90" i="3"/>
  <c r="P282" i="3" s="1"/>
  <c r="N282" i="3"/>
  <c r="K177" i="3"/>
  <c r="N191" i="3" s="1"/>
  <c r="P191" i="3" s="1"/>
  <c r="N184" i="3"/>
  <c r="P184" i="3" s="1"/>
  <c r="L20" i="7"/>
  <c r="K145" i="3"/>
  <c r="K273" i="3" s="1"/>
  <c r="N152" i="3"/>
  <c r="N159" i="3" s="1"/>
  <c r="K266" i="3"/>
  <c r="N127" i="3" l="1"/>
  <c r="N287" i="3" s="1"/>
  <c r="N280" i="3"/>
  <c r="P120" i="3"/>
  <c r="P278" i="3"/>
  <c r="P95" i="3"/>
  <c r="P127" i="3" l="1"/>
  <c r="P287" i="3" s="1"/>
  <c r="P28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<sst xmlns="http://schemas.openxmlformats.org/spreadsheetml/2006/main" count="1657" uniqueCount="143">
  <si>
    <t>Mcity</t>
  </si>
  <si>
    <t>MSD</t>
  </si>
  <si>
    <t>PAO</t>
  </si>
  <si>
    <t>THANE</t>
  </si>
  <si>
    <t>RAIGAD</t>
  </si>
  <si>
    <t>RATNAGIRI</t>
  </si>
  <si>
    <t>SINDHUDURG</t>
  </si>
  <si>
    <t>DIV COMM</t>
  </si>
  <si>
    <t>TOTAL</t>
  </si>
  <si>
    <t>Salary</t>
  </si>
  <si>
    <t>TE</t>
  </si>
  <si>
    <t>OE</t>
  </si>
  <si>
    <t>Computer</t>
  </si>
  <si>
    <t>ELCT/WAT/TEL</t>
  </si>
  <si>
    <t xml:space="preserve">                   </t>
  </si>
  <si>
    <t>Property Tax</t>
  </si>
  <si>
    <t>Advertisement &amp; Publicity</t>
  </si>
  <si>
    <t>Motor Car</t>
  </si>
  <si>
    <t>मागणी क्र.सी- 1- लेखाशिर्ष 2029 0262</t>
  </si>
  <si>
    <t>जिल्हा मुंबई शहर</t>
  </si>
  <si>
    <t>अ क्र</t>
  </si>
  <si>
    <t>अ.क्र.</t>
  </si>
  <si>
    <t>जिल्हा मुंबई उपनगर</t>
  </si>
  <si>
    <t>जिल्हा ठाणे</t>
  </si>
  <si>
    <t>जिल्हा रायगड</t>
  </si>
  <si>
    <t>जिल्हा रत्नागिरी</t>
  </si>
  <si>
    <t>जिल्हा सिंधुदुर्ग</t>
  </si>
  <si>
    <t>मा.विभागीय आयुक्त कोकण विभाग यांचे कार्यालय</t>
  </si>
  <si>
    <t>कोकण विभाग</t>
  </si>
  <si>
    <t>वर्ग</t>
  </si>
  <si>
    <t>वर्ग-3</t>
  </si>
  <si>
    <t>पद</t>
  </si>
  <si>
    <t>स्थायी</t>
  </si>
  <si>
    <t>अव्वल कारकून</t>
  </si>
  <si>
    <t>लिपिक</t>
  </si>
  <si>
    <t>एकुण</t>
  </si>
  <si>
    <t>अस्थायी</t>
  </si>
  <si>
    <t>निरंक</t>
  </si>
  <si>
    <t>मंजूर पदे</t>
  </si>
  <si>
    <t>विशेष वेतन</t>
  </si>
  <si>
    <t>मुळ वेतन</t>
  </si>
  <si>
    <t>ग्रेड वेतन</t>
  </si>
  <si>
    <t>एकूण</t>
  </si>
  <si>
    <t>स्थानिक पुरक भत्ता</t>
  </si>
  <si>
    <t>घर भाडे भत्ता</t>
  </si>
  <si>
    <t>वाहन भत्ता</t>
  </si>
  <si>
    <t>धूलाई भत्ता</t>
  </si>
  <si>
    <t>(आकडे हजारात)</t>
  </si>
  <si>
    <t>रोख भत्ता</t>
  </si>
  <si>
    <t>चप्पल भत्ता/ इतर</t>
  </si>
  <si>
    <t>जिल्हा</t>
  </si>
  <si>
    <t>मुंबई शहर</t>
  </si>
  <si>
    <t>मुंबई उपनगर</t>
  </si>
  <si>
    <t>ठाणे</t>
  </si>
  <si>
    <t>रायगड</t>
  </si>
  <si>
    <t>रत्नागिरी</t>
  </si>
  <si>
    <t>सिंधुदुर्ग</t>
  </si>
  <si>
    <t>विभाग</t>
  </si>
  <si>
    <t>मा. विभागीय आयुक्त कोकण विभाग यांचे कार्यालय</t>
  </si>
  <si>
    <t>स्थायी पदे</t>
  </si>
  <si>
    <t>पदे</t>
  </si>
  <si>
    <t>वेतन</t>
  </si>
  <si>
    <t>ग्रेड पे</t>
  </si>
  <si>
    <t>महा.भत्ता</t>
  </si>
  <si>
    <t>स्था.पु.भ.</t>
  </si>
  <si>
    <t>घरभाडे</t>
  </si>
  <si>
    <t>प्रवास भत्ता</t>
  </si>
  <si>
    <t>इतर</t>
  </si>
  <si>
    <t>अस्थायी पदे</t>
  </si>
  <si>
    <t>भरलेली पदे</t>
  </si>
  <si>
    <t>वर्ग-1 व 2</t>
  </si>
  <si>
    <t>वर्ग-4</t>
  </si>
  <si>
    <t>रिक्त पदे</t>
  </si>
  <si>
    <t>सर्व वर्ग पदे</t>
  </si>
  <si>
    <t>मंजुर पदे</t>
  </si>
  <si>
    <t>जिल्हा / विभाग</t>
  </si>
  <si>
    <t>मा.विभागीय आयुक्त कोकण विभाग कार्या.</t>
  </si>
  <si>
    <t>वैद्यकिय खर्च</t>
  </si>
  <si>
    <t>उत्सव/सण अग्रिम</t>
  </si>
  <si>
    <t>स्वग्राम/महाराष्ट्र दर्शन</t>
  </si>
  <si>
    <t>( आकडे हजारात)</t>
  </si>
  <si>
    <t>अ. क्र</t>
  </si>
  <si>
    <t>जिल्हा सिुधुदर्ग</t>
  </si>
  <si>
    <t>लेख्याची प्राथमिक आणि दुय्यम युनिट</t>
  </si>
  <si>
    <t>01- वेतन</t>
  </si>
  <si>
    <t>03 अति.भत्ता</t>
  </si>
  <si>
    <t>06- दूरध्वनी वीज,पाणी व शुल्क</t>
  </si>
  <si>
    <t>11- देशातंर्गत प्रवास खर्च</t>
  </si>
  <si>
    <t>13- कार्यालयीन खर्च</t>
  </si>
  <si>
    <t>14-भाडेपटटी व कर</t>
  </si>
  <si>
    <t>17- संगणक खर्च</t>
  </si>
  <si>
    <t>26- जाहीरात व प्रसिध्दी खर्च</t>
  </si>
  <si>
    <t>51- मोटार वाहने</t>
  </si>
  <si>
    <t>प्रत्यक्ष रक्कमा (खर्च)</t>
  </si>
  <si>
    <t>अर्थसंकल्पीय अंदाज</t>
  </si>
  <si>
    <t>प्राकक्लन (एस्टिमेटिंग) अधिका-याचा</t>
  </si>
  <si>
    <t>नियंत्रक अधिका-यांचा</t>
  </si>
  <si>
    <t>प्रशासकीय विभागाचा</t>
  </si>
  <si>
    <t>वित्त विभागाचा</t>
  </si>
  <si>
    <t>मागील वर्षाच्या प्रत्यक्ष रक्कमा आणि चालु वर्षाच्या अर्थसंकल्पीय अंदाजाची तुलना करता आगामी वर्षासाठीच्या अंदाजातील वाढ किंवा घट यांच्या संबधातील स्पष्टीकरणे.</t>
  </si>
  <si>
    <t>जिल्हा पालघर</t>
  </si>
  <si>
    <t>पालघर</t>
  </si>
  <si>
    <t>AG</t>
  </si>
  <si>
    <t>PALGHAR</t>
  </si>
  <si>
    <t>अर्थसंकल्पीय अंदाजपत्रक सन 2016-2017 (जिल्हानिहाय)</t>
  </si>
  <si>
    <t>अ. क्र.</t>
  </si>
  <si>
    <t>उपलेखाशिर्ष</t>
  </si>
  <si>
    <t>मा.उप आयुक्त (सा.प्र.)</t>
  </si>
  <si>
    <t>03- अति.भत्ता</t>
  </si>
  <si>
    <t>14-भाडेपट्टी व कर</t>
  </si>
  <si>
    <t>मागणी क्र.सी-1- लेखाशिर्ष : 20290262</t>
  </si>
  <si>
    <t>51-मोटार वाहने</t>
  </si>
  <si>
    <t>06- दूरध्वनी, वीज पाणी व शुल्क:- तगाई आस्थापनाकडील कार्यालये व मुख्यालये यामध्ये दुरध्वनी खर्च तसेच वाढीव दराची वीज देयके अदा करणेकामी जादा अनुदानाची आवश्यकता आहे.</t>
  </si>
  <si>
    <t>17- संगणक खर्च :- सदर बाबीखाली सन 2010-2011 पासून मागणी करण्यात येत आहे. सदर उपशिर्षाखाली तगाई आस्थापनाकडील कार्यालयास पाठवावयाचे नियतकालीके अहवाल तयार करणे इ. कार्यालयीन कामे संगणकावर करावी लागतात. 2013-14 वित्‍त्तीय वर्षात सदर लेखाशिर्षातंर्गत नवीन बाब निर्माण करण्यांत आली आहे. मात्र अत्यल्प अनुदान उपलब्ध करुन देण्यांत आले. सबब या वित्तीय वर्षात सदर अनुदानाची तरतूद होण्यास विनंती आहे.</t>
  </si>
  <si>
    <t>11- देशातंर्गत प्रवास खर्च:- तगाई आस्थापना कार्यालया कडील कराव्या लागलेल्या फिरती बदली प्रवासभत्ता दैनिकभत्ता इत्यादीसाठी वाढीव महागाई दराच्या आधारावर जादा अनुदानाची आवश्यकता आहे.</t>
  </si>
  <si>
    <t>13- कार्यालयीन खर्च :- सदर बाबीखाली कार्या.खर्चासाठी स्टेशनरी, जडसंग्रह वस्तु, झेरॉक्स यांच्या वाढीव दरामुळे तसेच अधिका-या यांच्या साठी उपलब्ध असलेल्या शासकीय वाहनांची देखभाल, दुरुस्ती, पेट्रोल व डिझेल यांचे वाढीव दर यामुळे कार्यालयीन खर्च मोठया प्रमाणावर वाढला आहे. त्यामुळे वाढीव अनुदानाची मागणी केली आहे.</t>
  </si>
  <si>
    <t>2017-2018</t>
  </si>
  <si>
    <t>प्रपत्र - अ  - अर्थसंकल्पीय अंदाजपत्रक सन 2018-2019</t>
  </si>
  <si>
    <t>2018-2019</t>
  </si>
  <si>
    <t>आदीवासी प्रो.भत्ता</t>
  </si>
  <si>
    <t>2019-2020</t>
  </si>
  <si>
    <t>4/2018-7/2018 Monthly Expenditure 20290262</t>
  </si>
  <si>
    <t>जोडपत्र-ड</t>
  </si>
  <si>
    <t>कोकण विभाग संगर्व निहाय पदांची माहिती</t>
  </si>
  <si>
    <t>संवर्ग</t>
  </si>
  <si>
    <t>वर्ग-1</t>
  </si>
  <si>
    <t>वर्ग-2</t>
  </si>
  <si>
    <t>मागणी क्र.सी-1 2029 जमीन महसूल (20290262)</t>
  </si>
  <si>
    <t>2020-2021</t>
  </si>
  <si>
    <t>7 व्या वेतन आयोग फरक</t>
  </si>
  <si>
    <t xml:space="preserve">एनपीएस </t>
  </si>
  <si>
    <t>महागाई भत्ता 25%</t>
  </si>
  <si>
    <t>01- वेतन:- या बाबीखाली  चालु महागाई भत्ता दर आकारणी 25% प्रमाणे विचारात घेवून केली आहे. वेळोवेळी होणारी वेतनवाढ व महागाई भत्ता दराप्रमाणे वाढीव अनुदान मिळणेस विनंती आहे.</t>
  </si>
  <si>
    <t>प्रपत्र - ड  -  अर्थसंकल्पीय अंदाजपत्रक सन 2021-2022</t>
  </si>
  <si>
    <t>2021-2022</t>
  </si>
  <si>
    <t>प्रपत्र - क  -  अर्थसंकल्पीय अंदाजपत्रक सन 2021-2022</t>
  </si>
  <si>
    <t>प्रपत्र - ब  -  अर्थसंकल्पीय अंदाजपत्रक सन 2021-2022</t>
  </si>
  <si>
    <t>प्रपत्र - अ  -  अर्थसंकल्पीय अंदाजपत्रक सन 2021-2022</t>
  </si>
  <si>
    <t>सुधारीत अंदाज     2020-2021</t>
  </si>
  <si>
    <t>अर्थसंकल्पीय अंदाज 2021-2022</t>
  </si>
  <si>
    <t>(विनिता भूमकर)</t>
  </si>
  <si>
    <t>सहाय्यक संचालक(लेखा) कोकण विभाग</t>
  </si>
  <si>
    <t>अर्थसंकल्पीय अंदाजपत्रक सन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</si>
</sst>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1"/>
      <color indexed="8"/>
      <name val="DVOT-Yogesh"/>
    </font>
    <font>
      <sz val="11"/>
      <color indexed="8"/>
      <name val="DVB-TTYogeshEN"/>
      <family val="5"/>
    </font>
    <font>
      <sz val="11"/>
      <color indexed="8"/>
      <name val="DVOT-Yogesh"/>
    </font>
    <font>
      <sz val="11"/>
      <name val="DVOT-Yogesh"/>
    </font>
    <font>
      <b/>
      <u/>
      <sz val="11"/>
      <name val="DVOT-Yogesh"/>
    </font>
    <font>
      <b/>
      <sz val="11"/>
      <color indexed="8"/>
      <name val="DVOT-Yogesh"/>
    </font>
    <font>
      <b/>
      <sz val="11"/>
      <name val="DVOT-Yogesh"/>
    </font>
    <font>
      <b/>
      <sz val="11"/>
      <color indexed="8"/>
      <name val="DVB-TTYogeshEN"/>
      <family val="5"/>
    </font>
    <font>
      <b/>
      <sz val="11"/>
      <name val="DVB-TTYogeshEN"/>
      <family val="5"/>
    </font>
    <font>
      <sz val="11"/>
      <name val="DVB-TTYogeshEN"/>
      <family val="5"/>
    </font>
    <font>
      <b/>
      <sz val="11"/>
      <color indexed="8"/>
      <name val="DVOT-Surekh"/>
    </font>
    <font>
      <sz val="11"/>
      <color indexed="8"/>
      <name val="DVOT-Surekh"/>
    </font>
    <font>
      <sz val="8"/>
      <color indexed="8"/>
      <name val="DVOT-Surekh"/>
    </font>
    <font>
      <b/>
      <sz val="11"/>
      <name val="DVOT-Surekh"/>
    </font>
    <font>
      <sz val="9"/>
      <name val="DVOT-Surekh"/>
    </font>
    <font>
      <b/>
      <sz val="13"/>
      <color indexed="8"/>
      <name val="DVOT-Surekh"/>
    </font>
    <font>
      <b/>
      <sz val="10"/>
      <color indexed="8"/>
      <name val="DVOT-Surekh"/>
    </font>
    <font>
      <sz val="12"/>
      <color theme="1"/>
      <name val="DVOT-Surekh"/>
    </font>
    <font>
      <b/>
      <sz val="11"/>
      <color theme="1"/>
      <name val="DVOT-Surekh"/>
    </font>
    <font>
      <b/>
      <sz val="11"/>
      <color rgb="FFFF0000"/>
      <name val="DVOT-Surekh"/>
    </font>
    <font>
      <sz val="11"/>
      <color theme="1"/>
      <name val="DVOT-Surekh"/>
    </font>
    <font>
      <b/>
      <sz val="12"/>
      <color theme="1"/>
      <name val="DVOT-Surekh"/>
    </font>
    <font>
      <b/>
      <sz val="14"/>
      <color theme="1"/>
      <name val="DVOT-Surekh"/>
    </font>
    <font>
      <b/>
      <sz val="13"/>
      <color theme="1"/>
      <name val="DVOT-Surekh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7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7" fillId="2" borderId="2" xfId="0" applyFont="1" applyFill="1" applyBorder="1" applyAlignment="1">
      <alignment horizontal="center" vertical="top"/>
    </xf>
    <xf numFmtId="0" fontId="4" fillId="2" borderId="1" xfId="0" applyFont="1" applyFill="1" applyBorder="1"/>
    <xf numFmtId="0" fontId="7" fillId="2" borderId="1" xfId="0" applyFont="1" applyFill="1" applyBorder="1"/>
    <xf numFmtId="0" fontId="4" fillId="2" borderId="2" xfId="0" applyFont="1" applyFill="1" applyBorder="1"/>
    <xf numFmtId="0" fontId="7" fillId="2" borderId="2" xfId="0" applyFont="1" applyFill="1" applyBorder="1"/>
    <xf numFmtId="0" fontId="4" fillId="2" borderId="3" xfId="0" applyFont="1" applyFill="1" applyBorder="1"/>
    <xf numFmtId="0" fontId="7" fillId="2" borderId="0" xfId="0" applyFont="1" applyFill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/>
    </xf>
    <xf numFmtId="0" fontId="8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7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19" fillId="2" borderId="1" xfId="0" applyFont="1" applyFill="1" applyBorder="1"/>
    <xf numFmtId="1" fontId="19" fillId="2" borderId="1" xfId="0" applyNumberFormat="1" applyFont="1" applyFill="1" applyBorder="1"/>
    <xf numFmtId="0" fontId="4" fillId="2" borderId="0" xfId="0" applyFont="1" applyFill="1"/>
    <xf numFmtId="0" fontId="2" fillId="2" borderId="4" xfId="0" applyFont="1" applyFill="1" applyBorder="1" applyAlignment="1">
      <alignment vertical="top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0" fontId="2" fillId="2" borderId="0" xfId="0" applyFont="1" applyFill="1"/>
    <xf numFmtId="0" fontId="7" fillId="2" borderId="0" xfId="0" applyFont="1" applyFill="1" applyAlignment="1">
      <alignment vertical="center" wrapText="1"/>
    </xf>
    <xf numFmtId="0" fontId="8" fillId="2" borderId="4" xfId="0" applyFont="1" applyFill="1" applyBorder="1" applyAlignment="1">
      <alignment vertical="top"/>
    </xf>
    <xf numFmtId="0" fontId="4" fillId="2" borderId="0" xfId="0" applyFont="1" applyFill="1" applyAlignment="1">
      <alignment horizontal="center" vertical="top"/>
    </xf>
    <xf numFmtId="0" fontId="13" fillId="0" borderId="0" xfId="0" applyFont="1" applyAlignment="1">
      <alignment vertical="top" wrapText="1"/>
    </xf>
    <xf numFmtId="0" fontId="20" fillId="2" borderId="5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5" fillId="2" borderId="1" xfId="0" applyFont="1" applyFill="1" applyBorder="1" applyAlignment="1">
      <alignment horizontal="justify" vertical="top" wrapText="1"/>
    </xf>
    <xf numFmtId="0" fontId="4" fillId="2" borderId="1" xfId="0" applyFont="1" applyFill="1" applyBorder="1" applyAlignment="1">
      <alignment horizontal="justify" vertical="top" wrapText="1"/>
    </xf>
    <xf numFmtId="0" fontId="4" fillId="2" borderId="2" xfId="0" applyFont="1" applyFill="1" applyBorder="1" applyAlignment="1">
      <alignment horizontal="justify" vertical="top"/>
    </xf>
    <xf numFmtId="0" fontId="4" fillId="2" borderId="0" xfId="0" applyFont="1" applyFill="1" applyAlignment="1">
      <alignment horizontal="justify" vertical="top"/>
    </xf>
    <xf numFmtId="0" fontId="4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vertical="top" wrapText="1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2" fontId="13" fillId="0" borderId="1" xfId="0" applyNumberFormat="1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19" fillId="2" borderId="0" xfId="0" applyFont="1" applyFill="1"/>
    <xf numFmtId="0" fontId="19" fillId="2" borderId="1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2" fillId="0" borderId="0" xfId="0" applyFont="1"/>
    <xf numFmtId="0" fontId="18" fillId="2" borderId="0" xfId="0" applyFont="1" applyFill="1"/>
    <xf numFmtId="0" fontId="19" fillId="0" borderId="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top"/>
    </xf>
    <xf numFmtId="0" fontId="23" fillId="0" borderId="0" xfId="0" applyFont="1"/>
    <xf numFmtId="0" fontId="2" fillId="2" borderId="1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16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4" fillId="0" borderId="4" xfId="0" applyFont="1" applyBorder="1" applyAlignment="1">
      <alignment horizontal="right" vertical="top" wrapText="1"/>
    </xf>
    <xf numFmtId="0" fontId="21" fillId="0" borderId="11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7"/>
  <sheetViews>
    <sheetView view="pageBreakPreview" topLeftCell="A118" zoomScaleNormal="75" zoomScaleSheetLayoutView="100" workbookViewId="0">
      <selection activeCell="N136" sqref="N136:Q136"/>
    </sheetView>
  </sheetViews>
  <sheetFormatPr defaultColWidth="9.109375" defaultRowHeight="13.8"/>
  <cols>
    <col min="1" max="1" width="3.5546875" style="53" customWidth="1"/>
    <col min="2" max="2" width="9.5546875" style="54" customWidth="1"/>
    <col min="3" max="3" width="15.88671875" style="53" customWidth="1"/>
    <col min="4" max="4" width="11.6640625" style="50" customWidth="1"/>
    <col min="5" max="5" width="11.44140625" style="50" customWidth="1"/>
    <col min="6" max="6" width="8" style="50" customWidth="1"/>
    <col min="7" max="7" width="9.5546875" style="50" customWidth="1"/>
    <col min="8" max="8" width="8.5546875" style="50" customWidth="1"/>
    <col min="9" max="9" width="8.33203125" style="50" customWidth="1"/>
    <col min="10" max="10" width="10.6640625" style="50" customWidth="1"/>
    <col min="11" max="11" width="9.109375" style="50"/>
    <col min="12" max="12" width="9" style="50" customWidth="1"/>
    <col min="13" max="13" width="6.88671875" style="50" customWidth="1"/>
    <col min="14" max="14" width="7.88671875" style="50" customWidth="1"/>
    <col min="15" max="15" width="7.33203125" style="50" customWidth="1"/>
    <col min="16" max="16" width="9.88671875" style="50" customWidth="1"/>
    <col min="17" max="17" width="11.33203125" style="50" customWidth="1"/>
    <col min="18" max="16384" width="9.109375" style="50"/>
  </cols>
  <sheetData>
    <row r="1" spans="1:17">
      <c r="A1" s="111" t="s">
        <v>133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>
      <c r="A2" s="111" t="s">
        <v>18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</row>
    <row r="3" spans="1:17">
      <c r="A3" s="106" t="s">
        <v>19</v>
      </c>
      <c r="B3" s="106"/>
      <c r="C3" s="106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112" t="s">
        <v>47</v>
      </c>
      <c r="P3" s="112"/>
      <c r="Q3" s="112"/>
    </row>
    <row r="4" spans="1:17">
      <c r="A4" s="113" t="s">
        <v>20</v>
      </c>
      <c r="B4" s="113" t="s">
        <v>29</v>
      </c>
      <c r="C4" s="116" t="s">
        <v>31</v>
      </c>
      <c r="D4" s="1" t="s">
        <v>38</v>
      </c>
      <c r="E4" s="1" t="s">
        <v>38</v>
      </c>
      <c r="F4" s="103" t="s">
        <v>39</v>
      </c>
      <c r="G4" s="103" t="s">
        <v>40</v>
      </c>
      <c r="H4" s="103" t="s">
        <v>41</v>
      </c>
      <c r="I4" s="103" t="s">
        <v>42</v>
      </c>
      <c r="J4" s="103" t="s">
        <v>131</v>
      </c>
      <c r="K4" s="103" t="s">
        <v>43</v>
      </c>
      <c r="L4" s="103" t="s">
        <v>44</v>
      </c>
      <c r="M4" s="103" t="s">
        <v>45</v>
      </c>
      <c r="N4" s="103" t="s">
        <v>46</v>
      </c>
      <c r="O4" s="103" t="s">
        <v>48</v>
      </c>
      <c r="P4" s="103" t="s">
        <v>49</v>
      </c>
      <c r="Q4" s="103" t="s">
        <v>42</v>
      </c>
    </row>
    <row r="5" spans="1:17">
      <c r="A5" s="114"/>
      <c r="B5" s="114"/>
      <c r="C5" s="117"/>
      <c r="D5" s="82" t="s">
        <v>128</v>
      </c>
      <c r="E5" s="82" t="s">
        <v>134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>
      <c r="A6" s="115"/>
      <c r="B6" s="115"/>
      <c r="C6" s="120" t="s">
        <v>32</v>
      </c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</row>
    <row r="7" spans="1:17">
      <c r="A7" s="107">
        <v>1</v>
      </c>
      <c r="B7" s="109" t="s">
        <v>30</v>
      </c>
      <c r="C7" s="37" t="s">
        <v>33</v>
      </c>
      <c r="D7" s="11"/>
      <c r="E7" s="11"/>
      <c r="F7" s="11"/>
      <c r="G7" s="11"/>
      <c r="H7" s="11"/>
      <c r="I7" s="12">
        <v>0</v>
      </c>
      <c r="J7" s="6">
        <v>0</v>
      </c>
      <c r="K7" s="11"/>
      <c r="L7" s="11"/>
      <c r="M7" s="11"/>
      <c r="N7" s="11"/>
      <c r="O7" s="11"/>
      <c r="P7" s="11"/>
      <c r="Q7" s="12">
        <v>0</v>
      </c>
    </row>
    <row r="8" spans="1:17">
      <c r="A8" s="108"/>
      <c r="B8" s="110"/>
      <c r="C8" s="37" t="s">
        <v>34</v>
      </c>
      <c r="D8" s="11"/>
      <c r="E8" s="11"/>
      <c r="F8" s="11"/>
      <c r="G8" s="11"/>
      <c r="H8" s="11"/>
      <c r="I8" s="12">
        <v>0</v>
      </c>
      <c r="J8" s="6">
        <v>0</v>
      </c>
      <c r="K8" s="11"/>
      <c r="L8" s="11"/>
      <c r="M8" s="11"/>
      <c r="N8" s="11"/>
      <c r="O8" s="11"/>
      <c r="P8" s="11"/>
      <c r="Q8" s="12">
        <v>0</v>
      </c>
    </row>
    <row r="9" spans="1:17" ht="14.4" thickBot="1">
      <c r="A9" s="35"/>
      <c r="B9" s="39"/>
      <c r="C9" s="38" t="s">
        <v>35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</row>
    <row r="10" spans="1:17" ht="14.4" thickTop="1">
      <c r="A10" s="79"/>
      <c r="B10" s="52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</row>
    <row r="11" spans="1:17" ht="19.5" customHeight="1">
      <c r="A11" s="113" t="s">
        <v>21</v>
      </c>
      <c r="B11" s="113" t="s">
        <v>29</v>
      </c>
      <c r="C11" s="116" t="s">
        <v>31</v>
      </c>
      <c r="D11" s="1" t="s">
        <v>38</v>
      </c>
      <c r="E11" s="1" t="s">
        <v>38</v>
      </c>
      <c r="F11" s="103" t="s">
        <v>39</v>
      </c>
      <c r="G11" s="103" t="s">
        <v>40</v>
      </c>
      <c r="H11" s="103" t="s">
        <v>41</v>
      </c>
      <c r="I11" s="103" t="s">
        <v>42</v>
      </c>
      <c r="J11" s="103" t="s">
        <v>131</v>
      </c>
      <c r="K11" s="103" t="s">
        <v>43</v>
      </c>
      <c r="L11" s="103" t="s">
        <v>44</v>
      </c>
      <c r="M11" s="103" t="s">
        <v>45</v>
      </c>
      <c r="N11" s="103" t="s">
        <v>46</v>
      </c>
      <c r="O11" s="103" t="s">
        <v>48</v>
      </c>
      <c r="P11" s="103" t="s">
        <v>49</v>
      </c>
      <c r="Q11" s="103" t="s">
        <v>42</v>
      </c>
    </row>
    <row r="12" spans="1:17">
      <c r="A12" s="114"/>
      <c r="B12" s="114"/>
      <c r="C12" s="117"/>
      <c r="D12" s="82" t="s">
        <v>128</v>
      </c>
      <c r="E12" s="82" t="s">
        <v>134</v>
      </c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</row>
    <row r="13" spans="1:17">
      <c r="A13" s="115"/>
      <c r="B13" s="115"/>
      <c r="C13" s="25" t="s">
        <v>36</v>
      </c>
      <c r="D13" s="11"/>
      <c r="E13" s="11"/>
      <c r="F13" s="11"/>
      <c r="G13" s="11"/>
      <c r="H13" s="11"/>
      <c r="I13" s="12">
        <v>0</v>
      </c>
      <c r="J13" s="6">
        <v>0</v>
      </c>
      <c r="K13" s="11"/>
      <c r="L13" s="11"/>
      <c r="M13" s="11"/>
      <c r="N13" s="11"/>
      <c r="O13" s="11"/>
      <c r="P13" s="11"/>
      <c r="Q13" s="12">
        <v>0</v>
      </c>
    </row>
    <row r="14" spans="1:17" ht="14.4" thickBot="1">
      <c r="A14" s="35"/>
      <c r="B14" s="39"/>
      <c r="C14" s="39" t="s">
        <v>37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</row>
    <row r="15" spans="1:17" ht="14.4" thickTop="1">
      <c r="C15" s="54"/>
      <c r="N15" s="75"/>
      <c r="O15" s="75"/>
      <c r="P15" s="105"/>
      <c r="Q15" s="105"/>
    </row>
    <row r="16" spans="1:17">
      <c r="A16" s="111" t="str">
        <f>$A$1</f>
        <v>प्रपत्र - ड  -  अर्थसंकल्पीय अंदाजपत्रक सन 2021-2022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</row>
    <row r="17" spans="1:17">
      <c r="A17" s="111" t="s">
        <v>18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</row>
    <row r="18" spans="1:17">
      <c r="A18" s="106" t="s">
        <v>22</v>
      </c>
      <c r="B18" s="106"/>
      <c r="C18" s="106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112" t="s">
        <v>47</v>
      </c>
      <c r="P18" s="112"/>
      <c r="Q18" s="112"/>
    </row>
    <row r="19" spans="1:17" ht="19.5" customHeight="1">
      <c r="A19" s="113" t="s">
        <v>20</v>
      </c>
      <c r="B19" s="113" t="s">
        <v>29</v>
      </c>
      <c r="C19" s="116" t="s">
        <v>31</v>
      </c>
      <c r="D19" s="1" t="s">
        <v>38</v>
      </c>
      <c r="E19" s="1" t="s">
        <v>38</v>
      </c>
      <c r="F19" s="103" t="s">
        <v>39</v>
      </c>
      <c r="G19" s="103" t="s">
        <v>40</v>
      </c>
      <c r="H19" s="103" t="s">
        <v>41</v>
      </c>
      <c r="I19" s="103" t="s">
        <v>42</v>
      </c>
      <c r="J19" s="103" t="s">
        <v>131</v>
      </c>
      <c r="K19" s="103" t="s">
        <v>43</v>
      </c>
      <c r="L19" s="103" t="s">
        <v>44</v>
      </c>
      <c r="M19" s="103" t="s">
        <v>45</v>
      </c>
      <c r="N19" s="103" t="s">
        <v>46</v>
      </c>
      <c r="O19" s="103" t="s">
        <v>48</v>
      </c>
      <c r="P19" s="103" t="s">
        <v>49</v>
      </c>
      <c r="Q19" s="103" t="s">
        <v>42</v>
      </c>
    </row>
    <row r="20" spans="1:17">
      <c r="A20" s="114"/>
      <c r="B20" s="114"/>
      <c r="C20" s="117"/>
      <c r="D20" s="82" t="s">
        <v>128</v>
      </c>
      <c r="E20" s="82" t="s">
        <v>134</v>
      </c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  <row r="21" spans="1:17">
      <c r="A21" s="115"/>
      <c r="B21" s="115"/>
      <c r="C21" s="120" t="s">
        <v>32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</row>
    <row r="22" spans="1:17">
      <c r="A22" s="107">
        <v>1</v>
      </c>
      <c r="B22" s="109" t="s">
        <v>30</v>
      </c>
      <c r="C22" s="37" t="s">
        <v>33</v>
      </c>
      <c r="D22" s="11"/>
      <c r="E22" s="11"/>
      <c r="F22" s="11"/>
      <c r="G22" s="11"/>
      <c r="H22" s="11"/>
      <c r="I22" s="12">
        <v>0</v>
      </c>
      <c r="J22" s="6">
        <v>0</v>
      </c>
      <c r="K22" s="11"/>
      <c r="L22" s="11"/>
      <c r="M22" s="11"/>
      <c r="N22" s="11"/>
      <c r="O22" s="11"/>
      <c r="P22" s="11"/>
      <c r="Q22" s="12">
        <v>0</v>
      </c>
    </row>
    <row r="23" spans="1:17">
      <c r="A23" s="108"/>
      <c r="B23" s="110"/>
      <c r="C23" s="37" t="s">
        <v>34</v>
      </c>
      <c r="D23" s="11"/>
      <c r="E23" s="11"/>
      <c r="F23" s="11"/>
      <c r="G23" s="11"/>
      <c r="H23" s="11"/>
      <c r="I23" s="12">
        <v>0</v>
      </c>
      <c r="J23" s="6">
        <v>0</v>
      </c>
      <c r="K23" s="11"/>
      <c r="L23" s="11"/>
      <c r="M23" s="11"/>
      <c r="N23" s="11"/>
      <c r="O23" s="11"/>
      <c r="P23" s="11"/>
      <c r="Q23" s="12">
        <v>0</v>
      </c>
    </row>
    <row r="24" spans="1:17" ht="14.4" thickBot="1">
      <c r="A24" s="35"/>
      <c r="B24" s="39"/>
      <c r="C24" s="38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</row>
    <row r="25" spans="1:17" ht="14.4" thickTop="1">
      <c r="A25" s="79"/>
      <c r="B25" s="52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</row>
    <row r="26" spans="1:17" ht="19.5" customHeight="1">
      <c r="A26" s="113" t="s">
        <v>21</v>
      </c>
      <c r="B26" s="113" t="s">
        <v>29</v>
      </c>
      <c r="C26" s="116" t="s">
        <v>31</v>
      </c>
      <c r="D26" s="1" t="s">
        <v>38</v>
      </c>
      <c r="E26" s="1" t="s">
        <v>38</v>
      </c>
      <c r="F26" s="103" t="s">
        <v>39</v>
      </c>
      <c r="G26" s="103" t="s">
        <v>40</v>
      </c>
      <c r="H26" s="103" t="s">
        <v>41</v>
      </c>
      <c r="I26" s="103" t="s">
        <v>42</v>
      </c>
      <c r="J26" s="103" t="s">
        <v>131</v>
      </c>
      <c r="K26" s="103" t="s">
        <v>43</v>
      </c>
      <c r="L26" s="103" t="s">
        <v>44</v>
      </c>
      <c r="M26" s="103" t="s">
        <v>45</v>
      </c>
      <c r="N26" s="103" t="s">
        <v>46</v>
      </c>
      <c r="O26" s="103" t="s">
        <v>48</v>
      </c>
      <c r="P26" s="103" t="s">
        <v>49</v>
      </c>
      <c r="Q26" s="103" t="s">
        <v>42</v>
      </c>
    </row>
    <row r="27" spans="1:17">
      <c r="A27" s="114"/>
      <c r="B27" s="114"/>
      <c r="C27" s="117"/>
      <c r="D27" s="82" t="s">
        <v>128</v>
      </c>
      <c r="E27" s="82" t="s">
        <v>134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</row>
    <row r="28" spans="1:17">
      <c r="A28" s="115"/>
      <c r="B28" s="115"/>
      <c r="C28" s="25" t="s">
        <v>36</v>
      </c>
      <c r="D28" s="11"/>
      <c r="E28" s="11"/>
      <c r="F28" s="11"/>
      <c r="G28" s="11"/>
      <c r="H28" s="11"/>
      <c r="I28" s="12">
        <v>0</v>
      </c>
      <c r="J28" s="6">
        <v>0</v>
      </c>
      <c r="K28" s="11"/>
      <c r="L28" s="11"/>
      <c r="M28" s="11"/>
      <c r="N28" s="11"/>
      <c r="O28" s="11"/>
      <c r="P28" s="11"/>
      <c r="Q28" s="12">
        <v>0</v>
      </c>
    </row>
    <row r="29" spans="1:17" ht="14.4" thickBot="1">
      <c r="A29" s="35"/>
      <c r="B29" s="39"/>
      <c r="C29" s="39" t="s">
        <v>37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</row>
    <row r="30" spans="1:17" ht="14.4" thickTop="1">
      <c r="C30" s="54"/>
      <c r="N30" s="75"/>
      <c r="O30" s="75"/>
      <c r="P30" s="105"/>
      <c r="Q30" s="105"/>
    </row>
    <row r="31" spans="1:17">
      <c r="A31" s="111" t="str">
        <f>$A$1</f>
        <v>प्रपत्र - ड  -  अर्थसंकल्पीय अंदाजपत्रक सन 2021-2022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</row>
    <row r="32" spans="1:17">
      <c r="A32" s="111" t="s">
        <v>18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</row>
    <row r="33" spans="1:17">
      <c r="A33" s="106" t="s">
        <v>23</v>
      </c>
      <c r="B33" s="106"/>
      <c r="C33" s="10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112" t="s">
        <v>47</v>
      </c>
      <c r="P33" s="112"/>
      <c r="Q33" s="112"/>
    </row>
    <row r="34" spans="1:17" ht="19.5" customHeight="1">
      <c r="A34" s="113" t="s">
        <v>20</v>
      </c>
      <c r="B34" s="113" t="s">
        <v>29</v>
      </c>
      <c r="C34" s="116" t="s">
        <v>31</v>
      </c>
      <c r="D34" s="1" t="s">
        <v>38</v>
      </c>
      <c r="E34" s="1" t="s">
        <v>38</v>
      </c>
      <c r="F34" s="103" t="s">
        <v>39</v>
      </c>
      <c r="G34" s="103" t="s">
        <v>40</v>
      </c>
      <c r="H34" s="103" t="s">
        <v>41</v>
      </c>
      <c r="I34" s="103" t="s">
        <v>42</v>
      </c>
      <c r="J34" s="103" t="s">
        <v>131</v>
      </c>
      <c r="K34" s="103" t="s">
        <v>43</v>
      </c>
      <c r="L34" s="103" t="s">
        <v>44</v>
      </c>
      <c r="M34" s="103" t="s">
        <v>45</v>
      </c>
      <c r="N34" s="103" t="s">
        <v>46</v>
      </c>
      <c r="O34" s="103" t="s">
        <v>48</v>
      </c>
      <c r="P34" s="103" t="s">
        <v>49</v>
      </c>
      <c r="Q34" s="103" t="s">
        <v>42</v>
      </c>
    </row>
    <row r="35" spans="1:17">
      <c r="A35" s="114"/>
      <c r="B35" s="114"/>
      <c r="C35" s="117"/>
      <c r="D35" s="82" t="s">
        <v>128</v>
      </c>
      <c r="E35" s="82" t="s">
        <v>134</v>
      </c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</row>
    <row r="36" spans="1:17">
      <c r="A36" s="115"/>
      <c r="B36" s="115"/>
      <c r="C36" s="120" t="s">
        <v>32</v>
      </c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2"/>
    </row>
    <row r="37" spans="1:17">
      <c r="A37" s="107">
        <v>1</v>
      </c>
      <c r="B37" s="109" t="s">
        <v>30</v>
      </c>
      <c r="C37" s="37" t="s">
        <v>33</v>
      </c>
      <c r="D37" s="11">
        <v>1</v>
      </c>
      <c r="E37" s="11">
        <v>1</v>
      </c>
      <c r="F37" s="11">
        <v>0</v>
      </c>
      <c r="G37" s="11">
        <v>446</v>
      </c>
      <c r="H37" s="11">
        <v>0</v>
      </c>
      <c r="I37" s="12">
        <f>SUM(G37:H37)</f>
        <v>446</v>
      </c>
      <c r="J37" s="6">
        <f>ROUND(I37*0.25, 0)</f>
        <v>112</v>
      </c>
      <c r="K37" s="11">
        <v>4</v>
      </c>
      <c r="L37" s="11">
        <v>120</v>
      </c>
      <c r="M37" s="11">
        <v>5</v>
      </c>
      <c r="N37" s="11">
        <v>0</v>
      </c>
      <c r="O37" s="11">
        <v>0</v>
      </c>
      <c r="P37" s="11">
        <v>0</v>
      </c>
      <c r="Q37" s="12">
        <f>SUM(I37:P37)+F37</f>
        <v>687</v>
      </c>
    </row>
    <row r="38" spans="1:17">
      <c r="A38" s="108"/>
      <c r="B38" s="110"/>
      <c r="C38" s="37" t="s">
        <v>34</v>
      </c>
      <c r="D38" s="11">
        <v>1</v>
      </c>
      <c r="E38" s="11">
        <v>1</v>
      </c>
      <c r="F38" s="11">
        <v>0</v>
      </c>
      <c r="G38" s="11">
        <v>192</v>
      </c>
      <c r="H38" s="11">
        <v>0</v>
      </c>
      <c r="I38" s="12">
        <f>SUM(G38:H38)</f>
        <v>192</v>
      </c>
      <c r="J38" s="6">
        <f>ROUND(I38*0.25, 0)</f>
        <v>48</v>
      </c>
      <c r="K38" s="11">
        <v>4</v>
      </c>
      <c r="L38" s="11">
        <v>52</v>
      </c>
      <c r="M38" s="11">
        <v>5</v>
      </c>
      <c r="N38" s="11">
        <v>0</v>
      </c>
      <c r="O38" s="11">
        <v>0</v>
      </c>
      <c r="P38" s="11">
        <v>0</v>
      </c>
      <c r="Q38" s="12">
        <f>SUM(I38:P38)+F38</f>
        <v>301</v>
      </c>
    </row>
    <row r="39" spans="1:17" ht="14.4" thickBot="1">
      <c r="A39" s="35"/>
      <c r="B39" s="39"/>
      <c r="C39" s="38" t="s">
        <v>35</v>
      </c>
      <c r="D39" s="14">
        <f>SUM(D37:D38)</f>
        <v>2</v>
      </c>
      <c r="E39" s="14">
        <f t="shared" ref="E39:Q39" si="0">SUM(E37:E38)</f>
        <v>2</v>
      </c>
      <c r="F39" s="14">
        <f t="shared" si="0"/>
        <v>0</v>
      </c>
      <c r="G39" s="14">
        <f t="shared" si="0"/>
        <v>638</v>
      </c>
      <c r="H39" s="14">
        <f t="shared" si="0"/>
        <v>0</v>
      </c>
      <c r="I39" s="14">
        <f t="shared" si="0"/>
        <v>638</v>
      </c>
      <c r="J39" s="14">
        <f t="shared" si="0"/>
        <v>160</v>
      </c>
      <c r="K39" s="14">
        <f t="shared" si="0"/>
        <v>8</v>
      </c>
      <c r="L39" s="14">
        <f t="shared" si="0"/>
        <v>172</v>
      </c>
      <c r="M39" s="14">
        <f t="shared" si="0"/>
        <v>10</v>
      </c>
      <c r="N39" s="14">
        <f t="shared" si="0"/>
        <v>0</v>
      </c>
      <c r="O39" s="14">
        <f t="shared" si="0"/>
        <v>0</v>
      </c>
      <c r="P39" s="14">
        <f t="shared" si="0"/>
        <v>0</v>
      </c>
      <c r="Q39" s="14">
        <f t="shared" si="0"/>
        <v>988</v>
      </c>
    </row>
    <row r="40" spans="1:17" ht="14.4" thickTop="1">
      <c r="A40" s="79"/>
      <c r="B40" s="52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spans="1:17" ht="19.5" customHeight="1">
      <c r="A41" s="113" t="s">
        <v>21</v>
      </c>
      <c r="B41" s="113" t="s">
        <v>29</v>
      </c>
      <c r="C41" s="116" t="s">
        <v>31</v>
      </c>
      <c r="D41" s="1" t="s">
        <v>38</v>
      </c>
      <c r="E41" s="1" t="s">
        <v>38</v>
      </c>
      <c r="F41" s="103" t="s">
        <v>39</v>
      </c>
      <c r="G41" s="103" t="s">
        <v>40</v>
      </c>
      <c r="H41" s="103" t="s">
        <v>41</v>
      </c>
      <c r="I41" s="103" t="s">
        <v>42</v>
      </c>
      <c r="J41" s="103" t="s">
        <v>131</v>
      </c>
      <c r="K41" s="103" t="s">
        <v>43</v>
      </c>
      <c r="L41" s="103" t="s">
        <v>44</v>
      </c>
      <c r="M41" s="103" t="s">
        <v>45</v>
      </c>
      <c r="N41" s="103" t="s">
        <v>46</v>
      </c>
      <c r="O41" s="103" t="s">
        <v>48</v>
      </c>
      <c r="P41" s="103" t="s">
        <v>49</v>
      </c>
      <c r="Q41" s="103" t="s">
        <v>42</v>
      </c>
    </row>
    <row r="42" spans="1:17">
      <c r="A42" s="114"/>
      <c r="B42" s="114"/>
      <c r="C42" s="117"/>
      <c r="D42" s="82" t="s">
        <v>128</v>
      </c>
      <c r="E42" s="82" t="s">
        <v>134</v>
      </c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</row>
    <row r="43" spans="1:17">
      <c r="A43" s="115"/>
      <c r="B43" s="115"/>
      <c r="C43" s="25" t="s">
        <v>36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2">
        <v>0</v>
      </c>
      <c r="J43" s="6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2">
        <v>0</v>
      </c>
    </row>
    <row r="44" spans="1:17" ht="14.4" thickBot="1">
      <c r="A44" s="35"/>
      <c r="B44" s="39"/>
      <c r="C44" s="39" t="s">
        <v>37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</row>
    <row r="45" spans="1:17" ht="14.4" thickTop="1">
      <c r="A45" s="111" t="str">
        <f>$A$1</f>
        <v>प्रपत्र - ड  -  अर्थसंकल्पीय अंदाजपत्रक सन 2021-2022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</row>
    <row r="46" spans="1:17">
      <c r="A46" s="111" t="s">
        <v>18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</row>
    <row r="47" spans="1:17">
      <c r="A47" s="106" t="s">
        <v>100</v>
      </c>
      <c r="B47" s="106"/>
      <c r="C47" s="10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112" t="s">
        <v>47</v>
      </c>
      <c r="P47" s="112"/>
      <c r="Q47" s="112"/>
    </row>
    <row r="48" spans="1:17" ht="19.5" customHeight="1">
      <c r="A48" s="113" t="s">
        <v>20</v>
      </c>
      <c r="B48" s="113" t="s">
        <v>29</v>
      </c>
      <c r="C48" s="116" t="s">
        <v>31</v>
      </c>
      <c r="D48" s="1" t="s">
        <v>38</v>
      </c>
      <c r="E48" s="1" t="s">
        <v>38</v>
      </c>
      <c r="F48" s="103" t="s">
        <v>39</v>
      </c>
      <c r="G48" s="103" t="s">
        <v>40</v>
      </c>
      <c r="H48" s="103" t="s">
        <v>41</v>
      </c>
      <c r="I48" s="103" t="s">
        <v>42</v>
      </c>
      <c r="J48" s="103" t="s">
        <v>131</v>
      </c>
      <c r="K48" s="103" t="s">
        <v>43</v>
      </c>
      <c r="L48" s="103" t="s">
        <v>44</v>
      </c>
      <c r="M48" s="103" t="s">
        <v>45</v>
      </c>
      <c r="N48" s="103" t="s">
        <v>46</v>
      </c>
      <c r="O48" s="118" t="s">
        <v>119</v>
      </c>
      <c r="P48" s="103" t="s">
        <v>49</v>
      </c>
      <c r="Q48" s="103" t="s">
        <v>42</v>
      </c>
    </row>
    <row r="49" spans="1:17">
      <c r="A49" s="114"/>
      <c r="B49" s="114"/>
      <c r="C49" s="117"/>
      <c r="D49" s="82" t="s">
        <v>128</v>
      </c>
      <c r="E49" s="82" t="s">
        <v>134</v>
      </c>
      <c r="F49" s="104"/>
      <c r="G49" s="104"/>
      <c r="H49" s="104"/>
      <c r="I49" s="104"/>
      <c r="J49" s="104"/>
      <c r="K49" s="104"/>
      <c r="L49" s="104"/>
      <c r="M49" s="104"/>
      <c r="N49" s="104"/>
      <c r="O49" s="119"/>
      <c r="P49" s="104"/>
      <c r="Q49" s="104"/>
    </row>
    <row r="50" spans="1:17">
      <c r="A50" s="115"/>
      <c r="B50" s="115"/>
      <c r="C50" s="120" t="s">
        <v>32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2"/>
    </row>
    <row r="51" spans="1:17">
      <c r="A51" s="107">
        <v>1</v>
      </c>
      <c r="B51" s="109" t="s">
        <v>30</v>
      </c>
      <c r="C51" s="37" t="s">
        <v>33</v>
      </c>
      <c r="D51" s="11"/>
      <c r="E51" s="11"/>
      <c r="F51" s="11"/>
      <c r="G51" s="11"/>
      <c r="H51" s="11"/>
      <c r="I51" s="12">
        <f>SUM(G51:H51)</f>
        <v>0</v>
      </c>
      <c r="J51" s="6">
        <f>ROUND(I51*1.3, 0)</f>
        <v>0</v>
      </c>
      <c r="K51" s="11"/>
      <c r="L51" s="11"/>
      <c r="M51" s="11"/>
      <c r="N51" s="11"/>
      <c r="O51" s="11"/>
      <c r="P51" s="11"/>
      <c r="Q51" s="12">
        <f>SUM(I51:P51)+F51</f>
        <v>0</v>
      </c>
    </row>
    <row r="52" spans="1:17">
      <c r="A52" s="108"/>
      <c r="B52" s="110"/>
      <c r="C52" s="37" t="s">
        <v>34</v>
      </c>
      <c r="D52" s="12">
        <v>3</v>
      </c>
      <c r="E52" s="12">
        <v>3</v>
      </c>
      <c r="F52" s="12">
        <v>0</v>
      </c>
      <c r="G52" s="12">
        <v>1380</v>
      </c>
      <c r="H52" s="12">
        <v>0</v>
      </c>
      <c r="I52" s="12">
        <f>SUM(G52:H52)</f>
        <v>1380</v>
      </c>
      <c r="J52" s="12">
        <f>ROUND(I52*0.25, 0)</f>
        <v>345</v>
      </c>
      <c r="K52" s="12">
        <v>15</v>
      </c>
      <c r="L52" s="12">
        <v>124</v>
      </c>
      <c r="M52" s="12">
        <v>15</v>
      </c>
      <c r="N52" s="12">
        <v>0</v>
      </c>
      <c r="O52" s="12">
        <v>24</v>
      </c>
      <c r="P52" s="12">
        <v>0</v>
      </c>
      <c r="Q52" s="12">
        <f>SUM(I52:P52)+F52</f>
        <v>1903</v>
      </c>
    </row>
    <row r="53" spans="1:17" ht="14.4" thickBot="1">
      <c r="A53" s="35"/>
      <c r="B53" s="39"/>
      <c r="C53" s="38" t="s">
        <v>35</v>
      </c>
      <c r="D53" s="14">
        <f>SUM(D51:D52)</f>
        <v>3</v>
      </c>
      <c r="E53" s="14">
        <f t="shared" ref="E53:Q53" si="1">SUM(E51:E52)</f>
        <v>3</v>
      </c>
      <c r="F53" s="14">
        <f t="shared" si="1"/>
        <v>0</v>
      </c>
      <c r="G53" s="14">
        <f t="shared" si="1"/>
        <v>1380</v>
      </c>
      <c r="H53" s="14">
        <f t="shared" si="1"/>
        <v>0</v>
      </c>
      <c r="I53" s="14">
        <f t="shared" si="1"/>
        <v>1380</v>
      </c>
      <c r="J53" s="14">
        <f t="shared" si="1"/>
        <v>345</v>
      </c>
      <c r="K53" s="14">
        <f t="shared" si="1"/>
        <v>15</v>
      </c>
      <c r="L53" s="14">
        <f t="shared" si="1"/>
        <v>124</v>
      </c>
      <c r="M53" s="14">
        <f t="shared" si="1"/>
        <v>15</v>
      </c>
      <c r="N53" s="14">
        <f t="shared" si="1"/>
        <v>0</v>
      </c>
      <c r="O53" s="14">
        <f t="shared" si="1"/>
        <v>24</v>
      </c>
      <c r="P53" s="14">
        <f t="shared" si="1"/>
        <v>0</v>
      </c>
      <c r="Q53" s="14">
        <f t="shared" si="1"/>
        <v>1903</v>
      </c>
    </row>
    <row r="54" spans="1:17" ht="14.4" thickTop="1">
      <c r="A54" s="79"/>
      <c r="B54" s="52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</row>
    <row r="55" spans="1:17" ht="19.5" customHeight="1">
      <c r="A55" s="113" t="s">
        <v>21</v>
      </c>
      <c r="B55" s="113" t="s">
        <v>29</v>
      </c>
      <c r="C55" s="116" t="s">
        <v>31</v>
      </c>
      <c r="D55" s="1" t="s">
        <v>38</v>
      </c>
      <c r="E55" s="1" t="s">
        <v>38</v>
      </c>
      <c r="F55" s="103" t="s">
        <v>39</v>
      </c>
      <c r="G55" s="103" t="s">
        <v>40</v>
      </c>
      <c r="H55" s="103" t="s">
        <v>41</v>
      </c>
      <c r="I55" s="103" t="s">
        <v>42</v>
      </c>
      <c r="J55" s="103" t="s">
        <v>131</v>
      </c>
      <c r="K55" s="103" t="s">
        <v>43</v>
      </c>
      <c r="L55" s="103" t="s">
        <v>44</v>
      </c>
      <c r="M55" s="103" t="s">
        <v>45</v>
      </c>
      <c r="N55" s="103" t="s">
        <v>46</v>
      </c>
      <c r="O55" s="103" t="s">
        <v>48</v>
      </c>
      <c r="P55" s="103" t="s">
        <v>49</v>
      </c>
      <c r="Q55" s="103" t="s">
        <v>42</v>
      </c>
    </row>
    <row r="56" spans="1:17">
      <c r="A56" s="114"/>
      <c r="B56" s="114"/>
      <c r="C56" s="117"/>
      <c r="D56" s="82" t="s">
        <v>128</v>
      </c>
      <c r="E56" s="82" t="s">
        <v>134</v>
      </c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</row>
    <row r="57" spans="1:17">
      <c r="A57" s="115"/>
      <c r="B57" s="115"/>
      <c r="C57" s="25" t="s">
        <v>36</v>
      </c>
      <c r="D57" s="11"/>
      <c r="E57" s="11"/>
      <c r="F57" s="11"/>
      <c r="G57" s="11"/>
      <c r="H57" s="11"/>
      <c r="I57" s="12">
        <v>0</v>
      </c>
      <c r="J57" s="6">
        <v>0</v>
      </c>
      <c r="K57" s="11"/>
      <c r="L57" s="11"/>
      <c r="M57" s="11"/>
      <c r="N57" s="11"/>
      <c r="O57" s="11"/>
      <c r="P57" s="11"/>
      <c r="Q57" s="12">
        <v>0</v>
      </c>
    </row>
    <row r="58" spans="1:17" ht="14.4" thickBot="1">
      <c r="A58" s="35"/>
      <c r="B58" s="39"/>
      <c r="C58" s="39" t="s">
        <v>37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</row>
    <row r="59" spans="1:17" ht="14.4" thickTop="1">
      <c r="C59" s="54"/>
      <c r="N59" s="75"/>
      <c r="O59" s="75"/>
      <c r="P59" s="105"/>
      <c r="Q59" s="105"/>
    </row>
    <row r="60" spans="1:17">
      <c r="C60" s="54"/>
      <c r="N60" s="75"/>
      <c r="O60" s="75"/>
      <c r="P60" s="75"/>
      <c r="Q60" s="75"/>
    </row>
    <row r="61" spans="1:17">
      <c r="A61" s="111" t="str">
        <f>$A$1</f>
        <v>प्रपत्र - ड  -  अर्थसंकल्पीय अंदाजपत्रक सन 2021-2022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</row>
    <row r="62" spans="1:17">
      <c r="A62" s="111" t="s">
        <v>18</v>
      </c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</row>
    <row r="63" spans="1:17">
      <c r="A63" s="106" t="s">
        <v>24</v>
      </c>
      <c r="B63" s="106"/>
      <c r="C63" s="10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112" t="s">
        <v>47</v>
      </c>
      <c r="P63" s="112"/>
      <c r="Q63" s="112"/>
    </row>
    <row r="64" spans="1:17" ht="19.5" customHeight="1">
      <c r="A64" s="113" t="s">
        <v>20</v>
      </c>
      <c r="B64" s="113" t="s">
        <v>29</v>
      </c>
      <c r="C64" s="116" t="s">
        <v>31</v>
      </c>
      <c r="D64" s="1" t="s">
        <v>38</v>
      </c>
      <c r="E64" s="1" t="s">
        <v>38</v>
      </c>
      <c r="F64" s="103" t="s">
        <v>39</v>
      </c>
      <c r="G64" s="103" t="s">
        <v>40</v>
      </c>
      <c r="H64" s="103" t="s">
        <v>41</v>
      </c>
      <c r="I64" s="103" t="s">
        <v>42</v>
      </c>
      <c r="J64" s="103" t="s">
        <v>131</v>
      </c>
      <c r="K64" s="103" t="s">
        <v>43</v>
      </c>
      <c r="L64" s="103" t="s">
        <v>44</v>
      </c>
      <c r="M64" s="103" t="s">
        <v>45</v>
      </c>
      <c r="N64" s="103" t="s">
        <v>46</v>
      </c>
      <c r="O64" s="103" t="s">
        <v>48</v>
      </c>
      <c r="P64" s="103" t="s">
        <v>49</v>
      </c>
      <c r="Q64" s="103" t="s">
        <v>42</v>
      </c>
    </row>
    <row r="65" spans="1:17">
      <c r="A65" s="114"/>
      <c r="B65" s="114"/>
      <c r="C65" s="117"/>
      <c r="D65" s="82" t="s">
        <v>128</v>
      </c>
      <c r="E65" s="82" t="s">
        <v>134</v>
      </c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</row>
    <row r="66" spans="1:17">
      <c r="A66" s="115"/>
      <c r="B66" s="115"/>
      <c r="C66" s="120" t="s">
        <v>32</v>
      </c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2"/>
    </row>
    <row r="67" spans="1:17">
      <c r="A67" s="107">
        <v>1</v>
      </c>
      <c r="B67" s="109" t="s">
        <v>30</v>
      </c>
      <c r="C67" s="37" t="s">
        <v>33</v>
      </c>
      <c r="D67" s="11">
        <v>1</v>
      </c>
      <c r="E67" s="11">
        <v>1</v>
      </c>
      <c r="F67" s="11">
        <v>0</v>
      </c>
      <c r="G67" s="11">
        <v>427</v>
      </c>
      <c r="H67" s="11">
        <v>0</v>
      </c>
      <c r="I67" s="12">
        <f>SUM(G67:H67)</f>
        <v>427</v>
      </c>
      <c r="J67" s="6">
        <f>ROUND(I67*0.25, 0)</f>
        <v>107</v>
      </c>
      <c r="K67" s="11">
        <v>0</v>
      </c>
      <c r="L67" s="11">
        <v>38</v>
      </c>
      <c r="M67" s="11">
        <v>5</v>
      </c>
      <c r="N67" s="11">
        <v>0</v>
      </c>
      <c r="O67" s="11">
        <v>0</v>
      </c>
      <c r="P67" s="11">
        <v>0</v>
      </c>
      <c r="Q67" s="12">
        <f>SUM(I67:P67)+F67</f>
        <v>577</v>
      </c>
    </row>
    <row r="68" spans="1:17">
      <c r="A68" s="108"/>
      <c r="B68" s="110"/>
      <c r="C68" s="37" t="s">
        <v>34</v>
      </c>
      <c r="D68" s="11">
        <v>17</v>
      </c>
      <c r="E68" s="11">
        <v>17</v>
      </c>
      <c r="F68" s="11">
        <v>0</v>
      </c>
      <c r="G68" s="11">
        <v>4868</v>
      </c>
      <c r="H68" s="11">
        <v>0</v>
      </c>
      <c r="I68" s="12">
        <f>SUM(G68:H68)</f>
        <v>4868</v>
      </c>
      <c r="J68" s="6">
        <f>ROUND(I68*0.25, 0)</f>
        <v>1217</v>
      </c>
      <c r="K68" s="11">
        <v>0</v>
      </c>
      <c r="L68" s="11">
        <v>438</v>
      </c>
      <c r="M68" s="11">
        <v>82</v>
      </c>
      <c r="N68" s="11">
        <v>0</v>
      </c>
      <c r="O68" s="11">
        <v>0</v>
      </c>
      <c r="P68" s="11">
        <v>0</v>
      </c>
      <c r="Q68" s="12">
        <f>SUM(I68:P68)+F68</f>
        <v>6605</v>
      </c>
    </row>
    <row r="69" spans="1:17" ht="14.4" thickBot="1">
      <c r="A69" s="35"/>
      <c r="B69" s="39"/>
      <c r="C69" s="38" t="s">
        <v>35</v>
      </c>
      <c r="D69" s="14">
        <f>SUM(D67:D68)</f>
        <v>18</v>
      </c>
      <c r="E69" s="14">
        <f t="shared" ref="E69:Q69" si="2">SUM(E67:E68)</f>
        <v>18</v>
      </c>
      <c r="F69" s="14">
        <f t="shared" si="2"/>
        <v>0</v>
      </c>
      <c r="G69" s="14">
        <f t="shared" si="2"/>
        <v>5295</v>
      </c>
      <c r="H69" s="14">
        <f t="shared" si="2"/>
        <v>0</v>
      </c>
      <c r="I69" s="14">
        <f t="shared" si="2"/>
        <v>5295</v>
      </c>
      <c r="J69" s="14">
        <f t="shared" si="2"/>
        <v>1324</v>
      </c>
      <c r="K69" s="14">
        <f t="shared" si="2"/>
        <v>0</v>
      </c>
      <c r="L69" s="14">
        <f t="shared" si="2"/>
        <v>476</v>
      </c>
      <c r="M69" s="14">
        <f t="shared" si="2"/>
        <v>87</v>
      </c>
      <c r="N69" s="14">
        <f t="shared" si="2"/>
        <v>0</v>
      </c>
      <c r="O69" s="14">
        <f t="shared" si="2"/>
        <v>0</v>
      </c>
      <c r="P69" s="14">
        <f t="shared" si="2"/>
        <v>0</v>
      </c>
      <c r="Q69" s="14">
        <f t="shared" si="2"/>
        <v>7182</v>
      </c>
    </row>
    <row r="70" spans="1:17" ht="14.4" thickTop="1">
      <c r="A70" s="79"/>
      <c r="B70" s="52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</row>
    <row r="71" spans="1:17" ht="19.5" customHeight="1">
      <c r="A71" s="113" t="s">
        <v>21</v>
      </c>
      <c r="B71" s="113" t="s">
        <v>29</v>
      </c>
      <c r="C71" s="116" t="s">
        <v>31</v>
      </c>
      <c r="D71" s="1" t="s">
        <v>38</v>
      </c>
      <c r="E71" s="1" t="s">
        <v>38</v>
      </c>
      <c r="F71" s="103" t="s">
        <v>39</v>
      </c>
      <c r="G71" s="103" t="s">
        <v>40</v>
      </c>
      <c r="H71" s="103" t="s">
        <v>41</v>
      </c>
      <c r="I71" s="103" t="s">
        <v>42</v>
      </c>
      <c r="J71" s="103" t="s">
        <v>131</v>
      </c>
      <c r="K71" s="103" t="s">
        <v>43</v>
      </c>
      <c r="L71" s="103" t="s">
        <v>44</v>
      </c>
      <c r="M71" s="103" t="s">
        <v>45</v>
      </c>
      <c r="N71" s="103" t="s">
        <v>46</v>
      </c>
      <c r="O71" s="103" t="s">
        <v>48</v>
      </c>
      <c r="P71" s="103" t="s">
        <v>49</v>
      </c>
      <c r="Q71" s="103" t="s">
        <v>42</v>
      </c>
    </row>
    <row r="72" spans="1:17">
      <c r="A72" s="114"/>
      <c r="B72" s="114"/>
      <c r="C72" s="117"/>
      <c r="D72" s="82" t="s">
        <v>128</v>
      </c>
      <c r="E72" s="82" t="s">
        <v>134</v>
      </c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</row>
    <row r="73" spans="1:17">
      <c r="A73" s="115"/>
      <c r="B73" s="115"/>
      <c r="C73" s="25" t="s">
        <v>36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2">
        <f>SUM(G73:H73)</f>
        <v>0</v>
      </c>
      <c r="J73" s="6">
        <f>ROUND(I73*1.6, 0)</f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2">
        <f>SUM(I73:P73)+F73</f>
        <v>0</v>
      </c>
    </row>
    <row r="74" spans="1:17" ht="14.4" thickBot="1">
      <c r="A74" s="35"/>
      <c r="B74" s="39"/>
      <c r="C74" s="39" t="s">
        <v>37</v>
      </c>
      <c r="D74" s="13">
        <f>SUM(D73)</f>
        <v>0</v>
      </c>
      <c r="E74" s="13">
        <f t="shared" ref="E74:Q74" si="3">SUM(E73)</f>
        <v>0</v>
      </c>
      <c r="F74" s="13">
        <f t="shared" si="3"/>
        <v>0</v>
      </c>
      <c r="G74" s="13">
        <f t="shared" si="3"/>
        <v>0</v>
      </c>
      <c r="H74" s="13">
        <f t="shared" si="3"/>
        <v>0</v>
      </c>
      <c r="I74" s="13">
        <f t="shared" si="3"/>
        <v>0</v>
      </c>
      <c r="J74" s="13">
        <f t="shared" si="3"/>
        <v>0</v>
      </c>
      <c r="K74" s="13">
        <f t="shared" si="3"/>
        <v>0</v>
      </c>
      <c r="L74" s="13">
        <f t="shared" si="3"/>
        <v>0</v>
      </c>
      <c r="M74" s="13">
        <f t="shared" si="3"/>
        <v>0</v>
      </c>
      <c r="N74" s="13">
        <f t="shared" si="3"/>
        <v>0</v>
      </c>
      <c r="O74" s="13">
        <f t="shared" si="3"/>
        <v>0</v>
      </c>
      <c r="P74" s="13">
        <f t="shared" si="3"/>
        <v>0</v>
      </c>
      <c r="Q74" s="13">
        <f t="shared" si="3"/>
        <v>0</v>
      </c>
    </row>
    <row r="75" spans="1:17" ht="14.4" thickTop="1">
      <c r="C75" s="54"/>
      <c r="N75" s="75"/>
      <c r="O75" s="75"/>
      <c r="P75" s="105"/>
      <c r="Q75" s="105"/>
    </row>
    <row r="76" spans="1:17">
      <c r="A76" s="111" t="str">
        <f>$A$1</f>
        <v>प्रपत्र - ड  -  अर्थसंकल्पीय अंदाजपत्रक सन 2021-2022</v>
      </c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</row>
    <row r="77" spans="1:17">
      <c r="A77" s="111" t="s">
        <v>18</v>
      </c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</row>
    <row r="78" spans="1:17">
      <c r="A78" s="106" t="s">
        <v>25</v>
      </c>
      <c r="B78" s="106"/>
      <c r="C78" s="106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112" t="s">
        <v>47</v>
      </c>
      <c r="P78" s="112"/>
      <c r="Q78" s="112"/>
    </row>
    <row r="79" spans="1:17" ht="19.5" customHeight="1">
      <c r="A79" s="113" t="s">
        <v>20</v>
      </c>
      <c r="B79" s="113" t="s">
        <v>29</v>
      </c>
      <c r="C79" s="116" t="s">
        <v>31</v>
      </c>
      <c r="D79" s="1" t="s">
        <v>38</v>
      </c>
      <c r="E79" s="1" t="s">
        <v>38</v>
      </c>
      <c r="F79" s="103" t="s">
        <v>39</v>
      </c>
      <c r="G79" s="103" t="s">
        <v>40</v>
      </c>
      <c r="H79" s="103" t="s">
        <v>41</v>
      </c>
      <c r="I79" s="103" t="s">
        <v>42</v>
      </c>
      <c r="J79" s="103" t="s">
        <v>131</v>
      </c>
      <c r="K79" s="103" t="s">
        <v>43</v>
      </c>
      <c r="L79" s="103" t="s">
        <v>44</v>
      </c>
      <c r="M79" s="103" t="s">
        <v>45</v>
      </c>
      <c r="N79" s="103" t="s">
        <v>46</v>
      </c>
      <c r="O79" s="103" t="s">
        <v>48</v>
      </c>
      <c r="P79" s="103" t="s">
        <v>49</v>
      </c>
      <c r="Q79" s="103" t="s">
        <v>42</v>
      </c>
    </row>
    <row r="80" spans="1:17">
      <c r="A80" s="114"/>
      <c r="B80" s="114"/>
      <c r="C80" s="117"/>
      <c r="D80" s="82" t="s">
        <v>128</v>
      </c>
      <c r="E80" s="82" t="s">
        <v>134</v>
      </c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</row>
    <row r="81" spans="1:17">
      <c r="A81" s="115"/>
      <c r="B81" s="115"/>
      <c r="C81" s="120" t="s">
        <v>32</v>
      </c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2"/>
    </row>
    <row r="82" spans="1:17">
      <c r="A82" s="107">
        <v>1</v>
      </c>
      <c r="B82" s="109" t="s">
        <v>30</v>
      </c>
      <c r="C82" s="37" t="s">
        <v>33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2">
        <f>SUM(G82:H82)</f>
        <v>0</v>
      </c>
      <c r="J82" s="6">
        <f>ROUND(I81*1.6, 0)</f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2">
        <f>SUM(I82:P82)+F82</f>
        <v>0</v>
      </c>
    </row>
    <row r="83" spans="1:17">
      <c r="A83" s="108"/>
      <c r="B83" s="110"/>
      <c r="C83" s="37" t="s">
        <v>34</v>
      </c>
      <c r="D83" s="11">
        <v>7</v>
      </c>
      <c r="E83" s="11">
        <v>7</v>
      </c>
      <c r="F83" s="11">
        <v>0</v>
      </c>
      <c r="G83" s="11">
        <v>1854</v>
      </c>
      <c r="H83" s="11">
        <v>0</v>
      </c>
      <c r="I83" s="12">
        <f>SUM(G83:H83)</f>
        <v>1854</v>
      </c>
      <c r="J83" s="6">
        <f>ROUND(I83*0.25, 0)</f>
        <v>464</v>
      </c>
      <c r="K83" s="11">
        <v>34</v>
      </c>
      <c r="L83" s="11">
        <v>148</v>
      </c>
      <c r="M83" s="11">
        <v>0</v>
      </c>
      <c r="N83" s="11">
        <v>0</v>
      </c>
      <c r="O83" s="11">
        <v>0</v>
      </c>
      <c r="P83" s="11">
        <v>0</v>
      </c>
      <c r="Q83" s="12">
        <f>SUM(I83:P83)+F83</f>
        <v>2500</v>
      </c>
    </row>
    <row r="84" spans="1:17" ht="14.4" thickBot="1">
      <c r="A84" s="35"/>
      <c r="B84" s="39"/>
      <c r="C84" s="38" t="s">
        <v>35</v>
      </c>
      <c r="D84" s="14">
        <f>SUM(D82:D83)</f>
        <v>7</v>
      </c>
      <c r="E84" s="14">
        <f t="shared" ref="E84:Q84" si="4">SUM(E82:E83)</f>
        <v>7</v>
      </c>
      <c r="F84" s="14">
        <f t="shared" si="4"/>
        <v>0</v>
      </c>
      <c r="G84" s="14">
        <f t="shared" si="4"/>
        <v>1854</v>
      </c>
      <c r="H84" s="14">
        <f t="shared" si="4"/>
        <v>0</v>
      </c>
      <c r="I84" s="14">
        <f t="shared" si="4"/>
        <v>1854</v>
      </c>
      <c r="J84" s="14">
        <f t="shared" si="4"/>
        <v>464</v>
      </c>
      <c r="K84" s="14">
        <f t="shared" si="4"/>
        <v>34</v>
      </c>
      <c r="L84" s="14">
        <f t="shared" si="4"/>
        <v>148</v>
      </c>
      <c r="M84" s="14">
        <f t="shared" si="4"/>
        <v>0</v>
      </c>
      <c r="N84" s="14">
        <f t="shared" si="4"/>
        <v>0</v>
      </c>
      <c r="O84" s="14">
        <f t="shared" si="4"/>
        <v>0</v>
      </c>
      <c r="P84" s="14">
        <f t="shared" si="4"/>
        <v>0</v>
      </c>
      <c r="Q84" s="14">
        <f t="shared" si="4"/>
        <v>2500</v>
      </c>
    </row>
    <row r="85" spans="1:17" ht="14.4" thickTop="1">
      <c r="A85" s="79"/>
      <c r="B85" s="52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</row>
    <row r="86" spans="1:17" ht="19.5" customHeight="1">
      <c r="A86" s="113" t="s">
        <v>21</v>
      </c>
      <c r="B86" s="113" t="s">
        <v>29</v>
      </c>
      <c r="C86" s="116" t="s">
        <v>31</v>
      </c>
      <c r="D86" s="1" t="s">
        <v>38</v>
      </c>
      <c r="E86" s="1" t="s">
        <v>38</v>
      </c>
      <c r="F86" s="103" t="s">
        <v>39</v>
      </c>
      <c r="G86" s="103" t="s">
        <v>40</v>
      </c>
      <c r="H86" s="103" t="s">
        <v>41</v>
      </c>
      <c r="I86" s="103" t="s">
        <v>42</v>
      </c>
      <c r="J86" s="103" t="s">
        <v>131</v>
      </c>
      <c r="K86" s="103" t="s">
        <v>43</v>
      </c>
      <c r="L86" s="103" t="s">
        <v>44</v>
      </c>
      <c r="M86" s="103" t="s">
        <v>45</v>
      </c>
      <c r="N86" s="103" t="s">
        <v>46</v>
      </c>
      <c r="O86" s="103" t="s">
        <v>48</v>
      </c>
      <c r="P86" s="103" t="s">
        <v>49</v>
      </c>
      <c r="Q86" s="103" t="s">
        <v>42</v>
      </c>
    </row>
    <row r="87" spans="1:17">
      <c r="A87" s="114"/>
      <c r="B87" s="114"/>
      <c r="C87" s="117"/>
      <c r="D87" s="82" t="s">
        <v>128</v>
      </c>
      <c r="E87" s="82" t="s">
        <v>134</v>
      </c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</row>
    <row r="88" spans="1:17">
      <c r="A88" s="115"/>
      <c r="B88" s="115"/>
      <c r="C88" s="25" t="s">
        <v>36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2">
        <f>SUM(G88:H88)</f>
        <v>0</v>
      </c>
      <c r="J88" s="6">
        <f>ROUND(I88*1.5, 0)</f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2">
        <f>SUM(I88:P88)+F88</f>
        <v>0</v>
      </c>
    </row>
    <row r="89" spans="1:17" ht="14.4" thickBot="1">
      <c r="A89" s="35"/>
      <c r="B89" s="39"/>
      <c r="C89" s="39" t="s">
        <v>37</v>
      </c>
      <c r="D89" s="13">
        <f>SUM(D88)</f>
        <v>0</v>
      </c>
      <c r="E89" s="13">
        <f t="shared" ref="E89:Q89" si="5">SUM(E88)</f>
        <v>0</v>
      </c>
      <c r="F89" s="13">
        <f t="shared" si="5"/>
        <v>0</v>
      </c>
      <c r="G89" s="13">
        <f t="shared" si="5"/>
        <v>0</v>
      </c>
      <c r="H89" s="13">
        <f t="shared" si="5"/>
        <v>0</v>
      </c>
      <c r="I89" s="13">
        <f t="shared" si="5"/>
        <v>0</v>
      </c>
      <c r="J89" s="13">
        <f t="shared" si="5"/>
        <v>0</v>
      </c>
      <c r="K89" s="13">
        <f t="shared" si="5"/>
        <v>0</v>
      </c>
      <c r="L89" s="13">
        <f t="shared" si="5"/>
        <v>0</v>
      </c>
      <c r="M89" s="13">
        <f t="shared" si="5"/>
        <v>0</v>
      </c>
      <c r="N89" s="13">
        <f t="shared" si="5"/>
        <v>0</v>
      </c>
      <c r="O89" s="13">
        <f t="shared" si="5"/>
        <v>0</v>
      </c>
      <c r="P89" s="13">
        <f t="shared" si="5"/>
        <v>0</v>
      </c>
      <c r="Q89" s="13">
        <f t="shared" si="5"/>
        <v>0</v>
      </c>
    </row>
    <row r="90" spans="1:17" ht="14.4" thickTop="1">
      <c r="C90" s="54"/>
      <c r="N90" s="75"/>
      <c r="O90" s="75"/>
      <c r="P90" s="105"/>
      <c r="Q90" s="105"/>
    </row>
    <row r="91" spans="1:17">
      <c r="A91" s="111" t="str">
        <f>$A$1</f>
        <v>प्रपत्र - ड  -  अर्थसंकल्पीय अंदाजपत्रक सन 2021-2022</v>
      </c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</row>
    <row r="92" spans="1:17">
      <c r="A92" s="111" t="s">
        <v>18</v>
      </c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</row>
    <row r="93" spans="1:17">
      <c r="A93" s="106" t="s">
        <v>26</v>
      </c>
      <c r="B93" s="106"/>
      <c r="C93" s="106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112" t="s">
        <v>47</v>
      </c>
      <c r="P93" s="112"/>
      <c r="Q93" s="112"/>
    </row>
    <row r="94" spans="1:17" ht="19.5" customHeight="1">
      <c r="A94" s="113" t="s">
        <v>20</v>
      </c>
      <c r="B94" s="113" t="s">
        <v>29</v>
      </c>
      <c r="C94" s="116" t="s">
        <v>31</v>
      </c>
      <c r="D94" s="1" t="s">
        <v>38</v>
      </c>
      <c r="E94" s="1" t="s">
        <v>38</v>
      </c>
      <c r="F94" s="103" t="s">
        <v>39</v>
      </c>
      <c r="G94" s="103" t="s">
        <v>40</v>
      </c>
      <c r="H94" s="103" t="s">
        <v>41</v>
      </c>
      <c r="I94" s="103" t="s">
        <v>42</v>
      </c>
      <c r="J94" s="103" t="s">
        <v>131</v>
      </c>
      <c r="K94" s="103" t="s">
        <v>43</v>
      </c>
      <c r="L94" s="103" t="s">
        <v>44</v>
      </c>
      <c r="M94" s="103" t="s">
        <v>45</v>
      </c>
      <c r="N94" s="103" t="s">
        <v>46</v>
      </c>
      <c r="O94" s="103" t="s">
        <v>48</v>
      </c>
      <c r="P94" s="103" t="s">
        <v>49</v>
      </c>
      <c r="Q94" s="103" t="s">
        <v>42</v>
      </c>
    </row>
    <row r="95" spans="1:17">
      <c r="A95" s="114"/>
      <c r="B95" s="114"/>
      <c r="C95" s="117"/>
      <c r="D95" s="82" t="s">
        <v>128</v>
      </c>
      <c r="E95" s="82" t="s">
        <v>134</v>
      </c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</row>
    <row r="96" spans="1:17">
      <c r="A96" s="115"/>
      <c r="B96" s="115"/>
      <c r="C96" s="120" t="s">
        <v>32</v>
      </c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2"/>
    </row>
    <row r="97" spans="1:17">
      <c r="A97" s="107">
        <v>1</v>
      </c>
      <c r="B97" s="109" t="s">
        <v>30</v>
      </c>
      <c r="C97" s="37" t="s">
        <v>33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2">
        <f>SUM(G97:H97)</f>
        <v>0</v>
      </c>
      <c r="J97" s="6">
        <f>ROUND(I97*1.3, 0)</f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2">
        <f>SUM(I97:P97)+F97</f>
        <v>0</v>
      </c>
    </row>
    <row r="98" spans="1:17">
      <c r="A98" s="108"/>
      <c r="B98" s="110"/>
      <c r="C98" s="37" t="s">
        <v>34</v>
      </c>
      <c r="D98" s="11">
        <v>1</v>
      </c>
      <c r="E98" s="11">
        <v>1</v>
      </c>
      <c r="F98" s="11">
        <v>0</v>
      </c>
      <c r="G98" s="11">
        <v>286</v>
      </c>
      <c r="H98" s="11">
        <v>0</v>
      </c>
      <c r="I98" s="12">
        <f>SUM(G98:H98)</f>
        <v>286</v>
      </c>
      <c r="J98" s="6">
        <f>ROUND(I98*0.25, 0)</f>
        <v>72</v>
      </c>
      <c r="K98" s="11">
        <v>0</v>
      </c>
      <c r="L98" s="11">
        <v>26</v>
      </c>
      <c r="M98" s="11">
        <v>5</v>
      </c>
      <c r="N98" s="11">
        <v>0</v>
      </c>
      <c r="O98" s="11">
        <v>0</v>
      </c>
      <c r="P98" s="11">
        <v>0</v>
      </c>
      <c r="Q98" s="12">
        <f>SUM(I98:P98)+F98</f>
        <v>389</v>
      </c>
    </row>
    <row r="99" spans="1:17" ht="14.4" thickBot="1">
      <c r="A99" s="35"/>
      <c r="B99" s="39"/>
      <c r="C99" s="38" t="s">
        <v>35</v>
      </c>
      <c r="D99" s="14">
        <f>SUM(D97:D98)</f>
        <v>1</v>
      </c>
      <c r="E99" s="14">
        <f t="shared" ref="E99:Q99" si="6">SUM(E97:E98)</f>
        <v>1</v>
      </c>
      <c r="F99" s="14">
        <f t="shared" si="6"/>
        <v>0</v>
      </c>
      <c r="G99" s="14">
        <f t="shared" si="6"/>
        <v>286</v>
      </c>
      <c r="H99" s="14">
        <f t="shared" si="6"/>
        <v>0</v>
      </c>
      <c r="I99" s="14">
        <f t="shared" si="6"/>
        <v>286</v>
      </c>
      <c r="J99" s="14">
        <f t="shared" si="6"/>
        <v>72</v>
      </c>
      <c r="K99" s="14">
        <f t="shared" si="6"/>
        <v>0</v>
      </c>
      <c r="L99" s="14">
        <f t="shared" si="6"/>
        <v>26</v>
      </c>
      <c r="M99" s="14">
        <f t="shared" si="6"/>
        <v>5</v>
      </c>
      <c r="N99" s="14">
        <f t="shared" si="6"/>
        <v>0</v>
      </c>
      <c r="O99" s="14">
        <f t="shared" si="6"/>
        <v>0</v>
      </c>
      <c r="P99" s="14">
        <f t="shared" si="6"/>
        <v>0</v>
      </c>
      <c r="Q99" s="14">
        <f t="shared" si="6"/>
        <v>389</v>
      </c>
    </row>
    <row r="100" spans="1:17" ht="14.4" thickTop="1">
      <c r="A100" s="79"/>
      <c r="B100" s="52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</row>
    <row r="101" spans="1:17" ht="19.5" customHeight="1">
      <c r="A101" s="113" t="s">
        <v>21</v>
      </c>
      <c r="B101" s="113" t="s">
        <v>29</v>
      </c>
      <c r="C101" s="116" t="s">
        <v>31</v>
      </c>
      <c r="D101" s="1" t="s">
        <v>38</v>
      </c>
      <c r="E101" s="1" t="s">
        <v>38</v>
      </c>
      <c r="F101" s="103" t="s">
        <v>39</v>
      </c>
      <c r="G101" s="103" t="s">
        <v>40</v>
      </c>
      <c r="H101" s="103" t="s">
        <v>41</v>
      </c>
      <c r="I101" s="103" t="s">
        <v>42</v>
      </c>
      <c r="J101" s="103" t="s">
        <v>131</v>
      </c>
      <c r="K101" s="103" t="s">
        <v>43</v>
      </c>
      <c r="L101" s="103" t="s">
        <v>44</v>
      </c>
      <c r="M101" s="103" t="s">
        <v>45</v>
      </c>
      <c r="N101" s="103" t="s">
        <v>46</v>
      </c>
      <c r="O101" s="103" t="s">
        <v>48</v>
      </c>
      <c r="P101" s="103" t="s">
        <v>49</v>
      </c>
      <c r="Q101" s="103" t="s">
        <v>42</v>
      </c>
    </row>
    <row r="102" spans="1:17">
      <c r="A102" s="114"/>
      <c r="B102" s="114"/>
      <c r="C102" s="117"/>
      <c r="D102" s="82" t="s">
        <v>128</v>
      </c>
      <c r="E102" s="82" t="s">
        <v>134</v>
      </c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</row>
    <row r="103" spans="1:17">
      <c r="A103" s="115"/>
      <c r="B103" s="115"/>
      <c r="C103" s="25" t="s">
        <v>36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2">
        <f>SUM(G103:H103)</f>
        <v>0</v>
      </c>
      <c r="J103" s="6">
        <f>ROUND(I103*1.3, 0)</f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2">
        <f>SUM(I103:P103)+F103</f>
        <v>0</v>
      </c>
    </row>
    <row r="104" spans="1:17" ht="14.4" thickBot="1">
      <c r="A104" s="35"/>
      <c r="B104" s="39"/>
      <c r="C104" s="39" t="s">
        <v>37</v>
      </c>
      <c r="D104" s="13">
        <f>SUM(D103)</f>
        <v>0</v>
      </c>
      <c r="E104" s="13">
        <f t="shared" ref="E104:Q104" si="7">SUM(E103)</f>
        <v>0</v>
      </c>
      <c r="F104" s="13">
        <f t="shared" si="7"/>
        <v>0</v>
      </c>
      <c r="G104" s="13">
        <f t="shared" si="7"/>
        <v>0</v>
      </c>
      <c r="H104" s="13">
        <f t="shared" si="7"/>
        <v>0</v>
      </c>
      <c r="I104" s="13">
        <f t="shared" si="7"/>
        <v>0</v>
      </c>
      <c r="J104" s="13">
        <f t="shared" si="7"/>
        <v>0</v>
      </c>
      <c r="K104" s="13">
        <f t="shared" si="7"/>
        <v>0</v>
      </c>
      <c r="L104" s="13">
        <f t="shared" si="7"/>
        <v>0</v>
      </c>
      <c r="M104" s="13">
        <f t="shared" si="7"/>
        <v>0</v>
      </c>
      <c r="N104" s="13">
        <f t="shared" si="7"/>
        <v>0</v>
      </c>
      <c r="O104" s="13">
        <f t="shared" si="7"/>
        <v>0</v>
      </c>
      <c r="P104" s="13">
        <f t="shared" si="7"/>
        <v>0</v>
      </c>
      <c r="Q104" s="13">
        <f t="shared" si="7"/>
        <v>0</v>
      </c>
    </row>
    <row r="105" spans="1:17" ht="14.4" thickTop="1">
      <c r="C105" s="54"/>
      <c r="N105" s="75"/>
      <c r="O105" s="75"/>
      <c r="P105" s="105"/>
      <c r="Q105" s="105"/>
    </row>
    <row r="106" spans="1:17">
      <c r="A106" s="111" t="str">
        <f>$A$1</f>
        <v>प्रपत्र - ड  -  अर्थसंकल्पीय अंदाजपत्रक सन 2021-2022</v>
      </c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</row>
    <row r="107" spans="1:17">
      <c r="A107" s="111" t="s">
        <v>18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</row>
    <row r="108" spans="1:17">
      <c r="A108" s="106" t="s">
        <v>27</v>
      </c>
      <c r="B108" s="106"/>
      <c r="C108" s="106"/>
      <c r="D108" s="106"/>
      <c r="E108" s="106"/>
      <c r="F108" s="106"/>
      <c r="G108" s="51"/>
      <c r="H108" s="51"/>
      <c r="I108" s="51"/>
      <c r="J108" s="51"/>
      <c r="K108" s="51"/>
      <c r="L108" s="51"/>
      <c r="M108" s="51"/>
      <c r="N108" s="51"/>
      <c r="O108" s="112" t="s">
        <v>47</v>
      </c>
      <c r="P108" s="112"/>
      <c r="Q108" s="112"/>
    </row>
    <row r="109" spans="1:17" ht="19.5" customHeight="1">
      <c r="A109" s="113" t="s">
        <v>20</v>
      </c>
      <c r="B109" s="113" t="s">
        <v>29</v>
      </c>
      <c r="C109" s="116" t="s">
        <v>31</v>
      </c>
      <c r="D109" s="1" t="s">
        <v>38</v>
      </c>
      <c r="E109" s="1" t="s">
        <v>38</v>
      </c>
      <c r="F109" s="103" t="s">
        <v>39</v>
      </c>
      <c r="G109" s="103" t="s">
        <v>40</v>
      </c>
      <c r="H109" s="103" t="s">
        <v>41</v>
      </c>
      <c r="I109" s="103" t="s">
        <v>42</v>
      </c>
      <c r="J109" s="103" t="s">
        <v>131</v>
      </c>
      <c r="K109" s="103" t="s">
        <v>43</v>
      </c>
      <c r="L109" s="103" t="s">
        <v>44</v>
      </c>
      <c r="M109" s="103" t="s">
        <v>45</v>
      </c>
      <c r="N109" s="103" t="s">
        <v>46</v>
      </c>
      <c r="O109" s="103" t="s">
        <v>48</v>
      </c>
      <c r="P109" s="103" t="s">
        <v>49</v>
      </c>
      <c r="Q109" s="103" t="s">
        <v>42</v>
      </c>
    </row>
    <row r="110" spans="1:17">
      <c r="A110" s="114"/>
      <c r="B110" s="114"/>
      <c r="C110" s="117"/>
      <c r="D110" s="82" t="s">
        <v>128</v>
      </c>
      <c r="E110" s="82" t="s">
        <v>134</v>
      </c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</row>
    <row r="111" spans="1:17">
      <c r="A111" s="115"/>
      <c r="B111" s="115"/>
      <c r="C111" s="120" t="s">
        <v>32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2"/>
    </row>
    <row r="112" spans="1:17">
      <c r="A112" s="107">
        <v>1</v>
      </c>
      <c r="B112" s="109" t="s">
        <v>30</v>
      </c>
      <c r="C112" s="37" t="s">
        <v>33</v>
      </c>
      <c r="D112" s="11"/>
      <c r="E112" s="11"/>
      <c r="F112" s="11"/>
      <c r="G112" s="11"/>
      <c r="H112" s="11"/>
      <c r="I112" s="12">
        <v>0</v>
      </c>
      <c r="J112" s="6">
        <v>0</v>
      </c>
      <c r="K112" s="11"/>
      <c r="L112" s="11"/>
      <c r="M112" s="11"/>
      <c r="N112" s="11"/>
      <c r="O112" s="11"/>
      <c r="P112" s="11"/>
      <c r="Q112" s="12">
        <v>0</v>
      </c>
    </row>
    <row r="113" spans="1:17">
      <c r="A113" s="108"/>
      <c r="B113" s="110"/>
      <c r="C113" s="37" t="s">
        <v>34</v>
      </c>
      <c r="D113" s="11"/>
      <c r="E113" s="11"/>
      <c r="F113" s="11"/>
      <c r="G113" s="11"/>
      <c r="H113" s="11"/>
      <c r="I113" s="12">
        <v>0</v>
      </c>
      <c r="J113" s="6">
        <v>0</v>
      </c>
      <c r="K113" s="11"/>
      <c r="L113" s="11"/>
      <c r="M113" s="11"/>
      <c r="N113" s="11"/>
      <c r="O113" s="11"/>
      <c r="P113" s="11"/>
      <c r="Q113" s="12">
        <v>0</v>
      </c>
    </row>
    <row r="114" spans="1:17" ht="14.4" thickBot="1">
      <c r="A114" s="35"/>
      <c r="B114" s="39"/>
      <c r="C114" s="38" t="s">
        <v>35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</row>
    <row r="115" spans="1:17" ht="14.4" thickTop="1">
      <c r="A115" s="79"/>
      <c r="B115" s="52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</row>
    <row r="116" spans="1:17" ht="19.5" customHeight="1">
      <c r="A116" s="113" t="s">
        <v>21</v>
      </c>
      <c r="B116" s="113" t="s">
        <v>29</v>
      </c>
      <c r="C116" s="116" t="s">
        <v>31</v>
      </c>
      <c r="D116" s="1" t="s">
        <v>38</v>
      </c>
      <c r="E116" s="1" t="s">
        <v>38</v>
      </c>
      <c r="F116" s="103" t="s">
        <v>39</v>
      </c>
      <c r="G116" s="103" t="s">
        <v>40</v>
      </c>
      <c r="H116" s="103" t="s">
        <v>41</v>
      </c>
      <c r="I116" s="103" t="s">
        <v>42</v>
      </c>
      <c r="J116" s="103" t="s">
        <v>131</v>
      </c>
      <c r="K116" s="103" t="s">
        <v>43</v>
      </c>
      <c r="L116" s="103" t="s">
        <v>44</v>
      </c>
      <c r="M116" s="103" t="s">
        <v>45</v>
      </c>
      <c r="N116" s="103" t="s">
        <v>46</v>
      </c>
      <c r="O116" s="103" t="s">
        <v>48</v>
      </c>
      <c r="P116" s="103" t="s">
        <v>49</v>
      </c>
      <c r="Q116" s="103" t="s">
        <v>42</v>
      </c>
    </row>
    <row r="117" spans="1:17">
      <c r="A117" s="114"/>
      <c r="B117" s="114"/>
      <c r="C117" s="117"/>
      <c r="D117" s="82" t="s">
        <v>128</v>
      </c>
      <c r="E117" s="82" t="s">
        <v>134</v>
      </c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</row>
    <row r="118" spans="1:17">
      <c r="A118" s="115"/>
      <c r="B118" s="115"/>
      <c r="C118" s="25" t="s">
        <v>36</v>
      </c>
      <c r="D118" s="11"/>
      <c r="E118" s="11"/>
      <c r="F118" s="11"/>
      <c r="G118" s="11"/>
      <c r="H118" s="11"/>
      <c r="I118" s="12">
        <v>0</v>
      </c>
      <c r="J118" s="11">
        <v>0</v>
      </c>
      <c r="K118" s="11"/>
      <c r="L118" s="11"/>
      <c r="M118" s="11"/>
      <c r="N118" s="11"/>
      <c r="O118" s="11"/>
      <c r="P118" s="11"/>
      <c r="Q118" s="12">
        <v>0</v>
      </c>
    </row>
    <row r="119" spans="1:17" ht="14.4" thickBot="1">
      <c r="A119" s="35"/>
      <c r="B119" s="39"/>
      <c r="C119" s="39" t="s">
        <v>37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</row>
    <row r="120" spans="1:17" ht="14.4" thickTop="1">
      <c r="C120" s="54"/>
      <c r="N120" s="75"/>
      <c r="O120" s="75"/>
      <c r="P120" s="105"/>
      <c r="Q120" s="105"/>
    </row>
    <row r="121" spans="1:17">
      <c r="A121" s="111" t="str">
        <f>$A$1</f>
        <v>प्रपत्र - ड  -  अर्थसंकल्पीय अंदाजपत्रक सन 2021-2022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</row>
    <row r="122" spans="1:17">
      <c r="A122" s="111" t="s">
        <v>18</v>
      </c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</row>
    <row r="123" spans="1:17">
      <c r="A123" s="123" t="s">
        <v>28</v>
      </c>
      <c r="B123" s="123"/>
      <c r="C123" s="123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112" t="s">
        <v>47</v>
      </c>
      <c r="P123" s="112"/>
      <c r="Q123" s="112"/>
    </row>
    <row r="124" spans="1:17" ht="19.5" customHeight="1">
      <c r="A124" s="113" t="s">
        <v>20</v>
      </c>
      <c r="B124" s="113" t="s">
        <v>29</v>
      </c>
      <c r="C124" s="116" t="s">
        <v>31</v>
      </c>
      <c r="D124" s="1" t="s">
        <v>38</v>
      </c>
      <c r="E124" s="1" t="s">
        <v>38</v>
      </c>
      <c r="F124" s="103" t="s">
        <v>39</v>
      </c>
      <c r="G124" s="103" t="s">
        <v>40</v>
      </c>
      <c r="H124" s="103" t="s">
        <v>41</v>
      </c>
      <c r="I124" s="103" t="s">
        <v>42</v>
      </c>
      <c r="J124" s="103" t="s">
        <v>131</v>
      </c>
      <c r="K124" s="103" t="s">
        <v>43</v>
      </c>
      <c r="L124" s="103" t="s">
        <v>44</v>
      </c>
      <c r="M124" s="103" t="s">
        <v>45</v>
      </c>
      <c r="N124" s="103" t="s">
        <v>46</v>
      </c>
      <c r="O124" s="103" t="s">
        <v>48</v>
      </c>
      <c r="P124" s="103" t="s">
        <v>49</v>
      </c>
      <c r="Q124" s="103" t="s">
        <v>42</v>
      </c>
    </row>
    <row r="125" spans="1:17">
      <c r="A125" s="114"/>
      <c r="B125" s="114"/>
      <c r="C125" s="117"/>
      <c r="D125" s="82" t="s">
        <v>128</v>
      </c>
      <c r="E125" s="82" t="s">
        <v>134</v>
      </c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</row>
    <row r="126" spans="1:17">
      <c r="A126" s="115"/>
      <c r="B126" s="115"/>
      <c r="C126" s="120" t="s">
        <v>32</v>
      </c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2"/>
    </row>
    <row r="127" spans="1:17">
      <c r="A127" s="107">
        <v>1</v>
      </c>
      <c r="B127" s="109" t="s">
        <v>30</v>
      </c>
      <c r="C127" s="37" t="s">
        <v>33</v>
      </c>
      <c r="D127" s="11">
        <f>SUM(D7+D22+D37+D51+D67+D82+D97+D112)</f>
        <v>2</v>
      </c>
      <c r="E127" s="11">
        <f t="shared" ref="E127:P129" si="8">SUM(E7+E22+E37+E51+E67+E82+E97+E112)</f>
        <v>2</v>
      </c>
      <c r="F127" s="11">
        <f t="shared" si="8"/>
        <v>0</v>
      </c>
      <c r="G127" s="11">
        <f t="shared" si="8"/>
        <v>873</v>
      </c>
      <c r="H127" s="11">
        <f t="shared" si="8"/>
        <v>0</v>
      </c>
      <c r="I127" s="11">
        <f t="shared" si="8"/>
        <v>873</v>
      </c>
      <c r="J127" s="11">
        <f>SUM(J7+J22+J37+J51+J67+J82+J97+J112)</f>
        <v>219</v>
      </c>
      <c r="K127" s="11">
        <f t="shared" si="8"/>
        <v>4</v>
      </c>
      <c r="L127" s="11">
        <f t="shared" si="8"/>
        <v>158</v>
      </c>
      <c r="M127" s="11">
        <f t="shared" si="8"/>
        <v>10</v>
      </c>
      <c r="N127" s="11">
        <f t="shared" si="8"/>
        <v>0</v>
      </c>
      <c r="O127" s="11">
        <f t="shared" si="8"/>
        <v>0</v>
      </c>
      <c r="P127" s="11">
        <f t="shared" si="8"/>
        <v>0</v>
      </c>
      <c r="Q127" s="11">
        <f>SUM(Q7+Q22+Q37+Q51+Q67+Q82+Q97+Q112)</f>
        <v>1264</v>
      </c>
    </row>
    <row r="128" spans="1:17">
      <c r="A128" s="108"/>
      <c r="B128" s="110"/>
      <c r="C128" s="37" t="s">
        <v>34</v>
      </c>
      <c r="D128" s="11">
        <f>SUM(D8+D23+D38+D52+D68+D83+D98+D113)</f>
        <v>29</v>
      </c>
      <c r="E128" s="11">
        <f t="shared" si="8"/>
        <v>29</v>
      </c>
      <c r="F128" s="11">
        <f t="shared" si="8"/>
        <v>0</v>
      </c>
      <c r="G128" s="11">
        <f t="shared" si="8"/>
        <v>8580</v>
      </c>
      <c r="H128" s="11">
        <f t="shared" si="8"/>
        <v>0</v>
      </c>
      <c r="I128" s="11">
        <f t="shared" si="8"/>
        <v>8580</v>
      </c>
      <c r="J128" s="11">
        <f>SUM(J8+J23+J38+J52+J68+J83+J98+J113)</f>
        <v>2146</v>
      </c>
      <c r="K128" s="11">
        <f t="shared" si="8"/>
        <v>53</v>
      </c>
      <c r="L128" s="11">
        <f t="shared" si="8"/>
        <v>788</v>
      </c>
      <c r="M128" s="11">
        <f t="shared" si="8"/>
        <v>107</v>
      </c>
      <c r="N128" s="11">
        <f t="shared" si="8"/>
        <v>0</v>
      </c>
      <c r="O128" s="11">
        <f t="shared" si="8"/>
        <v>24</v>
      </c>
      <c r="P128" s="11">
        <f t="shared" si="8"/>
        <v>0</v>
      </c>
      <c r="Q128" s="11">
        <f>SUM(Q8+Q23+Q38+Q52+Q68+Q83+Q98+Q113)</f>
        <v>11698</v>
      </c>
    </row>
    <row r="129" spans="1:17" ht="14.4" thickBot="1">
      <c r="A129" s="35"/>
      <c r="B129" s="39"/>
      <c r="C129" s="38" t="s">
        <v>35</v>
      </c>
      <c r="D129" s="11">
        <f>SUM(D9+D24+D39+D53+D69+D84+D99+D114)</f>
        <v>31</v>
      </c>
      <c r="E129" s="11">
        <f t="shared" si="8"/>
        <v>31</v>
      </c>
      <c r="F129" s="11">
        <f t="shared" si="8"/>
        <v>0</v>
      </c>
      <c r="G129" s="11">
        <f t="shared" si="8"/>
        <v>9453</v>
      </c>
      <c r="H129" s="11">
        <f t="shared" si="8"/>
        <v>0</v>
      </c>
      <c r="I129" s="11">
        <f t="shared" si="8"/>
        <v>9453</v>
      </c>
      <c r="J129" s="11">
        <f>SUM(J9+J24+J39+J53+J69+J84+J99+J114)</f>
        <v>2365</v>
      </c>
      <c r="K129" s="11">
        <f t="shared" si="8"/>
        <v>57</v>
      </c>
      <c r="L129" s="11">
        <f t="shared" si="8"/>
        <v>946</v>
      </c>
      <c r="M129" s="11">
        <f t="shared" si="8"/>
        <v>117</v>
      </c>
      <c r="N129" s="11">
        <f t="shared" si="8"/>
        <v>0</v>
      </c>
      <c r="O129" s="11">
        <f t="shared" si="8"/>
        <v>24</v>
      </c>
      <c r="P129" s="11">
        <f t="shared" si="8"/>
        <v>0</v>
      </c>
      <c r="Q129" s="11">
        <f>SUM(Q9+Q24+Q39+Q53+Q69+Q84+Q99+Q114)</f>
        <v>12962</v>
      </c>
    </row>
    <row r="130" spans="1:17" ht="14.4" thickTop="1">
      <c r="A130" s="79"/>
      <c r="B130" s="52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</row>
    <row r="131" spans="1:17" ht="19.5" customHeight="1">
      <c r="A131" s="113" t="s">
        <v>21</v>
      </c>
      <c r="B131" s="113" t="s">
        <v>29</v>
      </c>
      <c r="C131" s="116" t="s">
        <v>31</v>
      </c>
      <c r="D131" s="1" t="s">
        <v>38</v>
      </c>
      <c r="E131" s="1" t="s">
        <v>38</v>
      </c>
      <c r="F131" s="103" t="s">
        <v>39</v>
      </c>
      <c r="G131" s="103" t="s">
        <v>40</v>
      </c>
      <c r="H131" s="103" t="s">
        <v>41</v>
      </c>
      <c r="I131" s="103" t="s">
        <v>42</v>
      </c>
      <c r="J131" s="103" t="s">
        <v>131</v>
      </c>
      <c r="K131" s="103" t="s">
        <v>43</v>
      </c>
      <c r="L131" s="103" t="s">
        <v>44</v>
      </c>
      <c r="M131" s="103" t="s">
        <v>45</v>
      </c>
      <c r="N131" s="103" t="s">
        <v>46</v>
      </c>
      <c r="O131" s="103" t="s">
        <v>48</v>
      </c>
      <c r="P131" s="103" t="s">
        <v>49</v>
      </c>
      <c r="Q131" s="103" t="s">
        <v>42</v>
      </c>
    </row>
    <row r="132" spans="1:17">
      <c r="A132" s="114"/>
      <c r="B132" s="114"/>
      <c r="C132" s="117"/>
      <c r="D132" s="82" t="s">
        <v>128</v>
      </c>
      <c r="E132" s="82" t="s">
        <v>134</v>
      </c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</row>
    <row r="133" spans="1:17">
      <c r="A133" s="115"/>
      <c r="B133" s="115"/>
      <c r="C133" s="25" t="s">
        <v>36</v>
      </c>
      <c r="D133" s="11">
        <f>SUM(D13+D28+D43+D57+D73+D88+D103+D118)</f>
        <v>0</v>
      </c>
      <c r="E133" s="11">
        <f t="shared" ref="E133:Q134" si="9">SUM(E13+E28+E43+E57+E73+E88+E103+E118)</f>
        <v>0</v>
      </c>
      <c r="F133" s="11">
        <f t="shared" si="9"/>
        <v>0</v>
      </c>
      <c r="G133" s="11">
        <f t="shared" si="9"/>
        <v>0</v>
      </c>
      <c r="H133" s="11">
        <f t="shared" si="9"/>
        <v>0</v>
      </c>
      <c r="I133" s="11">
        <f t="shared" si="9"/>
        <v>0</v>
      </c>
      <c r="J133" s="11">
        <f t="shared" si="9"/>
        <v>0</v>
      </c>
      <c r="K133" s="11">
        <f t="shared" si="9"/>
        <v>0</v>
      </c>
      <c r="L133" s="11">
        <f t="shared" si="9"/>
        <v>0</v>
      </c>
      <c r="M133" s="11">
        <f t="shared" si="9"/>
        <v>0</v>
      </c>
      <c r="N133" s="11">
        <f t="shared" si="9"/>
        <v>0</v>
      </c>
      <c r="O133" s="11">
        <f t="shared" si="9"/>
        <v>0</v>
      </c>
      <c r="P133" s="11">
        <f t="shared" si="9"/>
        <v>0</v>
      </c>
      <c r="Q133" s="11">
        <f t="shared" si="9"/>
        <v>0</v>
      </c>
    </row>
    <row r="134" spans="1:17" ht="14.4" thickBot="1">
      <c r="A134" s="35"/>
      <c r="B134" s="39"/>
      <c r="C134" s="39" t="s">
        <v>37</v>
      </c>
      <c r="D134" s="11">
        <f>SUM(D14+D29+D44+D58+D74+D89+D104+D119)</f>
        <v>0</v>
      </c>
      <c r="E134" s="11">
        <f t="shared" si="9"/>
        <v>0</v>
      </c>
      <c r="F134" s="11">
        <f t="shared" si="9"/>
        <v>0</v>
      </c>
      <c r="G134" s="11">
        <f t="shared" si="9"/>
        <v>0</v>
      </c>
      <c r="H134" s="11">
        <f t="shared" si="9"/>
        <v>0</v>
      </c>
      <c r="I134" s="11">
        <f t="shared" si="9"/>
        <v>0</v>
      </c>
      <c r="J134" s="11">
        <f t="shared" si="9"/>
        <v>0</v>
      </c>
      <c r="K134" s="11">
        <f t="shared" si="9"/>
        <v>0</v>
      </c>
      <c r="L134" s="11">
        <f t="shared" si="9"/>
        <v>0</v>
      </c>
      <c r="M134" s="11">
        <f t="shared" si="9"/>
        <v>0</v>
      </c>
      <c r="N134" s="11">
        <f t="shared" si="9"/>
        <v>0</v>
      </c>
      <c r="O134" s="11">
        <f t="shared" si="9"/>
        <v>0</v>
      </c>
      <c r="P134" s="11">
        <f t="shared" si="9"/>
        <v>0</v>
      </c>
      <c r="Q134" s="11">
        <f t="shared" si="9"/>
        <v>0</v>
      </c>
    </row>
    <row r="135" spans="1:17" ht="16.5" customHeight="1" thickTop="1">
      <c r="C135" s="54"/>
      <c r="N135" s="75"/>
      <c r="O135" s="75"/>
      <c r="P135" s="105"/>
      <c r="Q135" s="105"/>
    </row>
    <row r="136" spans="1:17" ht="15.75" customHeight="1">
      <c r="N136" s="102" t="s">
        <v>140</v>
      </c>
      <c r="O136" s="102"/>
      <c r="P136" s="102"/>
      <c r="Q136" s="102"/>
    </row>
    <row r="137" spans="1:17">
      <c r="N137" s="102" t="s">
        <v>141</v>
      </c>
      <c r="O137" s="102"/>
      <c r="P137" s="102"/>
      <c r="Q137" s="102"/>
    </row>
  </sheetData>
  <mergeCells count="343">
    <mergeCell ref="A127:A128"/>
    <mergeCell ref="B127:B128"/>
    <mergeCell ref="I131:I132"/>
    <mergeCell ref="J131:J132"/>
    <mergeCell ref="P124:P125"/>
    <mergeCell ref="P135:Q135"/>
    <mergeCell ref="K131:K132"/>
    <mergeCell ref="L131:L132"/>
    <mergeCell ref="O131:O132"/>
    <mergeCell ref="P131:P132"/>
    <mergeCell ref="M131:M132"/>
    <mergeCell ref="N131:N132"/>
    <mergeCell ref="Q124:Q125"/>
    <mergeCell ref="C126:Q126"/>
    <mergeCell ref="N124:N125"/>
    <mergeCell ref="G131:G132"/>
    <mergeCell ref="H131:H132"/>
    <mergeCell ref="Q131:Q132"/>
    <mergeCell ref="O124:O125"/>
    <mergeCell ref="O123:Q123"/>
    <mergeCell ref="A124:A126"/>
    <mergeCell ref="B124:B126"/>
    <mergeCell ref="C124:C125"/>
    <mergeCell ref="F124:F125"/>
    <mergeCell ref="G124:G125"/>
    <mergeCell ref="H124:H125"/>
    <mergeCell ref="I124:I125"/>
    <mergeCell ref="J124:J125"/>
    <mergeCell ref="K124:K125"/>
    <mergeCell ref="A123:C123"/>
    <mergeCell ref="L124:L125"/>
    <mergeCell ref="M124:M125"/>
    <mergeCell ref="A131:A133"/>
    <mergeCell ref="B131:B133"/>
    <mergeCell ref="C131:C132"/>
    <mergeCell ref="F131:F132"/>
    <mergeCell ref="A122:Q122"/>
    <mergeCell ref="A109:A111"/>
    <mergeCell ref="B109:B111"/>
    <mergeCell ref="C109:C110"/>
    <mergeCell ref="F109:F110"/>
    <mergeCell ref="O109:O110"/>
    <mergeCell ref="P109:P110"/>
    <mergeCell ref="A112:A113"/>
    <mergeCell ref="B112:B113"/>
    <mergeCell ref="K116:K117"/>
    <mergeCell ref="P120:Q120"/>
    <mergeCell ref="M116:M117"/>
    <mergeCell ref="A107:Q107"/>
    <mergeCell ref="O108:Q108"/>
    <mergeCell ref="Q109:Q110"/>
    <mergeCell ref="G109:G110"/>
    <mergeCell ref="H109:H110"/>
    <mergeCell ref="A121:Q121"/>
    <mergeCell ref="A116:A118"/>
    <mergeCell ref="B116:B118"/>
    <mergeCell ref="I116:I117"/>
    <mergeCell ref="J116:J117"/>
    <mergeCell ref="G116:G117"/>
    <mergeCell ref="H116:H117"/>
    <mergeCell ref="I109:I110"/>
    <mergeCell ref="J109:J110"/>
    <mergeCell ref="Q116:Q117"/>
    <mergeCell ref="L116:L117"/>
    <mergeCell ref="K109:K110"/>
    <mergeCell ref="L109:L110"/>
    <mergeCell ref="M109:M110"/>
    <mergeCell ref="N109:N110"/>
    <mergeCell ref="A108:F108"/>
    <mergeCell ref="C116:C117"/>
    <mergeCell ref="F116:F117"/>
    <mergeCell ref="C111:Q111"/>
    <mergeCell ref="A97:A98"/>
    <mergeCell ref="B97:B98"/>
    <mergeCell ref="A101:A103"/>
    <mergeCell ref="B101:B103"/>
    <mergeCell ref="P105:Q105"/>
    <mergeCell ref="A106:Q106"/>
    <mergeCell ref="P101:P102"/>
    <mergeCell ref="Q101:Q102"/>
    <mergeCell ref="C101:C102"/>
    <mergeCell ref="F101:F102"/>
    <mergeCell ref="G101:G102"/>
    <mergeCell ref="J101:J102"/>
    <mergeCell ref="K101:K102"/>
    <mergeCell ref="H101:H102"/>
    <mergeCell ref="I101:I102"/>
    <mergeCell ref="L101:L102"/>
    <mergeCell ref="M101:M102"/>
    <mergeCell ref="N101:N102"/>
    <mergeCell ref="O101:O102"/>
    <mergeCell ref="H94:H95"/>
    <mergeCell ref="C96:Q96"/>
    <mergeCell ref="Q94:Q95"/>
    <mergeCell ref="O93:Q93"/>
    <mergeCell ref="I94:I95"/>
    <mergeCell ref="L94:L95"/>
    <mergeCell ref="J94:J95"/>
    <mergeCell ref="K94:K95"/>
    <mergeCell ref="A93:C93"/>
    <mergeCell ref="A82:A83"/>
    <mergeCell ref="B82:B83"/>
    <mergeCell ref="A86:A88"/>
    <mergeCell ref="B86:B88"/>
    <mergeCell ref="C86:C87"/>
    <mergeCell ref="F86:F87"/>
    <mergeCell ref="O79:O80"/>
    <mergeCell ref="H79:H80"/>
    <mergeCell ref="I79:I80"/>
    <mergeCell ref="J79:J80"/>
    <mergeCell ref="I86:I87"/>
    <mergeCell ref="J86:J87"/>
    <mergeCell ref="K86:K87"/>
    <mergeCell ref="G86:G87"/>
    <mergeCell ref="H86:H87"/>
    <mergeCell ref="L86:L87"/>
    <mergeCell ref="M86:M87"/>
    <mergeCell ref="N86:N87"/>
    <mergeCell ref="O86:O87"/>
    <mergeCell ref="A67:A68"/>
    <mergeCell ref="B67:B68"/>
    <mergeCell ref="A71:A73"/>
    <mergeCell ref="B71:B73"/>
    <mergeCell ref="P71:P72"/>
    <mergeCell ref="Q79:Q80"/>
    <mergeCell ref="L79:L80"/>
    <mergeCell ref="M79:M80"/>
    <mergeCell ref="N79:N80"/>
    <mergeCell ref="K79:K80"/>
    <mergeCell ref="A77:Q77"/>
    <mergeCell ref="O78:Q78"/>
    <mergeCell ref="A78:C78"/>
    <mergeCell ref="P75:Q75"/>
    <mergeCell ref="A76:Q76"/>
    <mergeCell ref="F79:F80"/>
    <mergeCell ref="G79:G80"/>
    <mergeCell ref="P79:P80"/>
    <mergeCell ref="A79:A81"/>
    <mergeCell ref="B79:B81"/>
    <mergeCell ref="C79:C80"/>
    <mergeCell ref="C81:Q81"/>
    <mergeCell ref="I64:I65"/>
    <mergeCell ref="L64:L65"/>
    <mergeCell ref="C66:Q66"/>
    <mergeCell ref="C71:C72"/>
    <mergeCell ref="F71:F72"/>
    <mergeCell ref="G71:G72"/>
    <mergeCell ref="H71:H72"/>
    <mergeCell ref="O71:O72"/>
    <mergeCell ref="P64:P65"/>
    <mergeCell ref="M64:M65"/>
    <mergeCell ref="Q71:Q72"/>
    <mergeCell ref="J71:J72"/>
    <mergeCell ref="I71:I72"/>
    <mergeCell ref="L71:L72"/>
    <mergeCell ref="M71:M72"/>
    <mergeCell ref="K71:K72"/>
    <mergeCell ref="N71:N72"/>
    <mergeCell ref="B37:B38"/>
    <mergeCell ref="A61:Q61"/>
    <mergeCell ref="Q64:Q65"/>
    <mergeCell ref="O63:Q63"/>
    <mergeCell ref="A64:A66"/>
    <mergeCell ref="B64:B66"/>
    <mergeCell ref="C64:C65"/>
    <mergeCell ref="F64:F65"/>
    <mergeCell ref="G64:G65"/>
    <mergeCell ref="H64:H65"/>
    <mergeCell ref="A41:A43"/>
    <mergeCell ref="B41:B43"/>
    <mergeCell ref="C41:C42"/>
    <mergeCell ref="N41:N42"/>
    <mergeCell ref="K41:K42"/>
    <mergeCell ref="L41:L42"/>
    <mergeCell ref="B51:B52"/>
    <mergeCell ref="I48:I49"/>
    <mergeCell ref="J48:J49"/>
    <mergeCell ref="K48:K49"/>
    <mergeCell ref="L48:L49"/>
    <mergeCell ref="A55:A57"/>
    <mergeCell ref="B55:B57"/>
    <mergeCell ref="C55:C56"/>
    <mergeCell ref="M34:M35"/>
    <mergeCell ref="Q41:Q42"/>
    <mergeCell ref="J64:J65"/>
    <mergeCell ref="G41:G42"/>
    <mergeCell ref="H41:H42"/>
    <mergeCell ref="A62:Q62"/>
    <mergeCell ref="I41:I42"/>
    <mergeCell ref="K64:K65"/>
    <mergeCell ref="Q34:Q35"/>
    <mergeCell ref="A37:A38"/>
    <mergeCell ref="C36:Q36"/>
    <mergeCell ref="N34:N35"/>
    <mergeCell ref="O34:O35"/>
    <mergeCell ref="P34:P35"/>
    <mergeCell ref="M41:M42"/>
    <mergeCell ref="O41:O42"/>
    <mergeCell ref="P41:P42"/>
    <mergeCell ref="J41:J42"/>
    <mergeCell ref="F41:F42"/>
    <mergeCell ref="L34:L35"/>
    <mergeCell ref="N64:N65"/>
    <mergeCell ref="Q48:Q49"/>
    <mergeCell ref="C50:Q50"/>
    <mergeCell ref="A51:A52"/>
    <mergeCell ref="A34:A36"/>
    <mergeCell ref="B34:B36"/>
    <mergeCell ref="C34:C35"/>
    <mergeCell ref="F34:F35"/>
    <mergeCell ref="G34:G35"/>
    <mergeCell ref="H34:H35"/>
    <mergeCell ref="I34:I35"/>
    <mergeCell ref="J34:J35"/>
    <mergeCell ref="K26:K27"/>
    <mergeCell ref="K34:K35"/>
    <mergeCell ref="A11:A13"/>
    <mergeCell ref="A26:A28"/>
    <mergeCell ref="B26:B28"/>
    <mergeCell ref="C26:C27"/>
    <mergeCell ref="A22:A23"/>
    <mergeCell ref="B22:B23"/>
    <mergeCell ref="A17:Q17"/>
    <mergeCell ref="J26:J27"/>
    <mergeCell ref="O33:Q33"/>
    <mergeCell ref="L26:L27"/>
    <mergeCell ref="Q26:Q27"/>
    <mergeCell ref="P30:Q30"/>
    <mergeCell ref="A31:Q31"/>
    <mergeCell ref="A32:Q32"/>
    <mergeCell ref="M26:M27"/>
    <mergeCell ref="N26:N27"/>
    <mergeCell ref="O26:O27"/>
    <mergeCell ref="P26:P27"/>
    <mergeCell ref="I26:I27"/>
    <mergeCell ref="F26:F27"/>
    <mergeCell ref="G26:G27"/>
    <mergeCell ref="H26:H27"/>
    <mergeCell ref="A19:A21"/>
    <mergeCell ref="B19:B21"/>
    <mergeCell ref="C19:C20"/>
    <mergeCell ref="Q4:Q5"/>
    <mergeCell ref="O4:O5"/>
    <mergeCell ref="P4:P5"/>
    <mergeCell ref="C6:Q6"/>
    <mergeCell ref="K4:K5"/>
    <mergeCell ref="L4:L5"/>
    <mergeCell ref="M4:M5"/>
    <mergeCell ref="N4:N5"/>
    <mergeCell ref="G4:G5"/>
    <mergeCell ref="H4:H5"/>
    <mergeCell ref="O18:Q18"/>
    <mergeCell ref="Q19:Q20"/>
    <mergeCell ref="C21:Q21"/>
    <mergeCell ref="O11:O12"/>
    <mergeCell ref="N19:N20"/>
    <mergeCell ref="O19:O20"/>
    <mergeCell ref="J4:J5"/>
    <mergeCell ref="B11:B13"/>
    <mergeCell ref="F19:F20"/>
    <mergeCell ref="G19:G20"/>
    <mergeCell ref="H19:H20"/>
    <mergeCell ref="A1:Q1"/>
    <mergeCell ref="A2:Q2"/>
    <mergeCell ref="O3:Q3"/>
    <mergeCell ref="A4:A6"/>
    <mergeCell ref="B4:B6"/>
    <mergeCell ref="C4:C5"/>
    <mergeCell ref="F4:F5"/>
    <mergeCell ref="I4:I5"/>
    <mergeCell ref="I19:I20"/>
    <mergeCell ref="P15:Q15"/>
    <mergeCell ref="C11:C12"/>
    <mergeCell ref="P19:P20"/>
    <mergeCell ref="F11:F12"/>
    <mergeCell ref="G11:G12"/>
    <mergeCell ref="H11:H12"/>
    <mergeCell ref="I11:I12"/>
    <mergeCell ref="M19:M20"/>
    <mergeCell ref="P11:P12"/>
    <mergeCell ref="Q11:Q12"/>
    <mergeCell ref="J11:J12"/>
    <mergeCell ref="K11:K12"/>
    <mergeCell ref="L11:L12"/>
    <mergeCell ref="M11:M12"/>
    <mergeCell ref="N11:N12"/>
    <mergeCell ref="A3:C3"/>
    <mergeCell ref="A18:C18"/>
    <mergeCell ref="A33:C33"/>
    <mergeCell ref="A63:C63"/>
    <mergeCell ref="A7:A8"/>
    <mergeCell ref="B7:B8"/>
    <mergeCell ref="A16:Q16"/>
    <mergeCell ref="J19:J20"/>
    <mergeCell ref="K19:K20"/>
    <mergeCell ref="L19:L20"/>
    <mergeCell ref="G48:G49"/>
    <mergeCell ref="H48:H49"/>
    <mergeCell ref="M48:M49"/>
    <mergeCell ref="N48:N49"/>
    <mergeCell ref="A45:Q45"/>
    <mergeCell ref="A46:Q46"/>
    <mergeCell ref="A47:C47"/>
    <mergeCell ref="O47:Q47"/>
    <mergeCell ref="A48:A50"/>
    <mergeCell ref="B48:B50"/>
    <mergeCell ref="C48:C49"/>
    <mergeCell ref="F48:F49"/>
    <mergeCell ref="O48:O49"/>
    <mergeCell ref="P48:P49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N136:Q136"/>
    <mergeCell ref="N137:Q137"/>
    <mergeCell ref="O55:O56"/>
    <mergeCell ref="P55:P56"/>
    <mergeCell ref="Q55:Q56"/>
    <mergeCell ref="P59:Q59"/>
    <mergeCell ref="N116:N117"/>
    <mergeCell ref="O116:O117"/>
    <mergeCell ref="P116:P117"/>
    <mergeCell ref="O64:O65"/>
    <mergeCell ref="Q86:Q87"/>
    <mergeCell ref="P90:Q90"/>
    <mergeCell ref="A91:Q91"/>
    <mergeCell ref="A92:Q92"/>
    <mergeCell ref="P86:P87"/>
    <mergeCell ref="P94:P95"/>
    <mergeCell ref="M94:M95"/>
    <mergeCell ref="N94:N95"/>
    <mergeCell ref="O94:O95"/>
    <mergeCell ref="A94:A96"/>
    <mergeCell ref="B94:B96"/>
    <mergeCell ref="C94:C95"/>
    <mergeCell ref="F94:F95"/>
    <mergeCell ref="G94:G95"/>
  </mergeCells>
  <phoneticPr fontId="0" type="noConversion"/>
  <pageMargins left="0.86" right="0.42" top="0.25" bottom="3.83" header="0.17" footer="0.17"/>
  <pageSetup paperSize="5" orientation="landscape" r:id="rId1"/>
  <headerFooter>
    <oddFooter>&amp;Z&amp;F&amp;RPage &amp;P</oddFooter>
  </headerFooter>
  <rowBreaks count="8" manualBreakCount="8">
    <brk id="15" max="16" man="1"/>
    <brk id="30" max="16383" man="1"/>
    <brk id="44" max="16383" man="1"/>
    <brk id="60" max="16383" man="1"/>
    <brk id="75" max="16383" man="1"/>
    <brk id="90" max="16383" man="1"/>
    <brk id="105" max="16383" man="1"/>
    <brk id="1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0"/>
  <sheetViews>
    <sheetView tabSelected="1" view="pageBreakPreview" topLeftCell="A266" zoomScaleNormal="75" zoomScaleSheetLayoutView="100" workbookViewId="0">
      <selection activeCell="K120" sqref="K120"/>
    </sheetView>
  </sheetViews>
  <sheetFormatPr defaultColWidth="9.109375" defaultRowHeight="13.8"/>
  <cols>
    <col min="1" max="1" width="8.5546875" style="50" customWidth="1"/>
    <col min="2" max="2" width="12.44140625" style="50" customWidth="1"/>
    <col min="3" max="3" width="9.88671875" style="50" customWidth="1"/>
    <col min="4" max="4" width="10.6640625" style="50" customWidth="1"/>
    <col min="5" max="5" width="10.109375" style="50" customWidth="1"/>
    <col min="6" max="6" width="11.5546875" style="50" customWidth="1"/>
    <col min="7" max="7" width="10.5546875" style="50" customWidth="1"/>
    <col min="8" max="8" width="11" style="50" customWidth="1"/>
    <col min="9" max="9" width="10.44140625" style="50" customWidth="1"/>
    <col min="10" max="10" width="10.33203125" style="50" customWidth="1"/>
    <col min="11" max="11" width="9.88671875" style="50" customWidth="1"/>
    <col min="12" max="12" width="2.6640625" style="50" customWidth="1"/>
    <col min="13" max="13" width="11.88671875" style="50" customWidth="1"/>
    <col min="14" max="14" width="11.5546875" style="50" customWidth="1"/>
    <col min="15" max="15" width="12.33203125" style="50" customWidth="1"/>
    <col min="16" max="16" width="11.6640625" style="50" customWidth="1"/>
    <col min="17" max="16384" width="9.109375" style="50"/>
  </cols>
  <sheetData>
    <row r="1" spans="1:17">
      <c r="A1" s="105" t="s">
        <v>135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7" ht="24" customHeight="1">
      <c r="A2" s="111" t="s">
        <v>18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56"/>
    </row>
    <row r="3" spans="1:17" ht="21" customHeight="1">
      <c r="A3" s="135" t="s">
        <v>47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7">
      <c r="A4" s="127" t="s">
        <v>50</v>
      </c>
      <c r="B4" s="128" t="s">
        <v>59</v>
      </c>
      <c r="C4" s="129"/>
      <c r="D4" s="129"/>
      <c r="E4" s="129"/>
      <c r="F4" s="129"/>
      <c r="G4" s="129"/>
      <c r="H4" s="129"/>
      <c r="I4" s="129"/>
      <c r="J4" s="129"/>
      <c r="K4" s="130"/>
    </row>
    <row r="5" spans="1:17">
      <c r="A5" s="127"/>
      <c r="B5" s="3"/>
      <c r="C5" s="134" t="s">
        <v>69</v>
      </c>
      <c r="D5" s="134"/>
      <c r="E5" s="134"/>
      <c r="F5" s="134"/>
      <c r="G5" s="134" t="s">
        <v>72</v>
      </c>
      <c r="H5" s="134"/>
      <c r="I5" s="134"/>
      <c r="J5" s="134"/>
      <c r="K5" s="76" t="s">
        <v>35</v>
      </c>
    </row>
    <row r="6" spans="1:17">
      <c r="A6" s="124" t="s">
        <v>51</v>
      </c>
      <c r="B6" s="3" t="s">
        <v>29</v>
      </c>
      <c r="C6" s="46" t="s">
        <v>70</v>
      </c>
      <c r="D6" s="46" t="s">
        <v>30</v>
      </c>
      <c r="E6" s="46" t="s">
        <v>71</v>
      </c>
      <c r="F6" s="46" t="s">
        <v>35</v>
      </c>
      <c r="G6" s="46" t="s">
        <v>70</v>
      </c>
      <c r="H6" s="46" t="s">
        <v>30</v>
      </c>
      <c r="I6" s="46" t="s">
        <v>71</v>
      </c>
      <c r="J6" s="46" t="s">
        <v>35</v>
      </c>
      <c r="K6" s="46" t="s">
        <v>35</v>
      </c>
    </row>
    <row r="7" spans="1:17">
      <c r="A7" s="125"/>
      <c r="B7" s="4" t="s">
        <v>60</v>
      </c>
      <c r="C7" s="4"/>
      <c r="D7" s="101"/>
      <c r="E7" s="4"/>
      <c r="F7" s="4">
        <f>SUM(C7:E7)</f>
        <v>0</v>
      </c>
      <c r="G7" s="4"/>
      <c r="H7" s="4"/>
      <c r="I7" s="4"/>
      <c r="J7" s="4">
        <f>SUM(G7:I7)</f>
        <v>0</v>
      </c>
      <c r="K7" s="4" cm="1">
        <f t="array" ref="K7">SUM(G7:I7+C7:E7)</f>
        <v>0</v>
      </c>
    </row>
    <row r="8" spans="1:17">
      <c r="A8" s="125"/>
      <c r="B8" s="3" t="s">
        <v>61</v>
      </c>
      <c r="C8" s="6"/>
      <c r="D8" s="5"/>
      <c r="E8" s="5"/>
      <c r="F8" s="3">
        <v>0</v>
      </c>
      <c r="G8" s="5"/>
      <c r="H8" s="5"/>
      <c r="I8" s="5"/>
      <c r="J8" s="3">
        <v>0</v>
      </c>
      <c r="K8" s="3">
        <v>0</v>
      </c>
    </row>
    <row r="9" spans="1:17">
      <c r="A9" s="125"/>
      <c r="B9" s="3" t="s">
        <v>62</v>
      </c>
      <c r="C9" s="5"/>
      <c r="D9" s="5"/>
      <c r="E9" s="5"/>
      <c r="F9" s="3">
        <v>0</v>
      </c>
      <c r="G9" s="5"/>
      <c r="H9" s="5"/>
      <c r="I9" s="5"/>
      <c r="J9" s="3">
        <v>0</v>
      </c>
      <c r="K9" s="3">
        <v>0</v>
      </c>
    </row>
    <row r="10" spans="1:17" ht="14.4" thickBot="1">
      <c r="A10" s="125"/>
      <c r="B10" s="7" t="s">
        <v>35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</row>
    <row r="11" spans="1:17" ht="14.4" thickTop="1">
      <c r="A11" s="125"/>
      <c r="B11" s="8" t="s">
        <v>39</v>
      </c>
      <c r="C11" s="5"/>
      <c r="D11" s="5"/>
      <c r="E11" s="5"/>
      <c r="F11" s="3">
        <v>0</v>
      </c>
      <c r="G11" s="9"/>
      <c r="H11" s="9"/>
      <c r="I11" s="9"/>
      <c r="J11" s="3">
        <v>0</v>
      </c>
      <c r="K11" s="3">
        <v>0</v>
      </c>
    </row>
    <row r="12" spans="1:17">
      <c r="A12" s="125"/>
      <c r="B12" s="3" t="s">
        <v>63</v>
      </c>
      <c r="C12" s="5"/>
      <c r="D12" s="5"/>
      <c r="E12" s="5"/>
      <c r="F12" s="3">
        <v>0</v>
      </c>
      <c r="G12" s="5"/>
      <c r="H12" s="5"/>
      <c r="I12" s="5"/>
      <c r="J12" s="3">
        <v>0</v>
      </c>
      <c r="K12" s="3">
        <v>0</v>
      </c>
    </row>
    <row r="13" spans="1:17">
      <c r="A13" s="125"/>
      <c r="B13" s="3" t="s">
        <v>64</v>
      </c>
      <c r="C13" s="5"/>
      <c r="D13" s="5"/>
      <c r="E13" s="5"/>
      <c r="F13" s="3">
        <v>0</v>
      </c>
      <c r="G13" s="5"/>
      <c r="H13" s="5"/>
      <c r="I13" s="5"/>
      <c r="J13" s="3">
        <v>0</v>
      </c>
      <c r="K13" s="3">
        <v>0</v>
      </c>
    </row>
    <row r="14" spans="1:17">
      <c r="A14" s="125"/>
      <c r="B14" s="3" t="s">
        <v>65</v>
      </c>
      <c r="C14" s="5"/>
      <c r="D14" s="5"/>
      <c r="E14" s="5"/>
      <c r="F14" s="3">
        <v>0</v>
      </c>
      <c r="G14" s="5"/>
      <c r="H14" s="5"/>
      <c r="I14" s="5"/>
      <c r="J14" s="3">
        <v>0</v>
      </c>
      <c r="K14" s="3">
        <v>0</v>
      </c>
    </row>
    <row r="15" spans="1:17">
      <c r="A15" s="125"/>
      <c r="B15" s="3" t="s">
        <v>66</v>
      </c>
      <c r="C15" s="5"/>
      <c r="D15" s="5"/>
      <c r="E15" s="5"/>
      <c r="F15" s="3">
        <v>0</v>
      </c>
      <c r="G15" s="5"/>
      <c r="H15" s="5"/>
      <c r="I15" s="5"/>
      <c r="J15" s="3">
        <v>0</v>
      </c>
      <c r="K15" s="3">
        <v>0</v>
      </c>
    </row>
    <row r="16" spans="1:17">
      <c r="A16" s="125"/>
      <c r="B16" s="3" t="s">
        <v>67</v>
      </c>
      <c r="C16" s="5"/>
      <c r="D16" s="5"/>
      <c r="E16" s="5"/>
      <c r="F16" s="3">
        <v>0</v>
      </c>
      <c r="G16" s="5"/>
      <c r="H16" s="5"/>
      <c r="I16" s="5"/>
      <c r="J16" s="3">
        <v>0</v>
      </c>
      <c r="K16" s="3">
        <v>0</v>
      </c>
    </row>
    <row r="17" spans="1:16" ht="14.4" thickBot="1">
      <c r="A17" s="126"/>
      <c r="B17" s="10" t="s">
        <v>35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</row>
    <row r="18" spans="1:16" ht="17.25" customHeight="1" thickTop="1"/>
    <row r="19" spans="1:16">
      <c r="A19" s="127" t="s">
        <v>50</v>
      </c>
      <c r="B19" s="128" t="s">
        <v>68</v>
      </c>
      <c r="C19" s="129"/>
      <c r="D19" s="129"/>
      <c r="E19" s="129"/>
      <c r="F19" s="129"/>
      <c r="G19" s="129"/>
      <c r="H19" s="129"/>
      <c r="I19" s="129"/>
      <c r="J19" s="129"/>
      <c r="K19" s="130"/>
      <c r="M19" s="131" t="s">
        <v>73</v>
      </c>
      <c r="N19" s="132"/>
      <c r="O19" s="132"/>
      <c r="P19" s="133"/>
    </row>
    <row r="20" spans="1:16">
      <c r="A20" s="127"/>
      <c r="B20" s="3"/>
      <c r="C20" s="128" t="s">
        <v>69</v>
      </c>
      <c r="D20" s="129"/>
      <c r="E20" s="129"/>
      <c r="F20" s="130"/>
      <c r="G20" s="134" t="s">
        <v>72</v>
      </c>
      <c r="H20" s="134"/>
      <c r="I20" s="134"/>
      <c r="J20" s="134"/>
      <c r="K20" s="76" t="s">
        <v>35</v>
      </c>
      <c r="M20" s="3" t="s">
        <v>29</v>
      </c>
      <c r="N20" s="11" t="s">
        <v>59</v>
      </c>
      <c r="O20" s="11" t="s">
        <v>68</v>
      </c>
      <c r="P20" s="76" t="s">
        <v>35</v>
      </c>
    </row>
    <row r="21" spans="1:16">
      <c r="A21" s="124" t="s">
        <v>51</v>
      </c>
      <c r="B21" s="3" t="s">
        <v>29</v>
      </c>
      <c r="C21" s="46" t="s">
        <v>70</v>
      </c>
      <c r="D21" s="46" t="s">
        <v>30</v>
      </c>
      <c r="E21" s="46" t="s">
        <v>71</v>
      </c>
      <c r="F21" s="46" t="s">
        <v>35</v>
      </c>
      <c r="G21" s="46" t="s">
        <v>70</v>
      </c>
      <c r="H21" s="46" t="s">
        <v>30</v>
      </c>
      <c r="I21" s="46" t="s">
        <v>71</v>
      </c>
      <c r="J21" s="46" t="s">
        <v>35</v>
      </c>
      <c r="K21" s="46"/>
      <c r="M21" s="4" t="s">
        <v>60</v>
      </c>
      <c r="N21" s="4">
        <f>K8</f>
        <v>0</v>
      </c>
      <c r="O21" s="101">
        <f>K22</f>
        <v>0</v>
      </c>
      <c r="P21" s="4">
        <f>SUM(N21:O21)</f>
        <v>0</v>
      </c>
    </row>
    <row r="22" spans="1:16">
      <c r="A22" s="125"/>
      <c r="B22" s="4" t="s">
        <v>60</v>
      </c>
      <c r="C22" s="4"/>
      <c r="D22" s="101"/>
      <c r="E22" s="4"/>
      <c r="F22" s="4">
        <f>SUM(C22:E22)</f>
        <v>0</v>
      </c>
      <c r="G22" s="4"/>
      <c r="H22" s="4"/>
      <c r="I22" s="4"/>
      <c r="J22" s="4">
        <f>SUM(G22:I22)</f>
        <v>0</v>
      </c>
      <c r="K22" s="4" cm="1">
        <f t="array" ref="K22">SUM(G22:I22+C22:E22)</f>
        <v>0</v>
      </c>
      <c r="M22" s="3" t="s">
        <v>61</v>
      </c>
      <c r="N22" s="11">
        <v>0</v>
      </c>
      <c r="O22" s="11">
        <v>0</v>
      </c>
      <c r="P22" s="12">
        <v>0</v>
      </c>
    </row>
    <row r="23" spans="1:16">
      <c r="A23" s="125"/>
      <c r="B23" s="3" t="s">
        <v>61</v>
      </c>
      <c r="C23" s="5"/>
      <c r="D23" s="5"/>
      <c r="E23" s="5"/>
      <c r="F23" s="3">
        <v>0</v>
      </c>
      <c r="G23" s="5"/>
      <c r="H23" s="5"/>
      <c r="I23" s="5"/>
      <c r="J23" s="3">
        <v>0</v>
      </c>
      <c r="K23" s="3">
        <v>0</v>
      </c>
      <c r="M23" s="3" t="s">
        <v>62</v>
      </c>
      <c r="N23" s="11">
        <v>0</v>
      </c>
      <c r="O23" s="11">
        <v>0</v>
      </c>
      <c r="P23" s="12">
        <v>0</v>
      </c>
    </row>
    <row r="24" spans="1:16" ht="14.4" thickBot="1">
      <c r="A24" s="125"/>
      <c r="B24" s="3" t="s">
        <v>62</v>
      </c>
      <c r="C24" s="5"/>
      <c r="D24" s="5"/>
      <c r="E24" s="5"/>
      <c r="F24" s="3">
        <v>0</v>
      </c>
      <c r="G24" s="5"/>
      <c r="H24" s="5"/>
      <c r="I24" s="5"/>
      <c r="J24" s="3">
        <v>0</v>
      </c>
      <c r="K24" s="3">
        <v>0</v>
      </c>
      <c r="M24" s="7" t="s">
        <v>35</v>
      </c>
      <c r="N24" s="13">
        <v>0</v>
      </c>
      <c r="O24" s="13">
        <v>0</v>
      </c>
      <c r="P24" s="14">
        <v>0</v>
      </c>
    </row>
    <row r="25" spans="1:16" ht="15" thickTop="1" thickBot="1">
      <c r="A25" s="125"/>
      <c r="B25" s="7" t="s">
        <v>35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M25" s="8" t="s">
        <v>63</v>
      </c>
      <c r="N25" s="15">
        <v>0</v>
      </c>
      <c r="O25" s="15">
        <v>0</v>
      </c>
      <c r="P25" s="43">
        <v>0</v>
      </c>
    </row>
    <row r="26" spans="1:16" ht="14.4" thickTop="1">
      <c r="A26" s="125"/>
      <c r="B26" s="8" t="s">
        <v>39</v>
      </c>
      <c r="C26" s="9"/>
      <c r="D26" s="9"/>
      <c r="E26" s="9"/>
      <c r="F26" s="3">
        <v>0</v>
      </c>
      <c r="G26" s="9"/>
      <c r="H26" s="9"/>
      <c r="I26" s="9"/>
      <c r="J26" s="3">
        <v>0</v>
      </c>
      <c r="K26" s="3">
        <v>0</v>
      </c>
      <c r="M26" s="8" t="s">
        <v>39</v>
      </c>
      <c r="N26" s="11">
        <v>0</v>
      </c>
      <c r="O26" s="11">
        <v>0</v>
      </c>
      <c r="P26" s="43">
        <v>0</v>
      </c>
    </row>
    <row r="27" spans="1:16">
      <c r="A27" s="125"/>
      <c r="B27" s="3" t="s">
        <v>63</v>
      </c>
      <c r="C27" s="5"/>
      <c r="D27" s="5"/>
      <c r="E27" s="5"/>
      <c r="F27" s="3">
        <v>0</v>
      </c>
      <c r="G27" s="5"/>
      <c r="H27" s="5"/>
      <c r="I27" s="5"/>
      <c r="J27" s="3">
        <v>0</v>
      </c>
      <c r="K27" s="3">
        <v>0</v>
      </c>
      <c r="M27" s="3" t="s">
        <v>64</v>
      </c>
      <c r="N27" s="11">
        <v>0</v>
      </c>
      <c r="O27" s="11">
        <v>0</v>
      </c>
      <c r="P27" s="12">
        <v>0</v>
      </c>
    </row>
    <row r="28" spans="1:16">
      <c r="A28" s="125"/>
      <c r="B28" s="3" t="s">
        <v>64</v>
      </c>
      <c r="C28" s="5"/>
      <c r="D28" s="5"/>
      <c r="E28" s="5"/>
      <c r="F28" s="3">
        <v>0</v>
      </c>
      <c r="G28" s="5"/>
      <c r="H28" s="5"/>
      <c r="I28" s="5"/>
      <c r="J28" s="3">
        <v>0</v>
      </c>
      <c r="K28" s="3">
        <v>0</v>
      </c>
      <c r="M28" s="3" t="s">
        <v>65</v>
      </c>
      <c r="N28" s="11">
        <v>0</v>
      </c>
      <c r="O28" s="11">
        <v>0</v>
      </c>
      <c r="P28" s="12">
        <v>0</v>
      </c>
    </row>
    <row r="29" spans="1:16">
      <c r="A29" s="125"/>
      <c r="B29" s="3" t="s">
        <v>65</v>
      </c>
      <c r="C29" s="5"/>
      <c r="D29" s="5"/>
      <c r="E29" s="5"/>
      <c r="F29" s="3">
        <v>0</v>
      </c>
      <c r="G29" s="5"/>
      <c r="H29" s="5"/>
      <c r="I29" s="5"/>
      <c r="J29" s="3">
        <v>0</v>
      </c>
      <c r="K29" s="3">
        <v>0</v>
      </c>
      <c r="M29" s="3" t="s">
        <v>66</v>
      </c>
      <c r="N29" s="11">
        <v>0</v>
      </c>
      <c r="O29" s="11">
        <v>0</v>
      </c>
      <c r="P29" s="12">
        <v>0</v>
      </c>
    </row>
    <row r="30" spans="1:16">
      <c r="A30" s="125"/>
      <c r="B30" s="3" t="s">
        <v>66</v>
      </c>
      <c r="C30" s="5"/>
      <c r="D30" s="5"/>
      <c r="E30" s="5"/>
      <c r="F30" s="3">
        <v>0</v>
      </c>
      <c r="G30" s="5"/>
      <c r="H30" s="5"/>
      <c r="I30" s="5"/>
      <c r="J30" s="3">
        <v>0</v>
      </c>
      <c r="K30" s="3">
        <v>0</v>
      </c>
      <c r="M30" s="3" t="s">
        <v>67</v>
      </c>
      <c r="N30" s="11">
        <v>0</v>
      </c>
      <c r="O30" s="11">
        <v>0</v>
      </c>
      <c r="P30" s="12">
        <v>0</v>
      </c>
    </row>
    <row r="31" spans="1:16" ht="14.4" thickBot="1">
      <c r="A31" s="125"/>
      <c r="B31" s="3" t="s">
        <v>67</v>
      </c>
      <c r="C31" s="5"/>
      <c r="D31" s="5"/>
      <c r="E31" s="5"/>
      <c r="F31" s="3">
        <v>0</v>
      </c>
      <c r="G31" s="5"/>
      <c r="H31" s="5"/>
      <c r="I31" s="5"/>
      <c r="J31" s="3">
        <v>0</v>
      </c>
      <c r="K31" s="3">
        <v>0</v>
      </c>
      <c r="M31" s="10" t="s">
        <v>35</v>
      </c>
      <c r="N31" s="14">
        <v>0</v>
      </c>
      <c r="O31" s="14">
        <v>0</v>
      </c>
      <c r="P31" s="14">
        <v>0</v>
      </c>
    </row>
    <row r="32" spans="1:16" ht="15" thickTop="1" thickBot="1">
      <c r="A32" s="126"/>
      <c r="B32" s="10" t="s">
        <v>35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</row>
    <row r="33" spans="1:16" ht="14.4" thickTop="1">
      <c r="A33" s="105" t="str">
        <f>$A$1</f>
        <v>प्रपत्र - क  -  अर्थसंकल्पीय अंदाजपत्रक सन 2021-2022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</row>
    <row r="34" spans="1:16">
      <c r="A34" s="111" t="s">
        <v>18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</row>
    <row r="35" spans="1:16">
      <c r="A35" s="135" t="s">
        <v>47</v>
      </c>
      <c r="B35" s="135"/>
      <c r="C35" s="135"/>
      <c r="D35" s="135"/>
      <c r="E35" s="135"/>
      <c r="F35" s="135"/>
      <c r="G35" s="135"/>
      <c r="H35" s="135"/>
      <c r="I35" s="135"/>
      <c r="J35" s="135"/>
      <c r="K35" s="135"/>
    </row>
    <row r="36" spans="1:16">
      <c r="A36" s="127" t="s">
        <v>50</v>
      </c>
      <c r="B36" s="128" t="s">
        <v>59</v>
      </c>
      <c r="C36" s="129"/>
      <c r="D36" s="129"/>
      <c r="E36" s="129"/>
      <c r="F36" s="129"/>
      <c r="G36" s="129"/>
      <c r="H36" s="129"/>
      <c r="I36" s="129"/>
      <c r="J36" s="129"/>
      <c r="K36" s="130"/>
    </row>
    <row r="37" spans="1:16">
      <c r="A37" s="127"/>
      <c r="B37" s="3"/>
      <c r="C37" s="134" t="s">
        <v>69</v>
      </c>
      <c r="D37" s="134"/>
      <c r="E37" s="134"/>
      <c r="F37" s="134"/>
      <c r="G37" s="134" t="s">
        <v>72</v>
      </c>
      <c r="H37" s="134"/>
      <c r="I37" s="134"/>
      <c r="J37" s="134"/>
      <c r="K37" s="76" t="s">
        <v>35</v>
      </c>
    </row>
    <row r="38" spans="1:16" ht="21" customHeight="1">
      <c r="A38" s="124" t="s">
        <v>52</v>
      </c>
      <c r="B38" s="3" t="s">
        <v>29</v>
      </c>
      <c r="C38" s="46" t="s">
        <v>70</v>
      </c>
      <c r="D38" s="46" t="s">
        <v>30</v>
      </c>
      <c r="E38" s="46" t="s">
        <v>71</v>
      </c>
      <c r="F38" s="46" t="s">
        <v>35</v>
      </c>
      <c r="G38" s="46" t="s">
        <v>70</v>
      </c>
      <c r="H38" s="46" t="s">
        <v>30</v>
      </c>
      <c r="I38" s="46" t="s">
        <v>71</v>
      </c>
      <c r="J38" s="46" t="s">
        <v>35</v>
      </c>
      <c r="K38" s="46" t="s">
        <v>35</v>
      </c>
    </row>
    <row r="39" spans="1:16">
      <c r="A39" s="125"/>
      <c r="B39" s="4" t="s">
        <v>60</v>
      </c>
      <c r="C39" s="4"/>
      <c r="D39" s="101"/>
      <c r="E39" s="4"/>
      <c r="F39" s="4">
        <f>SUM(C39:E39)</f>
        <v>0</v>
      </c>
      <c r="G39" s="4"/>
      <c r="H39" s="4"/>
      <c r="I39" s="4"/>
      <c r="J39" s="4">
        <f>SUM(G39:I39)</f>
        <v>0</v>
      </c>
      <c r="K39" s="4" cm="1">
        <f t="array" ref="K39">SUM(G39:I39 + C39:E39)</f>
        <v>0</v>
      </c>
    </row>
    <row r="40" spans="1:16">
      <c r="A40" s="125"/>
      <c r="B40" s="3" t="s">
        <v>61</v>
      </c>
      <c r="C40" s="6"/>
      <c r="D40" s="5"/>
      <c r="E40" s="5"/>
      <c r="F40" s="3">
        <v>0</v>
      </c>
      <c r="G40" s="5"/>
      <c r="H40" s="5"/>
      <c r="I40" s="5"/>
      <c r="J40" s="3">
        <v>0</v>
      </c>
      <c r="K40" s="3">
        <v>0</v>
      </c>
    </row>
    <row r="41" spans="1:16">
      <c r="A41" s="125"/>
      <c r="B41" s="3" t="s">
        <v>62</v>
      </c>
      <c r="C41" s="5"/>
      <c r="D41" s="5"/>
      <c r="E41" s="5"/>
      <c r="F41" s="3">
        <v>0</v>
      </c>
      <c r="G41" s="5"/>
      <c r="H41" s="5"/>
      <c r="I41" s="5"/>
      <c r="J41" s="3">
        <v>0</v>
      </c>
      <c r="K41" s="3">
        <v>0</v>
      </c>
    </row>
    <row r="42" spans="1:16" ht="14.4" thickBot="1">
      <c r="A42" s="125"/>
      <c r="B42" s="7" t="s">
        <v>35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</row>
    <row r="43" spans="1:16" ht="14.4" thickTop="1">
      <c r="A43" s="125"/>
      <c r="B43" s="8" t="s">
        <v>39</v>
      </c>
      <c r="C43" s="9"/>
      <c r="D43" s="9"/>
      <c r="E43" s="9"/>
      <c r="F43" s="3">
        <v>0</v>
      </c>
      <c r="G43" s="9"/>
      <c r="H43" s="9"/>
      <c r="I43" s="9"/>
      <c r="J43" s="3">
        <v>0</v>
      </c>
      <c r="K43" s="3">
        <v>0</v>
      </c>
    </row>
    <row r="44" spans="1:16">
      <c r="A44" s="125"/>
      <c r="B44" s="3" t="s">
        <v>63</v>
      </c>
      <c r="C44" s="5"/>
      <c r="D44" s="5"/>
      <c r="E44" s="5"/>
      <c r="F44" s="3">
        <v>0</v>
      </c>
      <c r="G44" s="5"/>
      <c r="H44" s="5"/>
      <c r="I44" s="5"/>
      <c r="J44" s="3">
        <v>0</v>
      </c>
      <c r="K44" s="3">
        <v>0</v>
      </c>
    </row>
    <row r="45" spans="1:16">
      <c r="A45" s="125"/>
      <c r="B45" s="3" t="s">
        <v>64</v>
      </c>
      <c r="C45" s="5"/>
      <c r="D45" s="5"/>
      <c r="E45" s="5"/>
      <c r="F45" s="3">
        <v>0</v>
      </c>
      <c r="G45" s="5"/>
      <c r="H45" s="5"/>
      <c r="I45" s="5"/>
      <c r="J45" s="3">
        <v>0</v>
      </c>
      <c r="K45" s="3">
        <v>0</v>
      </c>
    </row>
    <row r="46" spans="1:16">
      <c r="A46" s="125"/>
      <c r="B46" s="3" t="s">
        <v>65</v>
      </c>
      <c r="C46" s="5"/>
      <c r="D46" s="5"/>
      <c r="E46" s="5"/>
      <c r="F46" s="3">
        <v>0</v>
      </c>
      <c r="G46" s="5"/>
      <c r="H46" s="5"/>
      <c r="I46" s="5"/>
      <c r="J46" s="3">
        <v>0</v>
      </c>
      <c r="K46" s="3">
        <v>0</v>
      </c>
    </row>
    <row r="47" spans="1:16">
      <c r="A47" s="125"/>
      <c r="B47" s="3" t="s">
        <v>66</v>
      </c>
      <c r="C47" s="5"/>
      <c r="D47" s="5"/>
      <c r="E47" s="5"/>
      <c r="F47" s="3">
        <v>0</v>
      </c>
      <c r="G47" s="5"/>
      <c r="H47" s="5"/>
      <c r="I47" s="5"/>
      <c r="J47" s="3">
        <v>0</v>
      </c>
      <c r="K47" s="3">
        <v>0</v>
      </c>
    </row>
    <row r="48" spans="1:16">
      <c r="A48" s="125"/>
      <c r="B48" s="3" t="s">
        <v>67</v>
      </c>
      <c r="C48" s="5"/>
      <c r="D48" s="5"/>
      <c r="E48" s="5"/>
      <c r="F48" s="3">
        <v>0</v>
      </c>
      <c r="G48" s="5"/>
      <c r="H48" s="5"/>
      <c r="I48" s="5"/>
      <c r="J48" s="3">
        <v>0</v>
      </c>
      <c r="K48" s="3">
        <v>0</v>
      </c>
    </row>
    <row r="49" spans="1:16" ht="14.4" thickBot="1">
      <c r="A49" s="126"/>
      <c r="B49" s="10" t="s">
        <v>35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</row>
    <row r="50" spans="1:16" ht="14.4" thickTop="1"/>
    <row r="51" spans="1:16">
      <c r="A51" s="127" t="s">
        <v>50</v>
      </c>
      <c r="B51" s="128" t="s">
        <v>68</v>
      </c>
      <c r="C51" s="129"/>
      <c r="D51" s="129"/>
      <c r="E51" s="129"/>
      <c r="F51" s="129"/>
      <c r="G51" s="129"/>
      <c r="H51" s="129"/>
      <c r="I51" s="129"/>
      <c r="J51" s="129"/>
      <c r="K51" s="130"/>
      <c r="M51" s="131" t="s">
        <v>73</v>
      </c>
      <c r="N51" s="132"/>
      <c r="O51" s="132"/>
      <c r="P51" s="133"/>
    </row>
    <row r="52" spans="1:16">
      <c r="A52" s="127"/>
      <c r="B52" s="3"/>
      <c r="C52" s="128" t="s">
        <v>69</v>
      </c>
      <c r="D52" s="129"/>
      <c r="E52" s="129"/>
      <c r="F52" s="130"/>
      <c r="G52" s="134" t="s">
        <v>72</v>
      </c>
      <c r="H52" s="134"/>
      <c r="I52" s="134"/>
      <c r="J52" s="134"/>
      <c r="K52" s="76" t="s">
        <v>35</v>
      </c>
      <c r="M52" s="3" t="s">
        <v>29</v>
      </c>
      <c r="N52" s="11" t="s">
        <v>59</v>
      </c>
      <c r="O52" s="11" t="s">
        <v>68</v>
      </c>
      <c r="P52" s="76" t="s">
        <v>35</v>
      </c>
    </row>
    <row r="53" spans="1:16" ht="21" customHeight="1">
      <c r="A53" s="124" t="s">
        <v>52</v>
      </c>
      <c r="B53" s="3" t="s">
        <v>29</v>
      </c>
      <c r="C53" s="46" t="s">
        <v>70</v>
      </c>
      <c r="D53" s="46" t="s">
        <v>30</v>
      </c>
      <c r="E53" s="46" t="s">
        <v>71</v>
      </c>
      <c r="F53" s="46" t="s">
        <v>35</v>
      </c>
      <c r="G53" s="46" t="s">
        <v>70</v>
      </c>
      <c r="H53" s="46" t="s">
        <v>30</v>
      </c>
      <c r="I53" s="46" t="s">
        <v>71</v>
      </c>
      <c r="J53" s="46" t="s">
        <v>35</v>
      </c>
      <c r="K53" s="46"/>
      <c r="M53" s="4" t="s">
        <v>60</v>
      </c>
      <c r="N53" s="4">
        <f>(K39)</f>
        <v>0</v>
      </c>
      <c r="O53" s="101">
        <f>(K54)</f>
        <v>0</v>
      </c>
      <c r="P53" s="4">
        <f>SUM(N53:O53)</f>
        <v>0</v>
      </c>
    </row>
    <row r="54" spans="1:16">
      <c r="A54" s="125"/>
      <c r="B54" s="4" t="s">
        <v>60</v>
      </c>
      <c r="C54" s="4"/>
      <c r="D54" s="101"/>
      <c r="E54" s="4"/>
      <c r="F54" s="4">
        <f>SUM(C54:E54)</f>
        <v>0</v>
      </c>
      <c r="G54" s="4"/>
      <c r="H54" s="4"/>
      <c r="I54" s="4"/>
      <c r="J54" s="4">
        <f>SUM(G54:I54)</f>
        <v>0</v>
      </c>
      <c r="K54" s="4" cm="1">
        <f t="array" ref="K54">SUM(C54:E54+G54:I54)</f>
        <v>0</v>
      </c>
      <c r="M54" s="3" t="s">
        <v>61</v>
      </c>
      <c r="N54" s="11">
        <v>0</v>
      </c>
      <c r="O54" s="11">
        <v>0</v>
      </c>
      <c r="P54" s="12">
        <v>0</v>
      </c>
    </row>
    <row r="55" spans="1:16">
      <c r="A55" s="125"/>
      <c r="B55" s="3" t="s">
        <v>61</v>
      </c>
      <c r="C55" s="5"/>
      <c r="D55" s="5"/>
      <c r="E55" s="5"/>
      <c r="F55" s="3">
        <v>0</v>
      </c>
      <c r="G55" s="5"/>
      <c r="H55" s="5"/>
      <c r="I55" s="5"/>
      <c r="J55" s="3">
        <v>0</v>
      </c>
      <c r="K55" s="3">
        <v>0</v>
      </c>
      <c r="M55" s="3" t="s">
        <v>62</v>
      </c>
      <c r="N55" s="11">
        <v>0</v>
      </c>
      <c r="O55" s="11">
        <v>0</v>
      </c>
      <c r="P55" s="12">
        <v>0</v>
      </c>
    </row>
    <row r="56" spans="1:16" ht="14.4" thickBot="1">
      <c r="A56" s="125"/>
      <c r="B56" s="3" t="s">
        <v>62</v>
      </c>
      <c r="C56" s="5"/>
      <c r="D56" s="5"/>
      <c r="E56" s="5"/>
      <c r="F56" s="3">
        <v>0</v>
      </c>
      <c r="G56" s="5"/>
      <c r="H56" s="5"/>
      <c r="I56" s="5"/>
      <c r="J56" s="3">
        <v>0</v>
      </c>
      <c r="K56" s="3">
        <v>0</v>
      </c>
      <c r="M56" s="7" t="s">
        <v>35</v>
      </c>
      <c r="N56" s="13">
        <v>0</v>
      </c>
      <c r="O56" s="13">
        <v>0</v>
      </c>
      <c r="P56" s="14">
        <v>0</v>
      </c>
    </row>
    <row r="57" spans="1:16" ht="15" thickTop="1" thickBot="1">
      <c r="A57" s="125"/>
      <c r="B57" s="7" t="s">
        <v>35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M57" s="8" t="s">
        <v>63</v>
      </c>
      <c r="N57" s="15">
        <v>0</v>
      </c>
      <c r="O57" s="15">
        <v>0</v>
      </c>
      <c r="P57" s="43">
        <v>0</v>
      </c>
    </row>
    <row r="58" spans="1:16" ht="14.4" thickTop="1">
      <c r="A58" s="125"/>
      <c r="B58" s="8" t="s">
        <v>39</v>
      </c>
      <c r="C58" s="9"/>
      <c r="D58" s="9"/>
      <c r="E58" s="9"/>
      <c r="F58" s="3">
        <v>0</v>
      </c>
      <c r="G58" s="9"/>
      <c r="H58" s="9"/>
      <c r="I58" s="9"/>
      <c r="J58" s="3">
        <v>0</v>
      </c>
      <c r="K58" s="3">
        <v>0</v>
      </c>
      <c r="M58" s="8" t="s">
        <v>39</v>
      </c>
      <c r="N58" s="11">
        <v>0</v>
      </c>
      <c r="O58" s="11">
        <v>0</v>
      </c>
      <c r="P58" s="43">
        <v>0</v>
      </c>
    </row>
    <row r="59" spans="1:16">
      <c r="A59" s="125"/>
      <c r="B59" s="3" t="s">
        <v>63</v>
      </c>
      <c r="C59" s="5"/>
      <c r="D59" s="5"/>
      <c r="E59" s="5"/>
      <c r="F59" s="3">
        <v>0</v>
      </c>
      <c r="G59" s="5"/>
      <c r="H59" s="5"/>
      <c r="I59" s="5"/>
      <c r="J59" s="3">
        <v>0</v>
      </c>
      <c r="K59" s="3">
        <v>0</v>
      </c>
      <c r="M59" s="3" t="s">
        <v>64</v>
      </c>
      <c r="N59" s="11">
        <v>0</v>
      </c>
      <c r="O59" s="11">
        <v>0</v>
      </c>
      <c r="P59" s="12">
        <v>0</v>
      </c>
    </row>
    <row r="60" spans="1:16">
      <c r="A60" s="125"/>
      <c r="B60" s="3" t="s">
        <v>64</v>
      </c>
      <c r="C60" s="5"/>
      <c r="D60" s="5"/>
      <c r="E60" s="5"/>
      <c r="F60" s="3">
        <v>0</v>
      </c>
      <c r="G60" s="5"/>
      <c r="H60" s="5"/>
      <c r="I60" s="5"/>
      <c r="J60" s="3">
        <v>0</v>
      </c>
      <c r="K60" s="3">
        <v>0</v>
      </c>
      <c r="M60" s="3" t="s">
        <v>65</v>
      </c>
      <c r="N60" s="11">
        <v>0</v>
      </c>
      <c r="O60" s="11">
        <v>0</v>
      </c>
      <c r="P60" s="12">
        <v>0</v>
      </c>
    </row>
    <row r="61" spans="1:16">
      <c r="A61" s="125"/>
      <c r="B61" s="3" t="s">
        <v>65</v>
      </c>
      <c r="C61" s="5"/>
      <c r="D61" s="5"/>
      <c r="E61" s="5"/>
      <c r="F61" s="3">
        <v>0</v>
      </c>
      <c r="G61" s="5"/>
      <c r="H61" s="5"/>
      <c r="I61" s="5"/>
      <c r="J61" s="3">
        <v>0</v>
      </c>
      <c r="K61" s="3">
        <v>0</v>
      </c>
      <c r="M61" s="3" t="s">
        <v>66</v>
      </c>
      <c r="N61" s="11">
        <v>0</v>
      </c>
      <c r="O61" s="11">
        <v>0</v>
      </c>
      <c r="P61" s="12">
        <v>0</v>
      </c>
    </row>
    <row r="62" spans="1:16">
      <c r="A62" s="125"/>
      <c r="B62" s="3" t="s">
        <v>66</v>
      </c>
      <c r="C62" s="5"/>
      <c r="D62" s="5"/>
      <c r="E62" s="5"/>
      <c r="F62" s="3">
        <v>0</v>
      </c>
      <c r="G62" s="5"/>
      <c r="H62" s="5"/>
      <c r="I62" s="5"/>
      <c r="J62" s="3">
        <v>0</v>
      </c>
      <c r="K62" s="3">
        <v>0</v>
      </c>
      <c r="M62" s="3" t="s">
        <v>67</v>
      </c>
      <c r="N62" s="11">
        <v>0</v>
      </c>
      <c r="O62" s="11">
        <v>0</v>
      </c>
      <c r="P62" s="12">
        <v>0</v>
      </c>
    </row>
    <row r="63" spans="1:16" ht="14.4" thickBot="1">
      <c r="A63" s="125"/>
      <c r="B63" s="3" t="s">
        <v>67</v>
      </c>
      <c r="C63" s="5"/>
      <c r="D63" s="5"/>
      <c r="E63" s="5"/>
      <c r="F63" s="3">
        <v>0</v>
      </c>
      <c r="G63" s="5"/>
      <c r="H63" s="5"/>
      <c r="I63" s="5"/>
      <c r="J63" s="3">
        <v>0</v>
      </c>
      <c r="K63" s="3">
        <v>0</v>
      </c>
      <c r="M63" s="10" t="s">
        <v>35</v>
      </c>
      <c r="N63" s="14">
        <v>0</v>
      </c>
      <c r="O63" s="14">
        <v>0</v>
      </c>
      <c r="P63" s="14">
        <v>0</v>
      </c>
    </row>
    <row r="64" spans="1:16" ht="15" thickTop="1" thickBot="1">
      <c r="A64" s="126"/>
      <c r="B64" s="10" t="s">
        <v>35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</row>
    <row r="65" spans="1:16" ht="14.4" thickTop="1">
      <c r="A65" s="105" t="str">
        <f>$A$1</f>
        <v>प्रपत्र - क  -  अर्थसंकल्पीय अंदाजपत्रक सन 2021-2022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</row>
    <row r="66" spans="1:16">
      <c r="A66" s="111" t="s">
        <v>18</v>
      </c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</row>
    <row r="67" spans="1:16">
      <c r="A67" s="135" t="s">
        <v>47</v>
      </c>
      <c r="B67" s="135"/>
      <c r="C67" s="135"/>
      <c r="D67" s="135"/>
      <c r="E67" s="135"/>
      <c r="F67" s="135"/>
      <c r="G67" s="135"/>
      <c r="H67" s="135"/>
      <c r="I67" s="135"/>
      <c r="J67" s="135"/>
      <c r="K67" s="135"/>
    </row>
    <row r="68" spans="1:16">
      <c r="A68" s="127" t="s">
        <v>50</v>
      </c>
      <c r="B68" s="128" t="s">
        <v>59</v>
      </c>
      <c r="C68" s="129"/>
      <c r="D68" s="129"/>
      <c r="E68" s="129"/>
      <c r="F68" s="129"/>
      <c r="G68" s="129"/>
      <c r="H68" s="129"/>
      <c r="I68" s="129"/>
      <c r="J68" s="129"/>
      <c r="K68" s="130"/>
    </row>
    <row r="69" spans="1:16">
      <c r="A69" s="127"/>
      <c r="B69" s="3"/>
      <c r="C69" s="134" t="s">
        <v>69</v>
      </c>
      <c r="D69" s="134"/>
      <c r="E69" s="134"/>
      <c r="F69" s="134"/>
      <c r="G69" s="134" t="s">
        <v>72</v>
      </c>
      <c r="H69" s="134"/>
      <c r="I69" s="134"/>
      <c r="J69" s="134"/>
      <c r="K69" s="76" t="s">
        <v>35</v>
      </c>
    </row>
    <row r="70" spans="1:16">
      <c r="A70" s="124" t="s">
        <v>53</v>
      </c>
      <c r="B70" s="3" t="s">
        <v>29</v>
      </c>
      <c r="C70" s="46" t="s">
        <v>70</v>
      </c>
      <c r="D70" s="46" t="s">
        <v>30</v>
      </c>
      <c r="E70" s="46" t="s">
        <v>71</v>
      </c>
      <c r="F70" s="46" t="s">
        <v>35</v>
      </c>
      <c r="G70" s="46" t="s">
        <v>70</v>
      </c>
      <c r="H70" s="46" t="s">
        <v>30</v>
      </c>
      <c r="I70" s="46" t="s">
        <v>71</v>
      </c>
      <c r="J70" s="46" t="s">
        <v>35</v>
      </c>
      <c r="K70" s="46" t="s">
        <v>35</v>
      </c>
    </row>
    <row r="71" spans="1:16">
      <c r="A71" s="125"/>
      <c r="B71" s="4" t="s">
        <v>60</v>
      </c>
      <c r="C71" s="5">
        <v>0</v>
      </c>
      <c r="D71" s="5">
        <v>0</v>
      </c>
      <c r="E71" s="5">
        <v>0</v>
      </c>
      <c r="F71" s="3">
        <f>SUM(C71:E71)</f>
        <v>0</v>
      </c>
      <c r="G71" s="5">
        <v>0</v>
      </c>
      <c r="H71" s="5">
        <v>2</v>
      </c>
      <c r="I71" s="5">
        <v>0</v>
      </c>
      <c r="J71" s="3">
        <f>SUM(G71:I71)</f>
        <v>2</v>
      </c>
      <c r="K71" s="3">
        <f>SUM(J71,F71)</f>
        <v>2</v>
      </c>
    </row>
    <row r="72" spans="1:16">
      <c r="A72" s="125"/>
      <c r="B72" s="3" t="s">
        <v>61</v>
      </c>
      <c r="C72" s="6">
        <v>0</v>
      </c>
      <c r="D72" s="5">
        <v>0</v>
      </c>
      <c r="E72" s="5">
        <v>0</v>
      </c>
      <c r="F72" s="3">
        <f t="shared" ref="F72:F80" si="0">SUM(C72:E72)</f>
        <v>0</v>
      </c>
      <c r="G72" s="5">
        <v>0</v>
      </c>
      <c r="H72" s="5">
        <v>638</v>
      </c>
      <c r="I72" s="5">
        <v>0</v>
      </c>
      <c r="J72" s="3">
        <f>SUM(G72:I72)</f>
        <v>638</v>
      </c>
      <c r="K72" s="3">
        <f>SUM(J72,F72)</f>
        <v>638</v>
      </c>
    </row>
    <row r="73" spans="1:16">
      <c r="A73" s="125"/>
      <c r="B73" s="3" t="s">
        <v>62</v>
      </c>
      <c r="C73" s="5">
        <v>0</v>
      </c>
      <c r="D73" s="5">
        <v>0</v>
      </c>
      <c r="E73" s="5">
        <v>0</v>
      </c>
      <c r="F73" s="3">
        <f t="shared" si="0"/>
        <v>0</v>
      </c>
      <c r="G73" s="5">
        <v>0</v>
      </c>
      <c r="H73" s="5">
        <v>0</v>
      </c>
      <c r="I73" s="5">
        <v>0</v>
      </c>
      <c r="J73" s="3">
        <f>SUM(G73:I73)</f>
        <v>0</v>
      </c>
      <c r="K73" s="3">
        <f>SUM(J73,F73)</f>
        <v>0</v>
      </c>
    </row>
    <row r="74" spans="1:16" ht="14.4" thickBot="1">
      <c r="A74" s="125"/>
      <c r="B74" s="7" t="s">
        <v>35</v>
      </c>
      <c r="C74" s="7">
        <f>SUM(C72:C73)</f>
        <v>0</v>
      </c>
      <c r="D74" s="7">
        <f t="shared" ref="D74:K74" si="1">SUM(D72:D73)</f>
        <v>0</v>
      </c>
      <c r="E74" s="7">
        <f t="shared" si="1"/>
        <v>0</v>
      </c>
      <c r="F74" s="7">
        <f t="shared" si="1"/>
        <v>0</v>
      </c>
      <c r="G74" s="7">
        <f t="shared" si="1"/>
        <v>0</v>
      </c>
      <c r="H74" s="7">
        <f t="shared" si="1"/>
        <v>638</v>
      </c>
      <c r="I74" s="7">
        <f t="shared" si="1"/>
        <v>0</v>
      </c>
      <c r="J74" s="7">
        <f t="shared" si="1"/>
        <v>638</v>
      </c>
      <c r="K74" s="7">
        <f t="shared" si="1"/>
        <v>638</v>
      </c>
    </row>
    <row r="75" spans="1:16" ht="14.4" thickTop="1">
      <c r="A75" s="125"/>
      <c r="B75" s="8" t="s">
        <v>39</v>
      </c>
      <c r="C75" s="9">
        <v>0</v>
      </c>
      <c r="D75" s="9">
        <v>0</v>
      </c>
      <c r="E75" s="9">
        <v>0</v>
      </c>
      <c r="F75" s="3">
        <f t="shared" si="0"/>
        <v>0</v>
      </c>
      <c r="G75" s="9">
        <v>0</v>
      </c>
      <c r="H75" s="9">
        <v>0</v>
      </c>
      <c r="I75" s="9">
        <v>0</v>
      </c>
      <c r="J75" s="3">
        <f t="shared" ref="J75:J80" si="2">SUM(G75:I75)</f>
        <v>0</v>
      </c>
      <c r="K75" s="3">
        <f t="shared" ref="K75:K80" si="3">SUM(J75,F75)</f>
        <v>0</v>
      </c>
    </row>
    <row r="76" spans="1:16">
      <c r="A76" s="125"/>
      <c r="B76" s="3" t="s">
        <v>63</v>
      </c>
      <c r="C76" s="5">
        <v>0</v>
      </c>
      <c r="D76" s="5">
        <v>0</v>
      </c>
      <c r="E76" s="5">
        <v>0</v>
      </c>
      <c r="F76" s="3">
        <f t="shared" si="0"/>
        <v>0</v>
      </c>
      <c r="G76" s="5">
        <v>0</v>
      </c>
      <c r="H76" s="5">
        <v>160</v>
      </c>
      <c r="I76" s="5">
        <v>0</v>
      </c>
      <c r="J76" s="3">
        <f t="shared" si="2"/>
        <v>160</v>
      </c>
      <c r="K76" s="3">
        <f t="shared" si="3"/>
        <v>160</v>
      </c>
    </row>
    <row r="77" spans="1:16">
      <c r="A77" s="125"/>
      <c r="B77" s="3" t="s">
        <v>64</v>
      </c>
      <c r="C77" s="5">
        <v>0</v>
      </c>
      <c r="D77" s="5">
        <v>0</v>
      </c>
      <c r="E77" s="5">
        <v>0</v>
      </c>
      <c r="F77" s="3">
        <f t="shared" si="0"/>
        <v>0</v>
      </c>
      <c r="G77" s="5">
        <v>0</v>
      </c>
      <c r="H77" s="5">
        <v>8</v>
      </c>
      <c r="I77" s="5">
        <v>0</v>
      </c>
      <c r="J77" s="3">
        <f t="shared" si="2"/>
        <v>8</v>
      </c>
      <c r="K77" s="3">
        <f t="shared" si="3"/>
        <v>8</v>
      </c>
    </row>
    <row r="78" spans="1:16">
      <c r="A78" s="125"/>
      <c r="B78" s="3" t="s">
        <v>65</v>
      </c>
      <c r="C78" s="5">
        <v>0</v>
      </c>
      <c r="D78" s="5">
        <v>0</v>
      </c>
      <c r="E78" s="5">
        <v>0</v>
      </c>
      <c r="F78" s="3">
        <f t="shared" si="0"/>
        <v>0</v>
      </c>
      <c r="G78" s="5">
        <v>0</v>
      </c>
      <c r="H78" s="5">
        <v>172</v>
      </c>
      <c r="I78" s="5">
        <v>0</v>
      </c>
      <c r="J78" s="3">
        <f t="shared" si="2"/>
        <v>172</v>
      </c>
      <c r="K78" s="3">
        <f t="shared" si="3"/>
        <v>172</v>
      </c>
    </row>
    <row r="79" spans="1:16">
      <c r="A79" s="125"/>
      <c r="B79" s="3" t="s">
        <v>66</v>
      </c>
      <c r="C79" s="5">
        <v>0</v>
      </c>
      <c r="D79" s="5">
        <v>0</v>
      </c>
      <c r="E79" s="5">
        <v>0</v>
      </c>
      <c r="F79" s="3">
        <f t="shared" si="0"/>
        <v>0</v>
      </c>
      <c r="G79" s="5">
        <v>0</v>
      </c>
      <c r="H79" s="5">
        <v>5</v>
      </c>
      <c r="I79" s="5">
        <v>0</v>
      </c>
      <c r="J79" s="3">
        <f t="shared" si="2"/>
        <v>5</v>
      </c>
      <c r="K79" s="3">
        <f t="shared" si="3"/>
        <v>5</v>
      </c>
    </row>
    <row r="80" spans="1:16">
      <c r="A80" s="125"/>
      <c r="B80" s="3" t="s">
        <v>67</v>
      </c>
      <c r="C80" s="5">
        <v>0</v>
      </c>
      <c r="D80" s="5">
        <v>0</v>
      </c>
      <c r="E80" s="5">
        <v>0</v>
      </c>
      <c r="F80" s="3">
        <f t="shared" si="0"/>
        <v>0</v>
      </c>
      <c r="G80" s="5">
        <v>0</v>
      </c>
      <c r="H80" s="5">
        <v>5</v>
      </c>
      <c r="I80" s="5">
        <v>0</v>
      </c>
      <c r="J80" s="3">
        <f t="shared" si="2"/>
        <v>5</v>
      </c>
      <c r="K80" s="3">
        <f t="shared" si="3"/>
        <v>5</v>
      </c>
    </row>
    <row r="81" spans="1:16" ht="14.4" thickBot="1">
      <c r="A81" s="126"/>
      <c r="B81" s="10" t="s">
        <v>35</v>
      </c>
      <c r="C81" s="7">
        <f>SUM(C74:C80)</f>
        <v>0</v>
      </c>
      <c r="D81" s="7">
        <f t="shared" ref="D81:K81" si="4">SUM(D74:D80)</f>
        <v>0</v>
      </c>
      <c r="E81" s="7">
        <f t="shared" si="4"/>
        <v>0</v>
      </c>
      <c r="F81" s="7">
        <f t="shared" si="4"/>
        <v>0</v>
      </c>
      <c r="G81" s="7">
        <f t="shared" si="4"/>
        <v>0</v>
      </c>
      <c r="H81" s="7">
        <f t="shared" si="4"/>
        <v>988</v>
      </c>
      <c r="I81" s="7">
        <f t="shared" si="4"/>
        <v>0</v>
      </c>
      <c r="J81" s="7">
        <f t="shared" si="4"/>
        <v>988</v>
      </c>
      <c r="K81" s="7">
        <f t="shared" si="4"/>
        <v>988</v>
      </c>
    </row>
    <row r="82" spans="1:16" ht="14.4" thickTop="1"/>
    <row r="83" spans="1:16">
      <c r="A83" s="127" t="s">
        <v>50</v>
      </c>
      <c r="B83" s="128" t="s">
        <v>68</v>
      </c>
      <c r="C83" s="129"/>
      <c r="D83" s="129"/>
      <c r="E83" s="129"/>
      <c r="F83" s="129"/>
      <c r="G83" s="129"/>
      <c r="H83" s="129"/>
      <c r="I83" s="129"/>
      <c r="J83" s="129"/>
      <c r="K83" s="130"/>
      <c r="M83" s="131" t="s">
        <v>73</v>
      </c>
      <c r="N83" s="132"/>
      <c r="O83" s="132"/>
      <c r="P83" s="133"/>
    </row>
    <row r="84" spans="1:16">
      <c r="A84" s="127"/>
      <c r="B84" s="3"/>
      <c r="C84" s="128" t="s">
        <v>69</v>
      </c>
      <c r="D84" s="129"/>
      <c r="E84" s="129"/>
      <c r="F84" s="130"/>
      <c r="G84" s="134" t="s">
        <v>72</v>
      </c>
      <c r="H84" s="134"/>
      <c r="I84" s="134"/>
      <c r="J84" s="134"/>
      <c r="K84" s="76" t="s">
        <v>35</v>
      </c>
      <c r="M84" s="3" t="s">
        <v>29</v>
      </c>
      <c r="N84" s="11" t="s">
        <v>59</v>
      </c>
      <c r="O84" s="11" t="s">
        <v>68</v>
      </c>
      <c r="P84" s="76" t="s">
        <v>35</v>
      </c>
    </row>
    <row r="85" spans="1:16">
      <c r="A85" s="124" t="s">
        <v>53</v>
      </c>
      <c r="B85" s="3" t="s">
        <v>29</v>
      </c>
      <c r="C85" s="46" t="s">
        <v>70</v>
      </c>
      <c r="D85" s="46" t="s">
        <v>30</v>
      </c>
      <c r="E85" s="46" t="s">
        <v>71</v>
      </c>
      <c r="F85" s="46" t="s">
        <v>35</v>
      </c>
      <c r="G85" s="46" t="s">
        <v>70</v>
      </c>
      <c r="H85" s="46" t="s">
        <v>30</v>
      </c>
      <c r="I85" s="46" t="s">
        <v>71</v>
      </c>
      <c r="J85" s="46" t="s">
        <v>35</v>
      </c>
      <c r="K85" s="46"/>
      <c r="M85" s="4" t="s">
        <v>60</v>
      </c>
      <c r="N85" s="11">
        <f>K71</f>
        <v>2</v>
      </c>
      <c r="O85" s="11">
        <v>0</v>
      </c>
      <c r="P85" s="12">
        <f>SUM(N85:O85)</f>
        <v>2</v>
      </c>
    </row>
    <row r="86" spans="1:16">
      <c r="A86" s="125"/>
      <c r="B86" s="4" t="s">
        <v>60</v>
      </c>
      <c r="C86" s="5">
        <v>0</v>
      </c>
      <c r="D86" s="5">
        <v>0</v>
      </c>
      <c r="E86" s="5">
        <v>0</v>
      </c>
      <c r="F86" s="3">
        <v>0</v>
      </c>
      <c r="G86" s="5">
        <v>0</v>
      </c>
      <c r="H86" s="5">
        <v>0</v>
      </c>
      <c r="I86" s="5">
        <v>0</v>
      </c>
      <c r="J86" s="3">
        <v>0</v>
      </c>
      <c r="K86" s="3">
        <v>0</v>
      </c>
      <c r="M86" s="3" t="s">
        <v>61</v>
      </c>
      <c r="N86" s="11">
        <f>K72</f>
        <v>638</v>
      </c>
      <c r="O86" s="11">
        <v>0</v>
      </c>
      <c r="P86" s="12">
        <f>SUM(N86:O86)</f>
        <v>638</v>
      </c>
    </row>
    <row r="87" spans="1:16">
      <c r="A87" s="125"/>
      <c r="B87" s="3" t="s">
        <v>61</v>
      </c>
      <c r="C87" s="5">
        <v>0</v>
      </c>
      <c r="D87" s="5">
        <v>0</v>
      </c>
      <c r="E87" s="5">
        <v>0</v>
      </c>
      <c r="F87" s="3">
        <v>0</v>
      </c>
      <c r="G87" s="5">
        <v>0</v>
      </c>
      <c r="H87" s="5">
        <v>0</v>
      </c>
      <c r="I87" s="5">
        <v>0</v>
      </c>
      <c r="J87" s="3">
        <v>0</v>
      </c>
      <c r="K87" s="3">
        <v>0</v>
      </c>
      <c r="M87" s="3" t="s">
        <v>62</v>
      </c>
      <c r="N87" s="11">
        <f>K73</f>
        <v>0</v>
      </c>
      <c r="O87" s="11">
        <v>0</v>
      </c>
      <c r="P87" s="12">
        <f>SUM(N87:O87)</f>
        <v>0</v>
      </c>
    </row>
    <row r="88" spans="1:16" ht="14.4" thickBot="1">
      <c r="A88" s="125"/>
      <c r="B88" s="3" t="s">
        <v>62</v>
      </c>
      <c r="C88" s="5">
        <v>0</v>
      </c>
      <c r="D88" s="5">
        <v>0</v>
      </c>
      <c r="E88" s="5">
        <v>0</v>
      </c>
      <c r="F88" s="3">
        <v>0</v>
      </c>
      <c r="G88" s="5">
        <v>0</v>
      </c>
      <c r="H88" s="5">
        <v>0</v>
      </c>
      <c r="I88" s="5">
        <v>0</v>
      </c>
      <c r="J88" s="3">
        <v>0</v>
      </c>
      <c r="K88" s="3">
        <v>0</v>
      </c>
      <c r="M88" s="7" t="s">
        <v>35</v>
      </c>
      <c r="N88" s="13">
        <f>SUM(N86:N87)</f>
        <v>638</v>
      </c>
      <c r="O88" s="13">
        <f>SUM(O86:O87)</f>
        <v>0</v>
      </c>
      <c r="P88" s="13">
        <f>SUM(P86:P87)</f>
        <v>638</v>
      </c>
    </row>
    <row r="89" spans="1:16" ht="15" thickTop="1" thickBot="1">
      <c r="A89" s="125"/>
      <c r="B89" s="7" t="s">
        <v>35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M89" s="8" t="s">
        <v>63</v>
      </c>
      <c r="N89" s="15">
        <f>SUM(K76)</f>
        <v>160</v>
      </c>
      <c r="O89" s="15">
        <v>0</v>
      </c>
      <c r="P89" s="12">
        <f t="shared" ref="P89:P94" si="5">SUM(N89:O89)</f>
        <v>160</v>
      </c>
    </row>
    <row r="90" spans="1:16" ht="14.4" thickTop="1">
      <c r="A90" s="125"/>
      <c r="B90" s="8" t="s">
        <v>39</v>
      </c>
      <c r="C90" s="5">
        <v>0</v>
      </c>
      <c r="D90" s="5">
        <v>0</v>
      </c>
      <c r="E90" s="5">
        <v>0</v>
      </c>
      <c r="F90" s="3">
        <v>0</v>
      </c>
      <c r="G90" s="5">
        <v>0</v>
      </c>
      <c r="H90" s="5">
        <v>0</v>
      </c>
      <c r="I90" s="5">
        <v>0</v>
      </c>
      <c r="J90" s="3">
        <v>0</v>
      </c>
      <c r="K90" s="3">
        <v>0</v>
      </c>
      <c r="M90" s="8" t="s">
        <v>39</v>
      </c>
      <c r="N90" s="11">
        <f>SUM(K75)</f>
        <v>0</v>
      </c>
      <c r="O90" s="11">
        <v>0</v>
      </c>
      <c r="P90" s="12">
        <f t="shared" si="5"/>
        <v>0</v>
      </c>
    </row>
    <row r="91" spans="1:16">
      <c r="A91" s="125"/>
      <c r="B91" s="3" t="s">
        <v>63</v>
      </c>
      <c r="C91" s="5">
        <v>0</v>
      </c>
      <c r="D91" s="5">
        <v>0</v>
      </c>
      <c r="E91" s="5">
        <v>0</v>
      </c>
      <c r="F91" s="3">
        <v>0</v>
      </c>
      <c r="G91" s="5">
        <v>0</v>
      </c>
      <c r="H91" s="5">
        <v>0</v>
      </c>
      <c r="I91" s="5">
        <v>0</v>
      </c>
      <c r="J91" s="3">
        <v>0</v>
      </c>
      <c r="K91" s="3">
        <v>0</v>
      </c>
      <c r="M91" s="3" t="s">
        <v>64</v>
      </c>
      <c r="N91" s="11">
        <f>SUM(K77)</f>
        <v>8</v>
      </c>
      <c r="O91" s="11">
        <v>0</v>
      </c>
      <c r="P91" s="12">
        <f t="shared" si="5"/>
        <v>8</v>
      </c>
    </row>
    <row r="92" spans="1:16">
      <c r="A92" s="125"/>
      <c r="B92" s="3" t="s">
        <v>64</v>
      </c>
      <c r="C92" s="5">
        <v>0</v>
      </c>
      <c r="D92" s="5">
        <v>0</v>
      </c>
      <c r="E92" s="5">
        <v>0</v>
      </c>
      <c r="F92" s="3">
        <v>0</v>
      </c>
      <c r="G92" s="5">
        <v>0</v>
      </c>
      <c r="H92" s="5">
        <v>0</v>
      </c>
      <c r="I92" s="5">
        <v>0</v>
      </c>
      <c r="J92" s="3">
        <v>0</v>
      </c>
      <c r="K92" s="3">
        <v>0</v>
      </c>
      <c r="M92" s="3" t="s">
        <v>65</v>
      </c>
      <c r="N92" s="11">
        <f>SUM(K78)</f>
        <v>172</v>
      </c>
      <c r="O92" s="11">
        <v>0</v>
      </c>
      <c r="P92" s="12">
        <f t="shared" si="5"/>
        <v>172</v>
      </c>
    </row>
    <row r="93" spans="1:16">
      <c r="A93" s="125"/>
      <c r="B93" s="3" t="s">
        <v>65</v>
      </c>
      <c r="C93" s="5">
        <v>0</v>
      </c>
      <c r="D93" s="5">
        <v>0</v>
      </c>
      <c r="E93" s="5">
        <v>0</v>
      </c>
      <c r="F93" s="3">
        <v>0</v>
      </c>
      <c r="G93" s="5">
        <v>0</v>
      </c>
      <c r="H93" s="5">
        <v>0</v>
      </c>
      <c r="I93" s="5">
        <v>0</v>
      </c>
      <c r="J93" s="3">
        <v>0</v>
      </c>
      <c r="K93" s="3">
        <v>0</v>
      </c>
      <c r="M93" s="3" t="s">
        <v>66</v>
      </c>
      <c r="N93" s="11">
        <f>SUM(K79)</f>
        <v>5</v>
      </c>
      <c r="O93" s="11">
        <v>0</v>
      </c>
      <c r="P93" s="12">
        <f t="shared" si="5"/>
        <v>5</v>
      </c>
    </row>
    <row r="94" spans="1:16">
      <c r="A94" s="125"/>
      <c r="B94" s="3" t="s">
        <v>66</v>
      </c>
      <c r="C94" s="5">
        <v>0</v>
      </c>
      <c r="D94" s="5">
        <v>0</v>
      </c>
      <c r="E94" s="5">
        <v>0</v>
      </c>
      <c r="F94" s="3">
        <v>0</v>
      </c>
      <c r="G94" s="5">
        <v>0</v>
      </c>
      <c r="H94" s="5">
        <v>0</v>
      </c>
      <c r="I94" s="5">
        <v>0</v>
      </c>
      <c r="J94" s="3">
        <v>0</v>
      </c>
      <c r="K94" s="3">
        <v>0</v>
      </c>
      <c r="M94" s="3" t="s">
        <v>67</v>
      </c>
      <c r="N94" s="11">
        <f>SUM(K80)</f>
        <v>5</v>
      </c>
      <c r="O94" s="11">
        <v>0</v>
      </c>
      <c r="P94" s="12">
        <f t="shared" si="5"/>
        <v>5</v>
      </c>
    </row>
    <row r="95" spans="1:16" ht="14.4" thickBot="1">
      <c r="A95" s="125"/>
      <c r="B95" s="3" t="s">
        <v>67</v>
      </c>
      <c r="C95" s="5">
        <v>0</v>
      </c>
      <c r="D95" s="5">
        <v>0</v>
      </c>
      <c r="E95" s="5">
        <v>0</v>
      </c>
      <c r="F95" s="3">
        <v>0</v>
      </c>
      <c r="G95" s="5">
        <v>0</v>
      </c>
      <c r="H95" s="5">
        <v>0</v>
      </c>
      <c r="I95" s="5">
        <v>0</v>
      </c>
      <c r="J95" s="3">
        <v>0</v>
      </c>
      <c r="K95" s="3">
        <v>0</v>
      </c>
      <c r="M95" s="10" t="s">
        <v>35</v>
      </c>
      <c r="N95" s="14">
        <f>SUM(N88:N94)</f>
        <v>988</v>
      </c>
      <c r="O95" s="14">
        <v>0</v>
      </c>
      <c r="P95" s="14">
        <f>SUM(P88:P94)</f>
        <v>988</v>
      </c>
    </row>
    <row r="96" spans="1:16" ht="15" thickTop="1" thickBot="1">
      <c r="A96" s="126"/>
      <c r="B96" s="10" t="s">
        <v>35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</row>
    <row r="97" spans="1:16" ht="14.4" thickTop="1">
      <c r="A97" s="105" t="str">
        <f>$A$1</f>
        <v>प्रपत्र - क  -  अर्थसंकल्पीय अंदाजपत्रक सन 2021-2022</v>
      </c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</row>
    <row r="98" spans="1:16">
      <c r="A98" s="111" t="s">
        <v>18</v>
      </c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</row>
    <row r="99" spans="1:16">
      <c r="A99" s="135" t="s">
        <v>47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</row>
    <row r="100" spans="1:16">
      <c r="A100" s="127" t="s">
        <v>50</v>
      </c>
      <c r="B100" s="128" t="s">
        <v>59</v>
      </c>
      <c r="C100" s="129"/>
      <c r="D100" s="129"/>
      <c r="E100" s="129"/>
      <c r="F100" s="129"/>
      <c r="G100" s="129"/>
      <c r="H100" s="129"/>
      <c r="I100" s="129"/>
      <c r="J100" s="129"/>
      <c r="K100" s="130"/>
    </row>
    <row r="101" spans="1:16">
      <c r="A101" s="127"/>
      <c r="B101" s="3"/>
      <c r="C101" s="134" t="s">
        <v>69</v>
      </c>
      <c r="D101" s="134"/>
      <c r="E101" s="134"/>
      <c r="F101" s="134"/>
      <c r="G101" s="134" t="s">
        <v>72</v>
      </c>
      <c r="H101" s="134"/>
      <c r="I101" s="134"/>
      <c r="J101" s="134"/>
      <c r="K101" s="76" t="s">
        <v>35</v>
      </c>
    </row>
    <row r="102" spans="1:16">
      <c r="A102" s="124" t="s">
        <v>101</v>
      </c>
      <c r="B102" s="3" t="s">
        <v>29</v>
      </c>
      <c r="C102" s="46" t="s">
        <v>70</v>
      </c>
      <c r="D102" s="46" t="s">
        <v>30</v>
      </c>
      <c r="E102" s="46" t="s">
        <v>71</v>
      </c>
      <c r="F102" s="46" t="s">
        <v>35</v>
      </c>
      <c r="G102" s="46" t="s">
        <v>70</v>
      </c>
      <c r="H102" s="46" t="s">
        <v>30</v>
      </c>
      <c r="I102" s="46" t="s">
        <v>71</v>
      </c>
      <c r="J102" s="46" t="s">
        <v>35</v>
      </c>
      <c r="K102" s="46" t="s">
        <v>35</v>
      </c>
    </row>
    <row r="103" spans="1:16">
      <c r="A103" s="125"/>
      <c r="B103" s="77" t="s">
        <v>60</v>
      </c>
      <c r="C103" s="40"/>
      <c r="D103" s="5">
        <v>2</v>
      </c>
      <c r="E103" s="40"/>
      <c r="F103" s="5">
        <f>SUM(C103:E103)</f>
        <v>2</v>
      </c>
      <c r="G103" s="40"/>
      <c r="H103" s="76">
        <v>1</v>
      </c>
      <c r="I103" s="40"/>
      <c r="J103" s="5">
        <f>SUM(G103:I103)</f>
        <v>1</v>
      </c>
      <c r="K103" s="5">
        <f>SUM(F103+J103)</f>
        <v>3</v>
      </c>
    </row>
    <row r="104" spans="1:16">
      <c r="A104" s="125"/>
      <c r="B104" s="3" t="s">
        <v>61</v>
      </c>
      <c r="C104" s="6"/>
      <c r="D104" s="5">
        <v>920</v>
      </c>
      <c r="E104" s="5"/>
      <c r="F104" s="5">
        <f t="shared" ref="F104:F112" si="6">SUM(C104:E104)</f>
        <v>920</v>
      </c>
      <c r="G104" s="5"/>
      <c r="H104" s="5">
        <v>460</v>
      </c>
      <c r="I104" s="5"/>
      <c r="J104" s="5">
        <f>SUM(G104:I104)</f>
        <v>460</v>
      </c>
      <c r="K104" s="5">
        <f>SUM(F104+J104)</f>
        <v>1380</v>
      </c>
    </row>
    <row r="105" spans="1:16">
      <c r="A105" s="125"/>
      <c r="B105" s="3" t="s">
        <v>62</v>
      </c>
      <c r="C105" s="5"/>
      <c r="D105" s="5">
        <v>0</v>
      </c>
      <c r="E105" s="5"/>
      <c r="F105" s="5">
        <f t="shared" si="6"/>
        <v>0</v>
      </c>
      <c r="G105" s="5"/>
      <c r="H105" s="5">
        <v>0</v>
      </c>
      <c r="I105" s="5"/>
      <c r="J105" s="5">
        <f>SUM(G105:I105)</f>
        <v>0</v>
      </c>
      <c r="K105" s="5">
        <f>SUM(F105+J105)</f>
        <v>0</v>
      </c>
    </row>
    <row r="106" spans="1:16" ht="14.4" thickBot="1">
      <c r="A106" s="125"/>
      <c r="B106" s="7" t="s">
        <v>35</v>
      </c>
      <c r="C106" s="35">
        <f>SUM(C104:C105)</f>
        <v>0</v>
      </c>
      <c r="D106" s="35">
        <f>SUM(D104:D105)</f>
        <v>920</v>
      </c>
      <c r="E106" s="35">
        <f t="shared" ref="E106:K106" si="7">SUM(E104:E105)</f>
        <v>0</v>
      </c>
      <c r="F106" s="35">
        <f t="shared" si="7"/>
        <v>920</v>
      </c>
      <c r="G106" s="35">
        <f t="shared" si="7"/>
        <v>0</v>
      </c>
      <c r="H106" s="35">
        <f t="shared" si="7"/>
        <v>460</v>
      </c>
      <c r="I106" s="35">
        <f t="shared" si="7"/>
        <v>0</v>
      </c>
      <c r="J106" s="35">
        <f t="shared" si="7"/>
        <v>460</v>
      </c>
      <c r="K106" s="35">
        <f t="shared" si="7"/>
        <v>1380</v>
      </c>
    </row>
    <row r="107" spans="1:16" ht="14.4" thickTop="1">
      <c r="A107" s="125"/>
      <c r="B107" s="8" t="s">
        <v>39</v>
      </c>
      <c r="C107" s="9"/>
      <c r="D107" s="9">
        <v>0</v>
      </c>
      <c r="E107" s="9"/>
      <c r="F107" s="5">
        <f t="shared" si="6"/>
        <v>0</v>
      </c>
      <c r="G107" s="9"/>
      <c r="H107" s="9">
        <v>0</v>
      </c>
      <c r="I107" s="9"/>
      <c r="J107" s="5">
        <f t="shared" ref="J107:J112" si="8">SUM(G107:I107)</f>
        <v>0</v>
      </c>
      <c r="K107" s="5">
        <f t="shared" ref="K107:K112" si="9">SUM(F107+J107)</f>
        <v>0</v>
      </c>
    </row>
    <row r="108" spans="1:16">
      <c r="A108" s="125"/>
      <c r="B108" s="3" t="s">
        <v>63</v>
      </c>
      <c r="C108" s="5"/>
      <c r="D108" s="5">
        <v>230</v>
      </c>
      <c r="E108" s="5"/>
      <c r="F108" s="5">
        <f t="shared" si="6"/>
        <v>230</v>
      </c>
      <c r="G108" s="5"/>
      <c r="H108" s="5">
        <v>115</v>
      </c>
      <c r="I108" s="5"/>
      <c r="J108" s="5">
        <f t="shared" si="8"/>
        <v>115</v>
      </c>
      <c r="K108" s="5">
        <f t="shared" si="9"/>
        <v>345</v>
      </c>
    </row>
    <row r="109" spans="1:16">
      <c r="A109" s="125"/>
      <c r="B109" s="3" t="s">
        <v>64</v>
      </c>
      <c r="C109" s="5"/>
      <c r="D109" s="5">
        <v>10</v>
      </c>
      <c r="E109" s="5"/>
      <c r="F109" s="5">
        <f t="shared" si="6"/>
        <v>10</v>
      </c>
      <c r="G109" s="5"/>
      <c r="H109" s="5">
        <v>5</v>
      </c>
      <c r="I109" s="5"/>
      <c r="J109" s="5">
        <f t="shared" si="8"/>
        <v>5</v>
      </c>
      <c r="K109" s="5">
        <f t="shared" si="9"/>
        <v>15</v>
      </c>
    </row>
    <row r="110" spans="1:16">
      <c r="A110" s="125"/>
      <c r="B110" s="3" t="s">
        <v>65</v>
      </c>
      <c r="C110" s="5"/>
      <c r="D110" s="5">
        <v>84</v>
      </c>
      <c r="E110" s="5"/>
      <c r="F110" s="5">
        <f t="shared" si="6"/>
        <v>84</v>
      </c>
      <c r="G110" s="5"/>
      <c r="H110" s="5">
        <v>40</v>
      </c>
      <c r="I110" s="5"/>
      <c r="J110" s="5">
        <f t="shared" si="8"/>
        <v>40</v>
      </c>
      <c r="K110" s="5">
        <f t="shared" si="9"/>
        <v>124</v>
      </c>
    </row>
    <row r="111" spans="1:16">
      <c r="A111" s="125"/>
      <c r="B111" s="3" t="s">
        <v>66</v>
      </c>
      <c r="C111" s="5"/>
      <c r="D111" s="5">
        <v>10</v>
      </c>
      <c r="E111" s="5"/>
      <c r="F111" s="5">
        <f t="shared" si="6"/>
        <v>10</v>
      </c>
      <c r="G111" s="5"/>
      <c r="H111" s="5">
        <v>5</v>
      </c>
      <c r="I111" s="5"/>
      <c r="J111" s="5">
        <f t="shared" si="8"/>
        <v>5</v>
      </c>
      <c r="K111" s="5">
        <f t="shared" si="9"/>
        <v>15</v>
      </c>
    </row>
    <row r="112" spans="1:16">
      <c r="A112" s="125"/>
      <c r="B112" s="3" t="s">
        <v>67</v>
      </c>
      <c r="C112" s="5"/>
      <c r="D112" s="5">
        <v>16</v>
      </c>
      <c r="E112" s="5"/>
      <c r="F112" s="5">
        <f t="shared" si="6"/>
        <v>16</v>
      </c>
      <c r="G112" s="5"/>
      <c r="H112" s="5">
        <v>8</v>
      </c>
      <c r="I112" s="5"/>
      <c r="J112" s="5">
        <f t="shared" si="8"/>
        <v>8</v>
      </c>
      <c r="K112" s="5">
        <f t="shared" si="9"/>
        <v>24</v>
      </c>
    </row>
    <row r="113" spans="1:16" ht="14.4" thickBot="1">
      <c r="A113" s="126"/>
      <c r="B113" s="10" t="s">
        <v>35</v>
      </c>
      <c r="C113" s="7">
        <f>SUM(C106:C112)</f>
        <v>0</v>
      </c>
      <c r="D113" s="7">
        <f t="shared" ref="D113:K113" si="10">SUM(D106:D112)</f>
        <v>1270</v>
      </c>
      <c r="E113" s="7">
        <f t="shared" si="10"/>
        <v>0</v>
      </c>
      <c r="F113" s="7">
        <f t="shared" si="10"/>
        <v>1270</v>
      </c>
      <c r="G113" s="7">
        <f t="shared" si="10"/>
        <v>0</v>
      </c>
      <c r="H113" s="7">
        <f t="shared" si="10"/>
        <v>633</v>
      </c>
      <c r="I113" s="7">
        <f t="shared" si="10"/>
        <v>0</v>
      </c>
      <c r="J113" s="7">
        <f t="shared" si="10"/>
        <v>633</v>
      </c>
      <c r="K113" s="7">
        <f t="shared" si="10"/>
        <v>1903</v>
      </c>
    </row>
    <row r="114" spans="1:16" ht="14.4" thickTop="1"/>
    <row r="115" spans="1:16">
      <c r="A115" s="127" t="s">
        <v>50</v>
      </c>
      <c r="B115" s="128" t="s">
        <v>68</v>
      </c>
      <c r="C115" s="129"/>
      <c r="D115" s="129"/>
      <c r="E115" s="129"/>
      <c r="F115" s="129"/>
      <c r="G115" s="129"/>
      <c r="H115" s="129"/>
      <c r="I115" s="129"/>
      <c r="J115" s="129"/>
      <c r="K115" s="130"/>
      <c r="M115" s="131" t="s">
        <v>73</v>
      </c>
      <c r="N115" s="132"/>
      <c r="O115" s="132"/>
      <c r="P115" s="133"/>
    </row>
    <row r="116" spans="1:16">
      <c r="A116" s="127"/>
      <c r="B116" s="3"/>
      <c r="C116" s="128" t="s">
        <v>69</v>
      </c>
      <c r="D116" s="129"/>
      <c r="E116" s="129"/>
      <c r="F116" s="130"/>
      <c r="G116" s="134" t="s">
        <v>72</v>
      </c>
      <c r="H116" s="134"/>
      <c r="I116" s="134"/>
      <c r="J116" s="134"/>
      <c r="K116" s="76" t="s">
        <v>35</v>
      </c>
      <c r="M116" s="3" t="s">
        <v>29</v>
      </c>
      <c r="N116" s="11" t="s">
        <v>59</v>
      </c>
      <c r="O116" s="11" t="s">
        <v>68</v>
      </c>
      <c r="P116" s="76" t="s">
        <v>35</v>
      </c>
    </row>
    <row r="117" spans="1:16">
      <c r="A117" s="124" t="s">
        <v>101</v>
      </c>
      <c r="B117" s="3" t="s">
        <v>29</v>
      </c>
      <c r="C117" s="46" t="s">
        <v>70</v>
      </c>
      <c r="D117" s="46" t="s">
        <v>30</v>
      </c>
      <c r="E117" s="46" t="s">
        <v>71</v>
      </c>
      <c r="F117" s="46" t="s">
        <v>35</v>
      </c>
      <c r="G117" s="46" t="s">
        <v>70</v>
      </c>
      <c r="H117" s="46" t="s">
        <v>30</v>
      </c>
      <c r="I117" s="46" t="s">
        <v>71</v>
      </c>
      <c r="J117" s="46" t="s">
        <v>35</v>
      </c>
      <c r="K117" s="46"/>
      <c r="M117" s="40" t="s">
        <v>60</v>
      </c>
      <c r="N117" s="11">
        <f>K103</f>
        <v>3</v>
      </c>
      <c r="O117" s="11">
        <v>0</v>
      </c>
      <c r="P117" s="12">
        <f>SUM(N117:O117)</f>
        <v>3</v>
      </c>
    </row>
    <row r="118" spans="1:16">
      <c r="A118" s="125"/>
      <c r="B118" s="4" t="s">
        <v>60</v>
      </c>
      <c r="C118" s="4"/>
      <c r="D118" s="101"/>
      <c r="E118" s="4"/>
      <c r="F118" s="4">
        <f>SUM(C118:E118)</f>
        <v>0</v>
      </c>
      <c r="G118" s="4"/>
      <c r="H118" s="4"/>
      <c r="I118" s="4"/>
      <c r="J118" s="4">
        <f>SUM(G118:I118)</f>
        <v>0</v>
      </c>
      <c r="K118" s="4" cm="1">
        <f t="array" ref="K118">SUM(G118:I118+C118:E118)</f>
        <v>0</v>
      </c>
      <c r="M118" s="3" t="s">
        <v>61</v>
      </c>
      <c r="N118" s="11">
        <f>K104</f>
        <v>1380</v>
      </c>
      <c r="O118" s="11">
        <v>0</v>
      </c>
      <c r="P118" s="12">
        <f>SUM(N118:O118)</f>
        <v>1380</v>
      </c>
    </row>
    <row r="119" spans="1:16">
      <c r="A119" s="125"/>
      <c r="B119" s="3" t="s">
        <v>61</v>
      </c>
      <c r="C119" s="5"/>
      <c r="D119" s="5"/>
      <c r="E119" s="5"/>
      <c r="F119" s="3">
        <v>0</v>
      </c>
      <c r="G119" s="5"/>
      <c r="H119" s="5"/>
      <c r="I119" s="5"/>
      <c r="J119" s="3">
        <v>0</v>
      </c>
      <c r="K119" s="3">
        <v>0</v>
      </c>
      <c r="M119" s="3" t="s">
        <v>62</v>
      </c>
      <c r="N119" s="11">
        <f>K105</f>
        <v>0</v>
      </c>
      <c r="O119" s="11">
        <v>0</v>
      </c>
      <c r="P119" s="12">
        <f>SUM(N119:O119)</f>
        <v>0</v>
      </c>
    </row>
    <row r="120" spans="1:16" ht="14.4" thickBot="1">
      <c r="A120" s="125"/>
      <c r="B120" s="3" t="s">
        <v>62</v>
      </c>
      <c r="C120" s="5"/>
      <c r="D120" s="5"/>
      <c r="E120" s="5"/>
      <c r="F120" s="3">
        <v>0</v>
      </c>
      <c r="G120" s="5"/>
      <c r="H120" s="5"/>
      <c r="I120" s="5"/>
      <c r="J120" s="3">
        <v>0</v>
      </c>
      <c r="K120" s="3">
        <v>0</v>
      </c>
      <c r="M120" s="7" t="s">
        <v>35</v>
      </c>
      <c r="N120" s="13">
        <f>SUM(N118:N119)</f>
        <v>1380</v>
      </c>
      <c r="O120" s="13">
        <f>SUM(O118:O119)</f>
        <v>0</v>
      </c>
      <c r="P120" s="13">
        <f>SUM(P118:P119)</f>
        <v>1380</v>
      </c>
    </row>
    <row r="121" spans="1:16" ht="15" thickTop="1" thickBot="1">
      <c r="A121" s="125"/>
      <c r="B121" s="7" t="s">
        <v>35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M121" s="8" t="s">
        <v>63</v>
      </c>
      <c r="N121" s="15">
        <f>SUM(K108)</f>
        <v>345</v>
      </c>
      <c r="O121" s="15">
        <v>0</v>
      </c>
      <c r="P121" s="12">
        <f t="shared" ref="P121:P126" si="11">SUM(N121:O121)</f>
        <v>345</v>
      </c>
    </row>
    <row r="122" spans="1:16" ht="14.4" thickTop="1">
      <c r="A122" s="125"/>
      <c r="B122" s="8" t="s">
        <v>39</v>
      </c>
      <c r="C122" s="9"/>
      <c r="D122" s="9"/>
      <c r="E122" s="9"/>
      <c r="F122" s="3">
        <v>0</v>
      </c>
      <c r="G122" s="9"/>
      <c r="H122" s="9"/>
      <c r="I122" s="9"/>
      <c r="J122" s="3">
        <v>0</v>
      </c>
      <c r="K122" s="3">
        <v>0</v>
      </c>
      <c r="M122" s="8" t="s">
        <v>39</v>
      </c>
      <c r="N122" s="11">
        <f>SUM(K107)</f>
        <v>0</v>
      </c>
      <c r="O122" s="11">
        <v>0</v>
      </c>
      <c r="P122" s="12">
        <f t="shared" si="11"/>
        <v>0</v>
      </c>
    </row>
    <row r="123" spans="1:16">
      <c r="A123" s="125"/>
      <c r="B123" s="3" t="s">
        <v>63</v>
      </c>
      <c r="C123" s="5"/>
      <c r="D123" s="5"/>
      <c r="E123" s="5"/>
      <c r="F123" s="3">
        <v>0</v>
      </c>
      <c r="G123" s="5"/>
      <c r="H123" s="5"/>
      <c r="I123" s="5"/>
      <c r="J123" s="3">
        <v>0</v>
      </c>
      <c r="K123" s="3">
        <v>0</v>
      </c>
      <c r="M123" s="3" t="s">
        <v>64</v>
      </c>
      <c r="N123" s="11">
        <f>SUM(K109)</f>
        <v>15</v>
      </c>
      <c r="O123" s="11">
        <v>0</v>
      </c>
      <c r="P123" s="12">
        <f t="shared" si="11"/>
        <v>15</v>
      </c>
    </row>
    <row r="124" spans="1:16">
      <c r="A124" s="125"/>
      <c r="B124" s="3" t="s">
        <v>64</v>
      </c>
      <c r="C124" s="5"/>
      <c r="D124" s="5"/>
      <c r="E124" s="5"/>
      <c r="F124" s="3">
        <v>0</v>
      </c>
      <c r="G124" s="5"/>
      <c r="H124" s="5"/>
      <c r="I124" s="5"/>
      <c r="J124" s="3">
        <v>0</v>
      </c>
      <c r="K124" s="3">
        <v>0</v>
      </c>
      <c r="M124" s="3" t="s">
        <v>65</v>
      </c>
      <c r="N124" s="11">
        <f>SUM(K110)</f>
        <v>124</v>
      </c>
      <c r="O124" s="11">
        <v>0</v>
      </c>
      <c r="P124" s="12">
        <f t="shared" si="11"/>
        <v>124</v>
      </c>
    </row>
    <row r="125" spans="1:16">
      <c r="A125" s="125"/>
      <c r="B125" s="3" t="s">
        <v>65</v>
      </c>
      <c r="C125" s="5"/>
      <c r="D125" s="5"/>
      <c r="E125" s="5"/>
      <c r="F125" s="3">
        <v>0</v>
      </c>
      <c r="G125" s="5"/>
      <c r="H125" s="5"/>
      <c r="I125" s="5"/>
      <c r="J125" s="3">
        <v>0</v>
      </c>
      <c r="K125" s="3">
        <v>0</v>
      </c>
      <c r="M125" s="3" t="s">
        <v>66</v>
      </c>
      <c r="N125" s="11">
        <f>SUM(K111)</f>
        <v>15</v>
      </c>
      <c r="O125" s="11">
        <v>0</v>
      </c>
      <c r="P125" s="12">
        <f t="shared" si="11"/>
        <v>15</v>
      </c>
    </row>
    <row r="126" spans="1:16">
      <c r="A126" s="125"/>
      <c r="B126" s="3" t="s">
        <v>66</v>
      </c>
      <c r="C126" s="5"/>
      <c r="D126" s="5"/>
      <c r="E126" s="5"/>
      <c r="F126" s="3">
        <v>0</v>
      </c>
      <c r="G126" s="5"/>
      <c r="H126" s="5"/>
      <c r="I126" s="5"/>
      <c r="J126" s="3">
        <v>0</v>
      </c>
      <c r="K126" s="3">
        <v>0</v>
      </c>
      <c r="M126" s="3" t="s">
        <v>67</v>
      </c>
      <c r="N126" s="11">
        <f>SUM(K112)</f>
        <v>24</v>
      </c>
      <c r="O126" s="11">
        <v>0</v>
      </c>
      <c r="P126" s="12">
        <f t="shared" si="11"/>
        <v>24</v>
      </c>
    </row>
    <row r="127" spans="1:16" ht="14.4" thickBot="1">
      <c r="A127" s="125"/>
      <c r="B127" s="3" t="s">
        <v>67</v>
      </c>
      <c r="C127" s="5"/>
      <c r="D127" s="5"/>
      <c r="E127" s="5"/>
      <c r="F127" s="3">
        <v>0</v>
      </c>
      <c r="G127" s="5"/>
      <c r="H127" s="5"/>
      <c r="I127" s="5"/>
      <c r="J127" s="3">
        <v>0</v>
      </c>
      <c r="K127" s="3">
        <v>0</v>
      </c>
      <c r="M127" s="10" t="s">
        <v>35</v>
      </c>
      <c r="N127" s="14">
        <f>SUM(N120:N126)</f>
        <v>1903</v>
      </c>
      <c r="O127" s="14">
        <v>0</v>
      </c>
      <c r="P127" s="14">
        <f>SUM(P120:P126)</f>
        <v>1903</v>
      </c>
    </row>
    <row r="128" spans="1:16" ht="15" thickTop="1" thickBot="1">
      <c r="A128" s="126"/>
      <c r="B128" s="10" t="s">
        <v>35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</row>
    <row r="129" spans="1:16" ht="14.4" thickTop="1">
      <c r="A129" s="105" t="str">
        <f>$A$1</f>
        <v>प्रपत्र - क  -  अर्थसंकल्पीय अंदाजपत्रक सन 2021-2022</v>
      </c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</row>
    <row r="130" spans="1:16">
      <c r="A130" s="111" t="s">
        <v>18</v>
      </c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</row>
    <row r="131" spans="1:16">
      <c r="A131" s="135" t="s">
        <v>47</v>
      </c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</row>
    <row r="132" spans="1:16">
      <c r="A132" s="127" t="s">
        <v>50</v>
      </c>
      <c r="B132" s="128" t="s">
        <v>59</v>
      </c>
      <c r="C132" s="129"/>
      <c r="D132" s="129"/>
      <c r="E132" s="129"/>
      <c r="F132" s="129"/>
      <c r="G132" s="129"/>
      <c r="H132" s="129"/>
      <c r="I132" s="129"/>
      <c r="J132" s="129"/>
      <c r="K132" s="130"/>
    </row>
    <row r="133" spans="1:16">
      <c r="A133" s="127"/>
      <c r="B133" s="3"/>
      <c r="C133" s="134" t="s">
        <v>69</v>
      </c>
      <c r="D133" s="134"/>
      <c r="E133" s="134"/>
      <c r="F133" s="134"/>
      <c r="G133" s="134" t="s">
        <v>72</v>
      </c>
      <c r="H133" s="134"/>
      <c r="I133" s="134"/>
      <c r="J133" s="134"/>
      <c r="K133" s="76" t="s">
        <v>35</v>
      </c>
    </row>
    <row r="134" spans="1:16">
      <c r="A134" s="124" t="s">
        <v>54</v>
      </c>
      <c r="B134" s="3" t="s">
        <v>29</v>
      </c>
      <c r="C134" s="46" t="s">
        <v>70</v>
      </c>
      <c r="D134" s="46" t="s">
        <v>30</v>
      </c>
      <c r="E134" s="46" t="s">
        <v>71</v>
      </c>
      <c r="F134" s="46" t="s">
        <v>35</v>
      </c>
      <c r="G134" s="46" t="s">
        <v>70</v>
      </c>
      <c r="H134" s="46" t="s">
        <v>30</v>
      </c>
      <c r="I134" s="46" t="s">
        <v>71</v>
      </c>
      <c r="J134" s="46" t="s">
        <v>35</v>
      </c>
      <c r="K134" s="46" t="s">
        <v>35</v>
      </c>
    </row>
    <row r="135" spans="1:16">
      <c r="A135" s="125"/>
      <c r="B135" s="4" t="s">
        <v>60</v>
      </c>
      <c r="C135" s="3">
        <v>0</v>
      </c>
      <c r="D135" s="3">
        <v>9</v>
      </c>
      <c r="E135" s="3">
        <v>0</v>
      </c>
      <c r="F135" s="3">
        <f>SUM(C135:E135)</f>
        <v>9</v>
      </c>
      <c r="G135" s="3">
        <v>0</v>
      </c>
      <c r="H135" s="3">
        <v>9</v>
      </c>
      <c r="I135" s="3">
        <v>0</v>
      </c>
      <c r="J135" s="3">
        <f>SUM(G135:I135)</f>
        <v>9</v>
      </c>
      <c r="K135" s="3">
        <f>SUM(J135,F135)</f>
        <v>18</v>
      </c>
    </row>
    <row r="136" spans="1:16">
      <c r="A136" s="125"/>
      <c r="B136" s="3" t="s">
        <v>61</v>
      </c>
      <c r="C136" s="6">
        <v>0</v>
      </c>
      <c r="D136" s="5">
        <v>3103</v>
      </c>
      <c r="E136" s="5">
        <v>0</v>
      </c>
      <c r="F136" s="3">
        <f t="shared" ref="F136:F144" si="12">SUM(C136:E136)</f>
        <v>3103</v>
      </c>
      <c r="G136" s="5">
        <v>0</v>
      </c>
      <c r="H136" s="5">
        <v>2192</v>
      </c>
      <c r="I136" s="5">
        <v>0</v>
      </c>
      <c r="J136" s="3">
        <f t="shared" ref="J136:J144" si="13">SUM(G136:I136)</f>
        <v>2192</v>
      </c>
      <c r="K136" s="3">
        <f>SUM(J136,F136)</f>
        <v>5295</v>
      </c>
    </row>
    <row r="137" spans="1:16">
      <c r="A137" s="125"/>
      <c r="B137" s="3" t="s">
        <v>62</v>
      </c>
      <c r="C137" s="5">
        <v>0</v>
      </c>
      <c r="D137" s="5">
        <v>0</v>
      </c>
      <c r="E137" s="5">
        <v>0</v>
      </c>
      <c r="F137" s="3">
        <f t="shared" si="12"/>
        <v>0</v>
      </c>
      <c r="G137" s="5">
        <v>0</v>
      </c>
      <c r="H137" s="5">
        <v>0</v>
      </c>
      <c r="I137" s="5">
        <v>0</v>
      </c>
      <c r="J137" s="3">
        <f t="shared" si="13"/>
        <v>0</v>
      </c>
      <c r="K137" s="3">
        <f>SUM(J137,F137)</f>
        <v>0</v>
      </c>
    </row>
    <row r="138" spans="1:16" ht="14.4" thickBot="1">
      <c r="A138" s="125"/>
      <c r="B138" s="7" t="s">
        <v>35</v>
      </c>
      <c r="C138" s="7">
        <f>SUM(C136:C137)</f>
        <v>0</v>
      </c>
      <c r="D138" s="7">
        <f t="shared" ref="D138:K138" si="14">SUM(D136:D137)</f>
        <v>3103</v>
      </c>
      <c r="E138" s="7">
        <f t="shared" si="14"/>
        <v>0</v>
      </c>
      <c r="F138" s="7">
        <f t="shared" si="14"/>
        <v>3103</v>
      </c>
      <c r="G138" s="7">
        <f t="shared" si="14"/>
        <v>0</v>
      </c>
      <c r="H138" s="7">
        <f t="shared" si="14"/>
        <v>2192</v>
      </c>
      <c r="I138" s="7">
        <f t="shared" si="14"/>
        <v>0</v>
      </c>
      <c r="J138" s="7">
        <f t="shared" si="14"/>
        <v>2192</v>
      </c>
      <c r="K138" s="7">
        <f t="shared" si="14"/>
        <v>5295</v>
      </c>
    </row>
    <row r="139" spans="1:16" ht="14.4" thickTop="1">
      <c r="A139" s="125"/>
      <c r="B139" s="8" t="s">
        <v>39</v>
      </c>
      <c r="C139" s="9">
        <v>0</v>
      </c>
      <c r="D139" s="9">
        <v>0</v>
      </c>
      <c r="E139" s="9">
        <v>0</v>
      </c>
      <c r="F139" s="3">
        <f t="shared" si="12"/>
        <v>0</v>
      </c>
      <c r="G139" s="9">
        <v>0</v>
      </c>
      <c r="H139" s="9">
        <v>0</v>
      </c>
      <c r="I139" s="9">
        <v>0</v>
      </c>
      <c r="J139" s="3">
        <f t="shared" si="13"/>
        <v>0</v>
      </c>
      <c r="K139" s="3">
        <f t="shared" ref="K139:K144" si="15">SUM(J139,F139)</f>
        <v>0</v>
      </c>
    </row>
    <row r="140" spans="1:16">
      <c r="A140" s="125"/>
      <c r="B140" s="3" t="s">
        <v>63</v>
      </c>
      <c r="C140" s="9">
        <v>0</v>
      </c>
      <c r="D140" s="5">
        <v>776</v>
      </c>
      <c r="E140" s="9">
        <v>0</v>
      </c>
      <c r="F140" s="3">
        <f t="shared" si="12"/>
        <v>776</v>
      </c>
      <c r="G140" s="9">
        <v>0</v>
      </c>
      <c r="H140" s="5">
        <v>548</v>
      </c>
      <c r="I140" s="5">
        <v>0</v>
      </c>
      <c r="J140" s="3">
        <f t="shared" si="13"/>
        <v>548</v>
      </c>
      <c r="K140" s="3">
        <f t="shared" si="15"/>
        <v>1324</v>
      </c>
    </row>
    <row r="141" spans="1:16">
      <c r="A141" s="125"/>
      <c r="B141" s="3" t="s">
        <v>64</v>
      </c>
      <c r="C141" s="9">
        <v>0</v>
      </c>
      <c r="D141" s="5">
        <v>0</v>
      </c>
      <c r="E141" s="9">
        <v>0</v>
      </c>
      <c r="F141" s="3">
        <f t="shared" si="12"/>
        <v>0</v>
      </c>
      <c r="G141" s="9">
        <v>0</v>
      </c>
      <c r="H141" s="5">
        <v>0</v>
      </c>
      <c r="I141" s="5">
        <v>0</v>
      </c>
      <c r="J141" s="3">
        <f t="shared" si="13"/>
        <v>0</v>
      </c>
      <c r="K141" s="3">
        <f t="shared" si="15"/>
        <v>0</v>
      </c>
    </row>
    <row r="142" spans="1:16">
      <c r="A142" s="125"/>
      <c r="B142" s="3" t="s">
        <v>65</v>
      </c>
      <c r="C142" s="9">
        <v>0</v>
      </c>
      <c r="D142" s="5">
        <v>279</v>
      </c>
      <c r="E142" s="9">
        <v>0</v>
      </c>
      <c r="F142" s="3">
        <f t="shared" si="12"/>
        <v>279</v>
      </c>
      <c r="G142" s="9">
        <v>0</v>
      </c>
      <c r="H142" s="5">
        <v>197</v>
      </c>
      <c r="I142" s="5">
        <v>0</v>
      </c>
      <c r="J142" s="3">
        <f t="shared" si="13"/>
        <v>197</v>
      </c>
      <c r="K142" s="3">
        <f t="shared" si="15"/>
        <v>476</v>
      </c>
    </row>
    <row r="143" spans="1:16">
      <c r="A143" s="125"/>
      <c r="B143" s="3" t="s">
        <v>66</v>
      </c>
      <c r="C143" s="9">
        <v>0</v>
      </c>
      <c r="D143" s="5">
        <v>44</v>
      </c>
      <c r="E143" s="9">
        <v>0</v>
      </c>
      <c r="F143" s="3">
        <f t="shared" si="12"/>
        <v>44</v>
      </c>
      <c r="G143" s="9">
        <v>0</v>
      </c>
      <c r="H143" s="5">
        <v>43</v>
      </c>
      <c r="I143" s="5">
        <v>0</v>
      </c>
      <c r="J143" s="3">
        <f t="shared" si="13"/>
        <v>43</v>
      </c>
      <c r="K143" s="3">
        <f t="shared" si="15"/>
        <v>87</v>
      </c>
    </row>
    <row r="144" spans="1:16">
      <c r="A144" s="125"/>
      <c r="B144" s="3" t="s">
        <v>67</v>
      </c>
      <c r="C144" s="9">
        <v>0</v>
      </c>
      <c r="D144" s="5">
        <v>0</v>
      </c>
      <c r="E144" s="9">
        <v>0</v>
      </c>
      <c r="F144" s="3">
        <f t="shared" si="12"/>
        <v>0</v>
      </c>
      <c r="G144" s="9">
        <v>0</v>
      </c>
      <c r="H144" s="5">
        <v>0</v>
      </c>
      <c r="I144" s="5">
        <v>0</v>
      </c>
      <c r="J144" s="3">
        <f t="shared" si="13"/>
        <v>0</v>
      </c>
      <c r="K144" s="3">
        <f t="shared" si="15"/>
        <v>0</v>
      </c>
    </row>
    <row r="145" spans="1:16" ht="14.4" thickBot="1">
      <c r="A145" s="126"/>
      <c r="B145" s="10" t="s">
        <v>35</v>
      </c>
      <c r="C145" s="7">
        <f>SUM(C138:C144)</f>
        <v>0</v>
      </c>
      <c r="D145" s="7">
        <f t="shared" ref="D145:K145" si="16">SUM(D138:D144)</f>
        <v>4202</v>
      </c>
      <c r="E145" s="7">
        <f t="shared" si="16"/>
        <v>0</v>
      </c>
      <c r="F145" s="7">
        <f t="shared" si="16"/>
        <v>4202</v>
      </c>
      <c r="G145" s="7">
        <f t="shared" si="16"/>
        <v>0</v>
      </c>
      <c r="H145" s="7">
        <f t="shared" si="16"/>
        <v>2980</v>
      </c>
      <c r="I145" s="7">
        <f t="shared" si="16"/>
        <v>0</v>
      </c>
      <c r="J145" s="7">
        <f t="shared" si="16"/>
        <v>2980</v>
      </c>
      <c r="K145" s="7">
        <f t="shared" si="16"/>
        <v>7182</v>
      </c>
    </row>
    <row r="146" spans="1:16" ht="14.4" thickTop="1"/>
    <row r="147" spans="1:16">
      <c r="A147" s="127" t="s">
        <v>50</v>
      </c>
      <c r="B147" s="128" t="s">
        <v>68</v>
      </c>
      <c r="C147" s="129"/>
      <c r="D147" s="129"/>
      <c r="E147" s="129"/>
      <c r="F147" s="129"/>
      <c r="G147" s="129"/>
      <c r="H147" s="129"/>
      <c r="I147" s="129"/>
      <c r="J147" s="129"/>
      <c r="K147" s="130"/>
      <c r="M147" s="131" t="s">
        <v>73</v>
      </c>
      <c r="N147" s="132"/>
      <c r="O147" s="132"/>
      <c r="P147" s="133"/>
    </row>
    <row r="148" spans="1:16">
      <c r="A148" s="127"/>
      <c r="B148" s="3"/>
      <c r="C148" s="128" t="s">
        <v>69</v>
      </c>
      <c r="D148" s="129"/>
      <c r="E148" s="129"/>
      <c r="F148" s="130"/>
      <c r="G148" s="134" t="s">
        <v>72</v>
      </c>
      <c r="H148" s="134"/>
      <c r="I148" s="134"/>
      <c r="J148" s="134"/>
      <c r="K148" s="76" t="s">
        <v>35</v>
      </c>
      <c r="M148" s="3" t="s">
        <v>29</v>
      </c>
      <c r="N148" s="11" t="s">
        <v>59</v>
      </c>
      <c r="O148" s="11" t="s">
        <v>68</v>
      </c>
      <c r="P148" s="76" t="s">
        <v>35</v>
      </c>
    </row>
    <row r="149" spans="1:16">
      <c r="A149" s="124" t="s">
        <v>54</v>
      </c>
      <c r="B149" s="3" t="s">
        <v>29</v>
      </c>
      <c r="C149" s="46" t="s">
        <v>70</v>
      </c>
      <c r="D149" s="46" t="s">
        <v>30</v>
      </c>
      <c r="E149" s="46" t="s">
        <v>71</v>
      </c>
      <c r="F149" s="46" t="s">
        <v>35</v>
      </c>
      <c r="G149" s="46" t="s">
        <v>70</v>
      </c>
      <c r="H149" s="46" t="s">
        <v>30</v>
      </c>
      <c r="I149" s="46" t="s">
        <v>71</v>
      </c>
      <c r="J149" s="46" t="s">
        <v>35</v>
      </c>
      <c r="K149" s="46"/>
      <c r="M149" s="4" t="s">
        <v>60</v>
      </c>
      <c r="N149" s="3">
        <f>K135</f>
        <v>18</v>
      </c>
      <c r="O149" s="3">
        <v>0</v>
      </c>
      <c r="P149" s="3">
        <f>SUM(N149:O149)</f>
        <v>18</v>
      </c>
    </row>
    <row r="150" spans="1:16">
      <c r="A150" s="125"/>
      <c r="B150" s="4" t="s">
        <v>60</v>
      </c>
      <c r="C150" s="3"/>
      <c r="D150" s="3"/>
      <c r="E150" s="3"/>
      <c r="F150" s="3">
        <f>SUM(C150:E150)</f>
        <v>0</v>
      </c>
      <c r="G150" s="3"/>
      <c r="H150" s="3"/>
      <c r="I150" s="3"/>
      <c r="J150" s="3">
        <f>SUM(G150:I150)</f>
        <v>0</v>
      </c>
      <c r="K150" s="3" cm="1">
        <f t="array" ref="K150">SUM(C150:E150+G150:I150)</f>
        <v>0</v>
      </c>
      <c r="M150" s="3" t="s">
        <v>61</v>
      </c>
      <c r="N150" s="11">
        <f>K136</f>
        <v>5295</v>
      </c>
      <c r="O150" s="11">
        <v>0</v>
      </c>
      <c r="P150" s="3">
        <f>SUM(N150:O150)</f>
        <v>5295</v>
      </c>
    </row>
    <row r="151" spans="1:16">
      <c r="A151" s="125"/>
      <c r="B151" s="3" t="s">
        <v>61</v>
      </c>
      <c r="C151" s="5">
        <v>0</v>
      </c>
      <c r="D151" s="5">
        <v>0</v>
      </c>
      <c r="E151" s="5">
        <v>0</v>
      </c>
      <c r="F151" s="3">
        <v>0</v>
      </c>
      <c r="G151" s="5">
        <v>0</v>
      </c>
      <c r="H151" s="5">
        <v>0</v>
      </c>
      <c r="I151" s="5">
        <v>0</v>
      </c>
      <c r="J151" s="3">
        <v>0</v>
      </c>
      <c r="K151" s="3">
        <v>0</v>
      </c>
      <c r="M151" s="3" t="s">
        <v>62</v>
      </c>
      <c r="N151" s="11">
        <f>K137</f>
        <v>0</v>
      </c>
      <c r="O151" s="11">
        <v>0</v>
      </c>
      <c r="P151" s="3">
        <f>SUM(N151:O151)</f>
        <v>0</v>
      </c>
    </row>
    <row r="152" spans="1:16" ht="14.4" thickBot="1">
      <c r="A152" s="125"/>
      <c r="B152" s="3" t="s">
        <v>62</v>
      </c>
      <c r="C152" s="5">
        <v>0</v>
      </c>
      <c r="D152" s="5">
        <v>0</v>
      </c>
      <c r="E152" s="5">
        <v>0</v>
      </c>
      <c r="F152" s="3">
        <v>0</v>
      </c>
      <c r="G152" s="5">
        <v>0</v>
      </c>
      <c r="H152" s="5">
        <v>0</v>
      </c>
      <c r="I152" s="5">
        <v>0</v>
      </c>
      <c r="J152" s="3">
        <v>0</v>
      </c>
      <c r="K152" s="3">
        <v>0</v>
      </c>
      <c r="M152" s="7" t="s">
        <v>35</v>
      </c>
      <c r="N152" s="13">
        <f>K138</f>
        <v>5295</v>
      </c>
      <c r="O152" s="13">
        <v>0</v>
      </c>
      <c r="P152" s="14">
        <f>SUM(P150:P151)</f>
        <v>5295</v>
      </c>
    </row>
    <row r="153" spans="1:16" ht="15" thickTop="1" thickBot="1">
      <c r="A153" s="125"/>
      <c r="B153" s="7" t="s">
        <v>35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M153" s="8" t="s">
        <v>63</v>
      </c>
      <c r="N153" s="15">
        <f>SUM(K140)</f>
        <v>1324</v>
      </c>
      <c r="O153" s="15">
        <v>0</v>
      </c>
      <c r="P153" s="3">
        <f t="shared" ref="P153:P158" si="17">SUM(N153:O153)</f>
        <v>1324</v>
      </c>
    </row>
    <row r="154" spans="1:16" ht="14.4" thickTop="1">
      <c r="A154" s="125"/>
      <c r="B154" s="8" t="s">
        <v>39</v>
      </c>
      <c r="C154" s="9">
        <v>0</v>
      </c>
      <c r="D154" s="9">
        <v>0</v>
      </c>
      <c r="E154" s="9">
        <v>0</v>
      </c>
      <c r="F154" s="3">
        <v>0</v>
      </c>
      <c r="G154" s="9">
        <v>0</v>
      </c>
      <c r="H154" s="9">
        <v>0</v>
      </c>
      <c r="I154" s="9">
        <v>0</v>
      </c>
      <c r="J154" s="3">
        <v>0</v>
      </c>
      <c r="K154" s="3">
        <v>0</v>
      </c>
      <c r="M154" s="8" t="s">
        <v>39</v>
      </c>
      <c r="N154" s="11">
        <f>SUM(K139)</f>
        <v>0</v>
      </c>
      <c r="O154" s="11">
        <v>0</v>
      </c>
      <c r="P154" s="3">
        <f t="shared" si="17"/>
        <v>0</v>
      </c>
    </row>
    <row r="155" spans="1:16">
      <c r="A155" s="125"/>
      <c r="B155" s="3" t="s">
        <v>63</v>
      </c>
      <c r="C155" s="9">
        <v>0</v>
      </c>
      <c r="D155" s="9">
        <v>0</v>
      </c>
      <c r="E155" s="9">
        <v>0</v>
      </c>
      <c r="F155" s="3">
        <v>0</v>
      </c>
      <c r="G155" s="5">
        <v>0</v>
      </c>
      <c r="H155" s="5">
        <v>0</v>
      </c>
      <c r="I155" s="5">
        <v>0</v>
      </c>
      <c r="J155" s="3">
        <v>0</v>
      </c>
      <c r="K155" s="3">
        <v>0</v>
      </c>
      <c r="M155" s="3" t="s">
        <v>64</v>
      </c>
      <c r="N155" s="11">
        <f>SUM(K141)</f>
        <v>0</v>
      </c>
      <c r="O155" s="11">
        <v>0</v>
      </c>
      <c r="P155" s="3">
        <f t="shared" si="17"/>
        <v>0</v>
      </c>
    </row>
    <row r="156" spans="1:16">
      <c r="A156" s="125"/>
      <c r="B156" s="3" t="s">
        <v>64</v>
      </c>
      <c r="C156" s="9">
        <v>0</v>
      </c>
      <c r="D156" s="9">
        <v>0</v>
      </c>
      <c r="E156" s="9">
        <v>0</v>
      </c>
      <c r="F156" s="3">
        <v>0</v>
      </c>
      <c r="G156" s="5">
        <v>0</v>
      </c>
      <c r="H156" s="5">
        <v>0</v>
      </c>
      <c r="I156" s="5">
        <v>0</v>
      </c>
      <c r="J156" s="3">
        <v>0</v>
      </c>
      <c r="K156" s="3">
        <v>0</v>
      </c>
      <c r="M156" s="3" t="s">
        <v>65</v>
      </c>
      <c r="N156" s="11">
        <f>SUM(K142)</f>
        <v>476</v>
      </c>
      <c r="O156" s="11">
        <v>0</v>
      </c>
      <c r="P156" s="3">
        <f t="shared" si="17"/>
        <v>476</v>
      </c>
    </row>
    <row r="157" spans="1:16">
      <c r="A157" s="125"/>
      <c r="B157" s="3" t="s">
        <v>65</v>
      </c>
      <c r="C157" s="9">
        <v>0</v>
      </c>
      <c r="D157" s="9">
        <v>0</v>
      </c>
      <c r="E157" s="9">
        <v>0</v>
      </c>
      <c r="F157" s="3">
        <v>0</v>
      </c>
      <c r="G157" s="5">
        <v>0</v>
      </c>
      <c r="H157" s="5">
        <v>0</v>
      </c>
      <c r="I157" s="5">
        <v>0</v>
      </c>
      <c r="J157" s="3">
        <v>0</v>
      </c>
      <c r="K157" s="3">
        <v>0</v>
      </c>
      <c r="M157" s="3" t="s">
        <v>66</v>
      </c>
      <c r="N157" s="11">
        <f>SUM(K143)</f>
        <v>87</v>
      </c>
      <c r="O157" s="11">
        <v>0</v>
      </c>
      <c r="P157" s="3">
        <f t="shared" si="17"/>
        <v>87</v>
      </c>
    </row>
    <row r="158" spans="1:16">
      <c r="A158" s="125"/>
      <c r="B158" s="3" t="s">
        <v>66</v>
      </c>
      <c r="C158" s="9">
        <v>0</v>
      </c>
      <c r="D158" s="9">
        <v>0</v>
      </c>
      <c r="E158" s="9">
        <v>0</v>
      </c>
      <c r="F158" s="3">
        <v>0</v>
      </c>
      <c r="G158" s="5">
        <v>0</v>
      </c>
      <c r="H158" s="5">
        <v>0</v>
      </c>
      <c r="I158" s="5">
        <v>0</v>
      </c>
      <c r="J158" s="3">
        <v>0</v>
      </c>
      <c r="K158" s="3">
        <v>0</v>
      </c>
      <c r="M158" s="3" t="s">
        <v>67</v>
      </c>
      <c r="N158" s="11">
        <f>SUM(K144)</f>
        <v>0</v>
      </c>
      <c r="O158" s="11">
        <v>0</v>
      </c>
      <c r="P158" s="3">
        <f t="shared" si="17"/>
        <v>0</v>
      </c>
    </row>
    <row r="159" spans="1:16" ht="14.4" thickBot="1">
      <c r="A159" s="125"/>
      <c r="B159" s="3" t="s">
        <v>67</v>
      </c>
      <c r="C159" s="9">
        <v>0</v>
      </c>
      <c r="D159" s="9">
        <v>0</v>
      </c>
      <c r="E159" s="9">
        <v>0</v>
      </c>
      <c r="F159" s="3">
        <v>0</v>
      </c>
      <c r="G159" s="5">
        <v>0</v>
      </c>
      <c r="H159" s="5">
        <v>0</v>
      </c>
      <c r="I159" s="5">
        <v>0</v>
      </c>
      <c r="J159" s="3">
        <v>0</v>
      </c>
      <c r="K159" s="3">
        <v>0</v>
      </c>
      <c r="M159" s="10" t="s">
        <v>35</v>
      </c>
      <c r="N159" s="14">
        <f>SUM(N152:N158)</f>
        <v>7182</v>
      </c>
      <c r="O159" s="14">
        <v>0</v>
      </c>
      <c r="P159" s="14">
        <f>SUM(P152:P158)</f>
        <v>7182</v>
      </c>
    </row>
    <row r="160" spans="1:16" ht="15" thickTop="1" thickBot="1">
      <c r="A160" s="126"/>
      <c r="B160" s="10" t="s">
        <v>35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</row>
    <row r="161" spans="1:16" ht="14.4" thickTop="1">
      <c r="A161" s="105" t="str">
        <f>$A$1</f>
        <v>प्रपत्र - क  -  अर्थसंकल्पीय अंदाजपत्रक सन 2021-2022</v>
      </c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</row>
    <row r="162" spans="1:16">
      <c r="A162" s="111" t="s">
        <v>18</v>
      </c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</row>
    <row r="163" spans="1:16">
      <c r="A163" s="135" t="s">
        <v>47</v>
      </c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</row>
    <row r="164" spans="1:16">
      <c r="A164" s="127" t="s">
        <v>50</v>
      </c>
      <c r="B164" s="128" t="s">
        <v>59</v>
      </c>
      <c r="C164" s="129"/>
      <c r="D164" s="129"/>
      <c r="E164" s="129"/>
      <c r="F164" s="129"/>
      <c r="G164" s="129"/>
      <c r="H164" s="129"/>
      <c r="I164" s="129"/>
      <c r="J164" s="129"/>
      <c r="K164" s="130"/>
    </row>
    <row r="165" spans="1:16">
      <c r="A165" s="127"/>
      <c r="B165" s="3"/>
      <c r="C165" s="134" t="s">
        <v>69</v>
      </c>
      <c r="D165" s="134"/>
      <c r="E165" s="134"/>
      <c r="F165" s="134"/>
      <c r="G165" s="134" t="s">
        <v>72</v>
      </c>
      <c r="H165" s="134"/>
      <c r="I165" s="134"/>
      <c r="J165" s="134"/>
      <c r="K165" s="76" t="s">
        <v>35</v>
      </c>
    </row>
    <row r="166" spans="1:16">
      <c r="A166" s="124" t="s">
        <v>55</v>
      </c>
      <c r="B166" s="3" t="s">
        <v>29</v>
      </c>
      <c r="C166" s="46" t="s">
        <v>70</v>
      </c>
      <c r="D166" s="46" t="s">
        <v>30</v>
      </c>
      <c r="E166" s="46" t="s">
        <v>71</v>
      </c>
      <c r="F166" s="46" t="s">
        <v>35</v>
      </c>
      <c r="G166" s="46" t="s">
        <v>70</v>
      </c>
      <c r="H166" s="46" t="s">
        <v>30</v>
      </c>
      <c r="I166" s="46" t="s">
        <v>71</v>
      </c>
      <c r="J166" s="46" t="s">
        <v>35</v>
      </c>
      <c r="K166" s="46" t="s">
        <v>35</v>
      </c>
    </row>
    <row r="167" spans="1:16">
      <c r="A167" s="125"/>
      <c r="B167" s="4" t="s">
        <v>60</v>
      </c>
      <c r="C167" s="6">
        <v>0</v>
      </c>
      <c r="D167" s="5">
        <v>2</v>
      </c>
      <c r="E167" s="5">
        <v>0</v>
      </c>
      <c r="F167" s="3">
        <f>SUM(C167:E167)</f>
        <v>2</v>
      </c>
      <c r="G167" s="5">
        <v>0</v>
      </c>
      <c r="H167" s="5">
        <v>5</v>
      </c>
      <c r="I167" s="5">
        <v>0</v>
      </c>
      <c r="J167" s="3">
        <f>SUM(G167:I167)</f>
        <v>5</v>
      </c>
      <c r="K167" s="3">
        <f>SUM(J167,F167)</f>
        <v>7</v>
      </c>
    </row>
    <row r="168" spans="1:16">
      <c r="A168" s="125"/>
      <c r="B168" s="3" t="s">
        <v>61</v>
      </c>
      <c r="C168" s="6">
        <v>0</v>
      </c>
      <c r="D168" s="5">
        <v>588</v>
      </c>
      <c r="E168" s="5">
        <v>0</v>
      </c>
      <c r="F168" s="3">
        <f t="shared" ref="F168:F176" si="18">SUM(C168:E168)</f>
        <v>588</v>
      </c>
      <c r="G168" s="5">
        <v>0</v>
      </c>
      <c r="H168" s="5">
        <v>1266</v>
      </c>
      <c r="I168" s="5">
        <v>0</v>
      </c>
      <c r="J168" s="3">
        <f>SUM(G168:I168)</f>
        <v>1266</v>
      </c>
      <c r="K168" s="3">
        <f>SUM(J168,F168)</f>
        <v>1854</v>
      </c>
    </row>
    <row r="169" spans="1:16">
      <c r="A169" s="125"/>
      <c r="B169" s="3" t="s">
        <v>62</v>
      </c>
      <c r="C169" s="5">
        <v>0</v>
      </c>
      <c r="D169" s="5">
        <v>0</v>
      </c>
      <c r="E169" s="5">
        <v>0</v>
      </c>
      <c r="F169" s="3">
        <f t="shared" si="18"/>
        <v>0</v>
      </c>
      <c r="G169" s="5">
        <v>0</v>
      </c>
      <c r="H169" s="5">
        <v>0</v>
      </c>
      <c r="I169" s="5">
        <v>0</v>
      </c>
      <c r="J169" s="3">
        <f>SUM(G169:I169)</f>
        <v>0</v>
      </c>
      <c r="K169" s="3">
        <f>SUM(J169,F169)</f>
        <v>0</v>
      </c>
    </row>
    <row r="170" spans="1:16" ht="14.4" thickBot="1">
      <c r="A170" s="125"/>
      <c r="B170" s="7" t="s">
        <v>35</v>
      </c>
      <c r="C170" s="7">
        <f>SUM(C168:C169)</f>
        <v>0</v>
      </c>
      <c r="D170" s="7">
        <f t="shared" ref="D170:K170" si="19">SUM(D168:D169)</f>
        <v>588</v>
      </c>
      <c r="E170" s="7">
        <f t="shared" si="19"/>
        <v>0</v>
      </c>
      <c r="F170" s="7">
        <f t="shared" si="19"/>
        <v>588</v>
      </c>
      <c r="G170" s="7">
        <f t="shared" si="19"/>
        <v>0</v>
      </c>
      <c r="H170" s="7">
        <f t="shared" si="19"/>
        <v>1266</v>
      </c>
      <c r="I170" s="7">
        <f t="shared" si="19"/>
        <v>0</v>
      </c>
      <c r="J170" s="7">
        <f t="shared" si="19"/>
        <v>1266</v>
      </c>
      <c r="K170" s="7">
        <f t="shared" si="19"/>
        <v>1854</v>
      </c>
    </row>
    <row r="171" spans="1:16" ht="14.4" thickTop="1">
      <c r="A171" s="125"/>
      <c r="B171" s="8" t="s">
        <v>39</v>
      </c>
      <c r="C171" s="9">
        <v>0</v>
      </c>
      <c r="D171" s="9">
        <v>0</v>
      </c>
      <c r="E171" s="9">
        <v>0</v>
      </c>
      <c r="F171" s="3">
        <f t="shared" si="18"/>
        <v>0</v>
      </c>
      <c r="G171" s="9">
        <v>0</v>
      </c>
      <c r="H171" s="9">
        <v>0</v>
      </c>
      <c r="I171" s="9">
        <v>0</v>
      </c>
      <c r="J171" s="3">
        <f t="shared" ref="J171:J176" si="20">SUM(G171:I171)</f>
        <v>0</v>
      </c>
      <c r="K171" s="3">
        <f t="shared" ref="K171:K176" si="21">SUM(J171,F171)</f>
        <v>0</v>
      </c>
    </row>
    <row r="172" spans="1:16">
      <c r="A172" s="125"/>
      <c r="B172" s="3" t="s">
        <v>63</v>
      </c>
      <c r="C172" s="5">
        <v>0</v>
      </c>
      <c r="D172" s="5">
        <v>147</v>
      </c>
      <c r="E172" s="5">
        <v>0</v>
      </c>
      <c r="F172" s="3">
        <f t="shared" si="18"/>
        <v>147</v>
      </c>
      <c r="G172" s="5">
        <v>0</v>
      </c>
      <c r="H172" s="5">
        <v>317</v>
      </c>
      <c r="I172" s="5">
        <v>0</v>
      </c>
      <c r="J172" s="3">
        <f t="shared" si="20"/>
        <v>317</v>
      </c>
      <c r="K172" s="3">
        <f t="shared" si="21"/>
        <v>464</v>
      </c>
    </row>
    <row r="173" spans="1:16">
      <c r="A173" s="125"/>
      <c r="B173" s="3" t="s">
        <v>64</v>
      </c>
      <c r="C173" s="5">
        <v>0</v>
      </c>
      <c r="D173" s="5">
        <v>10</v>
      </c>
      <c r="E173" s="5">
        <v>0</v>
      </c>
      <c r="F173" s="3">
        <f t="shared" si="18"/>
        <v>10</v>
      </c>
      <c r="G173" s="5">
        <v>0</v>
      </c>
      <c r="H173" s="5">
        <v>24</v>
      </c>
      <c r="I173" s="5">
        <v>0</v>
      </c>
      <c r="J173" s="3">
        <f t="shared" si="20"/>
        <v>24</v>
      </c>
      <c r="K173" s="3">
        <f t="shared" si="21"/>
        <v>34</v>
      </c>
    </row>
    <row r="174" spans="1:16">
      <c r="A174" s="125"/>
      <c r="B174" s="3" t="s">
        <v>65</v>
      </c>
      <c r="C174" s="5">
        <v>0</v>
      </c>
      <c r="D174" s="5">
        <v>47</v>
      </c>
      <c r="E174" s="5">
        <v>0</v>
      </c>
      <c r="F174" s="3">
        <f t="shared" si="18"/>
        <v>47</v>
      </c>
      <c r="G174" s="5">
        <v>0</v>
      </c>
      <c r="H174" s="5">
        <v>101</v>
      </c>
      <c r="I174" s="5">
        <v>0</v>
      </c>
      <c r="J174" s="3">
        <f t="shared" si="20"/>
        <v>101</v>
      </c>
      <c r="K174" s="3">
        <f t="shared" si="21"/>
        <v>148</v>
      </c>
    </row>
    <row r="175" spans="1:16">
      <c r="A175" s="125"/>
      <c r="B175" s="3" t="s">
        <v>66</v>
      </c>
      <c r="C175" s="5">
        <v>0</v>
      </c>
      <c r="D175" s="5">
        <v>0</v>
      </c>
      <c r="E175" s="5">
        <v>0</v>
      </c>
      <c r="F175" s="3">
        <f t="shared" si="18"/>
        <v>0</v>
      </c>
      <c r="G175" s="5">
        <v>0</v>
      </c>
      <c r="H175" s="5">
        <v>0</v>
      </c>
      <c r="I175" s="5">
        <v>0</v>
      </c>
      <c r="J175" s="3">
        <f t="shared" si="20"/>
        <v>0</v>
      </c>
      <c r="K175" s="3">
        <f t="shared" si="21"/>
        <v>0</v>
      </c>
    </row>
    <row r="176" spans="1:16">
      <c r="A176" s="125"/>
      <c r="B176" s="3" t="s">
        <v>67</v>
      </c>
      <c r="C176" s="5">
        <v>0</v>
      </c>
      <c r="D176" s="5">
        <v>0</v>
      </c>
      <c r="E176" s="5">
        <v>0</v>
      </c>
      <c r="F176" s="3">
        <f t="shared" si="18"/>
        <v>0</v>
      </c>
      <c r="G176" s="5">
        <v>0</v>
      </c>
      <c r="H176" s="5">
        <v>0</v>
      </c>
      <c r="I176" s="5">
        <v>0</v>
      </c>
      <c r="J176" s="3">
        <f t="shared" si="20"/>
        <v>0</v>
      </c>
      <c r="K176" s="3">
        <f t="shared" si="21"/>
        <v>0</v>
      </c>
    </row>
    <row r="177" spans="1:16" ht="14.4" thickBot="1">
      <c r="A177" s="126"/>
      <c r="B177" s="10" t="s">
        <v>35</v>
      </c>
      <c r="C177" s="7">
        <f>SUM(C170:C176)</f>
        <v>0</v>
      </c>
      <c r="D177" s="7">
        <f t="shared" ref="D177:K177" si="22">SUM(D170:D176)</f>
        <v>792</v>
      </c>
      <c r="E177" s="7">
        <f t="shared" si="22"/>
        <v>0</v>
      </c>
      <c r="F177" s="7">
        <f t="shared" si="22"/>
        <v>792</v>
      </c>
      <c r="G177" s="7">
        <f t="shared" si="22"/>
        <v>0</v>
      </c>
      <c r="H177" s="7">
        <f t="shared" si="22"/>
        <v>1708</v>
      </c>
      <c r="I177" s="7">
        <f t="shared" si="22"/>
        <v>0</v>
      </c>
      <c r="J177" s="7">
        <f t="shared" si="22"/>
        <v>1708</v>
      </c>
      <c r="K177" s="7">
        <f t="shared" si="22"/>
        <v>2500</v>
      </c>
    </row>
    <row r="178" spans="1:16" ht="14.4" thickTop="1"/>
    <row r="179" spans="1:16">
      <c r="A179" s="127" t="s">
        <v>50</v>
      </c>
      <c r="B179" s="128" t="s">
        <v>68</v>
      </c>
      <c r="C179" s="129"/>
      <c r="D179" s="129"/>
      <c r="E179" s="129"/>
      <c r="F179" s="129"/>
      <c r="G179" s="129"/>
      <c r="H179" s="129"/>
      <c r="I179" s="129"/>
      <c r="J179" s="129"/>
      <c r="K179" s="130"/>
      <c r="M179" s="131" t="s">
        <v>73</v>
      </c>
      <c r="N179" s="132"/>
      <c r="O179" s="132"/>
      <c r="P179" s="133"/>
    </row>
    <row r="180" spans="1:16">
      <c r="A180" s="127"/>
      <c r="B180" s="3"/>
      <c r="C180" s="128" t="s">
        <v>69</v>
      </c>
      <c r="D180" s="129"/>
      <c r="E180" s="129"/>
      <c r="F180" s="130"/>
      <c r="G180" s="134" t="s">
        <v>72</v>
      </c>
      <c r="H180" s="134"/>
      <c r="I180" s="134"/>
      <c r="J180" s="134"/>
      <c r="K180" s="76" t="s">
        <v>35</v>
      </c>
      <c r="M180" s="3" t="s">
        <v>29</v>
      </c>
      <c r="N180" s="11" t="s">
        <v>59</v>
      </c>
      <c r="O180" s="11" t="s">
        <v>68</v>
      </c>
      <c r="P180" s="76" t="s">
        <v>35</v>
      </c>
    </row>
    <row r="181" spans="1:16">
      <c r="A181" s="124" t="s">
        <v>55</v>
      </c>
      <c r="B181" s="3" t="s">
        <v>29</v>
      </c>
      <c r="C181" s="46" t="s">
        <v>70</v>
      </c>
      <c r="D181" s="46" t="s">
        <v>30</v>
      </c>
      <c r="E181" s="46" t="s">
        <v>71</v>
      </c>
      <c r="F181" s="46" t="s">
        <v>35</v>
      </c>
      <c r="G181" s="46" t="s">
        <v>70</v>
      </c>
      <c r="H181" s="46" t="s">
        <v>30</v>
      </c>
      <c r="I181" s="46" t="s">
        <v>71</v>
      </c>
      <c r="J181" s="46" t="s">
        <v>35</v>
      </c>
      <c r="K181" s="46"/>
      <c r="M181" s="4" t="s">
        <v>60</v>
      </c>
      <c r="N181" s="11">
        <f>K167</f>
        <v>7</v>
      </c>
      <c r="O181" s="11">
        <v>0</v>
      </c>
      <c r="P181" s="12">
        <f>SUM(N181:O181)</f>
        <v>7</v>
      </c>
    </row>
    <row r="182" spans="1:16">
      <c r="A182" s="125"/>
      <c r="B182" s="4" t="s">
        <v>60</v>
      </c>
      <c r="C182" s="5">
        <v>0</v>
      </c>
      <c r="D182" s="5">
        <v>0</v>
      </c>
      <c r="E182" s="5">
        <v>0</v>
      </c>
      <c r="F182" s="3">
        <v>0</v>
      </c>
      <c r="G182" s="5">
        <v>0</v>
      </c>
      <c r="H182" s="5">
        <v>0</v>
      </c>
      <c r="I182" s="5">
        <v>0</v>
      </c>
      <c r="J182" s="3">
        <v>0</v>
      </c>
      <c r="K182" s="3">
        <v>0</v>
      </c>
      <c r="M182" s="3" t="s">
        <v>61</v>
      </c>
      <c r="N182" s="11">
        <f>K168</f>
        <v>1854</v>
      </c>
      <c r="O182" s="11">
        <v>0</v>
      </c>
      <c r="P182" s="12">
        <f t="shared" ref="P182:P191" si="23">SUM(N182:O182)</f>
        <v>1854</v>
      </c>
    </row>
    <row r="183" spans="1:16">
      <c r="A183" s="125"/>
      <c r="B183" s="3" t="s">
        <v>61</v>
      </c>
      <c r="C183" s="5">
        <v>0</v>
      </c>
      <c r="D183" s="5">
        <v>0</v>
      </c>
      <c r="E183" s="5">
        <v>0</v>
      </c>
      <c r="F183" s="3">
        <v>0</v>
      </c>
      <c r="G183" s="5">
        <v>0</v>
      </c>
      <c r="H183" s="5">
        <v>0</v>
      </c>
      <c r="I183" s="5">
        <v>0</v>
      </c>
      <c r="J183" s="3">
        <v>0</v>
      </c>
      <c r="K183" s="3">
        <v>0</v>
      </c>
      <c r="M183" s="3" t="s">
        <v>62</v>
      </c>
      <c r="N183" s="11">
        <f>K169</f>
        <v>0</v>
      </c>
      <c r="O183" s="11">
        <v>0</v>
      </c>
      <c r="P183" s="12">
        <f t="shared" si="23"/>
        <v>0</v>
      </c>
    </row>
    <row r="184" spans="1:16" ht="14.4" thickBot="1">
      <c r="A184" s="125"/>
      <c r="B184" s="3" t="s">
        <v>62</v>
      </c>
      <c r="C184" s="5">
        <v>0</v>
      </c>
      <c r="D184" s="5">
        <v>0</v>
      </c>
      <c r="E184" s="5">
        <v>0</v>
      </c>
      <c r="F184" s="3">
        <v>0</v>
      </c>
      <c r="G184" s="5">
        <v>0</v>
      </c>
      <c r="H184" s="5">
        <v>0</v>
      </c>
      <c r="I184" s="5">
        <v>0</v>
      </c>
      <c r="J184" s="3">
        <v>0</v>
      </c>
      <c r="K184" s="3">
        <v>0</v>
      </c>
      <c r="M184" s="7" t="s">
        <v>35</v>
      </c>
      <c r="N184" s="13">
        <f>K170</f>
        <v>1854</v>
      </c>
      <c r="O184" s="13">
        <v>0</v>
      </c>
      <c r="P184" s="12">
        <f t="shared" si="23"/>
        <v>1854</v>
      </c>
    </row>
    <row r="185" spans="1:16" ht="15" thickTop="1" thickBot="1">
      <c r="A185" s="125"/>
      <c r="B185" s="7" t="s">
        <v>35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M185" s="8" t="s">
        <v>63</v>
      </c>
      <c r="N185" s="15">
        <f>SUM(K172)</f>
        <v>464</v>
      </c>
      <c r="O185" s="15">
        <v>0</v>
      </c>
      <c r="P185" s="12">
        <f t="shared" si="23"/>
        <v>464</v>
      </c>
    </row>
    <row r="186" spans="1:16" ht="14.4" thickTop="1">
      <c r="A186" s="125"/>
      <c r="B186" s="8" t="s">
        <v>39</v>
      </c>
      <c r="C186" s="5">
        <v>0</v>
      </c>
      <c r="D186" s="5">
        <v>0</v>
      </c>
      <c r="E186" s="5">
        <v>0</v>
      </c>
      <c r="F186" s="3">
        <v>0</v>
      </c>
      <c r="G186" s="5">
        <v>0</v>
      </c>
      <c r="H186" s="5">
        <v>0</v>
      </c>
      <c r="I186" s="5">
        <v>0</v>
      </c>
      <c r="J186" s="3">
        <v>0</v>
      </c>
      <c r="K186" s="3">
        <v>0</v>
      </c>
      <c r="M186" s="8" t="s">
        <v>39</v>
      </c>
      <c r="N186" s="11">
        <f>SUM(K171)</f>
        <v>0</v>
      </c>
      <c r="O186" s="11">
        <v>0</v>
      </c>
      <c r="P186" s="12">
        <f t="shared" si="23"/>
        <v>0</v>
      </c>
    </row>
    <row r="187" spans="1:16">
      <c r="A187" s="125"/>
      <c r="B187" s="3" t="s">
        <v>63</v>
      </c>
      <c r="C187" s="5">
        <v>0</v>
      </c>
      <c r="D187" s="5">
        <v>0</v>
      </c>
      <c r="E187" s="5">
        <v>0</v>
      </c>
      <c r="F187" s="3">
        <v>0</v>
      </c>
      <c r="G187" s="5">
        <v>0</v>
      </c>
      <c r="H187" s="5">
        <v>0</v>
      </c>
      <c r="I187" s="5">
        <v>0</v>
      </c>
      <c r="J187" s="3">
        <v>0</v>
      </c>
      <c r="K187" s="3">
        <v>0</v>
      </c>
      <c r="M187" s="3" t="s">
        <v>64</v>
      </c>
      <c r="N187" s="11">
        <f>SUM(K173)</f>
        <v>34</v>
      </c>
      <c r="O187" s="11">
        <v>0</v>
      </c>
      <c r="P187" s="12">
        <f t="shared" si="23"/>
        <v>34</v>
      </c>
    </row>
    <row r="188" spans="1:16">
      <c r="A188" s="125"/>
      <c r="B188" s="3" t="s">
        <v>64</v>
      </c>
      <c r="C188" s="5">
        <v>0</v>
      </c>
      <c r="D188" s="5">
        <v>0</v>
      </c>
      <c r="E188" s="5">
        <v>0</v>
      </c>
      <c r="F188" s="3">
        <v>0</v>
      </c>
      <c r="G188" s="5">
        <v>0</v>
      </c>
      <c r="H188" s="5">
        <v>0</v>
      </c>
      <c r="I188" s="5">
        <v>0</v>
      </c>
      <c r="J188" s="3">
        <v>0</v>
      </c>
      <c r="K188" s="3">
        <v>0</v>
      </c>
      <c r="M188" s="3" t="s">
        <v>65</v>
      </c>
      <c r="N188" s="11">
        <f>SUM(K174)</f>
        <v>148</v>
      </c>
      <c r="O188" s="11">
        <v>0</v>
      </c>
      <c r="P188" s="12">
        <f t="shared" si="23"/>
        <v>148</v>
      </c>
    </row>
    <row r="189" spans="1:16">
      <c r="A189" s="125"/>
      <c r="B189" s="3" t="s">
        <v>65</v>
      </c>
      <c r="C189" s="5">
        <v>0</v>
      </c>
      <c r="D189" s="5">
        <v>0</v>
      </c>
      <c r="E189" s="5">
        <v>0</v>
      </c>
      <c r="F189" s="3">
        <v>0</v>
      </c>
      <c r="G189" s="5">
        <v>0</v>
      </c>
      <c r="H189" s="5">
        <v>0</v>
      </c>
      <c r="I189" s="5">
        <v>0</v>
      </c>
      <c r="J189" s="3">
        <v>0</v>
      </c>
      <c r="K189" s="3">
        <v>0</v>
      </c>
      <c r="M189" s="3" t="s">
        <v>66</v>
      </c>
      <c r="N189" s="11">
        <f>SUM(K175)</f>
        <v>0</v>
      </c>
      <c r="O189" s="11">
        <v>0</v>
      </c>
      <c r="P189" s="12">
        <f t="shared" si="23"/>
        <v>0</v>
      </c>
    </row>
    <row r="190" spans="1:16">
      <c r="A190" s="125"/>
      <c r="B190" s="3" t="s">
        <v>66</v>
      </c>
      <c r="C190" s="5">
        <v>0</v>
      </c>
      <c r="D190" s="5">
        <v>0</v>
      </c>
      <c r="E190" s="5">
        <v>0</v>
      </c>
      <c r="F190" s="3">
        <v>0</v>
      </c>
      <c r="G190" s="5">
        <v>0</v>
      </c>
      <c r="H190" s="5">
        <v>0</v>
      </c>
      <c r="I190" s="5">
        <v>0</v>
      </c>
      <c r="J190" s="3">
        <v>0</v>
      </c>
      <c r="K190" s="3">
        <v>0</v>
      </c>
      <c r="M190" s="3" t="s">
        <v>67</v>
      </c>
      <c r="N190" s="11">
        <f>SUM(K176)</f>
        <v>0</v>
      </c>
      <c r="O190" s="11">
        <v>0</v>
      </c>
      <c r="P190" s="12">
        <f t="shared" si="23"/>
        <v>0</v>
      </c>
    </row>
    <row r="191" spans="1:16" ht="14.4" thickBot="1">
      <c r="A191" s="125"/>
      <c r="B191" s="3" t="s">
        <v>67</v>
      </c>
      <c r="C191" s="5">
        <v>0</v>
      </c>
      <c r="D191" s="5">
        <v>0</v>
      </c>
      <c r="E191" s="5">
        <v>0</v>
      </c>
      <c r="F191" s="3">
        <v>0</v>
      </c>
      <c r="G191" s="5">
        <v>0</v>
      </c>
      <c r="H191" s="5">
        <v>0</v>
      </c>
      <c r="I191" s="5">
        <v>0</v>
      </c>
      <c r="J191" s="3">
        <v>0</v>
      </c>
      <c r="K191" s="3">
        <v>0</v>
      </c>
      <c r="M191" s="10" t="s">
        <v>35</v>
      </c>
      <c r="N191" s="14">
        <f>SUM(K177)</f>
        <v>2500</v>
      </c>
      <c r="O191" s="14">
        <v>0</v>
      </c>
      <c r="P191" s="12">
        <f t="shared" si="23"/>
        <v>2500</v>
      </c>
    </row>
    <row r="192" spans="1:16" ht="15" thickTop="1" thickBot="1">
      <c r="A192" s="126"/>
      <c r="B192" s="10" t="s">
        <v>35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</row>
    <row r="193" spans="1:16" ht="14.4" thickTop="1">
      <c r="A193" s="105" t="str">
        <f>$A$1</f>
        <v>प्रपत्र - क  -  अर्थसंकल्पीय अंदाजपत्रक सन 2021-2022</v>
      </c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</row>
    <row r="194" spans="1:16">
      <c r="A194" s="111" t="s">
        <v>18</v>
      </c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</row>
    <row r="195" spans="1:16">
      <c r="A195" s="135" t="s">
        <v>47</v>
      </c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</row>
    <row r="196" spans="1:16">
      <c r="A196" s="127" t="s">
        <v>50</v>
      </c>
      <c r="B196" s="128" t="s">
        <v>59</v>
      </c>
      <c r="C196" s="129"/>
      <c r="D196" s="129"/>
      <c r="E196" s="129"/>
      <c r="F196" s="129"/>
      <c r="G196" s="129"/>
      <c r="H196" s="129"/>
      <c r="I196" s="129"/>
      <c r="J196" s="129"/>
      <c r="K196" s="130"/>
    </row>
    <row r="197" spans="1:16">
      <c r="A197" s="127"/>
      <c r="B197" s="3"/>
      <c r="C197" s="134" t="s">
        <v>69</v>
      </c>
      <c r="D197" s="134"/>
      <c r="E197" s="134"/>
      <c r="F197" s="134"/>
      <c r="G197" s="134" t="s">
        <v>72</v>
      </c>
      <c r="H197" s="134"/>
      <c r="I197" s="134"/>
      <c r="J197" s="134"/>
      <c r="K197" s="76" t="s">
        <v>35</v>
      </c>
    </row>
    <row r="198" spans="1:16">
      <c r="A198" s="124" t="s">
        <v>56</v>
      </c>
      <c r="B198" s="3" t="s">
        <v>29</v>
      </c>
      <c r="C198" s="46" t="s">
        <v>70</v>
      </c>
      <c r="D198" s="46" t="s">
        <v>30</v>
      </c>
      <c r="E198" s="46" t="s">
        <v>71</v>
      </c>
      <c r="F198" s="46" t="s">
        <v>35</v>
      </c>
      <c r="G198" s="46" t="s">
        <v>70</v>
      </c>
      <c r="H198" s="46" t="s">
        <v>30</v>
      </c>
      <c r="I198" s="46" t="s">
        <v>71</v>
      </c>
      <c r="J198" s="46" t="s">
        <v>35</v>
      </c>
      <c r="K198" s="46" t="s">
        <v>35</v>
      </c>
    </row>
    <row r="199" spans="1:16">
      <c r="A199" s="125"/>
      <c r="B199" s="4" t="s">
        <v>60</v>
      </c>
      <c r="C199" s="6">
        <v>0</v>
      </c>
      <c r="D199" s="5">
        <v>1</v>
      </c>
      <c r="E199" s="5">
        <v>0</v>
      </c>
      <c r="F199" s="3">
        <f>SUM(C199:E199)</f>
        <v>1</v>
      </c>
      <c r="G199" s="5">
        <v>0</v>
      </c>
      <c r="H199" s="5">
        <v>0</v>
      </c>
      <c r="I199" s="5">
        <v>0</v>
      </c>
      <c r="J199" s="3">
        <f>SUM(G199:I199)</f>
        <v>0</v>
      </c>
      <c r="K199" s="3">
        <f>SUM(J199,F199)</f>
        <v>1</v>
      </c>
    </row>
    <row r="200" spans="1:16">
      <c r="A200" s="125"/>
      <c r="B200" s="3" t="s">
        <v>61</v>
      </c>
      <c r="C200" s="6">
        <v>0</v>
      </c>
      <c r="D200" s="5">
        <v>286</v>
      </c>
      <c r="E200" s="5">
        <v>0</v>
      </c>
      <c r="F200" s="3">
        <f t="shared" ref="F200:F208" si="24">SUM(C200:E200)</f>
        <v>286</v>
      </c>
      <c r="G200" s="5">
        <v>0</v>
      </c>
      <c r="H200" s="5">
        <v>0</v>
      </c>
      <c r="I200" s="5">
        <v>0</v>
      </c>
      <c r="J200" s="3">
        <f>SUM(G200:I200)</f>
        <v>0</v>
      </c>
      <c r="K200" s="3">
        <f t="shared" ref="K200:K208" si="25">SUM(J200,F200)</f>
        <v>286</v>
      </c>
    </row>
    <row r="201" spans="1:16">
      <c r="A201" s="125"/>
      <c r="B201" s="3" t="s">
        <v>62</v>
      </c>
      <c r="C201" s="5">
        <v>0</v>
      </c>
      <c r="D201" s="5">
        <v>0</v>
      </c>
      <c r="E201" s="5">
        <v>0</v>
      </c>
      <c r="F201" s="3">
        <f t="shared" si="24"/>
        <v>0</v>
      </c>
      <c r="G201" s="5">
        <v>0</v>
      </c>
      <c r="H201" s="5">
        <v>0</v>
      </c>
      <c r="I201" s="5">
        <v>0</v>
      </c>
      <c r="J201" s="3">
        <f>SUM(G201:I201)</f>
        <v>0</v>
      </c>
      <c r="K201" s="3">
        <f t="shared" si="25"/>
        <v>0</v>
      </c>
    </row>
    <row r="202" spans="1:16" ht="14.4" thickBot="1">
      <c r="A202" s="125"/>
      <c r="B202" s="7" t="s">
        <v>35</v>
      </c>
      <c r="C202" s="7">
        <f>SUM(C200:C201)</f>
        <v>0</v>
      </c>
      <c r="D202" s="7">
        <f t="shared" ref="D202:K202" si="26">SUM(D200:D201)</f>
        <v>286</v>
      </c>
      <c r="E202" s="7">
        <f t="shared" si="26"/>
        <v>0</v>
      </c>
      <c r="F202" s="7">
        <f t="shared" si="26"/>
        <v>286</v>
      </c>
      <c r="G202" s="7">
        <f t="shared" si="26"/>
        <v>0</v>
      </c>
      <c r="H202" s="7">
        <f t="shared" si="26"/>
        <v>0</v>
      </c>
      <c r="I202" s="7">
        <f t="shared" si="26"/>
        <v>0</v>
      </c>
      <c r="J202" s="7">
        <f t="shared" si="26"/>
        <v>0</v>
      </c>
      <c r="K202" s="7">
        <f t="shared" si="26"/>
        <v>286</v>
      </c>
    </row>
    <row r="203" spans="1:16" ht="14.4" thickTop="1">
      <c r="A203" s="125"/>
      <c r="B203" s="8" t="s">
        <v>39</v>
      </c>
      <c r="C203" s="9">
        <v>0</v>
      </c>
      <c r="D203" s="9">
        <v>0</v>
      </c>
      <c r="E203" s="9">
        <v>0</v>
      </c>
      <c r="F203" s="3">
        <f t="shared" si="24"/>
        <v>0</v>
      </c>
      <c r="G203" s="5">
        <v>0</v>
      </c>
      <c r="H203" s="5">
        <v>0</v>
      </c>
      <c r="I203" s="5">
        <v>0</v>
      </c>
      <c r="J203" s="3">
        <v>0</v>
      </c>
      <c r="K203" s="3">
        <f t="shared" si="25"/>
        <v>0</v>
      </c>
    </row>
    <row r="204" spans="1:16">
      <c r="A204" s="125"/>
      <c r="B204" s="3" t="s">
        <v>63</v>
      </c>
      <c r="C204" s="5">
        <v>0</v>
      </c>
      <c r="D204" s="5">
        <v>72</v>
      </c>
      <c r="E204" s="5">
        <v>0</v>
      </c>
      <c r="F204" s="3">
        <f t="shared" si="24"/>
        <v>72</v>
      </c>
      <c r="G204" s="5">
        <v>0</v>
      </c>
      <c r="H204" s="5">
        <v>0</v>
      </c>
      <c r="I204" s="5">
        <v>0</v>
      </c>
      <c r="J204" s="3">
        <v>0</v>
      </c>
      <c r="K204" s="3">
        <f t="shared" si="25"/>
        <v>72</v>
      </c>
    </row>
    <row r="205" spans="1:16">
      <c r="A205" s="125"/>
      <c r="B205" s="3" t="s">
        <v>64</v>
      </c>
      <c r="C205" s="5">
        <v>0</v>
      </c>
      <c r="D205" s="5">
        <v>0</v>
      </c>
      <c r="E205" s="5">
        <v>0</v>
      </c>
      <c r="F205" s="3">
        <f t="shared" si="24"/>
        <v>0</v>
      </c>
      <c r="G205" s="5">
        <v>0</v>
      </c>
      <c r="H205" s="5">
        <v>0</v>
      </c>
      <c r="I205" s="5">
        <v>0</v>
      </c>
      <c r="J205" s="3">
        <v>0</v>
      </c>
      <c r="K205" s="3">
        <f t="shared" si="25"/>
        <v>0</v>
      </c>
    </row>
    <row r="206" spans="1:16">
      <c r="A206" s="125"/>
      <c r="B206" s="3" t="s">
        <v>65</v>
      </c>
      <c r="C206" s="5">
        <v>0</v>
      </c>
      <c r="D206" s="5">
        <v>26</v>
      </c>
      <c r="E206" s="5">
        <v>0</v>
      </c>
      <c r="F206" s="3">
        <f t="shared" si="24"/>
        <v>26</v>
      </c>
      <c r="G206" s="5">
        <v>0</v>
      </c>
      <c r="H206" s="5">
        <v>0</v>
      </c>
      <c r="I206" s="5">
        <v>0</v>
      </c>
      <c r="J206" s="3">
        <v>0</v>
      </c>
      <c r="K206" s="3">
        <f t="shared" si="25"/>
        <v>26</v>
      </c>
    </row>
    <row r="207" spans="1:16">
      <c r="A207" s="125"/>
      <c r="B207" s="3" t="s">
        <v>66</v>
      </c>
      <c r="C207" s="5">
        <v>0</v>
      </c>
      <c r="D207" s="5">
        <v>5</v>
      </c>
      <c r="E207" s="5">
        <v>0</v>
      </c>
      <c r="F207" s="3">
        <f t="shared" si="24"/>
        <v>5</v>
      </c>
      <c r="G207" s="5">
        <v>0</v>
      </c>
      <c r="H207" s="5">
        <v>0</v>
      </c>
      <c r="I207" s="5">
        <v>0</v>
      </c>
      <c r="J207" s="3">
        <v>0</v>
      </c>
      <c r="K207" s="3">
        <f t="shared" si="25"/>
        <v>5</v>
      </c>
    </row>
    <row r="208" spans="1:16">
      <c r="A208" s="125"/>
      <c r="B208" s="3" t="s">
        <v>67</v>
      </c>
      <c r="C208" s="5">
        <v>0</v>
      </c>
      <c r="D208" s="5">
        <v>0</v>
      </c>
      <c r="E208" s="5">
        <v>0</v>
      </c>
      <c r="F208" s="3">
        <f t="shared" si="24"/>
        <v>0</v>
      </c>
      <c r="G208" s="5">
        <v>0</v>
      </c>
      <c r="H208" s="5">
        <v>0</v>
      </c>
      <c r="I208" s="5">
        <v>0</v>
      </c>
      <c r="J208" s="3">
        <v>0</v>
      </c>
      <c r="K208" s="3">
        <f t="shared" si="25"/>
        <v>0</v>
      </c>
    </row>
    <row r="209" spans="1:16" ht="14.4" thickBot="1">
      <c r="A209" s="126"/>
      <c r="B209" s="10" t="s">
        <v>35</v>
      </c>
      <c r="C209" s="7">
        <f>SUM(C202:C208)</f>
        <v>0</v>
      </c>
      <c r="D209" s="7">
        <f t="shared" ref="D209:K209" si="27">SUM(D202:D208)</f>
        <v>389</v>
      </c>
      <c r="E209" s="7">
        <f t="shared" si="27"/>
        <v>0</v>
      </c>
      <c r="F209" s="7">
        <f t="shared" si="27"/>
        <v>389</v>
      </c>
      <c r="G209" s="7">
        <f t="shared" si="27"/>
        <v>0</v>
      </c>
      <c r="H209" s="7">
        <f t="shared" si="27"/>
        <v>0</v>
      </c>
      <c r="I209" s="7">
        <f t="shared" si="27"/>
        <v>0</v>
      </c>
      <c r="J209" s="7">
        <f t="shared" si="27"/>
        <v>0</v>
      </c>
      <c r="K209" s="7">
        <f t="shared" si="27"/>
        <v>389</v>
      </c>
    </row>
    <row r="210" spans="1:16" ht="14.4" thickTop="1"/>
    <row r="211" spans="1:16">
      <c r="A211" s="127" t="s">
        <v>50</v>
      </c>
      <c r="B211" s="128" t="s">
        <v>68</v>
      </c>
      <c r="C211" s="129"/>
      <c r="D211" s="129"/>
      <c r="E211" s="129"/>
      <c r="F211" s="129"/>
      <c r="G211" s="129"/>
      <c r="H211" s="129"/>
      <c r="I211" s="129"/>
      <c r="J211" s="129"/>
      <c r="K211" s="130"/>
      <c r="M211" s="131" t="s">
        <v>73</v>
      </c>
      <c r="N211" s="132"/>
      <c r="O211" s="132"/>
      <c r="P211" s="133"/>
    </row>
    <row r="212" spans="1:16">
      <c r="A212" s="127"/>
      <c r="B212" s="3"/>
      <c r="C212" s="128" t="s">
        <v>69</v>
      </c>
      <c r="D212" s="129"/>
      <c r="E212" s="129"/>
      <c r="F212" s="130"/>
      <c r="G212" s="134" t="s">
        <v>72</v>
      </c>
      <c r="H212" s="134"/>
      <c r="I212" s="134"/>
      <c r="J212" s="134"/>
      <c r="K212" s="76" t="s">
        <v>35</v>
      </c>
      <c r="M212" s="3" t="s">
        <v>29</v>
      </c>
      <c r="N212" s="11" t="s">
        <v>59</v>
      </c>
      <c r="O212" s="11" t="s">
        <v>68</v>
      </c>
      <c r="P212" s="76" t="s">
        <v>35</v>
      </c>
    </row>
    <row r="213" spans="1:16">
      <c r="A213" s="124" t="s">
        <v>56</v>
      </c>
      <c r="B213" s="3" t="s">
        <v>29</v>
      </c>
      <c r="C213" s="46" t="s">
        <v>70</v>
      </c>
      <c r="D213" s="46" t="s">
        <v>30</v>
      </c>
      <c r="E213" s="46" t="s">
        <v>71</v>
      </c>
      <c r="F213" s="46" t="s">
        <v>35</v>
      </c>
      <c r="G213" s="46" t="s">
        <v>70</v>
      </c>
      <c r="H213" s="46" t="s">
        <v>30</v>
      </c>
      <c r="I213" s="46" t="s">
        <v>71</v>
      </c>
      <c r="J213" s="46" t="s">
        <v>35</v>
      </c>
      <c r="K213" s="46"/>
      <c r="M213" s="4" t="s">
        <v>60</v>
      </c>
      <c r="N213" s="11">
        <f>K199</f>
        <v>1</v>
      </c>
      <c r="O213" s="11">
        <f>K214</f>
        <v>0</v>
      </c>
      <c r="P213" s="12">
        <f>SUM(N213:O213)</f>
        <v>1</v>
      </c>
    </row>
    <row r="214" spans="1:16">
      <c r="A214" s="125"/>
      <c r="B214" s="4" t="s">
        <v>60</v>
      </c>
      <c r="C214" s="5">
        <v>0</v>
      </c>
      <c r="D214" s="5">
        <v>0</v>
      </c>
      <c r="E214" s="5">
        <v>0</v>
      </c>
      <c r="F214" s="3">
        <v>0</v>
      </c>
      <c r="G214" s="5">
        <v>0</v>
      </c>
      <c r="H214" s="5">
        <v>0</v>
      </c>
      <c r="I214" s="5">
        <v>0</v>
      </c>
      <c r="J214" s="3">
        <v>0</v>
      </c>
      <c r="K214" s="3">
        <v>0</v>
      </c>
      <c r="M214" s="3" t="s">
        <v>61</v>
      </c>
      <c r="N214" s="11">
        <f>K200</f>
        <v>286</v>
      </c>
      <c r="O214" s="11">
        <f>K215</f>
        <v>0</v>
      </c>
      <c r="P214" s="12">
        <f t="shared" ref="P214:P222" si="28">SUM(N214:O214)</f>
        <v>286</v>
      </c>
    </row>
    <row r="215" spans="1:16">
      <c r="A215" s="125"/>
      <c r="B215" s="3" t="s">
        <v>61</v>
      </c>
      <c r="C215" s="5">
        <v>0</v>
      </c>
      <c r="D215" s="5">
        <v>0</v>
      </c>
      <c r="E215" s="5">
        <v>0</v>
      </c>
      <c r="F215" s="3">
        <v>0</v>
      </c>
      <c r="G215" s="5">
        <v>0</v>
      </c>
      <c r="H215" s="5">
        <v>0</v>
      </c>
      <c r="I215" s="5">
        <v>0</v>
      </c>
      <c r="J215" s="3">
        <v>0</v>
      </c>
      <c r="K215" s="3">
        <v>0</v>
      </c>
      <c r="M215" s="3" t="s">
        <v>62</v>
      </c>
      <c r="N215" s="11">
        <f>K201</f>
        <v>0</v>
      </c>
      <c r="O215" s="11">
        <f>K216</f>
        <v>0</v>
      </c>
      <c r="P215" s="12">
        <f t="shared" si="28"/>
        <v>0</v>
      </c>
    </row>
    <row r="216" spans="1:16" ht="14.4" thickBot="1">
      <c r="A216" s="125"/>
      <c r="B216" s="3" t="s">
        <v>62</v>
      </c>
      <c r="C216" s="5">
        <v>0</v>
      </c>
      <c r="D216" s="5">
        <v>0</v>
      </c>
      <c r="E216" s="5">
        <v>0</v>
      </c>
      <c r="F216" s="3">
        <v>0</v>
      </c>
      <c r="G216" s="5">
        <v>0</v>
      </c>
      <c r="H216" s="5">
        <v>0</v>
      </c>
      <c r="I216" s="5">
        <v>0</v>
      </c>
      <c r="J216" s="3">
        <v>0</v>
      </c>
      <c r="K216" s="3">
        <v>0</v>
      </c>
      <c r="M216" s="7" t="s">
        <v>35</v>
      </c>
      <c r="N216" s="13">
        <f>K202</f>
        <v>286</v>
      </c>
      <c r="O216" s="13">
        <f>K217</f>
        <v>0</v>
      </c>
      <c r="P216" s="14">
        <f>SUM(P214:P215)</f>
        <v>286</v>
      </c>
    </row>
    <row r="217" spans="1:16" ht="15" thickTop="1" thickBot="1">
      <c r="A217" s="125"/>
      <c r="B217" s="7" t="s">
        <v>35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M217" s="8" t="s">
        <v>63</v>
      </c>
      <c r="N217" s="15">
        <f>SUM(K204)</f>
        <v>72</v>
      </c>
      <c r="O217" s="15">
        <f>SUM(K219)</f>
        <v>0</v>
      </c>
      <c r="P217" s="12">
        <f t="shared" si="28"/>
        <v>72</v>
      </c>
    </row>
    <row r="218" spans="1:16" ht="14.4" thickTop="1">
      <c r="A218" s="125"/>
      <c r="B218" s="8" t="s">
        <v>39</v>
      </c>
      <c r="C218" s="5">
        <v>0</v>
      </c>
      <c r="D218" s="5">
        <v>0</v>
      </c>
      <c r="E218" s="5">
        <v>0</v>
      </c>
      <c r="F218" s="3">
        <v>0</v>
      </c>
      <c r="G218" s="5">
        <v>0</v>
      </c>
      <c r="H218" s="5">
        <v>0</v>
      </c>
      <c r="I218" s="5">
        <v>0</v>
      </c>
      <c r="J218" s="3">
        <v>0</v>
      </c>
      <c r="K218" s="3">
        <v>0</v>
      </c>
      <c r="M218" s="8" t="s">
        <v>39</v>
      </c>
      <c r="N218" s="11">
        <f>SUM(K203)</f>
        <v>0</v>
      </c>
      <c r="O218" s="11">
        <f>SUM(K218)</f>
        <v>0</v>
      </c>
      <c r="P218" s="12">
        <f t="shared" si="28"/>
        <v>0</v>
      </c>
    </row>
    <row r="219" spans="1:16">
      <c r="A219" s="125"/>
      <c r="B219" s="3" t="s">
        <v>63</v>
      </c>
      <c r="C219" s="5">
        <v>0</v>
      </c>
      <c r="D219" s="5">
        <v>0</v>
      </c>
      <c r="E219" s="5">
        <v>0</v>
      </c>
      <c r="F219" s="3">
        <v>0</v>
      </c>
      <c r="G219" s="5">
        <v>0</v>
      </c>
      <c r="H219" s="5">
        <v>0</v>
      </c>
      <c r="I219" s="5">
        <v>0</v>
      </c>
      <c r="J219" s="3">
        <v>0</v>
      </c>
      <c r="K219" s="3">
        <v>0</v>
      </c>
      <c r="M219" s="3" t="s">
        <v>64</v>
      </c>
      <c r="N219" s="11">
        <f>SUM(K205)</f>
        <v>0</v>
      </c>
      <c r="O219" s="11">
        <f>SUM(K220)</f>
        <v>0</v>
      </c>
      <c r="P219" s="12">
        <f t="shared" si="28"/>
        <v>0</v>
      </c>
    </row>
    <row r="220" spans="1:16">
      <c r="A220" s="125"/>
      <c r="B220" s="3" t="s">
        <v>64</v>
      </c>
      <c r="C220" s="5">
        <v>0</v>
      </c>
      <c r="D220" s="5">
        <v>0</v>
      </c>
      <c r="E220" s="5">
        <v>0</v>
      </c>
      <c r="F220" s="3">
        <v>0</v>
      </c>
      <c r="G220" s="5">
        <v>0</v>
      </c>
      <c r="H220" s="5">
        <v>0</v>
      </c>
      <c r="I220" s="5">
        <v>0</v>
      </c>
      <c r="J220" s="3">
        <v>0</v>
      </c>
      <c r="K220" s="3">
        <v>0</v>
      </c>
      <c r="M220" s="3" t="s">
        <v>65</v>
      </c>
      <c r="N220" s="11">
        <f>SUM(K206)</f>
        <v>26</v>
      </c>
      <c r="O220" s="11">
        <f>SUM(K221)</f>
        <v>0</v>
      </c>
      <c r="P220" s="12">
        <f t="shared" si="28"/>
        <v>26</v>
      </c>
    </row>
    <row r="221" spans="1:16">
      <c r="A221" s="125"/>
      <c r="B221" s="3" t="s">
        <v>65</v>
      </c>
      <c r="C221" s="5">
        <v>0</v>
      </c>
      <c r="D221" s="5">
        <v>0</v>
      </c>
      <c r="E221" s="5">
        <v>0</v>
      </c>
      <c r="F221" s="3">
        <v>0</v>
      </c>
      <c r="G221" s="5">
        <v>0</v>
      </c>
      <c r="H221" s="5">
        <v>0</v>
      </c>
      <c r="I221" s="5">
        <v>0</v>
      </c>
      <c r="J221" s="3">
        <v>0</v>
      </c>
      <c r="K221" s="3">
        <v>0</v>
      </c>
      <c r="M221" s="3" t="s">
        <v>66</v>
      </c>
      <c r="N221" s="11">
        <f>SUM(K207)</f>
        <v>5</v>
      </c>
      <c r="O221" s="11">
        <f>SUM(K222)</f>
        <v>0</v>
      </c>
      <c r="P221" s="12">
        <f t="shared" si="28"/>
        <v>5</v>
      </c>
    </row>
    <row r="222" spans="1:16">
      <c r="A222" s="125"/>
      <c r="B222" s="3" t="s">
        <v>66</v>
      </c>
      <c r="C222" s="5">
        <v>0</v>
      </c>
      <c r="D222" s="5">
        <v>0</v>
      </c>
      <c r="E222" s="5">
        <v>0</v>
      </c>
      <c r="F222" s="3">
        <v>0</v>
      </c>
      <c r="G222" s="5">
        <v>0</v>
      </c>
      <c r="H222" s="5">
        <v>0</v>
      </c>
      <c r="I222" s="5">
        <v>0</v>
      </c>
      <c r="J222" s="3">
        <v>0</v>
      </c>
      <c r="K222" s="3">
        <v>0</v>
      </c>
      <c r="M222" s="3" t="s">
        <v>67</v>
      </c>
      <c r="N222" s="11">
        <f>SUM(K208)</f>
        <v>0</v>
      </c>
      <c r="O222" s="11">
        <f>SUM(K223)</f>
        <v>0</v>
      </c>
      <c r="P222" s="12">
        <f t="shared" si="28"/>
        <v>0</v>
      </c>
    </row>
    <row r="223" spans="1:16" ht="14.4" thickBot="1">
      <c r="A223" s="125"/>
      <c r="B223" s="3" t="s">
        <v>67</v>
      </c>
      <c r="C223" s="5">
        <v>0</v>
      </c>
      <c r="D223" s="5">
        <v>0</v>
      </c>
      <c r="E223" s="5">
        <v>0</v>
      </c>
      <c r="F223" s="3">
        <v>0</v>
      </c>
      <c r="G223" s="5">
        <v>0</v>
      </c>
      <c r="H223" s="5">
        <v>0</v>
      </c>
      <c r="I223" s="5">
        <v>0</v>
      </c>
      <c r="J223" s="3">
        <v>0</v>
      </c>
      <c r="K223" s="3">
        <v>0</v>
      </c>
      <c r="M223" s="10" t="s">
        <v>35</v>
      </c>
      <c r="N223" s="14">
        <f>SUM(K209)</f>
        <v>389</v>
      </c>
      <c r="O223" s="14">
        <f>SUM(O216:O222)</f>
        <v>0</v>
      </c>
      <c r="P223" s="14">
        <f>SUM(P216:P222)</f>
        <v>389</v>
      </c>
    </row>
    <row r="224" spans="1:16" ht="15" thickTop="1" thickBot="1">
      <c r="A224" s="126"/>
      <c r="B224" s="10" t="s">
        <v>35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</row>
    <row r="225" spans="1:16" ht="14.4" thickTop="1">
      <c r="A225" s="105" t="str">
        <f>$A$1</f>
        <v>प्रपत्र - क  -  अर्थसंकल्पीय अंदाजपत्रक सन 2021-2022</v>
      </c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</row>
    <row r="226" spans="1:16">
      <c r="A226" s="111" t="s">
        <v>18</v>
      </c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</row>
    <row r="227" spans="1:16">
      <c r="A227" s="135" t="s">
        <v>47</v>
      </c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</row>
    <row r="228" spans="1:16">
      <c r="A228" s="127" t="s">
        <v>57</v>
      </c>
      <c r="B228" s="128" t="s">
        <v>59</v>
      </c>
      <c r="C228" s="129"/>
      <c r="D228" s="129"/>
      <c r="E228" s="129"/>
      <c r="F228" s="129"/>
      <c r="G228" s="129"/>
      <c r="H228" s="129"/>
      <c r="I228" s="129"/>
      <c r="J228" s="129"/>
      <c r="K228" s="130"/>
    </row>
    <row r="229" spans="1:16">
      <c r="A229" s="127"/>
      <c r="B229" s="3"/>
      <c r="C229" s="134" t="s">
        <v>69</v>
      </c>
      <c r="D229" s="134"/>
      <c r="E229" s="134"/>
      <c r="F229" s="134"/>
      <c r="G229" s="134" t="s">
        <v>72</v>
      </c>
      <c r="H229" s="134"/>
      <c r="I229" s="134"/>
      <c r="J229" s="134"/>
      <c r="K229" s="76" t="s">
        <v>35</v>
      </c>
    </row>
    <row r="230" spans="1:16">
      <c r="A230" s="124" t="s">
        <v>58</v>
      </c>
      <c r="B230" s="3" t="s">
        <v>29</v>
      </c>
      <c r="C230" s="46" t="s">
        <v>70</v>
      </c>
      <c r="D230" s="46" t="s">
        <v>30</v>
      </c>
      <c r="E230" s="46" t="s">
        <v>71</v>
      </c>
      <c r="F230" s="46" t="s">
        <v>35</v>
      </c>
      <c r="G230" s="46" t="s">
        <v>70</v>
      </c>
      <c r="H230" s="46" t="s">
        <v>30</v>
      </c>
      <c r="I230" s="46" t="s">
        <v>71</v>
      </c>
      <c r="J230" s="46" t="s">
        <v>35</v>
      </c>
      <c r="K230" s="46" t="s">
        <v>35</v>
      </c>
    </row>
    <row r="231" spans="1:16">
      <c r="A231" s="125"/>
      <c r="B231" s="4" t="s">
        <v>60</v>
      </c>
      <c r="C231" s="4"/>
      <c r="D231" s="101"/>
      <c r="E231" s="4"/>
      <c r="F231" s="4">
        <f>SUM(C231:E231)</f>
        <v>0</v>
      </c>
      <c r="G231" s="4"/>
      <c r="H231" s="4"/>
      <c r="I231" s="4"/>
      <c r="J231" s="4">
        <f>SUM(G231:I231)</f>
        <v>0</v>
      </c>
      <c r="K231" s="4" cm="1">
        <f t="array" ref="K231">SUM(C231:E231+G231:I231)</f>
        <v>0</v>
      </c>
    </row>
    <row r="232" spans="1:16">
      <c r="A232" s="125"/>
      <c r="B232" s="3" t="s">
        <v>61</v>
      </c>
      <c r="C232" s="6"/>
      <c r="D232" s="6"/>
      <c r="E232" s="6"/>
      <c r="F232" s="3">
        <v>0</v>
      </c>
      <c r="G232" s="6"/>
      <c r="H232" s="6"/>
      <c r="I232" s="6"/>
      <c r="J232" s="3">
        <v>0</v>
      </c>
      <c r="K232" s="3">
        <v>0</v>
      </c>
    </row>
    <row r="233" spans="1:16">
      <c r="A233" s="125"/>
      <c r="B233" s="3" t="s">
        <v>62</v>
      </c>
      <c r="C233" s="6"/>
      <c r="D233" s="6"/>
      <c r="E233" s="6"/>
      <c r="F233" s="3">
        <v>0</v>
      </c>
      <c r="G233" s="6"/>
      <c r="H233" s="6"/>
      <c r="I233" s="6"/>
      <c r="J233" s="3">
        <v>0</v>
      </c>
      <c r="K233" s="3">
        <v>0</v>
      </c>
    </row>
    <row r="234" spans="1:16" ht="14.4" thickBot="1">
      <c r="A234" s="125"/>
      <c r="B234" s="7" t="s">
        <v>35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</row>
    <row r="235" spans="1:16" ht="14.4" thickTop="1">
      <c r="A235" s="125"/>
      <c r="B235" s="8" t="s">
        <v>39</v>
      </c>
      <c r="C235" s="6"/>
      <c r="D235" s="6"/>
      <c r="E235" s="6"/>
      <c r="F235" s="3">
        <v>0</v>
      </c>
      <c r="G235" s="6"/>
      <c r="H235" s="6"/>
      <c r="I235" s="6"/>
      <c r="J235" s="3">
        <v>0</v>
      </c>
      <c r="K235" s="3">
        <v>0</v>
      </c>
    </row>
    <row r="236" spans="1:16">
      <c r="A236" s="125"/>
      <c r="B236" s="3" t="s">
        <v>63</v>
      </c>
      <c r="C236" s="6"/>
      <c r="D236" s="6"/>
      <c r="E236" s="6"/>
      <c r="F236" s="3">
        <v>0</v>
      </c>
      <c r="G236" s="6"/>
      <c r="H236" s="6"/>
      <c r="I236" s="6"/>
      <c r="J236" s="3">
        <v>0</v>
      </c>
      <c r="K236" s="3">
        <v>0</v>
      </c>
    </row>
    <row r="237" spans="1:16">
      <c r="A237" s="125"/>
      <c r="B237" s="3" t="s">
        <v>64</v>
      </c>
      <c r="C237" s="6"/>
      <c r="D237" s="6"/>
      <c r="E237" s="6"/>
      <c r="F237" s="3">
        <v>0</v>
      </c>
      <c r="G237" s="6"/>
      <c r="H237" s="6"/>
      <c r="I237" s="6"/>
      <c r="J237" s="3">
        <v>0</v>
      </c>
      <c r="K237" s="3">
        <v>0</v>
      </c>
    </row>
    <row r="238" spans="1:16">
      <c r="A238" s="125"/>
      <c r="B238" s="3" t="s">
        <v>65</v>
      </c>
      <c r="C238" s="6"/>
      <c r="D238" s="6"/>
      <c r="E238" s="6"/>
      <c r="F238" s="3">
        <v>0</v>
      </c>
      <c r="G238" s="6"/>
      <c r="H238" s="6"/>
      <c r="I238" s="6"/>
      <c r="J238" s="3">
        <v>0</v>
      </c>
      <c r="K238" s="3">
        <v>0</v>
      </c>
    </row>
    <row r="239" spans="1:16">
      <c r="A239" s="125"/>
      <c r="B239" s="3" t="s">
        <v>66</v>
      </c>
      <c r="C239" s="6"/>
      <c r="D239" s="6"/>
      <c r="E239" s="6"/>
      <c r="F239" s="3">
        <v>0</v>
      </c>
      <c r="G239" s="6"/>
      <c r="H239" s="6"/>
      <c r="I239" s="6"/>
      <c r="J239" s="3">
        <v>0</v>
      </c>
      <c r="K239" s="3">
        <v>0</v>
      </c>
    </row>
    <row r="240" spans="1:16">
      <c r="A240" s="125"/>
      <c r="B240" s="3" t="s">
        <v>67</v>
      </c>
      <c r="C240" s="6"/>
      <c r="D240" s="6"/>
      <c r="E240" s="6"/>
      <c r="F240" s="3">
        <v>0</v>
      </c>
      <c r="G240" s="6"/>
      <c r="H240" s="6"/>
      <c r="I240" s="6"/>
      <c r="J240" s="3">
        <v>0</v>
      </c>
      <c r="K240" s="3">
        <v>0</v>
      </c>
    </row>
    <row r="241" spans="1:16" ht="14.4" thickBot="1">
      <c r="A241" s="126"/>
      <c r="B241" s="10" t="s">
        <v>35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</row>
    <row r="242" spans="1:16" ht="14.4" thickTop="1"/>
    <row r="243" spans="1:16">
      <c r="A243" s="127" t="s">
        <v>57</v>
      </c>
      <c r="B243" s="128" t="s">
        <v>68</v>
      </c>
      <c r="C243" s="129"/>
      <c r="D243" s="129"/>
      <c r="E243" s="129"/>
      <c r="F243" s="129"/>
      <c r="G243" s="129"/>
      <c r="H243" s="129"/>
      <c r="I243" s="129"/>
      <c r="J243" s="129"/>
      <c r="K243" s="130"/>
      <c r="M243" s="131" t="s">
        <v>73</v>
      </c>
      <c r="N243" s="132"/>
      <c r="O243" s="132"/>
      <c r="P243" s="133"/>
    </row>
    <row r="244" spans="1:16">
      <c r="A244" s="127"/>
      <c r="B244" s="3"/>
      <c r="C244" s="128" t="s">
        <v>69</v>
      </c>
      <c r="D244" s="129"/>
      <c r="E244" s="129"/>
      <c r="F244" s="130"/>
      <c r="G244" s="134" t="s">
        <v>72</v>
      </c>
      <c r="H244" s="134"/>
      <c r="I244" s="134"/>
      <c r="J244" s="134"/>
      <c r="K244" s="76" t="s">
        <v>35</v>
      </c>
      <c r="M244" s="3" t="s">
        <v>29</v>
      </c>
      <c r="N244" s="11" t="s">
        <v>59</v>
      </c>
      <c r="O244" s="11" t="s">
        <v>68</v>
      </c>
      <c r="P244" s="76" t="s">
        <v>35</v>
      </c>
    </row>
    <row r="245" spans="1:16" ht="21" customHeight="1">
      <c r="A245" s="124" t="s">
        <v>58</v>
      </c>
      <c r="B245" s="3" t="s">
        <v>29</v>
      </c>
      <c r="C245" s="46" t="s">
        <v>70</v>
      </c>
      <c r="D245" s="46" t="s">
        <v>30</v>
      </c>
      <c r="E245" s="46" t="s">
        <v>71</v>
      </c>
      <c r="F245" s="46" t="s">
        <v>35</v>
      </c>
      <c r="G245" s="46" t="s">
        <v>70</v>
      </c>
      <c r="H245" s="46" t="s">
        <v>30</v>
      </c>
      <c r="I245" s="46" t="s">
        <v>71</v>
      </c>
      <c r="J245" s="46" t="s">
        <v>35</v>
      </c>
      <c r="K245" s="46"/>
      <c r="M245" s="4" t="s">
        <v>60</v>
      </c>
      <c r="N245" s="4"/>
      <c r="O245" s="101"/>
      <c r="P245" s="4">
        <f>SUM(N245:O245)</f>
        <v>0</v>
      </c>
    </row>
    <row r="246" spans="1:16">
      <c r="A246" s="125"/>
      <c r="B246" s="4" t="s">
        <v>60</v>
      </c>
      <c r="C246" s="4"/>
      <c r="D246" s="101"/>
      <c r="E246" s="4"/>
      <c r="F246" s="4">
        <f>SUM(C246:E246)</f>
        <v>0</v>
      </c>
      <c r="G246" s="4"/>
      <c r="H246" s="4"/>
      <c r="I246" s="4"/>
      <c r="J246" s="4">
        <f>SUM(G246:I246)</f>
        <v>0</v>
      </c>
      <c r="K246" s="4" cm="1">
        <f t="array" ref="K246">SUM(C246:E246+G246:I246)</f>
        <v>0</v>
      </c>
      <c r="M246" s="3" t="s">
        <v>61</v>
      </c>
      <c r="N246" s="11">
        <v>0</v>
      </c>
      <c r="O246" s="11">
        <v>0</v>
      </c>
      <c r="P246" s="12">
        <v>0</v>
      </c>
    </row>
    <row r="247" spans="1:16">
      <c r="A247" s="125"/>
      <c r="B247" s="3" t="s">
        <v>61</v>
      </c>
      <c r="C247" s="6"/>
      <c r="D247" s="6"/>
      <c r="E247" s="6"/>
      <c r="F247" s="3">
        <v>0</v>
      </c>
      <c r="G247" s="6"/>
      <c r="H247" s="6"/>
      <c r="I247" s="6"/>
      <c r="J247" s="3">
        <v>0</v>
      </c>
      <c r="K247" s="3">
        <v>0</v>
      </c>
      <c r="M247" s="3" t="s">
        <v>62</v>
      </c>
      <c r="N247" s="11">
        <v>0</v>
      </c>
      <c r="O247" s="11">
        <v>0</v>
      </c>
      <c r="P247" s="12">
        <v>0</v>
      </c>
    </row>
    <row r="248" spans="1:16" ht="14.4" thickBot="1">
      <c r="A248" s="125"/>
      <c r="B248" s="3" t="s">
        <v>62</v>
      </c>
      <c r="C248" s="6"/>
      <c r="D248" s="6"/>
      <c r="E248" s="6"/>
      <c r="F248" s="3">
        <v>0</v>
      </c>
      <c r="G248" s="6"/>
      <c r="H248" s="6"/>
      <c r="I248" s="6"/>
      <c r="J248" s="3">
        <v>0</v>
      </c>
      <c r="K248" s="3">
        <v>0</v>
      </c>
      <c r="M248" s="7" t="s">
        <v>35</v>
      </c>
      <c r="N248" s="13">
        <v>0</v>
      </c>
      <c r="O248" s="13">
        <v>0</v>
      </c>
      <c r="P248" s="14">
        <v>0</v>
      </c>
    </row>
    <row r="249" spans="1:16" ht="15" thickTop="1" thickBot="1">
      <c r="A249" s="125"/>
      <c r="B249" s="7" t="s">
        <v>35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M249" s="8" t="s">
        <v>63</v>
      </c>
      <c r="N249" s="15">
        <v>0</v>
      </c>
      <c r="O249" s="15">
        <v>0</v>
      </c>
      <c r="P249" s="43">
        <v>0</v>
      </c>
    </row>
    <row r="250" spans="1:16" ht="14.4" thickTop="1">
      <c r="A250" s="125"/>
      <c r="B250" s="8" t="s">
        <v>39</v>
      </c>
      <c r="C250" s="6"/>
      <c r="D250" s="6"/>
      <c r="E250" s="6"/>
      <c r="F250" s="3">
        <v>0</v>
      </c>
      <c r="G250" s="6"/>
      <c r="H250" s="6"/>
      <c r="I250" s="6"/>
      <c r="J250" s="3">
        <v>0</v>
      </c>
      <c r="K250" s="3">
        <v>0</v>
      </c>
      <c r="M250" s="8" t="s">
        <v>39</v>
      </c>
      <c r="N250" s="11">
        <v>0</v>
      </c>
      <c r="O250" s="11">
        <v>0</v>
      </c>
      <c r="P250" s="43">
        <v>0</v>
      </c>
    </row>
    <row r="251" spans="1:16">
      <c r="A251" s="125"/>
      <c r="B251" s="3" t="s">
        <v>63</v>
      </c>
      <c r="C251" s="6"/>
      <c r="D251" s="6"/>
      <c r="E251" s="6"/>
      <c r="F251" s="3">
        <v>0</v>
      </c>
      <c r="G251" s="6"/>
      <c r="H251" s="6"/>
      <c r="I251" s="6"/>
      <c r="J251" s="3">
        <v>0</v>
      </c>
      <c r="K251" s="3">
        <v>0</v>
      </c>
      <c r="M251" s="3" t="s">
        <v>64</v>
      </c>
      <c r="N251" s="11">
        <v>0</v>
      </c>
      <c r="O251" s="11">
        <v>0</v>
      </c>
      <c r="P251" s="12">
        <v>0</v>
      </c>
    </row>
    <row r="252" spans="1:16">
      <c r="A252" s="125"/>
      <c r="B252" s="3" t="s">
        <v>64</v>
      </c>
      <c r="C252" s="6"/>
      <c r="D252" s="6"/>
      <c r="E252" s="6"/>
      <c r="F252" s="3">
        <v>0</v>
      </c>
      <c r="G252" s="6"/>
      <c r="H252" s="6"/>
      <c r="I252" s="6"/>
      <c r="J252" s="3">
        <v>0</v>
      </c>
      <c r="K252" s="3">
        <v>0</v>
      </c>
      <c r="M252" s="3" t="s">
        <v>65</v>
      </c>
      <c r="N252" s="11">
        <v>0</v>
      </c>
      <c r="O252" s="11">
        <v>0</v>
      </c>
      <c r="P252" s="12">
        <v>0</v>
      </c>
    </row>
    <row r="253" spans="1:16">
      <c r="A253" s="125"/>
      <c r="B253" s="3" t="s">
        <v>65</v>
      </c>
      <c r="C253" s="6"/>
      <c r="D253" s="6"/>
      <c r="E253" s="6"/>
      <c r="F253" s="3">
        <v>0</v>
      </c>
      <c r="G253" s="6"/>
      <c r="H253" s="6"/>
      <c r="I253" s="6"/>
      <c r="J253" s="3">
        <v>0</v>
      </c>
      <c r="K253" s="3">
        <v>0</v>
      </c>
      <c r="M253" s="3" t="s">
        <v>66</v>
      </c>
      <c r="N253" s="11">
        <v>0</v>
      </c>
      <c r="O253" s="11">
        <v>0</v>
      </c>
      <c r="P253" s="12">
        <v>0</v>
      </c>
    </row>
    <row r="254" spans="1:16">
      <c r="A254" s="125"/>
      <c r="B254" s="3" t="s">
        <v>66</v>
      </c>
      <c r="C254" s="6"/>
      <c r="D254" s="6"/>
      <c r="E254" s="6"/>
      <c r="F254" s="3">
        <v>0</v>
      </c>
      <c r="G254" s="6"/>
      <c r="H254" s="6"/>
      <c r="I254" s="6"/>
      <c r="J254" s="3">
        <v>0</v>
      </c>
      <c r="K254" s="3">
        <v>0</v>
      </c>
      <c r="M254" s="3" t="s">
        <v>67</v>
      </c>
      <c r="N254" s="11">
        <v>0</v>
      </c>
      <c r="O254" s="11">
        <v>0</v>
      </c>
      <c r="P254" s="12">
        <v>0</v>
      </c>
    </row>
    <row r="255" spans="1:16" ht="14.4" thickBot="1">
      <c r="A255" s="125"/>
      <c r="B255" s="3" t="s">
        <v>67</v>
      </c>
      <c r="C255" s="6"/>
      <c r="D255" s="6"/>
      <c r="E255" s="6"/>
      <c r="F255" s="3">
        <v>0</v>
      </c>
      <c r="G255" s="6"/>
      <c r="H255" s="6"/>
      <c r="I255" s="6"/>
      <c r="J255" s="3">
        <v>0</v>
      </c>
      <c r="K255" s="3">
        <v>0</v>
      </c>
      <c r="M255" s="10" t="s">
        <v>35</v>
      </c>
      <c r="N255" s="14">
        <v>0</v>
      </c>
      <c r="O255" s="14">
        <v>0</v>
      </c>
      <c r="P255" s="14">
        <v>0</v>
      </c>
    </row>
    <row r="256" spans="1:16" ht="15" thickTop="1" thickBot="1">
      <c r="A256" s="126"/>
      <c r="B256" s="10" t="s">
        <v>35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</row>
    <row r="257" spans="1:16" ht="14.4" thickTop="1">
      <c r="A257" s="105" t="str">
        <f>$A$1</f>
        <v>प्रपत्र - क  -  अर्थसंकल्पीय अंदाजपत्रक सन 2021-2022</v>
      </c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</row>
    <row r="258" spans="1:16">
      <c r="A258" s="111" t="s">
        <v>18</v>
      </c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</row>
    <row r="259" spans="1:16">
      <c r="A259" s="135" t="s">
        <v>47</v>
      </c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</row>
    <row r="260" spans="1:16">
      <c r="A260" s="127" t="s">
        <v>57</v>
      </c>
      <c r="B260" s="128" t="s">
        <v>59</v>
      </c>
      <c r="C260" s="129"/>
      <c r="D260" s="129"/>
      <c r="E260" s="129"/>
      <c r="F260" s="129"/>
      <c r="G260" s="129"/>
      <c r="H260" s="129"/>
      <c r="I260" s="129"/>
      <c r="J260" s="129"/>
      <c r="K260" s="130"/>
    </row>
    <row r="261" spans="1:16">
      <c r="A261" s="127"/>
      <c r="B261" s="3"/>
      <c r="C261" s="134" t="s">
        <v>69</v>
      </c>
      <c r="D261" s="134"/>
      <c r="E261" s="134"/>
      <c r="F261" s="134"/>
      <c r="G261" s="134" t="s">
        <v>72</v>
      </c>
      <c r="H261" s="134"/>
      <c r="I261" s="134"/>
      <c r="J261" s="134"/>
      <c r="K261" s="76" t="s">
        <v>35</v>
      </c>
    </row>
    <row r="262" spans="1:16">
      <c r="A262" s="136" t="s">
        <v>28</v>
      </c>
      <c r="B262" s="3" t="s">
        <v>29</v>
      </c>
      <c r="C262" s="46" t="s">
        <v>70</v>
      </c>
      <c r="D262" s="46" t="s">
        <v>30</v>
      </c>
      <c r="E262" s="46" t="s">
        <v>71</v>
      </c>
      <c r="F262" s="46" t="s">
        <v>35</v>
      </c>
      <c r="G262" s="46" t="s">
        <v>70</v>
      </c>
      <c r="H262" s="46" t="s">
        <v>30</v>
      </c>
      <c r="I262" s="46" t="s">
        <v>71</v>
      </c>
      <c r="J262" s="46" t="s">
        <v>35</v>
      </c>
      <c r="K262" s="46" t="s">
        <v>35</v>
      </c>
    </row>
    <row r="263" spans="1:16">
      <c r="A263" s="137"/>
      <c r="B263" s="4" t="s">
        <v>60</v>
      </c>
      <c r="C263" s="6">
        <f>SUM(C8+C40+C71+C103+C135+C167+C199+C232)</f>
        <v>0</v>
      </c>
      <c r="D263" s="6">
        <f t="shared" ref="D263:K263" si="29">SUM(D8+D40+D71+D103+D135+D167+D199+D232)</f>
        <v>14</v>
      </c>
      <c r="E263" s="6">
        <f t="shared" si="29"/>
        <v>0</v>
      </c>
      <c r="F263" s="6">
        <f t="shared" si="29"/>
        <v>14</v>
      </c>
      <c r="G263" s="6">
        <f t="shared" si="29"/>
        <v>0</v>
      </c>
      <c r="H263" s="6">
        <f t="shared" si="29"/>
        <v>17</v>
      </c>
      <c r="I263" s="6">
        <f t="shared" si="29"/>
        <v>0</v>
      </c>
      <c r="J263" s="6">
        <f t="shared" si="29"/>
        <v>17</v>
      </c>
      <c r="K263" s="6">
        <f t="shared" si="29"/>
        <v>31</v>
      </c>
    </row>
    <row r="264" spans="1:16">
      <c r="A264" s="137"/>
      <c r="B264" s="3" t="s">
        <v>61</v>
      </c>
      <c r="C264" s="6">
        <f t="shared" ref="C264:K264" si="30">SUM(C9+C41+C72+C104+C136+C168+C200+C233)</f>
        <v>0</v>
      </c>
      <c r="D264" s="6">
        <f t="shared" si="30"/>
        <v>4897</v>
      </c>
      <c r="E264" s="6">
        <f t="shared" si="30"/>
        <v>0</v>
      </c>
      <c r="F264" s="6">
        <f t="shared" si="30"/>
        <v>4897</v>
      </c>
      <c r="G264" s="6">
        <f t="shared" si="30"/>
        <v>0</v>
      </c>
      <c r="H264" s="6">
        <f t="shared" si="30"/>
        <v>4556</v>
      </c>
      <c r="I264" s="6">
        <f t="shared" si="30"/>
        <v>0</v>
      </c>
      <c r="J264" s="6">
        <f t="shared" si="30"/>
        <v>4556</v>
      </c>
      <c r="K264" s="6">
        <f t="shared" si="30"/>
        <v>9453</v>
      </c>
    </row>
    <row r="265" spans="1:16">
      <c r="A265" s="137"/>
      <c r="B265" s="3" t="s">
        <v>62</v>
      </c>
      <c r="C265" s="6">
        <f t="shared" ref="C265:K265" si="31">SUM(C10+C42+C73+C105+C137+C169+C201+C234)</f>
        <v>0</v>
      </c>
      <c r="D265" s="6">
        <f t="shared" si="31"/>
        <v>0</v>
      </c>
      <c r="E265" s="6">
        <f t="shared" si="31"/>
        <v>0</v>
      </c>
      <c r="F265" s="6">
        <f t="shared" si="31"/>
        <v>0</v>
      </c>
      <c r="G265" s="6">
        <f t="shared" si="31"/>
        <v>0</v>
      </c>
      <c r="H265" s="6">
        <f t="shared" si="31"/>
        <v>0</v>
      </c>
      <c r="I265" s="6">
        <f t="shared" si="31"/>
        <v>0</v>
      </c>
      <c r="J265" s="6">
        <f t="shared" si="31"/>
        <v>0</v>
      </c>
      <c r="K265" s="6">
        <f t="shared" si="31"/>
        <v>0</v>
      </c>
    </row>
    <row r="266" spans="1:16" ht="14.4" thickBot="1">
      <c r="A266" s="137"/>
      <c r="B266" s="7" t="s">
        <v>35</v>
      </c>
      <c r="C266" s="44">
        <f t="shared" ref="C266:K266" si="32">SUM(C11+C43+C74+C106+C138+C170+C202+C235)</f>
        <v>0</v>
      </c>
      <c r="D266" s="44">
        <f t="shared" si="32"/>
        <v>4897</v>
      </c>
      <c r="E266" s="44">
        <f t="shared" si="32"/>
        <v>0</v>
      </c>
      <c r="F266" s="44">
        <f t="shared" si="32"/>
        <v>4897</v>
      </c>
      <c r="G266" s="44">
        <f t="shared" si="32"/>
        <v>0</v>
      </c>
      <c r="H266" s="44">
        <f t="shared" si="32"/>
        <v>4556</v>
      </c>
      <c r="I266" s="44">
        <f t="shared" si="32"/>
        <v>0</v>
      </c>
      <c r="J266" s="44">
        <f t="shared" si="32"/>
        <v>4556</v>
      </c>
      <c r="K266" s="44">
        <f t="shared" si="32"/>
        <v>9453</v>
      </c>
    </row>
    <row r="267" spans="1:16" ht="14.4" thickTop="1">
      <c r="A267" s="137"/>
      <c r="B267" s="8" t="s">
        <v>39</v>
      </c>
      <c r="C267" s="45">
        <f t="shared" ref="C267:K267" si="33">SUM(C12+C44+C75+C107+C139+C171+C203+C236)</f>
        <v>0</v>
      </c>
      <c r="D267" s="45">
        <f t="shared" si="33"/>
        <v>0</v>
      </c>
      <c r="E267" s="45">
        <f t="shared" si="33"/>
        <v>0</v>
      </c>
      <c r="F267" s="45">
        <f t="shared" si="33"/>
        <v>0</v>
      </c>
      <c r="G267" s="45">
        <f t="shared" si="33"/>
        <v>0</v>
      </c>
      <c r="H267" s="45">
        <f t="shared" si="33"/>
        <v>0</v>
      </c>
      <c r="I267" s="45">
        <f t="shared" si="33"/>
        <v>0</v>
      </c>
      <c r="J267" s="45">
        <f t="shared" si="33"/>
        <v>0</v>
      </c>
      <c r="K267" s="45">
        <f t="shared" si="33"/>
        <v>0</v>
      </c>
    </row>
    <row r="268" spans="1:16">
      <c r="A268" s="137"/>
      <c r="B268" s="3" t="s">
        <v>63</v>
      </c>
      <c r="C268" s="6">
        <f t="shared" ref="C268:I268" si="34">SUM(C13+C45+C76+C108+C140+C172+C204+C237)</f>
        <v>0</v>
      </c>
      <c r="D268" s="6">
        <f>SUM(D13+D45+D76+D108+D140+D172+D204+D237)</f>
        <v>1225</v>
      </c>
      <c r="E268" s="6">
        <f t="shared" si="34"/>
        <v>0</v>
      </c>
      <c r="F268" s="6">
        <f>SUM(F13+F45+F76+F108+F140+F172+F204+F237)</f>
        <v>1225</v>
      </c>
      <c r="G268" s="6">
        <f t="shared" si="34"/>
        <v>0</v>
      </c>
      <c r="H268" s="6">
        <f>SUM(H13+H45+H76+H108+H140+H172+H204+H237)</f>
        <v>1140</v>
      </c>
      <c r="I268" s="6">
        <f t="shared" si="34"/>
        <v>0</v>
      </c>
      <c r="J268" s="6">
        <f>SUM(J13+J45+J76+J108+J140+J172+J204+J237)</f>
        <v>1140</v>
      </c>
      <c r="K268" s="6">
        <f>SUM(K13+K45+K76+K108+K140+K172+K204+K237)</f>
        <v>2365</v>
      </c>
    </row>
    <row r="269" spans="1:16">
      <c r="A269" s="137"/>
      <c r="B269" s="3" t="s">
        <v>64</v>
      </c>
      <c r="C269" s="6">
        <f t="shared" ref="C269:K269" si="35">SUM(C14+C46+C77+C109+C141+C173+C205+C238)</f>
        <v>0</v>
      </c>
      <c r="D269" s="6">
        <f t="shared" si="35"/>
        <v>20</v>
      </c>
      <c r="E269" s="6">
        <f t="shared" si="35"/>
        <v>0</v>
      </c>
      <c r="F269" s="6">
        <f t="shared" si="35"/>
        <v>20</v>
      </c>
      <c r="G269" s="6">
        <f t="shared" si="35"/>
        <v>0</v>
      </c>
      <c r="H269" s="6">
        <f t="shared" si="35"/>
        <v>37</v>
      </c>
      <c r="I269" s="6">
        <f t="shared" si="35"/>
        <v>0</v>
      </c>
      <c r="J269" s="6">
        <f t="shared" si="35"/>
        <v>37</v>
      </c>
      <c r="K269" s="6">
        <f t="shared" si="35"/>
        <v>57</v>
      </c>
    </row>
    <row r="270" spans="1:16">
      <c r="A270" s="137"/>
      <c r="B270" s="3" t="s">
        <v>65</v>
      </c>
      <c r="C270" s="6">
        <f t="shared" ref="C270:K270" si="36">SUM(C15+C47+C78+C110+C142+C174+C206+C239)</f>
        <v>0</v>
      </c>
      <c r="D270" s="6">
        <f t="shared" si="36"/>
        <v>436</v>
      </c>
      <c r="E270" s="6">
        <f t="shared" si="36"/>
        <v>0</v>
      </c>
      <c r="F270" s="6">
        <f t="shared" si="36"/>
        <v>436</v>
      </c>
      <c r="G270" s="6">
        <f t="shared" si="36"/>
        <v>0</v>
      </c>
      <c r="H270" s="6">
        <f t="shared" si="36"/>
        <v>510</v>
      </c>
      <c r="I270" s="6">
        <f t="shared" si="36"/>
        <v>0</v>
      </c>
      <c r="J270" s="6">
        <f t="shared" si="36"/>
        <v>510</v>
      </c>
      <c r="K270" s="6">
        <f t="shared" si="36"/>
        <v>946</v>
      </c>
    </row>
    <row r="271" spans="1:16">
      <c r="A271" s="137"/>
      <c r="B271" s="3" t="s">
        <v>66</v>
      </c>
      <c r="C271" s="6">
        <f t="shared" ref="C271:K271" si="37">SUM(C16+C48+C79+C111+C143+C175+C207+C240)</f>
        <v>0</v>
      </c>
      <c r="D271" s="6">
        <f t="shared" si="37"/>
        <v>59</v>
      </c>
      <c r="E271" s="6">
        <f t="shared" si="37"/>
        <v>0</v>
      </c>
      <c r="F271" s="6">
        <f t="shared" si="37"/>
        <v>59</v>
      </c>
      <c r="G271" s="6">
        <f t="shared" si="37"/>
        <v>0</v>
      </c>
      <c r="H271" s="6">
        <f t="shared" si="37"/>
        <v>53</v>
      </c>
      <c r="I271" s="6">
        <f t="shared" si="37"/>
        <v>0</v>
      </c>
      <c r="J271" s="6">
        <f t="shared" si="37"/>
        <v>53</v>
      </c>
      <c r="K271" s="6">
        <f t="shared" si="37"/>
        <v>112</v>
      </c>
    </row>
    <row r="272" spans="1:16">
      <c r="A272" s="137"/>
      <c r="B272" s="3" t="s">
        <v>67</v>
      </c>
      <c r="C272" s="6">
        <f t="shared" ref="C272:K272" si="38">SUM(C17+C49+C80+C112+C144+C176+C208+C241)</f>
        <v>0</v>
      </c>
      <c r="D272" s="6">
        <f t="shared" si="38"/>
        <v>16</v>
      </c>
      <c r="E272" s="6">
        <f t="shared" si="38"/>
        <v>0</v>
      </c>
      <c r="F272" s="6">
        <f t="shared" si="38"/>
        <v>16</v>
      </c>
      <c r="G272" s="6">
        <f t="shared" si="38"/>
        <v>0</v>
      </c>
      <c r="H272" s="6">
        <f t="shared" si="38"/>
        <v>13</v>
      </c>
      <c r="I272" s="6">
        <f t="shared" si="38"/>
        <v>0</v>
      </c>
      <c r="J272" s="6">
        <f t="shared" si="38"/>
        <v>13</v>
      </c>
      <c r="K272" s="6">
        <f t="shared" si="38"/>
        <v>29</v>
      </c>
    </row>
    <row r="273" spans="1:16" ht="14.4" thickBot="1">
      <c r="A273" s="138"/>
      <c r="B273" s="10" t="s">
        <v>35</v>
      </c>
      <c r="C273" s="44">
        <f t="shared" ref="C273:I273" si="39">SUM(C18+C50+C81+C113+C145+C177+C209+C242)</f>
        <v>0</v>
      </c>
      <c r="D273" s="44">
        <f>SUM(D18+D50+D81+D113+D145+D177+D209+D242)</f>
        <v>6653</v>
      </c>
      <c r="E273" s="44">
        <f t="shared" si="39"/>
        <v>0</v>
      </c>
      <c r="F273" s="44">
        <f>SUM(F18+F50+F81+F113+F145+F177+F209+F242)</f>
        <v>6653</v>
      </c>
      <c r="G273" s="44">
        <f t="shared" si="39"/>
        <v>0</v>
      </c>
      <c r="H273" s="44">
        <f>SUM(H18+H50+H81+H113+H145+H177+H209+H242)</f>
        <v>6309</v>
      </c>
      <c r="I273" s="44">
        <f t="shared" si="39"/>
        <v>0</v>
      </c>
      <c r="J273" s="44">
        <f>SUM(J18+J50+J81+J113+J145+J177+J209+J242)</f>
        <v>6309</v>
      </c>
      <c r="K273" s="44">
        <f>SUM(K18+K50+K81+K113+K145+K177+K209+K242)</f>
        <v>12962</v>
      </c>
    </row>
    <row r="274" spans="1:16" ht="9.75" customHeight="1" thickTop="1"/>
    <row r="275" spans="1:16">
      <c r="A275" s="127" t="s">
        <v>57</v>
      </c>
      <c r="B275" s="128" t="s">
        <v>68</v>
      </c>
      <c r="C275" s="129"/>
      <c r="D275" s="129"/>
      <c r="E275" s="129"/>
      <c r="F275" s="129"/>
      <c r="G275" s="129"/>
      <c r="H275" s="129"/>
      <c r="I275" s="129"/>
      <c r="J275" s="129"/>
      <c r="K275" s="130"/>
      <c r="M275" s="131" t="s">
        <v>73</v>
      </c>
      <c r="N275" s="132"/>
      <c r="O275" s="132"/>
      <c r="P275" s="133"/>
    </row>
    <row r="276" spans="1:16">
      <c r="A276" s="127"/>
      <c r="B276" s="3"/>
      <c r="C276" s="128" t="s">
        <v>69</v>
      </c>
      <c r="D276" s="129"/>
      <c r="E276" s="129"/>
      <c r="F276" s="130"/>
      <c r="G276" s="134" t="s">
        <v>72</v>
      </c>
      <c r="H276" s="134"/>
      <c r="I276" s="134"/>
      <c r="J276" s="134"/>
      <c r="K276" s="76" t="s">
        <v>35</v>
      </c>
      <c r="M276" s="3" t="s">
        <v>29</v>
      </c>
      <c r="N276" s="11" t="s">
        <v>59</v>
      </c>
      <c r="O276" s="11" t="s">
        <v>68</v>
      </c>
      <c r="P276" s="76" t="s">
        <v>35</v>
      </c>
    </row>
    <row r="277" spans="1:16">
      <c r="A277" s="136" t="s">
        <v>28</v>
      </c>
      <c r="B277" s="3" t="s">
        <v>29</v>
      </c>
      <c r="C277" s="46" t="s">
        <v>70</v>
      </c>
      <c r="D277" s="46" t="s">
        <v>30</v>
      </c>
      <c r="E277" s="46" t="s">
        <v>71</v>
      </c>
      <c r="F277" s="46" t="s">
        <v>35</v>
      </c>
      <c r="G277" s="46" t="s">
        <v>70</v>
      </c>
      <c r="H277" s="46" t="s">
        <v>30</v>
      </c>
      <c r="I277" s="46" t="s">
        <v>71</v>
      </c>
      <c r="J277" s="46" t="s">
        <v>35</v>
      </c>
      <c r="K277" s="46"/>
      <c r="M277" s="4" t="s">
        <v>60</v>
      </c>
      <c r="N277" s="6">
        <f t="shared" ref="N277:P278" si="40">SUM(N22+N54+N85+N117+N149+N181+N213+N246)</f>
        <v>31</v>
      </c>
      <c r="O277" s="6">
        <f t="shared" si="40"/>
        <v>0</v>
      </c>
      <c r="P277" s="6">
        <f t="shared" si="40"/>
        <v>31</v>
      </c>
    </row>
    <row r="278" spans="1:16">
      <c r="A278" s="137"/>
      <c r="B278" s="4" t="s">
        <v>60</v>
      </c>
      <c r="C278" s="6">
        <f t="shared" ref="C278:K278" si="41">SUM(C23+C55+C86+C118+C150+C182+C214+C247)</f>
        <v>0</v>
      </c>
      <c r="D278" s="6">
        <f t="shared" si="41"/>
        <v>0</v>
      </c>
      <c r="E278" s="6">
        <f t="shared" si="41"/>
        <v>0</v>
      </c>
      <c r="F278" s="6">
        <f t="shared" si="41"/>
        <v>0</v>
      </c>
      <c r="G278" s="6">
        <f t="shared" si="41"/>
        <v>0</v>
      </c>
      <c r="H278" s="6">
        <f t="shared" si="41"/>
        <v>0</v>
      </c>
      <c r="I278" s="6">
        <f t="shared" si="41"/>
        <v>0</v>
      </c>
      <c r="J278" s="6">
        <f t="shared" si="41"/>
        <v>0</v>
      </c>
      <c r="K278" s="6">
        <f t="shared" si="41"/>
        <v>0</v>
      </c>
      <c r="M278" s="3" t="s">
        <v>61</v>
      </c>
      <c r="N278" s="6">
        <f t="shared" si="40"/>
        <v>9453</v>
      </c>
      <c r="O278" s="6">
        <f t="shared" si="40"/>
        <v>0</v>
      </c>
      <c r="P278" s="6">
        <f t="shared" si="40"/>
        <v>9453</v>
      </c>
    </row>
    <row r="279" spans="1:16">
      <c r="A279" s="137"/>
      <c r="B279" s="3" t="s">
        <v>61</v>
      </c>
      <c r="C279" s="6">
        <f t="shared" ref="C279:K279" si="42">SUM(C24+C56+C87+C119+C151+C183+C215+C248)</f>
        <v>0</v>
      </c>
      <c r="D279" s="6">
        <f t="shared" si="42"/>
        <v>0</v>
      </c>
      <c r="E279" s="6">
        <f t="shared" si="42"/>
        <v>0</v>
      </c>
      <c r="F279" s="6">
        <f t="shared" si="42"/>
        <v>0</v>
      </c>
      <c r="G279" s="6">
        <f t="shared" si="42"/>
        <v>0</v>
      </c>
      <c r="H279" s="6">
        <f t="shared" si="42"/>
        <v>0</v>
      </c>
      <c r="I279" s="6">
        <f t="shared" si="42"/>
        <v>0</v>
      </c>
      <c r="J279" s="6">
        <f t="shared" si="42"/>
        <v>0</v>
      </c>
      <c r="K279" s="6">
        <f t="shared" si="42"/>
        <v>0</v>
      </c>
      <c r="M279" s="3" t="s">
        <v>62</v>
      </c>
      <c r="N279" s="6">
        <f t="shared" ref="N279:P287" si="43">SUM(N24+N56+N87+N119+N151+N183+N215+N248)</f>
        <v>0</v>
      </c>
      <c r="O279" s="6">
        <f t="shared" si="43"/>
        <v>0</v>
      </c>
      <c r="P279" s="6">
        <f t="shared" si="43"/>
        <v>0</v>
      </c>
    </row>
    <row r="280" spans="1:16" ht="14.4" thickBot="1">
      <c r="A280" s="137"/>
      <c r="B280" s="3" t="s">
        <v>62</v>
      </c>
      <c r="C280" s="6">
        <f t="shared" ref="C280:K280" si="44">SUM(C25+C57+C88+C120+C152+C184+C216+C249)</f>
        <v>0</v>
      </c>
      <c r="D280" s="6">
        <f t="shared" si="44"/>
        <v>0</v>
      </c>
      <c r="E280" s="6">
        <f t="shared" si="44"/>
        <v>0</v>
      </c>
      <c r="F280" s="6">
        <f t="shared" si="44"/>
        <v>0</v>
      </c>
      <c r="G280" s="6">
        <f t="shared" si="44"/>
        <v>0</v>
      </c>
      <c r="H280" s="6">
        <f t="shared" si="44"/>
        <v>0</v>
      </c>
      <c r="I280" s="6">
        <f t="shared" si="44"/>
        <v>0</v>
      </c>
      <c r="J280" s="6">
        <f t="shared" si="44"/>
        <v>0</v>
      </c>
      <c r="K280" s="6">
        <f t="shared" si="44"/>
        <v>0</v>
      </c>
      <c r="M280" s="7" t="s">
        <v>35</v>
      </c>
      <c r="N280" s="44">
        <f t="shared" si="43"/>
        <v>9453</v>
      </c>
      <c r="O280" s="44">
        <f t="shared" si="43"/>
        <v>0</v>
      </c>
      <c r="P280" s="44">
        <f t="shared" si="43"/>
        <v>9453</v>
      </c>
    </row>
    <row r="281" spans="1:16" ht="15" thickTop="1" thickBot="1">
      <c r="A281" s="137"/>
      <c r="B281" s="7" t="s">
        <v>35</v>
      </c>
      <c r="C281" s="44">
        <f t="shared" ref="C281:K281" si="45">SUM(C26+C58+C89+C121+C153+C185+C217+C250)</f>
        <v>0</v>
      </c>
      <c r="D281" s="44">
        <f t="shared" si="45"/>
        <v>0</v>
      </c>
      <c r="E281" s="44">
        <f t="shared" si="45"/>
        <v>0</v>
      </c>
      <c r="F281" s="44">
        <f t="shared" si="45"/>
        <v>0</v>
      </c>
      <c r="G281" s="44">
        <f t="shared" si="45"/>
        <v>0</v>
      </c>
      <c r="H281" s="44">
        <f t="shared" si="45"/>
        <v>0</v>
      </c>
      <c r="I281" s="44">
        <f t="shared" si="45"/>
        <v>0</v>
      </c>
      <c r="J281" s="44">
        <f t="shared" si="45"/>
        <v>0</v>
      </c>
      <c r="K281" s="44">
        <f t="shared" si="45"/>
        <v>0</v>
      </c>
      <c r="M281" s="8" t="s">
        <v>63</v>
      </c>
      <c r="N281" s="45">
        <f>SUM(N26+N58+N89+N121+N153+N185+N217+N250)</f>
        <v>2365</v>
      </c>
      <c r="O281" s="45">
        <f t="shared" si="43"/>
        <v>0</v>
      </c>
      <c r="P281" s="45">
        <f>SUM(P26+P58+P89+P121+P153+P185+P217+P250)</f>
        <v>2365</v>
      </c>
    </row>
    <row r="282" spans="1:16" ht="14.4" thickTop="1">
      <c r="A282" s="137"/>
      <c r="B282" s="8" t="s">
        <v>39</v>
      </c>
      <c r="C282" s="45">
        <f t="shared" ref="C282:K282" si="46">SUM(C27+C59+C90+C122+C154+C186+C218+C251)</f>
        <v>0</v>
      </c>
      <c r="D282" s="45">
        <f t="shared" si="46"/>
        <v>0</v>
      </c>
      <c r="E282" s="45">
        <f t="shared" si="46"/>
        <v>0</v>
      </c>
      <c r="F282" s="45">
        <f t="shared" si="46"/>
        <v>0</v>
      </c>
      <c r="G282" s="45">
        <f t="shared" si="46"/>
        <v>0</v>
      </c>
      <c r="H282" s="45">
        <f t="shared" si="46"/>
        <v>0</v>
      </c>
      <c r="I282" s="45">
        <f t="shared" si="46"/>
        <v>0</v>
      </c>
      <c r="J282" s="45">
        <f t="shared" si="46"/>
        <v>0</v>
      </c>
      <c r="K282" s="45">
        <f t="shared" si="46"/>
        <v>0</v>
      </c>
      <c r="M282" s="8" t="s">
        <v>39</v>
      </c>
      <c r="N282" s="6">
        <f t="shared" si="43"/>
        <v>0</v>
      </c>
      <c r="O282" s="6">
        <f t="shared" si="43"/>
        <v>0</v>
      </c>
      <c r="P282" s="6">
        <f t="shared" si="43"/>
        <v>0</v>
      </c>
    </row>
    <row r="283" spans="1:16">
      <c r="A283" s="137"/>
      <c r="B283" s="3" t="s">
        <v>63</v>
      </c>
      <c r="C283" s="6">
        <f t="shared" ref="C283:K283" si="47">SUM(C28+C60+C91+C123+C155+C187+C219+C252)</f>
        <v>0</v>
      </c>
      <c r="D283" s="6">
        <f t="shared" si="47"/>
        <v>0</v>
      </c>
      <c r="E283" s="6">
        <f t="shared" si="47"/>
        <v>0</v>
      </c>
      <c r="F283" s="6">
        <f t="shared" si="47"/>
        <v>0</v>
      </c>
      <c r="G283" s="6">
        <f t="shared" si="47"/>
        <v>0</v>
      </c>
      <c r="H283" s="6">
        <f t="shared" si="47"/>
        <v>0</v>
      </c>
      <c r="I283" s="6">
        <f t="shared" si="47"/>
        <v>0</v>
      </c>
      <c r="J283" s="6">
        <f t="shared" si="47"/>
        <v>0</v>
      </c>
      <c r="K283" s="6">
        <f t="shared" si="47"/>
        <v>0</v>
      </c>
      <c r="M283" s="3" t="s">
        <v>64</v>
      </c>
      <c r="N283" s="6">
        <f t="shared" si="43"/>
        <v>57</v>
      </c>
      <c r="O283" s="6">
        <f t="shared" si="43"/>
        <v>0</v>
      </c>
      <c r="P283" s="6">
        <f t="shared" si="43"/>
        <v>57</v>
      </c>
    </row>
    <row r="284" spans="1:16">
      <c r="A284" s="137"/>
      <c r="B284" s="3" t="s">
        <v>64</v>
      </c>
      <c r="C284" s="6">
        <f t="shared" ref="C284:K284" si="48">SUM(C29+C61+C92+C124+C156+C188+C220+C253)</f>
        <v>0</v>
      </c>
      <c r="D284" s="6">
        <f t="shared" si="48"/>
        <v>0</v>
      </c>
      <c r="E284" s="6">
        <f t="shared" si="48"/>
        <v>0</v>
      </c>
      <c r="F284" s="6">
        <f t="shared" si="48"/>
        <v>0</v>
      </c>
      <c r="G284" s="6">
        <f t="shared" si="48"/>
        <v>0</v>
      </c>
      <c r="H284" s="6">
        <f t="shared" si="48"/>
        <v>0</v>
      </c>
      <c r="I284" s="6">
        <f t="shared" si="48"/>
        <v>0</v>
      </c>
      <c r="J284" s="6">
        <f t="shared" si="48"/>
        <v>0</v>
      </c>
      <c r="K284" s="6">
        <f t="shared" si="48"/>
        <v>0</v>
      </c>
      <c r="M284" s="3" t="s">
        <v>65</v>
      </c>
      <c r="N284" s="6">
        <f t="shared" si="43"/>
        <v>946</v>
      </c>
      <c r="O284" s="6">
        <f t="shared" si="43"/>
        <v>0</v>
      </c>
      <c r="P284" s="6">
        <f t="shared" si="43"/>
        <v>946</v>
      </c>
    </row>
    <row r="285" spans="1:16">
      <c r="A285" s="137"/>
      <c r="B285" s="3" t="s">
        <v>65</v>
      </c>
      <c r="C285" s="6">
        <f t="shared" ref="C285:K285" si="49">SUM(C30+C62+C93+C125+C157+C189+C221+C254)</f>
        <v>0</v>
      </c>
      <c r="D285" s="6">
        <f t="shared" si="49"/>
        <v>0</v>
      </c>
      <c r="E285" s="6">
        <f t="shared" si="49"/>
        <v>0</v>
      </c>
      <c r="F285" s="6">
        <f t="shared" si="49"/>
        <v>0</v>
      </c>
      <c r="G285" s="6">
        <f t="shared" si="49"/>
        <v>0</v>
      </c>
      <c r="H285" s="6">
        <f t="shared" si="49"/>
        <v>0</v>
      </c>
      <c r="I285" s="6">
        <f t="shared" si="49"/>
        <v>0</v>
      </c>
      <c r="J285" s="6">
        <f t="shared" si="49"/>
        <v>0</v>
      </c>
      <c r="K285" s="6">
        <f t="shared" si="49"/>
        <v>0</v>
      </c>
      <c r="M285" s="3" t="s">
        <v>66</v>
      </c>
      <c r="N285" s="6">
        <f t="shared" si="43"/>
        <v>112</v>
      </c>
      <c r="O285" s="6">
        <f t="shared" si="43"/>
        <v>0</v>
      </c>
      <c r="P285" s="6">
        <f t="shared" si="43"/>
        <v>112</v>
      </c>
    </row>
    <row r="286" spans="1:16">
      <c r="A286" s="137"/>
      <c r="B286" s="3" t="s">
        <v>66</v>
      </c>
      <c r="C286" s="6">
        <f t="shared" ref="C286:K286" si="50">SUM(C31+C63+C94+C126+C158+C190+C222+C255)</f>
        <v>0</v>
      </c>
      <c r="D286" s="6">
        <f t="shared" si="50"/>
        <v>0</v>
      </c>
      <c r="E286" s="6">
        <f t="shared" si="50"/>
        <v>0</v>
      </c>
      <c r="F286" s="6">
        <f t="shared" si="50"/>
        <v>0</v>
      </c>
      <c r="G286" s="6">
        <f t="shared" si="50"/>
        <v>0</v>
      </c>
      <c r="H286" s="6">
        <f t="shared" si="50"/>
        <v>0</v>
      </c>
      <c r="I286" s="6">
        <f t="shared" si="50"/>
        <v>0</v>
      </c>
      <c r="J286" s="6">
        <f t="shared" si="50"/>
        <v>0</v>
      </c>
      <c r="K286" s="6">
        <f t="shared" si="50"/>
        <v>0</v>
      </c>
      <c r="M286" s="3" t="s">
        <v>67</v>
      </c>
      <c r="N286" s="6">
        <f t="shared" si="43"/>
        <v>29</v>
      </c>
      <c r="O286" s="6">
        <f t="shared" si="43"/>
        <v>0</v>
      </c>
      <c r="P286" s="6">
        <f t="shared" si="43"/>
        <v>29</v>
      </c>
    </row>
    <row r="287" spans="1:16" ht="14.4" thickBot="1">
      <c r="A287" s="137"/>
      <c r="B287" s="3" t="s">
        <v>67</v>
      </c>
      <c r="C287" s="6">
        <f t="shared" ref="C287:K287" si="51">SUM(C32+C64+C95+C127+C159+C191+C223+C256)</f>
        <v>0</v>
      </c>
      <c r="D287" s="6">
        <f t="shared" si="51"/>
        <v>0</v>
      </c>
      <c r="E287" s="6">
        <f t="shared" si="51"/>
        <v>0</v>
      </c>
      <c r="F287" s="6">
        <f t="shared" si="51"/>
        <v>0</v>
      </c>
      <c r="G287" s="6">
        <f t="shared" si="51"/>
        <v>0</v>
      </c>
      <c r="H287" s="6">
        <f t="shared" si="51"/>
        <v>0</v>
      </c>
      <c r="I287" s="6">
        <f t="shared" si="51"/>
        <v>0</v>
      </c>
      <c r="J287" s="6">
        <f t="shared" si="51"/>
        <v>0</v>
      </c>
      <c r="K287" s="6">
        <f t="shared" si="51"/>
        <v>0</v>
      </c>
      <c r="M287" s="10" t="s">
        <v>35</v>
      </c>
      <c r="N287" s="44">
        <f>SUM(N32+N64+N95+N127+N159+N191+N223+N256)</f>
        <v>12962</v>
      </c>
      <c r="O287" s="44">
        <f t="shared" si="43"/>
        <v>0</v>
      </c>
      <c r="P287" s="44">
        <f>SUM(P32+P64+P95+P127+P159+P191+P223+P256)</f>
        <v>12962</v>
      </c>
    </row>
    <row r="288" spans="1:16" ht="15" thickTop="1" thickBot="1">
      <c r="A288" s="138"/>
      <c r="B288" s="10" t="s">
        <v>35</v>
      </c>
      <c r="C288" s="44">
        <f t="shared" ref="C288:K288" si="52">SUM(C33+C65+C96+C128+C160+C192+C224+C257)</f>
        <v>0</v>
      </c>
      <c r="D288" s="44">
        <f t="shared" si="52"/>
        <v>0</v>
      </c>
      <c r="E288" s="44">
        <f t="shared" si="52"/>
        <v>0</v>
      </c>
      <c r="F288" s="44">
        <f t="shared" si="52"/>
        <v>0</v>
      </c>
      <c r="G288" s="44">
        <f t="shared" si="52"/>
        <v>0</v>
      </c>
      <c r="H288" s="44">
        <f t="shared" si="52"/>
        <v>0</v>
      </c>
      <c r="I288" s="44">
        <f t="shared" si="52"/>
        <v>0</v>
      </c>
      <c r="J288" s="44">
        <f t="shared" si="52"/>
        <v>0</v>
      </c>
      <c r="K288" s="44">
        <f t="shared" si="52"/>
        <v>0</v>
      </c>
    </row>
    <row r="289" spans="14:16" ht="14.4" thickTop="1">
      <c r="N289" s="102" t="s">
        <v>140</v>
      </c>
      <c r="O289" s="102"/>
      <c r="P289" s="102"/>
    </row>
    <row r="290" spans="14:16">
      <c r="N290" s="102" t="s">
        <v>141</v>
      </c>
      <c r="O290" s="102"/>
      <c r="P290" s="102"/>
    </row>
  </sheetData>
  <mergeCells count="128">
    <mergeCell ref="A277:A288"/>
    <mergeCell ref="A262:A273"/>
    <mergeCell ref="A275:A276"/>
    <mergeCell ref="B275:K275"/>
    <mergeCell ref="A257:P257"/>
    <mergeCell ref="A258:P258"/>
    <mergeCell ref="A259:K259"/>
    <mergeCell ref="A260:A261"/>
    <mergeCell ref="B260:K260"/>
    <mergeCell ref="C261:F261"/>
    <mergeCell ref="G261:J261"/>
    <mergeCell ref="A51:A52"/>
    <mergeCell ref="B51:K51"/>
    <mergeCell ref="A21:A32"/>
    <mergeCell ref="A38:A49"/>
    <mergeCell ref="A33:P33"/>
    <mergeCell ref="A34:P34"/>
    <mergeCell ref="M275:P275"/>
    <mergeCell ref="C276:F276"/>
    <mergeCell ref="G276:J276"/>
    <mergeCell ref="A1:P1"/>
    <mergeCell ref="A2:P2"/>
    <mergeCell ref="A4:A5"/>
    <mergeCell ref="C5:F5"/>
    <mergeCell ref="G5:J5"/>
    <mergeCell ref="B4:K4"/>
    <mergeCell ref="A3:K3"/>
    <mergeCell ref="A68:A69"/>
    <mergeCell ref="A35:K35"/>
    <mergeCell ref="A36:A37"/>
    <mergeCell ref="B36:K36"/>
    <mergeCell ref="C37:F37"/>
    <mergeCell ref="G37:J37"/>
    <mergeCell ref="B68:K68"/>
    <mergeCell ref="C69:F69"/>
    <mergeCell ref="M51:P51"/>
    <mergeCell ref="C52:F52"/>
    <mergeCell ref="G52:J52"/>
    <mergeCell ref="A6:A17"/>
    <mergeCell ref="A19:A20"/>
    <mergeCell ref="B19:K19"/>
    <mergeCell ref="C20:F20"/>
    <mergeCell ref="G20:J20"/>
    <mergeCell ref="M19:P19"/>
    <mergeCell ref="A83:A84"/>
    <mergeCell ref="B83:K83"/>
    <mergeCell ref="A53:A64"/>
    <mergeCell ref="A70:A81"/>
    <mergeCell ref="G69:J69"/>
    <mergeCell ref="A65:P65"/>
    <mergeCell ref="A66:P66"/>
    <mergeCell ref="A67:K67"/>
    <mergeCell ref="M83:P83"/>
    <mergeCell ref="C84:F84"/>
    <mergeCell ref="G84:J84"/>
    <mergeCell ref="A85:A96"/>
    <mergeCell ref="A134:A145"/>
    <mergeCell ref="G133:J133"/>
    <mergeCell ref="A129:P129"/>
    <mergeCell ref="A130:P130"/>
    <mergeCell ref="A131:K131"/>
    <mergeCell ref="A132:A133"/>
    <mergeCell ref="B132:K132"/>
    <mergeCell ref="C133:F133"/>
    <mergeCell ref="A97:P97"/>
    <mergeCell ref="B211:K211"/>
    <mergeCell ref="M147:P147"/>
    <mergeCell ref="C148:F148"/>
    <mergeCell ref="G148:J148"/>
    <mergeCell ref="A147:A148"/>
    <mergeCell ref="B147:K147"/>
    <mergeCell ref="A149:A160"/>
    <mergeCell ref="A166:A177"/>
    <mergeCell ref="G165:J165"/>
    <mergeCell ref="A161:P161"/>
    <mergeCell ref="A162:P162"/>
    <mergeCell ref="A163:K163"/>
    <mergeCell ref="A164:A165"/>
    <mergeCell ref="B164:K164"/>
    <mergeCell ref="C165:F165"/>
    <mergeCell ref="A98:P98"/>
    <mergeCell ref="A99:K99"/>
    <mergeCell ref="A100:A101"/>
    <mergeCell ref="B100:K100"/>
    <mergeCell ref="C101:F101"/>
    <mergeCell ref="G101:J101"/>
    <mergeCell ref="A213:A224"/>
    <mergeCell ref="B196:K196"/>
    <mergeCell ref="C197:F197"/>
    <mergeCell ref="A195:K195"/>
    <mergeCell ref="A196:A197"/>
    <mergeCell ref="M179:P179"/>
    <mergeCell ref="C180:F180"/>
    <mergeCell ref="G180:J180"/>
    <mergeCell ref="A179:A180"/>
    <mergeCell ref="B179:K179"/>
    <mergeCell ref="M211:P211"/>
    <mergeCell ref="C212:F212"/>
    <mergeCell ref="G212:J212"/>
    <mergeCell ref="A181:A192"/>
    <mergeCell ref="A198:A209"/>
    <mergeCell ref="G197:J197"/>
    <mergeCell ref="A193:P193"/>
    <mergeCell ref="A194:P194"/>
    <mergeCell ref="N289:P289"/>
    <mergeCell ref="N290:P290"/>
    <mergeCell ref="A117:A128"/>
    <mergeCell ref="A102:A113"/>
    <mergeCell ref="A115:A116"/>
    <mergeCell ref="B115:K115"/>
    <mergeCell ref="M115:P115"/>
    <mergeCell ref="C116:F116"/>
    <mergeCell ref="G116:J116"/>
    <mergeCell ref="G244:J244"/>
    <mergeCell ref="A245:A256"/>
    <mergeCell ref="A243:A244"/>
    <mergeCell ref="B243:K243"/>
    <mergeCell ref="M243:P243"/>
    <mergeCell ref="C244:F244"/>
    <mergeCell ref="A230:A241"/>
    <mergeCell ref="G229:J229"/>
    <mergeCell ref="A225:P225"/>
    <mergeCell ref="A226:P226"/>
    <mergeCell ref="A227:K227"/>
    <mergeCell ref="A228:A229"/>
    <mergeCell ref="B228:K228"/>
    <mergeCell ref="C229:F229"/>
    <mergeCell ref="A211:A212"/>
  </mergeCells>
  <phoneticPr fontId="0" type="noConversion"/>
  <pageMargins left="0.86" right="0.7" top="0.21" bottom="0.35" header="0.17" footer="0.17"/>
  <pageSetup paperSize="5" scale="89" orientation="landscape" r:id="rId1"/>
  <headerFooter>
    <oddFooter>&amp;Z&amp;F&amp;RPage &amp;P</oddFooter>
  </headerFooter>
  <rowBreaks count="8" manualBreakCount="8">
    <brk id="32" max="15" man="1"/>
    <brk id="64" max="16383" man="1"/>
    <brk id="96" max="15" man="1"/>
    <brk id="128" max="15" man="1"/>
    <brk id="160" max="15" man="1"/>
    <brk id="192" max="15" man="1"/>
    <brk id="224" max="15" man="1"/>
    <brk id="256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5"/>
  <sheetViews>
    <sheetView view="pageBreakPreview" topLeftCell="A127" zoomScaleNormal="75" zoomScaleSheetLayoutView="100" workbookViewId="0">
      <selection activeCell="G145" sqref="G145"/>
    </sheetView>
  </sheetViews>
  <sheetFormatPr defaultColWidth="9.109375" defaultRowHeight="13.8"/>
  <cols>
    <col min="1" max="1" width="7.5546875" style="50" customWidth="1"/>
    <col min="2" max="2" width="24.88671875" style="50" customWidth="1"/>
    <col min="3" max="3" width="16.44140625" style="50" customWidth="1"/>
    <col min="4" max="4" width="18.88671875" style="50" customWidth="1"/>
    <col min="5" max="5" width="20" style="50" customWidth="1"/>
    <col min="6" max="6" width="17.5546875" style="50" customWidth="1"/>
    <col min="7" max="7" width="14" style="50" customWidth="1"/>
    <col min="8" max="8" width="11" style="50" customWidth="1"/>
    <col min="9" max="16384" width="9.109375" style="50"/>
  </cols>
  <sheetData>
    <row r="1" spans="1:15">
      <c r="A1" s="105" t="s">
        <v>136</v>
      </c>
      <c r="B1" s="105"/>
      <c r="C1" s="105"/>
      <c r="D1" s="105"/>
      <c r="E1" s="105"/>
      <c r="F1" s="105"/>
      <c r="G1" s="105"/>
      <c r="H1" s="105"/>
      <c r="I1" s="16"/>
      <c r="J1" s="16"/>
      <c r="K1" s="16"/>
      <c r="L1" s="16"/>
      <c r="M1" s="16"/>
      <c r="N1" s="16"/>
      <c r="O1" s="16"/>
    </row>
    <row r="2" spans="1:15">
      <c r="A2" s="105" t="s">
        <v>18</v>
      </c>
      <c r="B2" s="105"/>
      <c r="C2" s="105"/>
      <c r="D2" s="105"/>
      <c r="E2" s="105"/>
      <c r="F2" s="105"/>
      <c r="G2" s="105"/>
      <c r="H2" s="105"/>
      <c r="I2" s="56"/>
      <c r="J2" s="56"/>
      <c r="K2" s="56"/>
      <c r="L2" s="56"/>
      <c r="M2" s="56"/>
      <c r="N2" s="56"/>
      <c r="O2" s="56"/>
    </row>
    <row r="3" spans="1:15">
      <c r="A3" s="16" t="s">
        <v>74</v>
      </c>
      <c r="B3" s="75"/>
    </row>
    <row r="4" spans="1:15">
      <c r="A4" s="144" t="s">
        <v>21</v>
      </c>
      <c r="B4" s="144" t="s">
        <v>29</v>
      </c>
      <c r="C4" s="139" t="s">
        <v>32</v>
      </c>
      <c r="D4" s="140"/>
      <c r="E4" s="139" t="s">
        <v>36</v>
      </c>
      <c r="F4" s="140"/>
      <c r="G4" s="141" t="s">
        <v>35</v>
      </c>
    </row>
    <row r="5" spans="1:15">
      <c r="A5" s="145"/>
      <c r="B5" s="145"/>
      <c r="C5" s="17" t="s">
        <v>69</v>
      </c>
      <c r="D5" s="17" t="s">
        <v>72</v>
      </c>
      <c r="E5" s="17" t="s">
        <v>69</v>
      </c>
      <c r="F5" s="17" t="s">
        <v>72</v>
      </c>
      <c r="G5" s="141"/>
    </row>
    <row r="6" spans="1:15">
      <c r="A6" s="18">
        <v>1</v>
      </c>
      <c r="B6" s="19">
        <v>1</v>
      </c>
      <c r="C6" s="20"/>
      <c r="D6" s="20"/>
      <c r="E6" s="20"/>
      <c r="F6" s="20"/>
      <c r="G6" s="21">
        <v>0</v>
      </c>
    </row>
    <row r="7" spans="1:15">
      <c r="A7" s="18">
        <v>2</v>
      </c>
      <c r="B7" s="19">
        <v>2</v>
      </c>
      <c r="C7" s="20"/>
      <c r="D7" s="20"/>
      <c r="E7" s="20"/>
      <c r="F7" s="20"/>
      <c r="G7" s="21">
        <v>0</v>
      </c>
    </row>
    <row r="8" spans="1:15">
      <c r="A8" s="18">
        <v>3</v>
      </c>
      <c r="B8" s="19">
        <v>3</v>
      </c>
      <c r="C8" s="20"/>
      <c r="D8" s="20"/>
      <c r="E8" s="20"/>
      <c r="F8" s="20"/>
      <c r="G8" s="21">
        <v>0</v>
      </c>
    </row>
    <row r="9" spans="1:15">
      <c r="A9" s="18">
        <v>4</v>
      </c>
      <c r="B9" s="19">
        <v>4</v>
      </c>
      <c r="C9" s="20"/>
      <c r="D9" s="20"/>
      <c r="E9" s="20"/>
      <c r="F9" s="20"/>
      <c r="G9" s="21">
        <v>0</v>
      </c>
    </row>
    <row r="10" spans="1:15" ht="14.4" thickBot="1">
      <c r="A10" s="22" t="s">
        <v>35</v>
      </c>
      <c r="B10" s="22"/>
      <c r="C10" s="23">
        <v>0</v>
      </c>
      <c r="D10" s="23">
        <v>0</v>
      </c>
      <c r="E10" s="23">
        <v>0</v>
      </c>
      <c r="F10" s="23">
        <v>0</v>
      </c>
      <c r="G10" s="23">
        <v>0</v>
      </c>
    </row>
    <row r="11" spans="1:15" ht="14.4" thickTop="1">
      <c r="A11" s="57"/>
      <c r="B11" s="57"/>
      <c r="C11" s="57"/>
      <c r="D11" s="57"/>
      <c r="E11" s="57"/>
      <c r="F11" s="57"/>
    </row>
    <row r="13" spans="1:15" ht="22.5" customHeight="1">
      <c r="A13" s="142"/>
      <c r="B13" s="142"/>
      <c r="C13" s="142"/>
      <c r="D13" s="142"/>
      <c r="E13" s="142"/>
      <c r="F13" s="143" t="s">
        <v>80</v>
      </c>
      <c r="G13" s="143"/>
    </row>
    <row r="14" spans="1:15" ht="27.6">
      <c r="A14" s="78" t="s">
        <v>21</v>
      </c>
      <c r="B14" s="78" t="s">
        <v>75</v>
      </c>
      <c r="C14" s="78" t="s">
        <v>77</v>
      </c>
      <c r="D14" s="78" t="s">
        <v>78</v>
      </c>
      <c r="E14" s="78" t="s">
        <v>79</v>
      </c>
      <c r="F14" s="96" t="s">
        <v>129</v>
      </c>
      <c r="G14" s="96" t="s">
        <v>130</v>
      </c>
      <c r="H14" s="96" t="s">
        <v>67</v>
      </c>
      <c r="I14" s="96" t="s">
        <v>35</v>
      </c>
    </row>
    <row r="15" spans="1:15" ht="23.25" customHeight="1">
      <c r="A15" s="24">
        <v>1</v>
      </c>
      <c r="B15" s="81" t="s">
        <v>51</v>
      </c>
      <c r="C15" s="97"/>
      <c r="D15" s="97"/>
      <c r="E15" s="97"/>
      <c r="F15" s="97"/>
      <c r="G15" s="97"/>
      <c r="H15" s="97">
        <v>0</v>
      </c>
      <c r="I15" s="98">
        <f>SUM(C15:H15)</f>
        <v>0</v>
      </c>
    </row>
    <row r="17" spans="1:9">
      <c r="A17" s="105" t="str">
        <f>$A$1</f>
        <v>प्रपत्र - ब  -  अर्थसंकल्पीय अंदाजपत्रक सन 2021-2022</v>
      </c>
      <c r="B17" s="105"/>
      <c r="C17" s="105"/>
      <c r="D17" s="105"/>
      <c r="E17" s="105"/>
      <c r="F17" s="105"/>
      <c r="G17" s="105"/>
      <c r="H17" s="105"/>
    </row>
    <row r="18" spans="1:9">
      <c r="A18" s="105" t="s">
        <v>18</v>
      </c>
      <c r="B18" s="105"/>
      <c r="C18" s="105"/>
      <c r="D18" s="105"/>
      <c r="E18" s="105"/>
      <c r="F18" s="105"/>
      <c r="G18" s="105"/>
      <c r="H18" s="105"/>
    </row>
    <row r="19" spans="1:9">
      <c r="A19" s="16" t="s">
        <v>74</v>
      </c>
      <c r="B19" s="75"/>
    </row>
    <row r="20" spans="1:9">
      <c r="A20" s="144" t="s">
        <v>21</v>
      </c>
      <c r="B20" s="144" t="s">
        <v>29</v>
      </c>
      <c r="C20" s="139" t="s">
        <v>32</v>
      </c>
      <c r="D20" s="140"/>
      <c r="E20" s="139" t="s">
        <v>36</v>
      </c>
      <c r="F20" s="140"/>
      <c r="G20" s="141" t="s">
        <v>35</v>
      </c>
    </row>
    <row r="21" spans="1:9">
      <c r="A21" s="145"/>
      <c r="B21" s="145"/>
      <c r="C21" s="17" t="s">
        <v>69</v>
      </c>
      <c r="D21" s="17" t="s">
        <v>72</v>
      </c>
      <c r="E21" s="17" t="s">
        <v>69</v>
      </c>
      <c r="F21" s="17" t="s">
        <v>72</v>
      </c>
      <c r="G21" s="141"/>
    </row>
    <row r="22" spans="1:9">
      <c r="A22" s="18">
        <v>1</v>
      </c>
      <c r="B22" s="19">
        <v>1</v>
      </c>
      <c r="C22" s="20"/>
      <c r="D22" s="20"/>
      <c r="E22" s="20"/>
      <c r="F22" s="20"/>
      <c r="G22" s="21">
        <v>0</v>
      </c>
    </row>
    <row r="23" spans="1:9">
      <c r="A23" s="18">
        <v>2</v>
      </c>
      <c r="B23" s="19">
        <v>2</v>
      </c>
      <c r="C23" s="20"/>
      <c r="D23" s="20"/>
      <c r="E23" s="20"/>
      <c r="F23" s="20"/>
      <c r="G23" s="21">
        <v>0</v>
      </c>
    </row>
    <row r="24" spans="1:9">
      <c r="A24" s="18">
        <v>3</v>
      </c>
      <c r="B24" s="19">
        <v>3</v>
      </c>
      <c r="C24" s="20"/>
      <c r="D24" s="20"/>
      <c r="E24" s="20"/>
      <c r="F24" s="20"/>
      <c r="G24" s="21">
        <v>0</v>
      </c>
    </row>
    <row r="25" spans="1:9">
      <c r="A25" s="18">
        <v>4</v>
      </c>
      <c r="B25" s="19">
        <v>4</v>
      </c>
      <c r="C25" s="20"/>
      <c r="D25" s="20"/>
      <c r="E25" s="20"/>
      <c r="F25" s="20"/>
      <c r="G25" s="21">
        <v>0</v>
      </c>
    </row>
    <row r="26" spans="1:9" ht="14.4" thickBot="1">
      <c r="A26" s="22" t="s">
        <v>35</v>
      </c>
      <c r="B26" s="22"/>
      <c r="C26" s="23">
        <v>0</v>
      </c>
      <c r="D26" s="23">
        <v>0</v>
      </c>
      <c r="E26" s="23">
        <v>0</v>
      </c>
      <c r="F26" s="23">
        <v>0</v>
      </c>
      <c r="G26" s="23">
        <v>0</v>
      </c>
    </row>
    <row r="27" spans="1:9" ht="14.4" thickTop="1">
      <c r="A27" s="57"/>
      <c r="B27" s="57"/>
      <c r="C27" s="57"/>
      <c r="D27" s="57"/>
      <c r="E27" s="57"/>
      <c r="F27" s="57"/>
    </row>
    <row r="29" spans="1:9">
      <c r="A29" s="142"/>
      <c r="B29" s="142"/>
      <c r="C29" s="142"/>
      <c r="D29" s="142"/>
      <c r="E29" s="142"/>
      <c r="F29" s="143" t="s">
        <v>80</v>
      </c>
      <c r="G29" s="143"/>
    </row>
    <row r="30" spans="1:9" ht="27.6">
      <c r="A30" s="78" t="s">
        <v>21</v>
      </c>
      <c r="B30" s="78" t="s">
        <v>75</v>
      </c>
      <c r="C30" s="78" t="s">
        <v>77</v>
      </c>
      <c r="D30" s="78" t="s">
        <v>78</v>
      </c>
      <c r="E30" s="78" t="s">
        <v>79</v>
      </c>
      <c r="F30" s="96" t="s">
        <v>129</v>
      </c>
      <c r="G30" s="96" t="s">
        <v>130</v>
      </c>
      <c r="H30" s="96" t="s">
        <v>67</v>
      </c>
      <c r="I30" s="96" t="s">
        <v>35</v>
      </c>
    </row>
    <row r="31" spans="1:9">
      <c r="A31" s="24">
        <v>1</v>
      </c>
      <c r="B31" s="81" t="s">
        <v>52</v>
      </c>
      <c r="C31" s="97"/>
      <c r="D31" s="97"/>
      <c r="E31" s="97"/>
      <c r="F31" s="97"/>
      <c r="G31" s="97"/>
      <c r="H31" s="97">
        <v>0</v>
      </c>
      <c r="I31" s="98">
        <f>SUM(C31:H31)</f>
        <v>0</v>
      </c>
    </row>
    <row r="33" spans="1:9">
      <c r="A33" s="105" t="str">
        <f>$A$1</f>
        <v>प्रपत्र - ब  -  अर्थसंकल्पीय अंदाजपत्रक सन 2021-2022</v>
      </c>
      <c r="B33" s="105"/>
      <c r="C33" s="105"/>
      <c r="D33" s="105"/>
      <c r="E33" s="105"/>
      <c r="F33" s="105"/>
      <c r="G33" s="105"/>
      <c r="H33" s="105"/>
    </row>
    <row r="34" spans="1:9">
      <c r="A34" s="105" t="s">
        <v>18</v>
      </c>
      <c r="B34" s="105"/>
      <c r="C34" s="105"/>
      <c r="D34" s="105"/>
      <c r="E34" s="105"/>
      <c r="F34" s="105"/>
      <c r="G34" s="105"/>
      <c r="H34" s="105"/>
    </row>
    <row r="35" spans="1:9">
      <c r="A35" s="16" t="s">
        <v>74</v>
      </c>
      <c r="B35" s="75"/>
    </row>
    <row r="36" spans="1:9">
      <c r="A36" s="144" t="s">
        <v>21</v>
      </c>
      <c r="B36" s="144" t="s">
        <v>29</v>
      </c>
      <c r="C36" s="139" t="s">
        <v>32</v>
      </c>
      <c r="D36" s="140"/>
      <c r="E36" s="139" t="s">
        <v>36</v>
      </c>
      <c r="F36" s="140"/>
      <c r="G36" s="141" t="s">
        <v>35</v>
      </c>
    </row>
    <row r="37" spans="1:9">
      <c r="A37" s="145"/>
      <c r="B37" s="145"/>
      <c r="C37" s="17" t="s">
        <v>69</v>
      </c>
      <c r="D37" s="17" t="s">
        <v>72</v>
      </c>
      <c r="E37" s="17" t="s">
        <v>69</v>
      </c>
      <c r="F37" s="17" t="s">
        <v>72</v>
      </c>
      <c r="G37" s="141"/>
    </row>
    <row r="38" spans="1:9">
      <c r="A38" s="18">
        <v>1</v>
      </c>
      <c r="B38" s="19">
        <v>1</v>
      </c>
      <c r="C38" s="20">
        <v>0</v>
      </c>
      <c r="D38" s="20">
        <v>0</v>
      </c>
      <c r="E38" s="20">
        <v>0</v>
      </c>
      <c r="F38" s="20">
        <v>0</v>
      </c>
      <c r="G38" s="21">
        <f>SUM(C38:F38)</f>
        <v>0</v>
      </c>
    </row>
    <row r="39" spans="1:9">
      <c r="A39" s="18">
        <v>2</v>
      </c>
      <c r="B39" s="19">
        <v>2</v>
      </c>
      <c r="C39" s="20">
        <v>0</v>
      </c>
      <c r="D39" s="20">
        <v>0</v>
      </c>
      <c r="E39" s="20">
        <v>0</v>
      </c>
      <c r="F39" s="20">
        <v>0</v>
      </c>
      <c r="G39" s="21">
        <f>SUM(C39:F39)</f>
        <v>0</v>
      </c>
    </row>
    <row r="40" spans="1:9">
      <c r="A40" s="18">
        <v>3</v>
      </c>
      <c r="B40" s="19">
        <v>3</v>
      </c>
      <c r="C40" s="20">
        <v>0</v>
      </c>
      <c r="D40" s="20">
        <v>2</v>
      </c>
      <c r="E40" s="20">
        <v>0</v>
      </c>
      <c r="F40" s="20">
        <v>0</v>
      </c>
      <c r="G40" s="21">
        <f>SUM(C40:F40)</f>
        <v>2</v>
      </c>
    </row>
    <row r="41" spans="1:9">
      <c r="A41" s="18">
        <v>4</v>
      </c>
      <c r="B41" s="19">
        <v>4</v>
      </c>
      <c r="C41" s="20">
        <v>0</v>
      </c>
      <c r="D41" s="20">
        <v>0</v>
      </c>
      <c r="E41" s="20">
        <v>0</v>
      </c>
      <c r="F41" s="20">
        <v>0</v>
      </c>
      <c r="G41" s="21">
        <f>SUM(C41:F41)</f>
        <v>0</v>
      </c>
    </row>
    <row r="42" spans="1:9" ht="14.4" thickBot="1">
      <c r="A42" s="22" t="s">
        <v>35</v>
      </c>
      <c r="B42" s="22"/>
      <c r="C42" s="23">
        <f>SUM(C38:C41)</f>
        <v>0</v>
      </c>
      <c r="D42" s="23">
        <f>SUM(D38:D41)</f>
        <v>2</v>
      </c>
      <c r="E42" s="23">
        <f>SUM(E38:E41)</f>
        <v>0</v>
      </c>
      <c r="F42" s="23">
        <f>SUM(F38:F41)</f>
        <v>0</v>
      </c>
      <c r="G42" s="23">
        <f>SUM(G38:G41)</f>
        <v>2</v>
      </c>
    </row>
    <row r="43" spans="1:9" ht="14.4" thickTop="1">
      <c r="A43" s="57"/>
      <c r="B43" s="57"/>
      <c r="C43" s="57"/>
      <c r="D43" s="57"/>
      <c r="E43" s="57"/>
      <c r="F43" s="57"/>
    </row>
    <row r="45" spans="1:9">
      <c r="A45" s="142"/>
      <c r="B45" s="142"/>
      <c r="C45" s="142"/>
      <c r="D45" s="142"/>
      <c r="E45" s="142"/>
      <c r="F45" s="143" t="s">
        <v>80</v>
      </c>
      <c r="G45" s="143"/>
    </row>
    <row r="46" spans="1:9" ht="27.6">
      <c r="A46" s="78" t="s">
        <v>21</v>
      </c>
      <c r="B46" s="78" t="s">
        <v>75</v>
      </c>
      <c r="C46" s="78" t="s">
        <v>77</v>
      </c>
      <c r="D46" s="78" t="s">
        <v>78</v>
      </c>
      <c r="E46" s="78" t="s">
        <v>79</v>
      </c>
      <c r="F46" s="96" t="s">
        <v>129</v>
      </c>
      <c r="G46" s="96" t="s">
        <v>130</v>
      </c>
      <c r="H46" s="96" t="s">
        <v>67</v>
      </c>
      <c r="I46" s="96" t="s">
        <v>35</v>
      </c>
    </row>
    <row r="47" spans="1:9">
      <c r="A47" s="24">
        <v>1</v>
      </c>
      <c r="B47" s="81" t="s">
        <v>53</v>
      </c>
      <c r="C47" s="97">
        <v>300</v>
      </c>
      <c r="D47" s="97">
        <v>25</v>
      </c>
      <c r="E47" s="97">
        <v>25</v>
      </c>
      <c r="F47" s="97">
        <v>200</v>
      </c>
      <c r="G47" s="97">
        <v>50</v>
      </c>
      <c r="H47" s="97">
        <v>0</v>
      </c>
      <c r="I47" s="98">
        <f>SUM(C47:H47)</f>
        <v>600</v>
      </c>
    </row>
    <row r="48" spans="1:9">
      <c r="A48" s="105" t="str">
        <f>$A$1</f>
        <v>प्रपत्र - ब  -  अर्थसंकल्पीय अंदाजपत्रक सन 2021-2022</v>
      </c>
      <c r="B48" s="105"/>
      <c r="C48" s="105"/>
      <c r="D48" s="105"/>
      <c r="E48" s="105"/>
      <c r="F48" s="105"/>
      <c r="G48" s="105"/>
      <c r="H48" s="105"/>
    </row>
    <row r="49" spans="1:9">
      <c r="A49" s="105" t="s">
        <v>18</v>
      </c>
      <c r="B49" s="105"/>
      <c r="C49" s="105"/>
      <c r="D49" s="105"/>
      <c r="E49" s="105"/>
      <c r="F49" s="105"/>
      <c r="G49" s="105"/>
      <c r="H49" s="105"/>
    </row>
    <row r="50" spans="1:9">
      <c r="A50" s="16" t="s">
        <v>74</v>
      </c>
      <c r="B50" s="75"/>
    </row>
    <row r="51" spans="1:9">
      <c r="A51" s="144" t="s">
        <v>21</v>
      </c>
      <c r="B51" s="144" t="s">
        <v>29</v>
      </c>
      <c r="C51" s="139" t="s">
        <v>32</v>
      </c>
      <c r="D51" s="140"/>
      <c r="E51" s="139" t="s">
        <v>36</v>
      </c>
      <c r="F51" s="140"/>
      <c r="G51" s="141" t="s">
        <v>35</v>
      </c>
    </row>
    <row r="52" spans="1:9">
      <c r="A52" s="145"/>
      <c r="B52" s="145"/>
      <c r="C52" s="17" t="s">
        <v>69</v>
      </c>
      <c r="D52" s="17" t="s">
        <v>72</v>
      </c>
      <c r="E52" s="17" t="s">
        <v>69</v>
      </c>
      <c r="F52" s="17" t="s">
        <v>72</v>
      </c>
      <c r="G52" s="141"/>
    </row>
    <row r="53" spans="1:9">
      <c r="A53" s="18">
        <v>1</v>
      </c>
      <c r="B53" s="19">
        <v>1</v>
      </c>
      <c r="C53" s="21">
        <v>0</v>
      </c>
      <c r="D53" s="21">
        <v>0</v>
      </c>
      <c r="E53" s="21">
        <v>0</v>
      </c>
      <c r="F53" s="21">
        <v>0</v>
      </c>
      <c r="G53" s="21">
        <f>SUM(C53:F53)</f>
        <v>0</v>
      </c>
    </row>
    <row r="54" spans="1:9">
      <c r="A54" s="18">
        <v>2</v>
      </c>
      <c r="B54" s="19">
        <v>2</v>
      </c>
      <c r="C54" s="21">
        <v>0</v>
      </c>
      <c r="D54" s="21">
        <v>0</v>
      </c>
      <c r="E54" s="21">
        <v>0</v>
      </c>
      <c r="F54" s="21">
        <v>0</v>
      </c>
      <c r="G54" s="21">
        <f>SUM(C54:F54)</f>
        <v>0</v>
      </c>
    </row>
    <row r="55" spans="1:9">
      <c r="A55" s="18">
        <v>3</v>
      </c>
      <c r="B55" s="19">
        <v>3</v>
      </c>
      <c r="C55" s="21">
        <v>2</v>
      </c>
      <c r="D55" s="21">
        <v>1</v>
      </c>
      <c r="E55" s="21">
        <v>0</v>
      </c>
      <c r="F55" s="21">
        <v>0</v>
      </c>
      <c r="G55" s="21">
        <f>SUM(C55:F55)</f>
        <v>3</v>
      </c>
    </row>
    <row r="56" spans="1:9">
      <c r="A56" s="18">
        <v>4</v>
      </c>
      <c r="B56" s="19">
        <v>4</v>
      </c>
      <c r="C56" s="21">
        <v>0</v>
      </c>
      <c r="D56" s="21">
        <v>0</v>
      </c>
      <c r="E56" s="21">
        <v>0</v>
      </c>
      <c r="F56" s="21">
        <v>0</v>
      </c>
      <c r="G56" s="21">
        <f>SUM(C56:F56)</f>
        <v>0</v>
      </c>
    </row>
    <row r="57" spans="1:9" ht="14.4" thickBot="1">
      <c r="A57" s="22" t="s">
        <v>35</v>
      </c>
      <c r="B57" s="22"/>
      <c r="C57" s="23">
        <f>SUM(C53:C56)</f>
        <v>2</v>
      </c>
      <c r="D57" s="23">
        <f>SUM(D53:D56)</f>
        <v>1</v>
      </c>
      <c r="E57" s="23">
        <f>SUM(E53:E56)</f>
        <v>0</v>
      </c>
      <c r="F57" s="23">
        <f>SUM(F53:F56)</f>
        <v>0</v>
      </c>
      <c r="G57" s="23">
        <f>SUM(G53:G56)</f>
        <v>3</v>
      </c>
    </row>
    <row r="58" spans="1:9" ht="14.4" thickTop="1">
      <c r="A58" s="57"/>
      <c r="B58" s="57"/>
      <c r="C58" s="57"/>
      <c r="D58" s="57"/>
      <c r="E58" s="57"/>
      <c r="F58" s="57"/>
    </row>
    <row r="60" spans="1:9">
      <c r="A60" s="142"/>
      <c r="B60" s="142"/>
      <c r="C60" s="142"/>
      <c r="D60" s="142"/>
      <c r="E60" s="142"/>
      <c r="F60" s="143" t="s">
        <v>80</v>
      </c>
      <c r="G60" s="143"/>
    </row>
    <row r="61" spans="1:9" ht="27.6">
      <c r="A61" s="78" t="s">
        <v>21</v>
      </c>
      <c r="B61" s="78" t="s">
        <v>75</v>
      </c>
      <c r="C61" s="78" t="s">
        <v>77</v>
      </c>
      <c r="D61" s="78" t="s">
        <v>78</v>
      </c>
      <c r="E61" s="78" t="s">
        <v>79</v>
      </c>
      <c r="F61" s="96" t="s">
        <v>129</v>
      </c>
      <c r="G61" s="96" t="s">
        <v>130</v>
      </c>
      <c r="H61" s="96" t="s">
        <v>67</v>
      </c>
      <c r="I61" s="96" t="s">
        <v>35</v>
      </c>
    </row>
    <row r="62" spans="1:9">
      <c r="A62" s="24">
        <v>1</v>
      </c>
      <c r="B62" s="81" t="s">
        <v>101</v>
      </c>
      <c r="C62" s="97">
        <v>200</v>
      </c>
      <c r="D62" s="97">
        <v>38</v>
      </c>
      <c r="E62" s="97">
        <v>30</v>
      </c>
      <c r="F62" s="97">
        <v>225</v>
      </c>
      <c r="G62" s="97">
        <v>0</v>
      </c>
      <c r="H62" s="97">
        <v>34</v>
      </c>
      <c r="I62" s="98">
        <f>SUM(C62:H62)</f>
        <v>527</v>
      </c>
    </row>
    <row r="63" spans="1:9">
      <c r="A63" s="105" t="str">
        <f>$A$1</f>
        <v>प्रपत्र - ब  -  अर्थसंकल्पीय अंदाजपत्रक सन 2021-2022</v>
      </c>
      <c r="B63" s="105"/>
      <c r="C63" s="105"/>
      <c r="D63" s="105"/>
      <c r="E63" s="105"/>
      <c r="F63" s="105"/>
      <c r="G63" s="105"/>
      <c r="H63" s="105"/>
    </row>
    <row r="64" spans="1:9">
      <c r="A64" s="105" t="s">
        <v>18</v>
      </c>
      <c r="B64" s="105"/>
      <c r="C64" s="105"/>
      <c r="D64" s="105"/>
      <c r="E64" s="105"/>
      <c r="F64" s="105"/>
      <c r="G64" s="105"/>
      <c r="H64" s="105"/>
    </row>
    <row r="65" spans="1:9">
      <c r="A65" s="16" t="s">
        <v>74</v>
      </c>
      <c r="B65" s="75"/>
    </row>
    <row r="66" spans="1:9">
      <c r="A66" s="144" t="s">
        <v>21</v>
      </c>
      <c r="B66" s="144" t="s">
        <v>29</v>
      </c>
      <c r="C66" s="139" t="s">
        <v>32</v>
      </c>
      <c r="D66" s="140"/>
      <c r="E66" s="139" t="s">
        <v>36</v>
      </c>
      <c r="F66" s="140"/>
      <c r="G66" s="141" t="s">
        <v>35</v>
      </c>
    </row>
    <row r="67" spans="1:9">
      <c r="A67" s="145"/>
      <c r="B67" s="145"/>
      <c r="C67" s="17" t="s">
        <v>69</v>
      </c>
      <c r="D67" s="17" t="s">
        <v>72</v>
      </c>
      <c r="E67" s="17" t="s">
        <v>69</v>
      </c>
      <c r="F67" s="17" t="s">
        <v>72</v>
      </c>
      <c r="G67" s="141"/>
    </row>
    <row r="68" spans="1:9">
      <c r="A68" s="18">
        <v>1</v>
      </c>
      <c r="B68" s="19">
        <v>1</v>
      </c>
      <c r="C68" s="20">
        <v>0</v>
      </c>
      <c r="D68" s="20">
        <v>0</v>
      </c>
      <c r="E68" s="20">
        <v>0</v>
      </c>
      <c r="F68" s="20">
        <v>0</v>
      </c>
      <c r="G68" s="21">
        <f>SUM(C68:F68)</f>
        <v>0</v>
      </c>
    </row>
    <row r="69" spans="1:9">
      <c r="A69" s="18">
        <v>2</v>
      </c>
      <c r="B69" s="19">
        <v>2</v>
      </c>
      <c r="C69" s="20">
        <v>0</v>
      </c>
      <c r="D69" s="20">
        <v>0</v>
      </c>
      <c r="E69" s="20">
        <v>0</v>
      </c>
      <c r="F69" s="20">
        <v>0</v>
      </c>
      <c r="G69" s="21">
        <f>SUM(C69:F69)</f>
        <v>0</v>
      </c>
    </row>
    <row r="70" spans="1:9">
      <c r="A70" s="18">
        <v>3</v>
      </c>
      <c r="B70" s="19">
        <v>3</v>
      </c>
      <c r="C70" s="20">
        <v>9</v>
      </c>
      <c r="D70" s="20">
        <v>9</v>
      </c>
      <c r="E70" s="20">
        <v>0</v>
      </c>
      <c r="F70" s="20">
        <v>0</v>
      </c>
      <c r="G70" s="21">
        <f>SUM(C70:F70)</f>
        <v>18</v>
      </c>
    </row>
    <row r="71" spans="1:9">
      <c r="A71" s="18">
        <v>4</v>
      </c>
      <c r="B71" s="19">
        <v>4</v>
      </c>
      <c r="C71" s="20">
        <v>0</v>
      </c>
      <c r="D71" s="20">
        <v>0</v>
      </c>
      <c r="E71" s="20">
        <v>0</v>
      </c>
      <c r="F71" s="20">
        <v>0</v>
      </c>
      <c r="G71" s="21">
        <f>SUM(C71:F71)</f>
        <v>0</v>
      </c>
    </row>
    <row r="72" spans="1:9" ht="14.4" thickBot="1">
      <c r="A72" s="22" t="s">
        <v>35</v>
      </c>
      <c r="B72" s="22"/>
      <c r="C72" s="23">
        <f>SUM(C68:C71)</f>
        <v>9</v>
      </c>
      <c r="D72" s="23">
        <f>SUM(D68:D71)</f>
        <v>9</v>
      </c>
      <c r="E72" s="23">
        <f>SUM(E68:E71)</f>
        <v>0</v>
      </c>
      <c r="F72" s="23">
        <f>SUM(F68:F71)</f>
        <v>0</v>
      </c>
      <c r="G72" s="23">
        <f>SUM(G68:G71)</f>
        <v>18</v>
      </c>
    </row>
    <row r="73" spans="1:9" ht="14.4" thickTop="1">
      <c r="A73" s="57"/>
      <c r="B73" s="57"/>
      <c r="C73" s="57"/>
      <c r="D73" s="57"/>
      <c r="E73" s="57"/>
      <c r="F73" s="57"/>
    </row>
    <row r="75" spans="1:9">
      <c r="A75" s="142"/>
      <c r="B75" s="142"/>
      <c r="C75" s="142"/>
      <c r="D75" s="142"/>
      <c r="E75" s="142"/>
      <c r="F75" s="143" t="s">
        <v>80</v>
      </c>
      <c r="G75" s="143"/>
    </row>
    <row r="76" spans="1:9" ht="27.6">
      <c r="A76" s="78" t="s">
        <v>21</v>
      </c>
      <c r="B76" s="78" t="s">
        <v>75</v>
      </c>
      <c r="C76" s="78" t="s">
        <v>77</v>
      </c>
      <c r="D76" s="78" t="s">
        <v>78</v>
      </c>
      <c r="E76" s="78" t="s">
        <v>79</v>
      </c>
      <c r="F76" s="96" t="s">
        <v>129</v>
      </c>
      <c r="G76" s="96" t="s">
        <v>130</v>
      </c>
      <c r="H76" s="96" t="s">
        <v>67</v>
      </c>
      <c r="I76" s="96" t="s">
        <v>35</v>
      </c>
    </row>
    <row r="77" spans="1:9">
      <c r="A77" s="24">
        <v>1</v>
      </c>
      <c r="B77" s="81" t="s">
        <v>54</v>
      </c>
      <c r="C77" s="97">
        <v>700</v>
      </c>
      <c r="D77" s="97">
        <v>225</v>
      </c>
      <c r="E77" s="97">
        <v>400</v>
      </c>
      <c r="F77" s="97">
        <v>259</v>
      </c>
      <c r="G77" s="97">
        <v>927</v>
      </c>
      <c r="H77" s="97">
        <v>0</v>
      </c>
      <c r="I77" s="98">
        <f>SUM(C77:H77)</f>
        <v>2511</v>
      </c>
    </row>
    <row r="79" spans="1:9">
      <c r="A79" s="105" t="str">
        <f>$A$1</f>
        <v>प्रपत्र - ब  -  अर्थसंकल्पीय अंदाजपत्रक सन 2021-2022</v>
      </c>
      <c r="B79" s="105"/>
      <c r="C79" s="105"/>
      <c r="D79" s="105"/>
      <c r="E79" s="105"/>
      <c r="F79" s="105"/>
      <c r="G79" s="105"/>
      <c r="H79" s="105"/>
    </row>
    <row r="80" spans="1:9">
      <c r="A80" s="105" t="s">
        <v>18</v>
      </c>
      <c r="B80" s="105"/>
      <c r="C80" s="105"/>
      <c r="D80" s="105"/>
      <c r="E80" s="105"/>
      <c r="F80" s="105"/>
      <c r="G80" s="105"/>
      <c r="H80" s="105"/>
    </row>
    <row r="81" spans="1:9">
      <c r="A81" s="16" t="s">
        <v>74</v>
      </c>
      <c r="B81" s="75"/>
    </row>
    <row r="82" spans="1:9">
      <c r="A82" s="144" t="s">
        <v>21</v>
      </c>
      <c r="B82" s="144" t="s">
        <v>29</v>
      </c>
      <c r="C82" s="139" t="s">
        <v>32</v>
      </c>
      <c r="D82" s="140"/>
      <c r="E82" s="139" t="s">
        <v>36</v>
      </c>
      <c r="F82" s="140"/>
      <c r="G82" s="141" t="s">
        <v>35</v>
      </c>
    </row>
    <row r="83" spans="1:9">
      <c r="A83" s="145"/>
      <c r="B83" s="145"/>
      <c r="C83" s="17" t="s">
        <v>69</v>
      </c>
      <c r="D83" s="17" t="s">
        <v>72</v>
      </c>
      <c r="E83" s="17" t="s">
        <v>69</v>
      </c>
      <c r="F83" s="17" t="s">
        <v>72</v>
      </c>
      <c r="G83" s="141"/>
    </row>
    <row r="84" spans="1:9">
      <c r="A84" s="18">
        <v>1</v>
      </c>
      <c r="B84" s="19">
        <v>1</v>
      </c>
      <c r="C84" s="20">
        <v>0</v>
      </c>
      <c r="D84" s="20">
        <v>0</v>
      </c>
      <c r="E84" s="20">
        <v>0</v>
      </c>
      <c r="F84" s="20">
        <v>0</v>
      </c>
      <c r="G84" s="21">
        <f>SUM(C84:F84)</f>
        <v>0</v>
      </c>
    </row>
    <row r="85" spans="1:9">
      <c r="A85" s="18">
        <v>2</v>
      </c>
      <c r="B85" s="19">
        <v>2</v>
      </c>
      <c r="C85" s="20">
        <v>0</v>
      </c>
      <c r="D85" s="20">
        <v>0</v>
      </c>
      <c r="E85" s="20">
        <v>0</v>
      </c>
      <c r="F85" s="20">
        <v>0</v>
      </c>
      <c r="G85" s="21">
        <f>SUM(C85:F85)</f>
        <v>0</v>
      </c>
    </row>
    <row r="86" spans="1:9">
      <c r="A86" s="18">
        <v>3</v>
      </c>
      <c r="B86" s="19">
        <v>3</v>
      </c>
      <c r="C86" s="20">
        <v>2</v>
      </c>
      <c r="D86" s="20">
        <v>5</v>
      </c>
      <c r="E86" s="20">
        <v>0</v>
      </c>
      <c r="F86" s="20">
        <v>0</v>
      </c>
      <c r="G86" s="21">
        <f>SUM(C86:F86)</f>
        <v>7</v>
      </c>
    </row>
    <row r="87" spans="1:9">
      <c r="A87" s="18">
        <v>4</v>
      </c>
      <c r="B87" s="19">
        <v>4</v>
      </c>
      <c r="C87" s="20">
        <v>0</v>
      </c>
      <c r="D87" s="20">
        <v>0</v>
      </c>
      <c r="E87" s="20">
        <v>0</v>
      </c>
      <c r="F87" s="20">
        <v>0</v>
      </c>
      <c r="G87" s="21">
        <f>SUM(C87:F87)</f>
        <v>0</v>
      </c>
    </row>
    <row r="88" spans="1:9" ht="14.4" thickBot="1">
      <c r="A88" s="22" t="s">
        <v>35</v>
      </c>
      <c r="B88" s="22"/>
      <c r="C88" s="23">
        <f>SUM(C84:C87)</f>
        <v>2</v>
      </c>
      <c r="D88" s="23">
        <f>SUM(D84:D87)</f>
        <v>5</v>
      </c>
      <c r="E88" s="23">
        <f>SUM(E84:E87)</f>
        <v>0</v>
      </c>
      <c r="F88" s="23">
        <f>SUM(F84:F87)</f>
        <v>0</v>
      </c>
      <c r="G88" s="23">
        <f>SUM(G84:G87)</f>
        <v>7</v>
      </c>
    </row>
    <row r="89" spans="1:9" ht="14.4" thickTop="1">
      <c r="A89" s="57"/>
      <c r="B89" s="57"/>
      <c r="C89" s="57"/>
      <c r="D89" s="57"/>
      <c r="E89" s="57"/>
      <c r="F89" s="57"/>
    </row>
    <row r="91" spans="1:9">
      <c r="A91" s="142"/>
      <c r="B91" s="142"/>
      <c r="C91" s="142"/>
      <c r="D91" s="142"/>
      <c r="E91" s="142"/>
      <c r="F91" s="143" t="s">
        <v>80</v>
      </c>
      <c r="G91" s="143"/>
    </row>
    <row r="92" spans="1:9" ht="27.6">
      <c r="A92" s="78" t="s">
        <v>21</v>
      </c>
      <c r="B92" s="78" t="s">
        <v>75</v>
      </c>
      <c r="C92" s="78" t="s">
        <v>77</v>
      </c>
      <c r="D92" s="78" t="s">
        <v>78</v>
      </c>
      <c r="E92" s="78" t="s">
        <v>79</v>
      </c>
      <c r="F92" s="96" t="s">
        <v>129</v>
      </c>
      <c r="G92" s="96" t="s">
        <v>130</v>
      </c>
      <c r="H92" s="96" t="s">
        <v>67</v>
      </c>
      <c r="I92" s="96" t="s">
        <v>35</v>
      </c>
    </row>
    <row r="93" spans="1:9">
      <c r="A93" s="24">
        <v>1</v>
      </c>
      <c r="B93" s="81" t="s">
        <v>55</v>
      </c>
      <c r="C93" s="97">
        <v>100</v>
      </c>
      <c r="D93" s="97">
        <v>50</v>
      </c>
      <c r="E93" s="97">
        <v>50</v>
      </c>
      <c r="F93" s="97">
        <v>60</v>
      </c>
      <c r="G93" s="97">
        <v>0</v>
      </c>
      <c r="H93" s="97">
        <v>0</v>
      </c>
      <c r="I93" s="98">
        <f>SUM(C93:H93)</f>
        <v>260</v>
      </c>
    </row>
    <row r="95" spans="1:9">
      <c r="A95" s="105" t="str">
        <f>$A$1</f>
        <v>प्रपत्र - ब  -  अर्थसंकल्पीय अंदाजपत्रक सन 2021-2022</v>
      </c>
      <c r="B95" s="105"/>
      <c r="C95" s="105"/>
      <c r="D95" s="105"/>
      <c r="E95" s="105"/>
      <c r="F95" s="105"/>
      <c r="G95" s="105"/>
      <c r="H95" s="105"/>
    </row>
    <row r="96" spans="1:9">
      <c r="A96" s="105" t="s">
        <v>18</v>
      </c>
      <c r="B96" s="105"/>
      <c r="C96" s="105"/>
      <c r="D96" s="105"/>
      <c r="E96" s="105"/>
      <c r="F96" s="105"/>
      <c r="G96" s="105"/>
      <c r="H96" s="105"/>
    </row>
    <row r="97" spans="1:9">
      <c r="A97" s="16" t="s">
        <v>74</v>
      </c>
      <c r="B97" s="75"/>
    </row>
    <row r="98" spans="1:9">
      <c r="A98" s="144" t="s">
        <v>21</v>
      </c>
      <c r="B98" s="144" t="s">
        <v>29</v>
      </c>
      <c r="C98" s="139" t="s">
        <v>32</v>
      </c>
      <c r="D98" s="140"/>
      <c r="E98" s="139" t="s">
        <v>36</v>
      </c>
      <c r="F98" s="140"/>
      <c r="G98" s="141" t="s">
        <v>35</v>
      </c>
    </row>
    <row r="99" spans="1:9">
      <c r="A99" s="145"/>
      <c r="B99" s="145"/>
      <c r="C99" s="17" t="s">
        <v>69</v>
      </c>
      <c r="D99" s="17" t="s">
        <v>72</v>
      </c>
      <c r="E99" s="17" t="s">
        <v>69</v>
      </c>
      <c r="F99" s="17" t="s">
        <v>72</v>
      </c>
      <c r="G99" s="141"/>
    </row>
    <row r="100" spans="1:9">
      <c r="A100" s="18">
        <v>1</v>
      </c>
      <c r="B100" s="19">
        <v>1</v>
      </c>
      <c r="C100" s="20">
        <v>0</v>
      </c>
      <c r="D100" s="20">
        <v>0</v>
      </c>
      <c r="E100" s="20">
        <v>0</v>
      </c>
      <c r="F100" s="20">
        <v>0</v>
      </c>
      <c r="G100" s="21">
        <f>SUM(C100:F100)</f>
        <v>0</v>
      </c>
    </row>
    <row r="101" spans="1:9">
      <c r="A101" s="18">
        <v>2</v>
      </c>
      <c r="B101" s="19">
        <v>2</v>
      </c>
      <c r="C101" s="20">
        <v>0</v>
      </c>
      <c r="D101" s="20">
        <v>0</v>
      </c>
      <c r="E101" s="20">
        <v>0</v>
      </c>
      <c r="F101" s="20">
        <v>0</v>
      </c>
      <c r="G101" s="21">
        <f>SUM(C101:F101)</f>
        <v>0</v>
      </c>
    </row>
    <row r="102" spans="1:9">
      <c r="A102" s="18">
        <v>3</v>
      </c>
      <c r="B102" s="19">
        <v>3</v>
      </c>
      <c r="C102" s="20">
        <v>1</v>
      </c>
      <c r="D102" s="20">
        <v>0</v>
      </c>
      <c r="E102" s="20">
        <v>0</v>
      </c>
      <c r="F102" s="20">
        <v>0</v>
      </c>
      <c r="G102" s="21">
        <f>SUM(C102:F102)</f>
        <v>1</v>
      </c>
    </row>
    <row r="103" spans="1:9">
      <c r="A103" s="18">
        <v>4</v>
      </c>
      <c r="B103" s="19">
        <v>4</v>
      </c>
      <c r="C103" s="20">
        <v>0</v>
      </c>
      <c r="D103" s="20">
        <v>0</v>
      </c>
      <c r="E103" s="20">
        <v>0</v>
      </c>
      <c r="F103" s="20">
        <v>0</v>
      </c>
      <c r="G103" s="21">
        <f>SUM(C103:F103)</f>
        <v>0</v>
      </c>
    </row>
    <row r="104" spans="1:9" ht="14.4" thickBot="1">
      <c r="A104" s="22" t="s">
        <v>35</v>
      </c>
      <c r="B104" s="22"/>
      <c r="C104" s="23">
        <f>SUM(C100:C103)</f>
        <v>1</v>
      </c>
      <c r="D104" s="23">
        <f>SUM(D100:D103)</f>
        <v>0</v>
      </c>
      <c r="E104" s="23">
        <f>SUM(E100:E103)</f>
        <v>0</v>
      </c>
      <c r="F104" s="23">
        <f>SUM(F100:F103)</f>
        <v>0</v>
      </c>
      <c r="G104" s="23">
        <f>SUM(G100:G103)</f>
        <v>1</v>
      </c>
    </row>
    <row r="105" spans="1:9" ht="14.4" thickTop="1">
      <c r="A105" s="57"/>
      <c r="B105" s="57"/>
      <c r="C105" s="57"/>
      <c r="D105" s="57"/>
      <c r="E105" s="57"/>
      <c r="F105" s="57"/>
    </row>
    <row r="107" spans="1:9">
      <c r="A107" s="142"/>
      <c r="B107" s="142"/>
      <c r="C107" s="142"/>
      <c r="D107" s="142"/>
      <c r="E107" s="142"/>
      <c r="F107" s="143" t="s">
        <v>80</v>
      </c>
      <c r="G107" s="143"/>
    </row>
    <row r="108" spans="1:9" ht="27.6">
      <c r="A108" s="78" t="s">
        <v>21</v>
      </c>
      <c r="B108" s="78" t="s">
        <v>75</v>
      </c>
      <c r="C108" s="78" t="s">
        <v>77</v>
      </c>
      <c r="D108" s="78" t="s">
        <v>78</v>
      </c>
      <c r="E108" s="78" t="s">
        <v>79</v>
      </c>
      <c r="F108" s="96" t="s">
        <v>129</v>
      </c>
      <c r="G108" s="96" t="s">
        <v>130</v>
      </c>
      <c r="H108" s="96" t="s">
        <v>67</v>
      </c>
      <c r="I108" s="96" t="s">
        <v>35</v>
      </c>
    </row>
    <row r="109" spans="1:9">
      <c r="A109" s="24">
        <v>1</v>
      </c>
      <c r="B109" s="81" t="s">
        <v>56</v>
      </c>
      <c r="C109" s="97">
        <v>50</v>
      </c>
      <c r="D109" s="97">
        <v>13</v>
      </c>
      <c r="E109" s="97">
        <v>15</v>
      </c>
      <c r="F109" s="97">
        <v>17</v>
      </c>
      <c r="G109" s="97">
        <v>49</v>
      </c>
      <c r="H109" s="97">
        <v>0</v>
      </c>
      <c r="I109" s="98">
        <f>SUM(C109:H109)</f>
        <v>144</v>
      </c>
    </row>
    <row r="111" spans="1:9">
      <c r="A111" s="105" t="str">
        <f>$A$1</f>
        <v>प्रपत्र - ब  -  अर्थसंकल्पीय अंदाजपत्रक सन 2021-2022</v>
      </c>
      <c r="B111" s="105"/>
      <c r="C111" s="105"/>
      <c r="D111" s="105"/>
      <c r="E111" s="105"/>
      <c r="F111" s="105"/>
      <c r="G111" s="105"/>
      <c r="H111" s="105"/>
    </row>
    <row r="112" spans="1:9">
      <c r="A112" s="105" t="s">
        <v>18</v>
      </c>
      <c r="B112" s="105"/>
      <c r="C112" s="105"/>
      <c r="D112" s="105"/>
      <c r="E112" s="105"/>
      <c r="F112" s="105"/>
      <c r="G112" s="105"/>
      <c r="H112" s="105"/>
    </row>
    <row r="113" spans="1:9">
      <c r="A113" s="16" t="s">
        <v>74</v>
      </c>
      <c r="B113" s="75"/>
    </row>
    <row r="114" spans="1:9">
      <c r="A114" s="144" t="s">
        <v>21</v>
      </c>
      <c r="B114" s="144" t="s">
        <v>29</v>
      </c>
      <c r="C114" s="139" t="s">
        <v>32</v>
      </c>
      <c r="D114" s="140"/>
      <c r="E114" s="139" t="s">
        <v>36</v>
      </c>
      <c r="F114" s="140"/>
      <c r="G114" s="141" t="s">
        <v>35</v>
      </c>
    </row>
    <row r="115" spans="1:9">
      <c r="A115" s="145"/>
      <c r="B115" s="145"/>
      <c r="C115" s="17" t="s">
        <v>69</v>
      </c>
      <c r="D115" s="17" t="s">
        <v>72</v>
      </c>
      <c r="E115" s="17" t="s">
        <v>69</v>
      </c>
      <c r="F115" s="17" t="s">
        <v>72</v>
      </c>
      <c r="G115" s="141"/>
    </row>
    <row r="116" spans="1:9">
      <c r="A116" s="18">
        <v>1</v>
      </c>
      <c r="B116" s="19">
        <v>1</v>
      </c>
      <c r="C116" s="20"/>
      <c r="D116" s="20"/>
      <c r="E116" s="20"/>
      <c r="F116" s="20"/>
      <c r="G116" s="21">
        <v>0</v>
      </c>
    </row>
    <row r="117" spans="1:9">
      <c r="A117" s="18">
        <v>2</v>
      </c>
      <c r="B117" s="19">
        <v>2</v>
      </c>
      <c r="C117" s="20"/>
      <c r="D117" s="20"/>
      <c r="E117" s="20"/>
      <c r="F117" s="20"/>
      <c r="G117" s="21">
        <v>0</v>
      </c>
    </row>
    <row r="118" spans="1:9">
      <c r="A118" s="18">
        <v>3</v>
      </c>
      <c r="B118" s="19">
        <v>3</v>
      </c>
      <c r="C118" s="20"/>
      <c r="D118" s="20"/>
      <c r="E118" s="20"/>
      <c r="F118" s="20"/>
      <c r="G118" s="21">
        <v>0</v>
      </c>
    </row>
    <row r="119" spans="1:9">
      <c r="A119" s="18">
        <v>4</v>
      </c>
      <c r="B119" s="19">
        <v>4</v>
      </c>
      <c r="C119" s="20"/>
      <c r="D119" s="20"/>
      <c r="E119" s="20"/>
      <c r="F119" s="20"/>
      <c r="G119" s="21">
        <v>0</v>
      </c>
    </row>
    <row r="120" spans="1:9" ht="14.4" thickBot="1">
      <c r="A120" s="22" t="s">
        <v>35</v>
      </c>
      <c r="B120" s="22"/>
      <c r="C120" s="23">
        <v>0</v>
      </c>
      <c r="D120" s="23">
        <v>0</v>
      </c>
      <c r="E120" s="23">
        <v>0</v>
      </c>
      <c r="F120" s="23">
        <v>0</v>
      </c>
      <c r="G120" s="23">
        <v>0</v>
      </c>
    </row>
    <row r="121" spans="1:9" ht="14.4" thickTop="1">
      <c r="A121" s="57"/>
      <c r="B121" s="57"/>
      <c r="C121" s="57"/>
      <c r="D121" s="57"/>
      <c r="E121" s="57"/>
      <c r="F121" s="57"/>
    </row>
    <row r="123" spans="1:9">
      <c r="A123" s="142"/>
      <c r="B123" s="142"/>
      <c r="C123" s="142"/>
      <c r="D123" s="142"/>
      <c r="E123" s="142"/>
      <c r="F123" s="143" t="s">
        <v>80</v>
      </c>
      <c r="G123" s="143"/>
    </row>
    <row r="124" spans="1:9" ht="27.6">
      <c r="A124" s="78" t="s">
        <v>21</v>
      </c>
      <c r="B124" s="78" t="s">
        <v>75</v>
      </c>
      <c r="C124" s="78" t="s">
        <v>77</v>
      </c>
      <c r="D124" s="78" t="s">
        <v>78</v>
      </c>
      <c r="E124" s="78" t="s">
        <v>79</v>
      </c>
      <c r="F124" s="96" t="s">
        <v>129</v>
      </c>
      <c r="G124" s="96" t="s">
        <v>130</v>
      </c>
      <c r="H124" s="96" t="s">
        <v>67</v>
      </c>
      <c r="I124" s="96" t="s">
        <v>35</v>
      </c>
    </row>
    <row r="125" spans="1:9" ht="27.6">
      <c r="A125" s="24">
        <v>1</v>
      </c>
      <c r="B125" s="81" t="s">
        <v>76</v>
      </c>
      <c r="C125" s="97"/>
      <c r="D125" s="97"/>
      <c r="E125" s="97"/>
      <c r="F125" s="97"/>
      <c r="G125" s="97"/>
      <c r="H125" s="97">
        <v>0</v>
      </c>
      <c r="I125" s="98">
        <f>SUM(C125:H125)</f>
        <v>0</v>
      </c>
    </row>
    <row r="127" spans="1:9">
      <c r="A127" s="105" t="str">
        <f>$A$1</f>
        <v>प्रपत्र - ब  -  अर्थसंकल्पीय अंदाजपत्रक सन 2021-2022</v>
      </c>
      <c r="B127" s="105"/>
      <c r="C127" s="105"/>
      <c r="D127" s="105"/>
      <c r="E127" s="105"/>
      <c r="F127" s="105"/>
      <c r="G127" s="105"/>
      <c r="H127" s="105"/>
    </row>
    <row r="128" spans="1:9">
      <c r="A128" s="105" t="s">
        <v>18</v>
      </c>
      <c r="B128" s="105"/>
      <c r="C128" s="105"/>
      <c r="D128" s="105"/>
      <c r="E128" s="105"/>
      <c r="F128" s="105"/>
      <c r="G128" s="105"/>
      <c r="H128" s="105"/>
    </row>
    <row r="129" spans="1:9">
      <c r="A129" s="16" t="s">
        <v>74</v>
      </c>
      <c r="B129" s="75"/>
    </row>
    <row r="130" spans="1:9">
      <c r="A130" s="144" t="s">
        <v>21</v>
      </c>
      <c r="B130" s="144" t="s">
        <v>29</v>
      </c>
      <c r="C130" s="139" t="s">
        <v>32</v>
      </c>
      <c r="D130" s="140"/>
      <c r="E130" s="139" t="s">
        <v>36</v>
      </c>
      <c r="F130" s="140"/>
      <c r="G130" s="141" t="s">
        <v>35</v>
      </c>
    </row>
    <row r="131" spans="1:9">
      <c r="A131" s="145"/>
      <c r="B131" s="145"/>
      <c r="C131" s="17" t="s">
        <v>69</v>
      </c>
      <c r="D131" s="17" t="s">
        <v>72</v>
      </c>
      <c r="E131" s="17" t="s">
        <v>69</v>
      </c>
      <c r="F131" s="17" t="s">
        <v>72</v>
      </c>
      <c r="G131" s="141"/>
    </row>
    <row r="132" spans="1:9">
      <c r="A132" s="18">
        <v>1</v>
      </c>
      <c r="B132" s="19">
        <v>1</v>
      </c>
      <c r="C132" s="20">
        <f t="shared" ref="C132:G136" si="0">SUM(C6+C22+C38+C53+C68+C84+C100+C116)</f>
        <v>0</v>
      </c>
      <c r="D132" s="20">
        <f t="shared" si="0"/>
        <v>0</v>
      </c>
      <c r="E132" s="20">
        <f t="shared" si="0"/>
        <v>0</v>
      </c>
      <c r="F132" s="20">
        <f t="shared" si="0"/>
        <v>0</v>
      </c>
      <c r="G132" s="20">
        <f t="shared" si="0"/>
        <v>0</v>
      </c>
    </row>
    <row r="133" spans="1:9">
      <c r="A133" s="18">
        <v>2</v>
      </c>
      <c r="B133" s="19">
        <v>2</v>
      </c>
      <c r="C133" s="20">
        <f t="shared" si="0"/>
        <v>0</v>
      </c>
      <c r="D133" s="20">
        <f t="shared" si="0"/>
        <v>0</v>
      </c>
      <c r="E133" s="20">
        <f t="shared" si="0"/>
        <v>0</v>
      </c>
      <c r="F133" s="20">
        <f t="shared" si="0"/>
        <v>0</v>
      </c>
      <c r="G133" s="20">
        <f t="shared" si="0"/>
        <v>0</v>
      </c>
    </row>
    <row r="134" spans="1:9">
      <c r="A134" s="18">
        <v>3</v>
      </c>
      <c r="B134" s="19">
        <v>3</v>
      </c>
      <c r="C134" s="20">
        <f t="shared" si="0"/>
        <v>14</v>
      </c>
      <c r="D134" s="20">
        <f t="shared" si="0"/>
        <v>17</v>
      </c>
      <c r="E134" s="20">
        <f t="shared" si="0"/>
        <v>0</v>
      </c>
      <c r="F134" s="20">
        <f t="shared" si="0"/>
        <v>0</v>
      </c>
      <c r="G134" s="20">
        <f t="shared" si="0"/>
        <v>31</v>
      </c>
    </row>
    <row r="135" spans="1:9">
      <c r="A135" s="18">
        <v>4</v>
      </c>
      <c r="B135" s="19">
        <v>4</v>
      </c>
      <c r="C135" s="20">
        <f t="shared" si="0"/>
        <v>0</v>
      </c>
      <c r="D135" s="20">
        <f t="shared" si="0"/>
        <v>0</v>
      </c>
      <c r="E135" s="20">
        <f t="shared" si="0"/>
        <v>0</v>
      </c>
      <c r="F135" s="20">
        <f t="shared" si="0"/>
        <v>0</v>
      </c>
      <c r="G135" s="20">
        <f t="shared" si="0"/>
        <v>0</v>
      </c>
    </row>
    <row r="136" spans="1:9" ht="14.4" thickBot="1">
      <c r="A136" s="41" t="s">
        <v>35</v>
      </c>
      <c r="B136" s="41"/>
      <c r="C136" s="42">
        <f t="shared" si="0"/>
        <v>14</v>
      </c>
      <c r="D136" s="42">
        <f t="shared" si="0"/>
        <v>17</v>
      </c>
      <c r="E136" s="42">
        <f t="shared" si="0"/>
        <v>0</v>
      </c>
      <c r="F136" s="42">
        <f t="shared" si="0"/>
        <v>0</v>
      </c>
      <c r="G136" s="42">
        <f t="shared" si="0"/>
        <v>31</v>
      </c>
    </row>
    <row r="137" spans="1:9" ht="14.4" thickTop="1">
      <c r="A137" s="57"/>
      <c r="B137" s="57"/>
      <c r="C137" s="57"/>
      <c r="D137" s="57"/>
      <c r="E137" s="57"/>
      <c r="F137" s="57"/>
    </row>
    <row r="139" spans="1:9">
      <c r="A139" s="142"/>
      <c r="B139" s="142"/>
      <c r="C139" s="142"/>
      <c r="D139" s="142"/>
      <c r="E139" s="142"/>
      <c r="F139" s="143" t="s">
        <v>80</v>
      </c>
      <c r="G139" s="143"/>
    </row>
    <row r="140" spans="1:9" ht="27.6">
      <c r="A140" s="78" t="s">
        <v>21</v>
      </c>
      <c r="B140" s="78" t="s">
        <v>75</v>
      </c>
      <c r="C140" s="78" t="s">
        <v>77</v>
      </c>
      <c r="D140" s="78" t="s">
        <v>78</v>
      </c>
      <c r="E140" s="78" t="s">
        <v>79</v>
      </c>
      <c r="F140" s="96" t="s">
        <v>129</v>
      </c>
      <c r="G140" s="96" t="s">
        <v>130</v>
      </c>
      <c r="H140" s="96" t="s">
        <v>67</v>
      </c>
      <c r="I140" s="96" t="s">
        <v>35</v>
      </c>
    </row>
    <row r="141" spans="1:9">
      <c r="A141" s="24">
        <v>1</v>
      </c>
      <c r="B141" s="78" t="s">
        <v>28</v>
      </c>
      <c r="C141" s="20">
        <f t="shared" ref="C141:H141" si="1">SUM(C15+C31+C47+C62+C77+C93+C109+C125)</f>
        <v>1350</v>
      </c>
      <c r="D141" s="20">
        <f t="shared" si="1"/>
        <v>351</v>
      </c>
      <c r="E141" s="20">
        <f t="shared" si="1"/>
        <v>520</v>
      </c>
      <c r="F141" s="20">
        <f t="shared" si="1"/>
        <v>761</v>
      </c>
      <c r="G141" s="20">
        <f t="shared" si="1"/>
        <v>1026</v>
      </c>
      <c r="H141" s="20">
        <f t="shared" si="1"/>
        <v>34</v>
      </c>
      <c r="I141" s="98">
        <f>SUM(C141:H141)</f>
        <v>4042</v>
      </c>
    </row>
    <row r="142" spans="1:9" ht="15" customHeight="1"/>
    <row r="143" spans="1:9" ht="15" customHeight="1"/>
    <row r="144" spans="1:9">
      <c r="F144" s="55"/>
      <c r="G144" s="99" t="s">
        <v>140</v>
      </c>
    </row>
    <row r="145" spans="7:7">
      <c r="G145" s="99" t="s">
        <v>141</v>
      </c>
    </row>
  </sheetData>
  <mergeCells count="81">
    <mergeCell ref="G130:G131"/>
    <mergeCell ref="A13:E13"/>
    <mergeCell ref="F13:G13"/>
    <mergeCell ref="A139:E139"/>
    <mergeCell ref="F139:G139"/>
    <mergeCell ref="A127:H127"/>
    <mergeCell ref="A128:H128"/>
    <mergeCell ref="A130:A131"/>
    <mergeCell ref="B130:B131"/>
    <mergeCell ref="C130:D130"/>
    <mergeCell ref="E130:F130"/>
    <mergeCell ref="A17:H17"/>
    <mergeCell ref="A18:H18"/>
    <mergeCell ref="A33:H33"/>
    <mergeCell ref="A20:A21"/>
    <mergeCell ref="B20:B21"/>
    <mergeCell ref="A1:H1"/>
    <mergeCell ref="A2:H2"/>
    <mergeCell ref="A4:A5"/>
    <mergeCell ref="B4:B5"/>
    <mergeCell ref="C4:D4"/>
    <mergeCell ref="E4:F4"/>
    <mergeCell ref="G4:G5"/>
    <mergeCell ref="C20:D20"/>
    <mergeCell ref="E20:F20"/>
    <mergeCell ref="G20:G21"/>
    <mergeCell ref="A29:E29"/>
    <mergeCell ref="F29:G29"/>
    <mergeCell ref="A45:E45"/>
    <mergeCell ref="F45:G45"/>
    <mergeCell ref="A63:H63"/>
    <mergeCell ref="A64:H64"/>
    <mergeCell ref="A34:H34"/>
    <mergeCell ref="A36:A37"/>
    <mergeCell ref="B36:B37"/>
    <mergeCell ref="C36:D36"/>
    <mergeCell ref="E36:F36"/>
    <mergeCell ref="G36:G37"/>
    <mergeCell ref="A60:E60"/>
    <mergeCell ref="F60:G60"/>
    <mergeCell ref="A48:H48"/>
    <mergeCell ref="A49:H49"/>
    <mergeCell ref="A51:A52"/>
    <mergeCell ref="B51:B52"/>
    <mergeCell ref="G66:G67"/>
    <mergeCell ref="A75:E75"/>
    <mergeCell ref="F75:G75"/>
    <mergeCell ref="A79:H79"/>
    <mergeCell ref="A66:A67"/>
    <mergeCell ref="B66:B67"/>
    <mergeCell ref="C66:D66"/>
    <mergeCell ref="E66:F66"/>
    <mergeCell ref="A80:H80"/>
    <mergeCell ref="A82:A83"/>
    <mergeCell ref="B82:B83"/>
    <mergeCell ref="C82:D82"/>
    <mergeCell ref="E82:F82"/>
    <mergeCell ref="G82:G83"/>
    <mergeCell ref="B98:B99"/>
    <mergeCell ref="C98:D98"/>
    <mergeCell ref="E98:F98"/>
    <mergeCell ref="A91:E91"/>
    <mergeCell ref="F91:G91"/>
    <mergeCell ref="A95:H95"/>
    <mergeCell ref="A96:H96"/>
    <mergeCell ref="C51:D51"/>
    <mergeCell ref="E51:F51"/>
    <mergeCell ref="G51:G52"/>
    <mergeCell ref="A123:E123"/>
    <mergeCell ref="F123:G123"/>
    <mergeCell ref="A112:H112"/>
    <mergeCell ref="A114:A115"/>
    <mergeCell ref="B114:B115"/>
    <mergeCell ref="C114:D114"/>
    <mergeCell ref="E114:F114"/>
    <mergeCell ref="G114:G115"/>
    <mergeCell ref="G98:G99"/>
    <mergeCell ref="A107:E107"/>
    <mergeCell ref="F107:G107"/>
    <mergeCell ref="A111:H111"/>
    <mergeCell ref="A98:A99"/>
  </mergeCells>
  <phoneticPr fontId="0" type="noConversion"/>
  <pageMargins left="0.95" right="0.7" top="0.22" bottom="3.39" header="0.17" footer="0.17"/>
  <pageSetup paperSize="5" scale="95" orientation="landscape" r:id="rId1"/>
  <headerFooter>
    <oddFooter>&amp;Z&amp;F&amp;RPage &amp;P</oddFooter>
  </headerFooter>
  <rowBreaks count="8" manualBreakCount="8">
    <brk id="16" max="16383" man="1"/>
    <brk id="32" max="8" man="1"/>
    <brk id="47" max="8" man="1"/>
    <brk id="62" max="8" man="1"/>
    <brk id="78" max="8" man="1"/>
    <brk id="94" max="8" man="1"/>
    <brk id="110" max="8" man="1"/>
    <brk id="12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2"/>
  <sheetViews>
    <sheetView view="pageBreakPreview" topLeftCell="A136" zoomScaleNormal="75" zoomScaleSheetLayoutView="100" workbookViewId="0">
      <selection activeCell="F143" sqref="F143"/>
    </sheetView>
  </sheetViews>
  <sheetFormatPr defaultColWidth="9.109375" defaultRowHeight="13.8"/>
  <cols>
    <col min="1" max="1" width="3.5546875" style="36" customWidth="1"/>
    <col min="2" max="2" width="30" style="36" customWidth="1"/>
    <col min="3" max="4" width="11" style="36" customWidth="1"/>
    <col min="5" max="5" width="13" style="36" customWidth="1"/>
    <col min="6" max="7" width="12.5546875" style="36" customWidth="1"/>
    <col min="8" max="8" width="12.6640625" style="36" customWidth="1"/>
    <col min="9" max="9" width="12.88671875" style="36" customWidth="1"/>
    <col min="10" max="10" width="10.5546875" style="36" customWidth="1"/>
    <col min="11" max="11" width="9.88671875" style="36" customWidth="1"/>
    <col min="12" max="12" width="27.6640625" style="36" customWidth="1"/>
    <col min="13" max="16384" width="9.109375" style="2"/>
  </cols>
  <sheetData>
    <row r="1" spans="1:12">
      <c r="A1" s="105" t="s">
        <v>137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ht="18.75" customHeight="1">
      <c r="A3" s="148" t="s">
        <v>19</v>
      </c>
      <c r="B3" s="148"/>
      <c r="C3" s="148"/>
      <c r="D3" s="26"/>
      <c r="E3" s="26"/>
      <c r="F3" s="26"/>
      <c r="G3" s="26"/>
      <c r="H3" s="26"/>
      <c r="I3" s="26"/>
      <c r="J3" s="26"/>
      <c r="K3" s="26"/>
      <c r="L3" s="27" t="s">
        <v>47</v>
      </c>
    </row>
    <row r="4" spans="1:12" ht="27.6">
      <c r="A4" s="109" t="s">
        <v>81</v>
      </c>
      <c r="B4" s="109" t="s">
        <v>83</v>
      </c>
      <c r="C4" s="147" t="s">
        <v>93</v>
      </c>
      <c r="D4" s="147"/>
      <c r="E4" s="147"/>
      <c r="F4" s="47" t="s">
        <v>94</v>
      </c>
      <c r="G4" s="109" t="s">
        <v>138</v>
      </c>
      <c r="H4" s="147" t="s">
        <v>139</v>
      </c>
      <c r="I4" s="147"/>
      <c r="J4" s="147"/>
      <c r="K4" s="147"/>
      <c r="L4" s="109" t="s">
        <v>99</v>
      </c>
    </row>
    <row r="5" spans="1:12" ht="85.5" customHeight="1">
      <c r="A5" s="146"/>
      <c r="B5" s="146"/>
      <c r="C5" s="47" t="s">
        <v>116</v>
      </c>
      <c r="D5" s="47" t="s">
        <v>118</v>
      </c>
      <c r="E5" s="47" t="s">
        <v>120</v>
      </c>
      <c r="F5" s="47" t="s">
        <v>128</v>
      </c>
      <c r="G5" s="146"/>
      <c r="H5" s="47" t="s">
        <v>95</v>
      </c>
      <c r="I5" s="47" t="s">
        <v>96</v>
      </c>
      <c r="J5" s="47" t="s">
        <v>97</v>
      </c>
      <c r="K5" s="47" t="s">
        <v>98</v>
      </c>
      <c r="L5" s="146"/>
    </row>
    <row r="6" spans="1:12" ht="18" customHeight="1">
      <c r="A6" s="46">
        <v>1</v>
      </c>
      <c r="B6" s="46">
        <v>2</v>
      </c>
      <c r="C6" s="46">
        <v>3</v>
      </c>
      <c r="D6" s="46">
        <v>4</v>
      </c>
      <c r="E6" s="46">
        <v>5</v>
      </c>
      <c r="F6" s="46">
        <v>6</v>
      </c>
      <c r="G6" s="46">
        <v>7</v>
      </c>
      <c r="H6" s="46">
        <v>8</v>
      </c>
      <c r="I6" s="46">
        <v>9</v>
      </c>
      <c r="J6" s="46">
        <v>10</v>
      </c>
      <c r="K6" s="46">
        <v>11</v>
      </c>
      <c r="L6" s="46">
        <v>12</v>
      </c>
    </row>
    <row r="7" spans="1:12">
      <c r="A7" s="28">
        <v>1</v>
      </c>
      <c r="B7" s="28" t="s">
        <v>84</v>
      </c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>
      <c r="A8" s="28">
        <v>2</v>
      </c>
      <c r="B8" s="28" t="s">
        <v>85</v>
      </c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12">
      <c r="A9" s="28">
        <v>3</v>
      </c>
      <c r="B9" s="28" t="s">
        <v>86</v>
      </c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2">
      <c r="A10" s="28">
        <v>4</v>
      </c>
      <c r="B10" s="28" t="s">
        <v>87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2">
      <c r="A11" s="28">
        <v>4</v>
      </c>
      <c r="B11" s="28" t="s">
        <v>88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>
      <c r="A12" s="28">
        <v>5</v>
      </c>
      <c r="B12" s="28" t="s">
        <v>89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>
      <c r="A13" s="28">
        <v>7</v>
      </c>
      <c r="B13" s="28" t="s">
        <v>90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>
      <c r="A14" s="28">
        <v>8</v>
      </c>
      <c r="B14" s="28" t="s">
        <v>91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>
      <c r="A15" s="5">
        <v>9</v>
      </c>
      <c r="B15" s="28" t="s">
        <v>92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14.4" thickBot="1">
      <c r="A16" s="31"/>
      <c r="B16" s="10" t="s">
        <v>35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31"/>
    </row>
    <row r="17" spans="1:12" ht="29.25" customHeight="1" thickTop="1">
      <c r="A17" s="32"/>
      <c r="B17" s="33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>
      <c r="A18" s="105" t="str">
        <f>$A$1</f>
        <v>प्रपत्र - अ  -  अर्थसंकल्पीय अंदाजपत्रक सन 2021-2022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</row>
    <row r="19" spans="1:12">
      <c r="A19" s="105" t="s">
        <v>18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</row>
    <row r="20" spans="1:12">
      <c r="A20" s="148" t="s">
        <v>22</v>
      </c>
      <c r="B20" s="148"/>
      <c r="C20" s="148"/>
      <c r="D20" s="26"/>
      <c r="E20" s="26"/>
      <c r="F20" s="26"/>
      <c r="G20" s="26"/>
      <c r="H20" s="26"/>
      <c r="I20" s="26"/>
      <c r="J20" s="26"/>
      <c r="K20" s="26"/>
      <c r="L20" s="27" t="s">
        <v>47</v>
      </c>
    </row>
    <row r="21" spans="1:12" ht="42" customHeight="1">
      <c r="A21" s="109" t="s">
        <v>81</v>
      </c>
      <c r="B21" s="109" t="s">
        <v>83</v>
      </c>
      <c r="C21" s="147" t="s">
        <v>93</v>
      </c>
      <c r="D21" s="147"/>
      <c r="E21" s="147"/>
      <c r="F21" s="47" t="s">
        <v>94</v>
      </c>
      <c r="G21" s="109" t="s">
        <v>138</v>
      </c>
      <c r="H21" s="147" t="s">
        <v>139</v>
      </c>
      <c r="I21" s="147"/>
      <c r="J21" s="147"/>
      <c r="K21" s="147"/>
      <c r="L21" s="109" t="s">
        <v>99</v>
      </c>
    </row>
    <row r="22" spans="1:12" ht="41.4">
      <c r="A22" s="146"/>
      <c r="B22" s="146"/>
      <c r="C22" s="47" t="s">
        <v>116</v>
      </c>
      <c r="D22" s="47" t="s">
        <v>118</v>
      </c>
      <c r="E22" s="47" t="s">
        <v>120</v>
      </c>
      <c r="F22" s="47" t="s">
        <v>128</v>
      </c>
      <c r="G22" s="146"/>
      <c r="H22" s="47" t="s">
        <v>95</v>
      </c>
      <c r="I22" s="47" t="s">
        <v>96</v>
      </c>
      <c r="J22" s="47" t="s">
        <v>97</v>
      </c>
      <c r="K22" s="47" t="s">
        <v>98</v>
      </c>
      <c r="L22" s="146"/>
    </row>
    <row r="23" spans="1:12">
      <c r="A23" s="46">
        <v>1</v>
      </c>
      <c r="B23" s="46">
        <v>2</v>
      </c>
      <c r="C23" s="46">
        <v>3</v>
      </c>
      <c r="D23" s="46">
        <v>4</v>
      </c>
      <c r="E23" s="46">
        <v>5</v>
      </c>
      <c r="F23" s="46">
        <v>6</v>
      </c>
      <c r="G23" s="46">
        <v>7</v>
      </c>
      <c r="H23" s="46">
        <v>8</v>
      </c>
      <c r="I23" s="46">
        <v>9</v>
      </c>
      <c r="J23" s="46">
        <v>10</v>
      </c>
      <c r="K23" s="46">
        <v>11</v>
      </c>
      <c r="L23" s="46">
        <v>12</v>
      </c>
    </row>
    <row r="24" spans="1:12">
      <c r="A24" s="28">
        <v>1</v>
      </c>
      <c r="B24" s="28" t="s">
        <v>84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8">
        <v>2</v>
      </c>
      <c r="B25" s="28" t="s">
        <v>85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>
      <c r="A26" s="28">
        <v>3</v>
      </c>
      <c r="B26" s="28" t="s">
        <v>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8">
        <v>4</v>
      </c>
      <c r="B27" s="28" t="s">
        <v>87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8">
        <v>4</v>
      </c>
      <c r="B28" s="28" t="s">
        <v>88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8">
        <v>5</v>
      </c>
      <c r="B29" s="28" t="s">
        <v>89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8">
        <v>7</v>
      </c>
      <c r="B30" s="28" t="s">
        <v>90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 ht="42" customHeight="1">
      <c r="A31" s="28">
        <v>8</v>
      </c>
      <c r="B31" s="28" t="s">
        <v>91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5">
        <v>9</v>
      </c>
      <c r="B32" s="28" t="s">
        <v>92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 ht="14.4" thickBot="1">
      <c r="A33" s="31"/>
      <c r="B33" s="10" t="s">
        <v>35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</row>
    <row r="34" spans="1:12" ht="10.5" customHeight="1" thickTop="1">
      <c r="A34" s="32"/>
      <c r="B34" s="33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>
      <c r="A35" s="105" t="str">
        <f>$A$1</f>
        <v>प्रपत्र - अ  -  अर्थसंकल्पीय अंदाजपत्रक सन 2021-2022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</row>
    <row r="36" spans="1:12">
      <c r="A36" s="105" t="s">
        <v>18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</row>
    <row r="37" spans="1:12">
      <c r="A37" s="149" t="s">
        <v>23</v>
      </c>
      <c r="B37" s="149"/>
      <c r="C37" s="149"/>
      <c r="D37" s="26"/>
      <c r="E37" s="26"/>
      <c r="F37" s="26"/>
      <c r="G37" s="26"/>
      <c r="H37" s="26"/>
      <c r="I37" s="26"/>
      <c r="J37" s="26"/>
      <c r="K37" s="26"/>
      <c r="L37" s="27" t="s">
        <v>47</v>
      </c>
    </row>
    <row r="38" spans="1:12" ht="42" customHeight="1">
      <c r="A38" s="109" t="s">
        <v>81</v>
      </c>
      <c r="B38" s="109" t="s">
        <v>83</v>
      </c>
      <c r="C38" s="147" t="s">
        <v>93</v>
      </c>
      <c r="D38" s="147"/>
      <c r="E38" s="147"/>
      <c r="F38" s="47" t="s">
        <v>94</v>
      </c>
      <c r="G38" s="109" t="s">
        <v>138</v>
      </c>
      <c r="H38" s="147" t="s">
        <v>139</v>
      </c>
      <c r="I38" s="147"/>
      <c r="J38" s="147"/>
      <c r="K38" s="147"/>
      <c r="L38" s="109" t="s">
        <v>99</v>
      </c>
    </row>
    <row r="39" spans="1:12" ht="41.4">
      <c r="A39" s="146"/>
      <c r="B39" s="146"/>
      <c r="C39" s="47" t="s">
        <v>116</v>
      </c>
      <c r="D39" s="47" t="s">
        <v>118</v>
      </c>
      <c r="E39" s="47" t="s">
        <v>120</v>
      </c>
      <c r="F39" s="47" t="s">
        <v>128</v>
      </c>
      <c r="G39" s="146"/>
      <c r="H39" s="47" t="s">
        <v>95</v>
      </c>
      <c r="I39" s="47" t="s">
        <v>96</v>
      </c>
      <c r="J39" s="47" t="s">
        <v>97</v>
      </c>
      <c r="K39" s="47" t="s">
        <v>98</v>
      </c>
      <c r="L39" s="146"/>
    </row>
    <row r="40" spans="1:12">
      <c r="A40" s="46">
        <v>1</v>
      </c>
      <c r="B40" s="46">
        <v>2</v>
      </c>
      <c r="C40" s="46">
        <v>3</v>
      </c>
      <c r="D40" s="46">
        <v>4</v>
      </c>
      <c r="E40" s="46">
        <v>5</v>
      </c>
      <c r="F40" s="46">
        <v>6</v>
      </c>
      <c r="G40" s="46">
        <v>7</v>
      </c>
      <c r="H40" s="46">
        <v>8</v>
      </c>
      <c r="I40" s="46">
        <v>9</v>
      </c>
      <c r="J40" s="46">
        <v>10</v>
      </c>
      <c r="K40" s="46">
        <v>11</v>
      </c>
      <c r="L40" s="46">
        <v>12</v>
      </c>
    </row>
    <row r="41" spans="1:12">
      <c r="A41" s="28">
        <v>1</v>
      </c>
      <c r="B41" s="28" t="s">
        <v>84</v>
      </c>
      <c r="C41" s="28">
        <v>23</v>
      </c>
      <c r="D41" s="28">
        <v>317</v>
      </c>
      <c r="E41" s="28">
        <v>430</v>
      </c>
      <c r="F41" s="28">
        <v>1288</v>
      </c>
      <c r="G41" s="28">
        <v>1400</v>
      </c>
      <c r="H41" s="28">
        <v>1588</v>
      </c>
      <c r="I41" s="29"/>
      <c r="J41" s="29"/>
      <c r="K41" s="29"/>
      <c r="L41" s="29"/>
    </row>
    <row r="42" spans="1:12">
      <c r="A42" s="28">
        <v>2</v>
      </c>
      <c r="B42" s="28" t="s">
        <v>85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9"/>
      <c r="J42" s="29"/>
      <c r="K42" s="29"/>
      <c r="L42" s="30"/>
    </row>
    <row r="43" spans="1:12">
      <c r="A43" s="28">
        <v>3</v>
      </c>
      <c r="B43" s="28" t="s">
        <v>86</v>
      </c>
      <c r="C43" s="28">
        <v>0</v>
      </c>
      <c r="D43" s="28">
        <v>0</v>
      </c>
      <c r="E43" s="28">
        <v>0</v>
      </c>
      <c r="F43" s="28">
        <v>60</v>
      </c>
      <c r="G43" s="28">
        <v>60</v>
      </c>
      <c r="H43" s="28">
        <v>60</v>
      </c>
      <c r="I43" s="29"/>
      <c r="J43" s="29"/>
      <c r="K43" s="29"/>
      <c r="L43" s="29"/>
    </row>
    <row r="44" spans="1:12">
      <c r="A44" s="28">
        <v>4</v>
      </c>
      <c r="B44" s="28" t="s">
        <v>87</v>
      </c>
      <c r="C44" s="28">
        <v>0</v>
      </c>
      <c r="D44" s="28">
        <v>0</v>
      </c>
      <c r="E44" s="28">
        <v>0</v>
      </c>
      <c r="F44" s="28">
        <v>60</v>
      </c>
      <c r="G44" s="28">
        <v>60</v>
      </c>
      <c r="H44" s="28">
        <v>60</v>
      </c>
      <c r="I44" s="29"/>
      <c r="J44" s="29"/>
      <c r="K44" s="29"/>
      <c r="L44" s="29"/>
    </row>
    <row r="45" spans="1:12">
      <c r="A45" s="28">
        <v>4</v>
      </c>
      <c r="B45" s="28" t="s">
        <v>88</v>
      </c>
      <c r="C45" s="28">
        <v>19</v>
      </c>
      <c r="D45" s="28">
        <v>11</v>
      </c>
      <c r="E45" s="28">
        <v>0</v>
      </c>
      <c r="F45" s="28">
        <v>61</v>
      </c>
      <c r="G45" s="28">
        <v>61</v>
      </c>
      <c r="H45" s="28">
        <v>61</v>
      </c>
      <c r="I45" s="29"/>
      <c r="J45" s="29"/>
      <c r="K45" s="29"/>
      <c r="L45" s="29"/>
    </row>
    <row r="46" spans="1:12">
      <c r="A46" s="28">
        <v>5</v>
      </c>
      <c r="B46" s="28" t="s">
        <v>89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9"/>
      <c r="J46" s="29"/>
      <c r="K46" s="29"/>
      <c r="L46" s="29"/>
    </row>
    <row r="47" spans="1:12">
      <c r="A47" s="28">
        <v>7</v>
      </c>
      <c r="B47" s="28" t="s">
        <v>90</v>
      </c>
      <c r="C47" s="28">
        <v>0</v>
      </c>
      <c r="D47" s="28">
        <v>0</v>
      </c>
      <c r="E47" s="28">
        <v>0</v>
      </c>
      <c r="F47" s="28">
        <v>70</v>
      </c>
      <c r="G47" s="28">
        <v>70</v>
      </c>
      <c r="H47" s="28">
        <v>70</v>
      </c>
      <c r="I47" s="29"/>
      <c r="J47" s="29"/>
      <c r="K47" s="29"/>
      <c r="L47" s="29"/>
    </row>
    <row r="48" spans="1:12">
      <c r="A48" s="28">
        <v>8</v>
      </c>
      <c r="B48" s="28" t="s">
        <v>91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9"/>
      <c r="J48" s="29"/>
      <c r="K48" s="29"/>
      <c r="L48" s="29"/>
    </row>
    <row r="49" spans="1:12">
      <c r="A49" s="5">
        <v>9</v>
      </c>
      <c r="B49" s="28" t="s">
        <v>92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9"/>
      <c r="J49" s="29"/>
      <c r="K49" s="29"/>
      <c r="L49" s="29"/>
    </row>
    <row r="50" spans="1:12" ht="14.4" thickBot="1">
      <c r="A50" s="31"/>
      <c r="B50" s="10" t="s">
        <v>35</v>
      </c>
      <c r="C50" s="7">
        <f>SUM(C41:C49)</f>
        <v>42</v>
      </c>
      <c r="D50" s="7">
        <f t="shared" ref="D50:L50" si="0">SUM(D41:D49)</f>
        <v>328</v>
      </c>
      <c r="E50" s="7">
        <f t="shared" si="0"/>
        <v>430</v>
      </c>
      <c r="F50" s="7">
        <f t="shared" si="0"/>
        <v>1539</v>
      </c>
      <c r="G50" s="7">
        <f t="shared" si="0"/>
        <v>1651</v>
      </c>
      <c r="H50" s="7">
        <f t="shared" si="0"/>
        <v>1839</v>
      </c>
      <c r="I50" s="7">
        <f t="shared" si="0"/>
        <v>0</v>
      </c>
      <c r="J50" s="7">
        <f t="shared" si="0"/>
        <v>0</v>
      </c>
      <c r="K50" s="7">
        <f t="shared" si="0"/>
        <v>0</v>
      </c>
      <c r="L50" s="7">
        <f t="shared" si="0"/>
        <v>0</v>
      </c>
    </row>
    <row r="51" spans="1:12" ht="14.4" thickTop="1">
      <c r="A51" s="105" t="str">
        <f>$A$1</f>
        <v>प्रपत्र - अ  -  अर्थसंकल्पीय अंदाजपत्रक सन 2021-2022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</row>
    <row r="52" spans="1:12">
      <c r="A52" s="105" t="s">
        <v>18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</row>
    <row r="53" spans="1:12">
      <c r="A53" s="148" t="s">
        <v>100</v>
      </c>
      <c r="B53" s="148"/>
      <c r="C53" s="148"/>
      <c r="D53" s="26"/>
      <c r="E53" s="26"/>
      <c r="F53" s="26"/>
      <c r="G53" s="26"/>
      <c r="H53" s="26"/>
      <c r="I53" s="26"/>
      <c r="J53" s="26"/>
      <c r="K53" s="26"/>
      <c r="L53" s="27" t="s">
        <v>47</v>
      </c>
    </row>
    <row r="54" spans="1:12" ht="39" customHeight="1">
      <c r="A54" s="109" t="s">
        <v>81</v>
      </c>
      <c r="B54" s="109" t="s">
        <v>83</v>
      </c>
      <c r="C54" s="147" t="s">
        <v>93</v>
      </c>
      <c r="D54" s="147"/>
      <c r="E54" s="147"/>
      <c r="F54" s="47" t="s">
        <v>94</v>
      </c>
      <c r="G54" s="109" t="s">
        <v>138</v>
      </c>
      <c r="H54" s="147" t="s">
        <v>139</v>
      </c>
      <c r="I54" s="147"/>
      <c r="J54" s="147"/>
      <c r="K54" s="147"/>
      <c r="L54" s="109" t="s">
        <v>99</v>
      </c>
    </row>
    <row r="55" spans="1:12" ht="41.4">
      <c r="A55" s="146"/>
      <c r="B55" s="146"/>
      <c r="C55" s="47" t="s">
        <v>116</v>
      </c>
      <c r="D55" s="47" t="s">
        <v>118</v>
      </c>
      <c r="E55" s="47" t="s">
        <v>120</v>
      </c>
      <c r="F55" s="47" t="s">
        <v>128</v>
      </c>
      <c r="G55" s="146"/>
      <c r="H55" s="47" t="s">
        <v>95</v>
      </c>
      <c r="I55" s="47" t="s">
        <v>96</v>
      </c>
      <c r="J55" s="47" t="s">
        <v>97</v>
      </c>
      <c r="K55" s="47" t="s">
        <v>98</v>
      </c>
      <c r="L55" s="146"/>
    </row>
    <row r="56" spans="1:12">
      <c r="A56" s="46">
        <v>1</v>
      </c>
      <c r="B56" s="46">
        <v>2</v>
      </c>
      <c r="C56" s="46">
        <v>3</v>
      </c>
      <c r="D56" s="46">
        <v>4</v>
      </c>
      <c r="E56" s="46">
        <v>5</v>
      </c>
      <c r="F56" s="46">
        <v>6</v>
      </c>
      <c r="G56" s="46">
        <v>7</v>
      </c>
      <c r="H56" s="46">
        <v>8</v>
      </c>
      <c r="I56" s="46">
        <v>9</v>
      </c>
      <c r="J56" s="46">
        <v>10</v>
      </c>
      <c r="K56" s="46">
        <v>11</v>
      </c>
      <c r="L56" s="46">
        <v>12</v>
      </c>
    </row>
    <row r="57" spans="1:12">
      <c r="A57" s="28">
        <v>1</v>
      </c>
      <c r="B57" s="28" t="s">
        <v>84</v>
      </c>
      <c r="C57" s="28">
        <v>518</v>
      </c>
      <c r="D57" s="28">
        <v>725</v>
      </c>
      <c r="E57" s="28">
        <v>1855</v>
      </c>
      <c r="F57" s="28">
        <v>2082</v>
      </c>
      <c r="G57" s="28">
        <v>1950</v>
      </c>
      <c r="H57" s="28">
        <v>2430</v>
      </c>
      <c r="I57" s="29"/>
      <c r="J57" s="29"/>
      <c r="K57" s="29"/>
      <c r="L57" s="29"/>
    </row>
    <row r="58" spans="1:12">
      <c r="A58" s="28">
        <v>2</v>
      </c>
      <c r="B58" s="28" t="s">
        <v>85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9"/>
      <c r="J58" s="29"/>
      <c r="K58" s="29"/>
      <c r="L58" s="30"/>
    </row>
    <row r="59" spans="1:12">
      <c r="A59" s="28">
        <v>3</v>
      </c>
      <c r="B59" s="28" t="s">
        <v>86</v>
      </c>
      <c r="C59" s="28">
        <v>0</v>
      </c>
      <c r="D59" s="28">
        <v>0</v>
      </c>
      <c r="E59" s="28">
        <v>0</v>
      </c>
      <c r="F59" s="28">
        <v>30</v>
      </c>
      <c r="G59" s="28">
        <v>0</v>
      </c>
      <c r="H59" s="28">
        <v>0</v>
      </c>
      <c r="I59" s="29"/>
      <c r="J59" s="29"/>
      <c r="K59" s="29"/>
      <c r="L59" s="29"/>
    </row>
    <row r="60" spans="1:12">
      <c r="A60" s="28">
        <v>4</v>
      </c>
      <c r="B60" s="28" t="s">
        <v>87</v>
      </c>
      <c r="C60" s="28">
        <v>3</v>
      </c>
      <c r="D60" s="28">
        <v>4</v>
      </c>
      <c r="E60" s="28">
        <v>2</v>
      </c>
      <c r="F60" s="28">
        <v>30</v>
      </c>
      <c r="G60" s="28">
        <v>5</v>
      </c>
      <c r="H60" s="28">
        <v>5</v>
      </c>
      <c r="I60" s="29"/>
      <c r="J60" s="29"/>
      <c r="K60" s="29"/>
      <c r="L60" s="29"/>
    </row>
    <row r="61" spans="1:12">
      <c r="A61" s="28">
        <v>4</v>
      </c>
      <c r="B61" s="28" t="s">
        <v>88</v>
      </c>
      <c r="C61" s="28">
        <v>24</v>
      </c>
      <c r="D61" s="28">
        <v>32</v>
      </c>
      <c r="E61" s="28">
        <v>29</v>
      </c>
      <c r="F61" s="28">
        <v>80</v>
      </c>
      <c r="G61" s="28">
        <v>40</v>
      </c>
      <c r="H61" s="28">
        <v>50</v>
      </c>
      <c r="I61" s="29"/>
      <c r="J61" s="29"/>
      <c r="K61" s="29"/>
      <c r="L61" s="29"/>
    </row>
    <row r="62" spans="1:12">
      <c r="A62" s="28">
        <v>5</v>
      </c>
      <c r="B62" s="28" t="s">
        <v>89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9"/>
      <c r="J62" s="29"/>
      <c r="K62" s="29"/>
      <c r="L62" s="29"/>
    </row>
    <row r="63" spans="1:12">
      <c r="A63" s="28">
        <v>7</v>
      </c>
      <c r="B63" s="28" t="s">
        <v>90</v>
      </c>
      <c r="C63" s="28">
        <v>1</v>
      </c>
      <c r="D63" s="28">
        <v>10</v>
      </c>
      <c r="E63" s="28">
        <v>10</v>
      </c>
      <c r="F63" s="28">
        <v>30</v>
      </c>
      <c r="G63" s="28">
        <v>15</v>
      </c>
      <c r="H63" s="28">
        <v>15</v>
      </c>
      <c r="I63" s="29"/>
      <c r="J63" s="29"/>
      <c r="K63" s="29"/>
      <c r="L63" s="29"/>
    </row>
    <row r="64" spans="1:12">
      <c r="A64" s="28">
        <v>8</v>
      </c>
      <c r="B64" s="28" t="s">
        <v>91</v>
      </c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9"/>
      <c r="J64" s="29"/>
      <c r="K64" s="29"/>
      <c r="L64" s="29"/>
    </row>
    <row r="65" spans="1:12">
      <c r="A65" s="5">
        <v>9</v>
      </c>
      <c r="B65" s="28" t="s">
        <v>92</v>
      </c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9"/>
      <c r="J65" s="29"/>
      <c r="K65" s="29"/>
      <c r="L65" s="29"/>
    </row>
    <row r="66" spans="1:12" ht="14.4" thickBot="1">
      <c r="A66" s="31"/>
      <c r="B66" s="10" t="s">
        <v>35</v>
      </c>
      <c r="C66" s="7">
        <f>SUM(C57:C65)</f>
        <v>546</v>
      </c>
      <c r="D66" s="7">
        <f t="shared" ref="D66:L66" si="1">SUM(D57:D65)</f>
        <v>771</v>
      </c>
      <c r="E66" s="7">
        <f t="shared" si="1"/>
        <v>1896</v>
      </c>
      <c r="F66" s="7">
        <f t="shared" si="1"/>
        <v>2252</v>
      </c>
      <c r="G66" s="7">
        <f t="shared" si="1"/>
        <v>2010</v>
      </c>
      <c r="H66" s="7">
        <f t="shared" si="1"/>
        <v>2500</v>
      </c>
      <c r="I66" s="7">
        <f t="shared" si="1"/>
        <v>0</v>
      </c>
      <c r="J66" s="7">
        <f t="shared" si="1"/>
        <v>0</v>
      </c>
      <c r="K66" s="7">
        <f t="shared" si="1"/>
        <v>0</v>
      </c>
      <c r="L66" s="7">
        <f t="shared" si="1"/>
        <v>0</v>
      </c>
    </row>
    <row r="67" spans="1:12" ht="14.4" thickTop="1">
      <c r="A67" s="32"/>
      <c r="B67" s="33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>
      <c r="A68" s="105" t="str">
        <f>$A$1</f>
        <v>प्रपत्र - अ  -  अर्थसंकल्पीय अंदाजपत्रक सन 2021-2022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</row>
    <row r="69" spans="1:12">
      <c r="A69" s="105" t="s">
        <v>18</v>
      </c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</row>
    <row r="70" spans="1:12">
      <c r="A70" s="148" t="s">
        <v>24</v>
      </c>
      <c r="B70" s="148"/>
      <c r="C70" s="148"/>
      <c r="D70" s="26"/>
      <c r="E70" s="26"/>
      <c r="F70" s="26"/>
      <c r="G70" s="26"/>
      <c r="H70" s="26"/>
      <c r="I70" s="26"/>
      <c r="J70" s="26"/>
      <c r="K70" s="26"/>
      <c r="L70" s="27" t="s">
        <v>47</v>
      </c>
    </row>
    <row r="71" spans="1:12" ht="42" customHeight="1">
      <c r="A71" s="109" t="s">
        <v>81</v>
      </c>
      <c r="B71" s="109" t="s">
        <v>83</v>
      </c>
      <c r="C71" s="147" t="s">
        <v>93</v>
      </c>
      <c r="D71" s="147"/>
      <c r="E71" s="147"/>
      <c r="F71" s="47" t="s">
        <v>94</v>
      </c>
      <c r="G71" s="109" t="s">
        <v>138</v>
      </c>
      <c r="H71" s="147" t="s">
        <v>139</v>
      </c>
      <c r="I71" s="147"/>
      <c r="J71" s="147"/>
      <c r="K71" s="147"/>
      <c r="L71" s="109" t="s">
        <v>99</v>
      </c>
    </row>
    <row r="72" spans="1:12" ht="41.4">
      <c r="A72" s="146"/>
      <c r="B72" s="146"/>
      <c r="C72" s="47" t="s">
        <v>116</v>
      </c>
      <c r="D72" s="47" t="s">
        <v>118</v>
      </c>
      <c r="E72" s="47" t="s">
        <v>120</v>
      </c>
      <c r="F72" s="47" t="s">
        <v>128</v>
      </c>
      <c r="G72" s="146"/>
      <c r="H72" s="47" t="s">
        <v>95</v>
      </c>
      <c r="I72" s="47" t="s">
        <v>96</v>
      </c>
      <c r="J72" s="47" t="s">
        <v>97</v>
      </c>
      <c r="K72" s="47" t="s">
        <v>98</v>
      </c>
      <c r="L72" s="146"/>
    </row>
    <row r="73" spans="1:12">
      <c r="A73" s="46">
        <v>1</v>
      </c>
      <c r="B73" s="46">
        <v>2</v>
      </c>
      <c r="C73" s="46">
        <v>3</v>
      </c>
      <c r="D73" s="46">
        <v>4</v>
      </c>
      <c r="E73" s="46">
        <v>5</v>
      </c>
      <c r="F73" s="46">
        <v>6</v>
      </c>
      <c r="G73" s="46">
        <v>7</v>
      </c>
      <c r="H73" s="46">
        <v>8</v>
      </c>
      <c r="I73" s="46">
        <v>9</v>
      </c>
      <c r="J73" s="46">
        <v>10</v>
      </c>
      <c r="K73" s="46">
        <v>11</v>
      </c>
      <c r="L73" s="46">
        <v>12</v>
      </c>
    </row>
    <row r="74" spans="1:12">
      <c r="A74" s="28">
        <v>1</v>
      </c>
      <c r="B74" s="28" t="s">
        <v>84</v>
      </c>
      <c r="C74" s="28">
        <v>5212</v>
      </c>
      <c r="D74" s="28">
        <v>5422</v>
      </c>
      <c r="E74" s="28">
        <v>5943</v>
      </c>
      <c r="F74" s="28">
        <v>10805</v>
      </c>
      <c r="G74" s="28">
        <v>7197</v>
      </c>
      <c r="H74" s="28">
        <v>9693</v>
      </c>
      <c r="I74" s="29"/>
      <c r="J74" s="29"/>
      <c r="K74" s="29"/>
      <c r="L74" s="29"/>
    </row>
    <row r="75" spans="1:12">
      <c r="A75" s="28">
        <v>2</v>
      </c>
      <c r="B75" s="28" t="s">
        <v>85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9"/>
      <c r="J75" s="29"/>
      <c r="K75" s="29"/>
      <c r="L75" s="30"/>
    </row>
    <row r="76" spans="1:12">
      <c r="A76" s="28">
        <v>3</v>
      </c>
      <c r="B76" s="28" t="s">
        <v>86</v>
      </c>
      <c r="C76" s="28">
        <v>7</v>
      </c>
      <c r="D76" s="28">
        <v>12</v>
      </c>
      <c r="E76" s="28">
        <v>0</v>
      </c>
      <c r="F76" s="28">
        <v>250</v>
      </c>
      <c r="G76" s="28">
        <v>250</v>
      </c>
      <c r="H76" s="28">
        <v>250</v>
      </c>
      <c r="I76" s="29"/>
      <c r="J76" s="29"/>
      <c r="K76" s="29"/>
      <c r="L76" s="29"/>
    </row>
    <row r="77" spans="1:12">
      <c r="A77" s="28">
        <v>4</v>
      </c>
      <c r="B77" s="28" t="s">
        <v>87</v>
      </c>
      <c r="C77" s="28">
        <v>3</v>
      </c>
      <c r="D77" s="28">
        <v>29</v>
      </c>
      <c r="E77" s="28">
        <v>32</v>
      </c>
      <c r="F77" s="28">
        <v>280</v>
      </c>
      <c r="G77" s="28">
        <v>280</v>
      </c>
      <c r="H77" s="28">
        <v>280</v>
      </c>
      <c r="I77" s="29"/>
      <c r="J77" s="29"/>
      <c r="K77" s="29"/>
      <c r="L77" s="29"/>
    </row>
    <row r="78" spans="1:12">
      <c r="A78" s="28">
        <v>4</v>
      </c>
      <c r="B78" s="28" t="s">
        <v>88</v>
      </c>
      <c r="C78" s="28">
        <v>92</v>
      </c>
      <c r="D78" s="28">
        <v>160</v>
      </c>
      <c r="E78" s="28">
        <v>144</v>
      </c>
      <c r="F78" s="28">
        <v>400</v>
      </c>
      <c r="G78" s="28">
        <v>400</v>
      </c>
      <c r="H78" s="28">
        <v>400</v>
      </c>
      <c r="I78" s="29"/>
      <c r="J78" s="29"/>
      <c r="K78" s="29"/>
      <c r="L78" s="29"/>
    </row>
    <row r="79" spans="1:12">
      <c r="A79" s="28">
        <v>5</v>
      </c>
      <c r="B79" s="28" t="s">
        <v>89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9"/>
      <c r="J79" s="29"/>
      <c r="K79" s="29"/>
      <c r="L79" s="29"/>
    </row>
    <row r="80" spans="1:12">
      <c r="A80" s="28">
        <v>7</v>
      </c>
      <c r="B80" s="28" t="s">
        <v>90</v>
      </c>
      <c r="C80" s="28">
        <v>14</v>
      </c>
      <c r="D80" s="28">
        <v>20</v>
      </c>
      <c r="E80" s="28">
        <v>12</v>
      </c>
      <c r="F80" s="28">
        <v>150</v>
      </c>
      <c r="G80" s="28">
        <v>150</v>
      </c>
      <c r="H80" s="28">
        <v>150</v>
      </c>
      <c r="I80" s="29"/>
      <c r="J80" s="29"/>
      <c r="K80" s="29"/>
      <c r="L80" s="29"/>
    </row>
    <row r="81" spans="1:12">
      <c r="A81" s="28">
        <v>8</v>
      </c>
      <c r="B81" s="28" t="s">
        <v>91</v>
      </c>
      <c r="C81" s="28">
        <v>0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9"/>
      <c r="J81" s="29"/>
      <c r="K81" s="29"/>
      <c r="L81" s="29"/>
    </row>
    <row r="82" spans="1:12">
      <c r="A82" s="5">
        <v>9</v>
      </c>
      <c r="B82" s="28" t="s">
        <v>92</v>
      </c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9"/>
      <c r="J82" s="29"/>
      <c r="K82" s="29"/>
      <c r="L82" s="29"/>
    </row>
    <row r="83" spans="1:12" ht="14.4" thickBot="1">
      <c r="A83" s="31"/>
      <c r="B83" s="10" t="s">
        <v>35</v>
      </c>
      <c r="C83" s="7">
        <f>SUM(C74:C82)</f>
        <v>5328</v>
      </c>
      <c r="D83" s="7">
        <f t="shared" ref="D83:L83" si="2">SUM(D74:D82)</f>
        <v>5643</v>
      </c>
      <c r="E83" s="7">
        <f t="shared" si="2"/>
        <v>6131</v>
      </c>
      <c r="F83" s="7">
        <f t="shared" si="2"/>
        <v>11885</v>
      </c>
      <c r="G83" s="7">
        <f t="shared" si="2"/>
        <v>8277</v>
      </c>
      <c r="H83" s="7">
        <f t="shared" si="2"/>
        <v>10773</v>
      </c>
      <c r="I83" s="7">
        <f t="shared" si="2"/>
        <v>0</v>
      </c>
      <c r="J83" s="7">
        <f t="shared" si="2"/>
        <v>0</v>
      </c>
      <c r="K83" s="7">
        <f t="shared" si="2"/>
        <v>0</v>
      </c>
      <c r="L83" s="7">
        <f t="shared" si="2"/>
        <v>0</v>
      </c>
    </row>
    <row r="84" spans="1:12" ht="14.4" thickTop="1">
      <c r="A84" s="32"/>
      <c r="B84" s="33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>
      <c r="A85" s="105" t="str">
        <f>$A$1</f>
        <v>प्रपत्र - अ  -  अर्थसंकल्पीय अंदाजपत्रक सन 2021-2022</v>
      </c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</row>
    <row r="86" spans="1:12">
      <c r="A86" s="105" t="s">
        <v>18</v>
      </c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</row>
    <row r="87" spans="1:12">
      <c r="A87" s="148" t="s">
        <v>25</v>
      </c>
      <c r="B87" s="148"/>
      <c r="C87" s="148"/>
      <c r="D87" s="26"/>
      <c r="E87" s="26"/>
      <c r="F87" s="26"/>
      <c r="G87" s="26"/>
      <c r="H87" s="26"/>
      <c r="I87" s="26"/>
      <c r="J87" s="26"/>
      <c r="K87" s="26"/>
      <c r="L87" s="27" t="s">
        <v>47</v>
      </c>
    </row>
    <row r="88" spans="1:12" ht="42" customHeight="1">
      <c r="A88" s="109" t="s">
        <v>81</v>
      </c>
      <c r="B88" s="109" t="s">
        <v>83</v>
      </c>
      <c r="C88" s="147" t="s">
        <v>93</v>
      </c>
      <c r="D88" s="147"/>
      <c r="E88" s="147"/>
      <c r="F88" s="47" t="s">
        <v>94</v>
      </c>
      <c r="G88" s="109" t="s">
        <v>138</v>
      </c>
      <c r="H88" s="147" t="s">
        <v>139</v>
      </c>
      <c r="I88" s="147"/>
      <c r="J88" s="147"/>
      <c r="K88" s="147"/>
      <c r="L88" s="109" t="s">
        <v>99</v>
      </c>
    </row>
    <row r="89" spans="1:12" ht="41.4">
      <c r="A89" s="146"/>
      <c r="B89" s="146"/>
      <c r="C89" s="47" t="s">
        <v>116</v>
      </c>
      <c r="D89" s="47" t="s">
        <v>118</v>
      </c>
      <c r="E89" s="47" t="s">
        <v>120</v>
      </c>
      <c r="F89" s="47" t="s">
        <v>128</v>
      </c>
      <c r="G89" s="146"/>
      <c r="H89" s="47" t="s">
        <v>95</v>
      </c>
      <c r="I89" s="47" t="s">
        <v>96</v>
      </c>
      <c r="J89" s="47" t="s">
        <v>97</v>
      </c>
      <c r="K89" s="47" t="s">
        <v>98</v>
      </c>
      <c r="L89" s="146"/>
    </row>
    <row r="90" spans="1:12">
      <c r="A90" s="46">
        <v>1</v>
      </c>
      <c r="B90" s="46">
        <v>2</v>
      </c>
      <c r="C90" s="46">
        <v>3</v>
      </c>
      <c r="D90" s="46">
        <v>4</v>
      </c>
      <c r="E90" s="46">
        <v>5</v>
      </c>
      <c r="F90" s="46">
        <v>6</v>
      </c>
      <c r="G90" s="46">
        <v>7</v>
      </c>
      <c r="H90" s="46">
        <v>8</v>
      </c>
      <c r="I90" s="46">
        <v>9</v>
      </c>
      <c r="J90" s="46">
        <v>10</v>
      </c>
      <c r="K90" s="46">
        <v>11</v>
      </c>
      <c r="L90" s="46">
        <v>12</v>
      </c>
    </row>
    <row r="91" spans="1:12">
      <c r="A91" s="28">
        <v>1</v>
      </c>
      <c r="B91" s="28" t="s">
        <v>84</v>
      </c>
      <c r="C91" s="28">
        <v>853</v>
      </c>
      <c r="D91" s="28">
        <v>876</v>
      </c>
      <c r="E91" s="28">
        <v>1055</v>
      </c>
      <c r="F91" s="28">
        <v>2966</v>
      </c>
      <c r="G91" s="28"/>
      <c r="H91" s="28">
        <v>2760</v>
      </c>
      <c r="I91" s="29"/>
      <c r="J91" s="29"/>
      <c r="K91" s="29"/>
      <c r="L91" s="29"/>
    </row>
    <row r="92" spans="1:12">
      <c r="A92" s="28">
        <v>2</v>
      </c>
      <c r="B92" s="28" t="s">
        <v>85</v>
      </c>
      <c r="C92" s="28">
        <v>0</v>
      </c>
      <c r="D92" s="28">
        <v>0</v>
      </c>
      <c r="E92" s="28">
        <v>0</v>
      </c>
      <c r="F92" s="28">
        <v>0</v>
      </c>
      <c r="G92" s="28"/>
      <c r="H92" s="28">
        <v>0</v>
      </c>
      <c r="I92" s="29"/>
      <c r="J92" s="29"/>
      <c r="K92" s="29"/>
      <c r="L92" s="30"/>
    </row>
    <row r="93" spans="1:12">
      <c r="A93" s="28">
        <v>3</v>
      </c>
      <c r="B93" s="28" t="s">
        <v>86</v>
      </c>
      <c r="C93" s="28">
        <v>10</v>
      </c>
      <c r="D93" s="28">
        <v>0</v>
      </c>
      <c r="E93" s="28">
        <v>0</v>
      </c>
      <c r="F93" s="28">
        <v>10</v>
      </c>
      <c r="G93" s="28"/>
      <c r="H93" s="28">
        <v>0</v>
      </c>
      <c r="I93" s="29"/>
      <c r="J93" s="29"/>
      <c r="K93" s="29"/>
      <c r="L93" s="29"/>
    </row>
    <row r="94" spans="1:12">
      <c r="A94" s="28">
        <v>4</v>
      </c>
      <c r="B94" s="28" t="s">
        <v>87</v>
      </c>
      <c r="C94" s="28">
        <v>4</v>
      </c>
      <c r="D94" s="28">
        <v>4</v>
      </c>
      <c r="E94" s="28">
        <v>0</v>
      </c>
      <c r="F94" s="28">
        <v>30</v>
      </c>
      <c r="G94" s="28"/>
      <c r="H94" s="28">
        <v>10</v>
      </c>
      <c r="I94" s="29"/>
      <c r="J94" s="29"/>
      <c r="K94" s="29"/>
      <c r="L94" s="29"/>
    </row>
    <row r="95" spans="1:12">
      <c r="A95" s="28">
        <v>4</v>
      </c>
      <c r="B95" s="28" t="s">
        <v>88</v>
      </c>
      <c r="C95" s="28">
        <v>58</v>
      </c>
      <c r="D95" s="28">
        <v>27</v>
      </c>
      <c r="E95" s="28">
        <v>43</v>
      </c>
      <c r="F95" s="28">
        <v>120</v>
      </c>
      <c r="G95" s="28"/>
      <c r="H95" s="28">
        <v>50</v>
      </c>
      <c r="I95" s="29"/>
      <c r="J95" s="29"/>
      <c r="K95" s="29"/>
      <c r="L95" s="29"/>
    </row>
    <row r="96" spans="1:12">
      <c r="A96" s="28">
        <v>5</v>
      </c>
      <c r="B96" s="28" t="s">
        <v>89</v>
      </c>
      <c r="C96" s="28">
        <v>0</v>
      </c>
      <c r="D96" s="28">
        <v>0</v>
      </c>
      <c r="E96" s="28">
        <v>0</v>
      </c>
      <c r="F96" s="28">
        <v>0</v>
      </c>
      <c r="G96" s="28"/>
      <c r="H96" s="28">
        <v>0</v>
      </c>
      <c r="I96" s="29"/>
      <c r="J96" s="29"/>
      <c r="K96" s="29"/>
      <c r="L96" s="29"/>
    </row>
    <row r="97" spans="1:12">
      <c r="A97" s="28">
        <v>7</v>
      </c>
      <c r="B97" s="28" t="s">
        <v>90</v>
      </c>
      <c r="C97" s="28">
        <v>6</v>
      </c>
      <c r="D97" s="28">
        <v>4</v>
      </c>
      <c r="E97" s="28">
        <v>7</v>
      </c>
      <c r="F97" s="28">
        <v>40</v>
      </c>
      <c r="G97" s="28"/>
      <c r="H97" s="28">
        <v>20</v>
      </c>
      <c r="I97" s="29"/>
      <c r="J97" s="29"/>
      <c r="K97" s="29"/>
      <c r="L97" s="29"/>
    </row>
    <row r="98" spans="1:12">
      <c r="A98" s="28">
        <v>8</v>
      </c>
      <c r="B98" s="28" t="s">
        <v>91</v>
      </c>
      <c r="C98" s="28">
        <v>0</v>
      </c>
      <c r="D98" s="28">
        <v>0</v>
      </c>
      <c r="E98" s="28">
        <v>0</v>
      </c>
      <c r="F98" s="28">
        <v>0</v>
      </c>
      <c r="G98" s="28"/>
      <c r="H98" s="28">
        <v>0</v>
      </c>
      <c r="I98" s="29"/>
      <c r="J98" s="29"/>
      <c r="K98" s="29"/>
      <c r="L98" s="29"/>
    </row>
    <row r="99" spans="1:12">
      <c r="A99" s="5">
        <v>9</v>
      </c>
      <c r="B99" s="28" t="s">
        <v>92</v>
      </c>
      <c r="C99" s="28">
        <v>0</v>
      </c>
      <c r="D99" s="28">
        <v>0</v>
      </c>
      <c r="E99" s="28">
        <v>0</v>
      </c>
      <c r="F99" s="28">
        <v>0</v>
      </c>
      <c r="G99" s="28"/>
      <c r="H99" s="28">
        <v>0</v>
      </c>
      <c r="I99" s="29"/>
      <c r="J99" s="29"/>
      <c r="K99" s="29"/>
      <c r="L99" s="29"/>
    </row>
    <row r="100" spans="1:12" ht="14.4" thickBot="1">
      <c r="A100" s="31"/>
      <c r="B100" s="10" t="s">
        <v>35</v>
      </c>
      <c r="C100" s="7">
        <f>SUM(C91:C99)</f>
        <v>931</v>
      </c>
      <c r="D100" s="7">
        <f t="shared" ref="D100:L100" si="3">SUM(D91:D99)</f>
        <v>911</v>
      </c>
      <c r="E100" s="7">
        <f t="shared" si="3"/>
        <v>1105</v>
      </c>
      <c r="F100" s="7">
        <f t="shared" si="3"/>
        <v>3166</v>
      </c>
      <c r="G100" s="7">
        <f t="shared" si="3"/>
        <v>0</v>
      </c>
      <c r="H100" s="7">
        <f t="shared" si="3"/>
        <v>2840</v>
      </c>
      <c r="I100" s="7">
        <f t="shared" si="3"/>
        <v>0</v>
      </c>
      <c r="J100" s="7">
        <f t="shared" si="3"/>
        <v>0</v>
      </c>
      <c r="K100" s="7">
        <f t="shared" si="3"/>
        <v>0</v>
      </c>
      <c r="L100" s="7">
        <f t="shared" si="3"/>
        <v>0</v>
      </c>
    </row>
    <row r="101" spans="1:12" ht="14.4" thickTop="1">
      <c r="A101" s="32"/>
      <c r="B101" s="33"/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spans="1:12">
      <c r="A102" s="105" t="str">
        <f>$A$1</f>
        <v>प्रपत्र - अ  -  अर्थसंकल्पीय अंदाजपत्रक सन 2021-2022</v>
      </c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</row>
    <row r="103" spans="1:12">
      <c r="A103" s="105" t="s">
        <v>18</v>
      </c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</row>
    <row r="104" spans="1:12">
      <c r="A104" s="148" t="s">
        <v>82</v>
      </c>
      <c r="B104" s="148"/>
      <c r="C104" s="148"/>
      <c r="D104" s="26"/>
      <c r="E104" s="26"/>
      <c r="F104" s="26"/>
      <c r="G104" s="26"/>
      <c r="H104" s="26"/>
      <c r="I104" s="26"/>
      <c r="J104" s="26"/>
      <c r="K104" s="26"/>
      <c r="L104" s="27" t="s">
        <v>47</v>
      </c>
    </row>
    <row r="105" spans="1:12" ht="42" customHeight="1">
      <c r="A105" s="109" t="s">
        <v>81</v>
      </c>
      <c r="B105" s="109" t="s">
        <v>83</v>
      </c>
      <c r="C105" s="147" t="s">
        <v>93</v>
      </c>
      <c r="D105" s="147"/>
      <c r="E105" s="147"/>
      <c r="F105" s="47" t="s">
        <v>94</v>
      </c>
      <c r="G105" s="109" t="s">
        <v>138</v>
      </c>
      <c r="H105" s="147" t="s">
        <v>139</v>
      </c>
      <c r="I105" s="147"/>
      <c r="J105" s="147"/>
      <c r="K105" s="147"/>
      <c r="L105" s="109" t="s">
        <v>99</v>
      </c>
    </row>
    <row r="106" spans="1:12" ht="41.4">
      <c r="A106" s="146"/>
      <c r="B106" s="146"/>
      <c r="C106" s="47" t="s">
        <v>116</v>
      </c>
      <c r="D106" s="47" t="s">
        <v>118</v>
      </c>
      <c r="E106" s="47" t="s">
        <v>120</v>
      </c>
      <c r="F106" s="47" t="s">
        <v>128</v>
      </c>
      <c r="G106" s="146"/>
      <c r="H106" s="47" t="s">
        <v>95</v>
      </c>
      <c r="I106" s="47" t="s">
        <v>96</v>
      </c>
      <c r="J106" s="47" t="s">
        <v>97</v>
      </c>
      <c r="K106" s="47" t="s">
        <v>98</v>
      </c>
      <c r="L106" s="146"/>
    </row>
    <row r="107" spans="1:12">
      <c r="A107" s="46">
        <v>1</v>
      </c>
      <c r="B107" s="46">
        <v>2</v>
      </c>
      <c r="C107" s="46">
        <v>3</v>
      </c>
      <c r="D107" s="46">
        <v>4</v>
      </c>
      <c r="E107" s="46">
        <v>5</v>
      </c>
      <c r="F107" s="46">
        <v>6</v>
      </c>
      <c r="G107" s="46">
        <v>7</v>
      </c>
      <c r="H107" s="46">
        <v>8</v>
      </c>
      <c r="I107" s="46">
        <v>9</v>
      </c>
      <c r="J107" s="46">
        <v>10</v>
      </c>
      <c r="K107" s="46">
        <v>11</v>
      </c>
      <c r="L107" s="46">
        <v>12</v>
      </c>
    </row>
    <row r="108" spans="1:12">
      <c r="A108" s="28">
        <v>1</v>
      </c>
      <c r="B108" s="28" t="s">
        <v>84</v>
      </c>
      <c r="C108" s="28">
        <v>271</v>
      </c>
      <c r="D108" s="28">
        <v>279</v>
      </c>
      <c r="E108" s="28">
        <v>397</v>
      </c>
      <c r="F108" s="28">
        <v>520</v>
      </c>
      <c r="G108" s="28">
        <v>520</v>
      </c>
      <c r="H108" s="28">
        <v>532</v>
      </c>
      <c r="I108" s="29"/>
      <c r="J108" s="29"/>
      <c r="K108" s="29"/>
      <c r="L108" s="29"/>
    </row>
    <row r="109" spans="1:12">
      <c r="A109" s="28">
        <v>2</v>
      </c>
      <c r="B109" s="28" t="s">
        <v>85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9"/>
      <c r="J109" s="29"/>
      <c r="K109" s="29"/>
      <c r="L109" s="30"/>
    </row>
    <row r="110" spans="1:12">
      <c r="A110" s="28">
        <v>3</v>
      </c>
      <c r="B110" s="28" t="s">
        <v>86</v>
      </c>
      <c r="C110" s="28">
        <v>0</v>
      </c>
      <c r="D110" s="28">
        <v>0</v>
      </c>
      <c r="E110" s="28">
        <v>0</v>
      </c>
      <c r="F110" s="28">
        <v>0</v>
      </c>
      <c r="G110" s="28">
        <v>0</v>
      </c>
      <c r="H110" s="28">
        <v>0</v>
      </c>
      <c r="I110" s="29"/>
      <c r="J110" s="29"/>
      <c r="K110" s="29"/>
      <c r="L110" s="29"/>
    </row>
    <row r="111" spans="1:12">
      <c r="A111" s="28">
        <v>4</v>
      </c>
      <c r="B111" s="28" t="s">
        <v>87</v>
      </c>
      <c r="C111" s="28">
        <v>0</v>
      </c>
      <c r="D111" s="28">
        <v>6</v>
      </c>
      <c r="E111" s="28">
        <v>3</v>
      </c>
      <c r="F111" s="28">
        <v>30</v>
      </c>
      <c r="G111" s="28">
        <v>30</v>
      </c>
      <c r="H111" s="28">
        <v>30</v>
      </c>
      <c r="I111" s="29"/>
      <c r="J111" s="29"/>
      <c r="K111" s="29"/>
      <c r="L111" s="29"/>
    </row>
    <row r="112" spans="1:12">
      <c r="A112" s="28">
        <v>4</v>
      </c>
      <c r="B112" s="28" t="s">
        <v>88</v>
      </c>
      <c r="C112" s="28">
        <v>25</v>
      </c>
      <c r="D112" s="28">
        <v>16</v>
      </c>
      <c r="E112" s="28">
        <v>15</v>
      </c>
      <c r="F112" s="28">
        <v>40</v>
      </c>
      <c r="G112" s="28">
        <v>40</v>
      </c>
      <c r="H112" s="28">
        <v>40</v>
      </c>
      <c r="I112" s="29"/>
      <c r="J112" s="29"/>
      <c r="K112" s="29"/>
      <c r="L112" s="29"/>
    </row>
    <row r="113" spans="1:12">
      <c r="A113" s="28">
        <v>5</v>
      </c>
      <c r="B113" s="28" t="s">
        <v>89</v>
      </c>
      <c r="C113" s="28">
        <v>0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9"/>
      <c r="J113" s="29"/>
      <c r="K113" s="29"/>
      <c r="L113" s="29"/>
    </row>
    <row r="114" spans="1:12">
      <c r="A114" s="28">
        <v>7</v>
      </c>
      <c r="B114" s="28" t="s">
        <v>90</v>
      </c>
      <c r="C114" s="28">
        <v>0</v>
      </c>
      <c r="D114" s="28">
        <v>0</v>
      </c>
      <c r="E114" s="28">
        <v>3</v>
      </c>
      <c r="F114" s="28">
        <v>0</v>
      </c>
      <c r="G114" s="28">
        <v>0</v>
      </c>
      <c r="H114" s="28">
        <v>0</v>
      </c>
      <c r="I114" s="29"/>
      <c r="J114" s="29"/>
      <c r="K114" s="29"/>
      <c r="L114" s="29"/>
    </row>
    <row r="115" spans="1:12">
      <c r="A115" s="28">
        <v>8</v>
      </c>
      <c r="B115" s="28" t="s">
        <v>91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  <c r="I115" s="29"/>
      <c r="J115" s="29"/>
      <c r="K115" s="29"/>
      <c r="L115" s="29"/>
    </row>
    <row r="116" spans="1:12">
      <c r="A116" s="5">
        <v>9</v>
      </c>
      <c r="B116" s="28" t="s">
        <v>92</v>
      </c>
      <c r="C116" s="28">
        <v>0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9"/>
      <c r="J116" s="29"/>
      <c r="K116" s="29"/>
      <c r="L116" s="29"/>
    </row>
    <row r="117" spans="1:12" ht="14.4" thickBot="1">
      <c r="A117" s="31"/>
      <c r="B117" s="10" t="s">
        <v>35</v>
      </c>
      <c r="C117" s="7">
        <f>SUM(C108:C116)</f>
        <v>296</v>
      </c>
      <c r="D117" s="7">
        <f>SUM(D108:D116)</f>
        <v>301</v>
      </c>
      <c r="E117" s="7">
        <f t="shared" ref="E117:L117" si="4">SUM(E108:E116)</f>
        <v>418</v>
      </c>
      <c r="F117" s="7">
        <f t="shared" si="4"/>
        <v>590</v>
      </c>
      <c r="G117" s="7">
        <f t="shared" si="4"/>
        <v>590</v>
      </c>
      <c r="H117" s="7">
        <f t="shared" si="4"/>
        <v>602</v>
      </c>
      <c r="I117" s="7">
        <f t="shared" si="4"/>
        <v>0</v>
      </c>
      <c r="J117" s="7">
        <f t="shared" si="4"/>
        <v>0</v>
      </c>
      <c r="K117" s="7">
        <f t="shared" si="4"/>
        <v>0</v>
      </c>
      <c r="L117" s="7">
        <f t="shared" si="4"/>
        <v>0</v>
      </c>
    </row>
    <row r="118" spans="1:12" ht="14.4" thickTop="1">
      <c r="A118" s="32"/>
      <c r="B118" s="33"/>
      <c r="C118" s="32"/>
      <c r="D118" s="32"/>
      <c r="E118" s="32"/>
      <c r="F118" s="32"/>
      <c r="G118" s="32"/>
      <c r="H118" s="32"/>
      <c r="I118" s="32"/>
      <c r="J118" s="32"/>
      <c r="K118" s="32"/>
      <c r="L118" s="32"/>
    </row>
    <row r="119" spans="1:12">
      <c r="A119" s="105" t="str">
        <f>$A$1</f>
        <v>प्रपत्र - अ  -  अर्थसंकल्पीय अंदाजपत्रक सन 2021-2022</v>
      </c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</row>
    <row r="120" spans="1:12">
      <c r="A120" s="105" t="s">
        <v>18</v>
      </c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</row>
    <row r="121" spans="1:12">
      <c r="A121" s="148" t="s">
        <v>27</v>
      </c>
      <c r="B121" s="148"/>
      <c r="C121" s="148"/>
      <c r="D121" s="26"/>
      <c r="E121" s="26"/>
      <c r="F121" s="26"/>
      <c r="G121" s="26"/>
      <c r="H121" s="26"/>
      <c r="I121" s="26"/>
      <c r="J121" s="26"/>
      <c r="K121" s="26"/>
      <c r="L121" s="27" t="s">
        <v>47</v>
      </c>
    </row>
    <row r="122" spans="1:12" ht="42" customHeight="1">
      <c r="A122" s="109" t="s">
        <v>81</v>
      </c>
      <c r="B122" s="109" t="s">
        <v>83</v>
      </c>
      <c r="C122" s="147" t="s">
        <v>93</v>
      </c>
      <c r="D122" s="147"/>
      <c r="E122" s="147"/>
      <c r="F122" s="47" t="s">
        <v>94</v>
      </c>
      <c r="G122" s="109" t="s">
        <v>138</v>
      </c>
      <c r="H122" s="147" t="s">
        <v>139</v>
      </c>
      <c r="I122" s="147"/>
      <c r="J122" s="147"/>
      <c r="K122" s="147"/>
      <c r="L122" s="109" t="s">
        <v>99</v>
      </c>
    </row>
    <row r="123" spans="1:12" ht="41.4">
      <c r="A123" s="146"/>
      <c r="B123" s="146"/>
      <c r="C123" s="47" t="s">
        <v>116</v>
      </c>
      <c r="D123" s="47" t="s">
        <v>118</v>
      </c>
      <c r="E123" s="47" t="s">
        <v>120</v>
      </c>
      <c r="F123" s="47" t="s">
        <v>128</v>
      </c>
      <c r="G123" s="146"/>
      <c r="H123" s="47" t="s">
        <v>95</v>
      </c>
      <c r="I123" s="47" t="s">
        <v>96</v>
      </c>
      <c r="J123" s="47" t="s">
        <v>97</v>
      </c>
      <c r="K123" s="47" t="s">
        <v>98</v>
      </c>
      <c r="L123" s="146"/>
    </row>
    <row r="124" spans="1:12">
      <c r="A124" s="46">
        <v>1</v>
      </c>
      <c r="B124" s="46">
        <v>2</v>
      </c>
      <c r="C124" s="46">
        <v>3</v>
      </c>
      <c r="D124" s="46">
        <v>4</v>
      </c>
      <c r="E124" s="46">
        <v>5</v>
      </c>
      <c r="F124" s="46">
        <v>6</v>
      </c>
      <c r="G124" s="46">
        <v>7</v>
      </c>
      <c r="H124" s="46">
        <v>8</v>
      </c>
      <c r="I124" s="46">
        <v>9</v>
      </c>
      <c r="J124" s="46">
        <v>10</v>
      </c>
      <c r="K124" s="46">
        <v>11</v>
      </c>
      <c r="L124" s="46">
        <v>12</v>
      </c>
    </row>
    <row r="125" spans="1:12">
      <c r="A125" s="28">
        <v>1</v>
      </c>
      <c r="B125" s="28" t="s">
        <v>84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</row>
    <row r="126" spans="1:12">
      <c r="A126" s="28">
        <v>2</v>
      </c>
      <c r="B126" s="28" t="s">
        <v>85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30"/>
    </row>
    <row r="127" spans="1:12">
      <c r="A127" s="28">
        <v>3</v>
      </c>
      <c r="B127" s="28" t="s">
        <v>86</v>
      </c>
      <c r="C127" s="29"/>
      <c r="D127" s="29"/>
      <c r="E127" s="29"/>
      <c r="F127" s="29"/>
      <c r="G127" s="29"/>
      <c r="H127" s="29"/>
      <c r="I127" s="29"/>
      <c r="J127" s="29"/>
      <c r="K127" s="29"/>
      <c r="L127" s="29"/>
    </row>
    <row r="128" spans="1:12">
      <c r="A128" s="28">
        <v>4</v>
      </c>
      <c r="B128" s="28" t="s">
        <v>87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29"/>
    </row>
    <row r="129" spans="1:12">
      <c r="A129" s="28">
        <v>4</v>
      </c>
      <c r="B129" s="28" t="s">
        <v>88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</row>
    <row r="130" spans="1:12">
      <c r="A130" s="28">
        <v>5</v>
      </c>
      <c r="B130" s="28" t="s">
        <v>89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29"/>
    </row>
    <row r="131" spans="1:12">
      <c r="A131" s="28">
        <v>7</v>
      </c>
      <c r="B131" s="28" t="s">
        <v>90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</row>
    <row r="132" spans="1:12">
      <c r="A132" s="28">
        <v>8</v>
      </c>
      <c r="B132" s="28" t="s">
        <v>91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</row>
    <row r="133" spans="1:12">
      <c r="A133" s="5">
        <v>9</v>
      </c>
      <c r="B133" s="28" t="s">
        <v>92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29"/>
    </row>
    <row r="134" spans="1:12" ht="14.4" thickBot="1">
      <c r="A134" s="31"/>
      <c r="B134" s="10" t="s">
        <v>35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</row>
    <row r="135" spans="1:12" ht="14.4" thickTop="1">
      <c r="A135" s="32"/>
      <c r="B135" s="33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spans="1:12">
      <c r="A136" s="105" t="str">
        <f>$A$1</f>
        <v>प्रपत्र - अ  -  अर्थसंकल्पीय अंदाजपत्रक सन 2021-2022</v>
      </c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</row>
    <row r="137" spans="1:12">
      <c r="A137" s="105" t="s">
        <v>18</v>
      </c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</row>
    <row r="138" spans="1:12">
      <c r="A138" s="149" t="s">
        <v>28</v>
      </c>
      <c r="B138" s="149"/>
      <c r="C138" s="149"/>
      <c r="D138" s="26"/>
      <c r="E138" s="26"/>
      <c r="F138" s="26"/>
      <c r="G138" s="26"/>
      <c r="H138" s="26"/>
      <c r="I138" s="26"/>
      <c r="J138" s="26"/>
      <c r="K138" s="26"/>
      <c r="L138" s="27" t="s">
        <v>47</v>
      </c>
    </row>
    <row r="139" spans="1:12" ht="58.5" customHeight="1">
      <c r="A139" s="109" t="s">
        <v>81</v>
      </c>
      <c r="B139" s="109" t="s">
        <v>83</v>
      </c>
      <c r="C139" s="147" t="s">
        <v>93</v>
      </c>
      <c r="D139" s="147"/>
      <c r="E139" s="147"/>
      <c r="F139" s="47" t="s">
        <v>94</v>
      </c>
      <c r="G139" s="109" t="s">
        <v>138</v>
      </c>
      <c r="H139" s="147" t="s">
        <v>139</v>
      </c>
      <c r="I139" s="147"/>
      <c r="J139" s="147"/>
      <c r="K139" s="147"/>
      <c r="L139" s="109" t="s">
        <v>99</v>
      </c>
    </row>
    <row r="140" spans="1:12" ht="41.4">
      <c r="A140" s="146"/>
      <c r="B140" s="146"/>
      <c r="C140" s="47" t="s">
        <v>116</v>
      </c>
      <c r="D140" s="47" t="s">
        <v>118</v>
      </c>
      <c r="E140" s="47" t="s">
        <v>120</v>
      </c>
      <c r="F140" s="47" t="s">
        <v>128</v>
      </c>
      <c r="G140" s="146"/>
      <c r="H140" s="47" t="s">
        <v>95</v>
      </c>
      <c r="I140" s="47" t="s">
        <v>96</v>
      </c>
      <c r="J140" s="47" t="s">
        <v>97</v>
      </c>
      <c r="K140" s="47" t="s">
        <v>98</v>
      </c>
      <c r="L140" s="146"/>
    </row>
    <row r="141" spans="1:12">
      <c r="A141" s="46">
        <v>1</v>
      </c>
      <c r="B141" s="46">
        <v>2</v>
      </c>
      <c r="C141" s="46">
        <v>3</v>
      </c>
      <c r="D141" s="46">
        <v>4</v>
      </c>
      <c r="E141" s="46">
        <v>5</v>
      </c>
      <c r="F141" s="46">
        <v>6</v>
      </c>
      <c r="G141" s="46">
        <v>7</v>
      </c>
      <c r="H141" s="46">
        <v>8</v>
      </c>
      <c r="I141" s="46">
        <v>9</v>
      </c>
      <c r="J141" s="46">
        <v>10</v>
      </c>
      <c r="K141" s="46">
        <v>11</v>
      </c>
      <c r="L141" s="46">
        <v>12</v>
      </c>
    </row>
    <row r="142" spans="1:12">
      <c r="A142" s="28">
        <v>1</v>
      </c>
      <c r="B142" s="28" t="s">
        <v>84</v>
      </c>
      <c r="C142" s="28">
        <f>SUM(C7+C24+C41+C57+C74+C91+C108+C125)</f>
        <v>6877</v>
      </c>
      <c r="D142" s="28">
        <f t="shared" ref="D142:K142" si="5">SUM(D7+D24+D41+D57+D74+D91+D108+D125)</f>
        <v>7619</v>
      </c>
      <c r="E142" s="28">
        <f t="shared" si="5"/>
        <v>9680</v>
      </c>
      <c r="F142" s="28">
        <f>SUM(F7+F24+F41+F57+F74+F91+F108+F125)</f>
        <v>17661</v>
      </c>
      <c r="G142" s="28">
        <f t="shared" si="5"/>
        <v>11067</v>
      </c>
      <c r="H142" s="28">
        <f>SUM(H7+H24+H41+H57+H74+H91+H108+H125)</f>
        <v>17003</v>
      </c>
      <c r="I142" s="28">
        <f t="shared" si="5"/>
        <v>0</v>
      </c>
      <c r="J142" s="28">
        <f t="shared" si="5"/>
        <v>0</v>
      </c>
      <c r="K142" s="28">
        <f t="shared" si="5"/>
        <v>0</v>
      </c>
      <c r="L142" s="29"/>
    </row>
    <row r="143" spans="1:12">
      <c r="A143" s="28">
        <v>2</v>
      </c>
      <c r="B143" s="28" t="s">
        <v>85</v>
      </c>
      <c r="C143" s="28">
        <f t="shared" ref="C143:K143" si="6">SUM(C8+C25+C42+C58+C75+C92+C109+C126)</f>
        <v>0</v>
      </c>
      <c r="D143" s="28">
        <f t="shared" si="6"/>
        <v>0</v>
      </c>
      <c r="E143" s="28">
        <f t="shared" si="6"/>
        <v>0</v>
      </c>
      <c r="F143" s="28">
        <f t="shared" si="6"/>
        <v>0</v>
      </c>
      <c r="G143" s="28">
        <f t="shared" si="6"/>
        <v>0</v>
      </c>
      <c r="H143" s="28">
        <f t="shared" si="6"/>
        <v>0</v>
      </c>
      <c r="I143" s="28">
        <f t="shared" si="6"/>
        <v>0</v>
      </c>
      <c r="J143" s="28">
        <f t="shared" si="6"/>
        <v>0</v>
      </c>
      <c r="K143" s="28">
        <f t="shared" si="6"/>
        <v>0</v>
      </c>
      <c r="L143" s="30"/>
    </row>
    <row r="144" spans="1:12">
      <c r="A144" s="28">
        <v>3</v>
      </c>
      <c r="B144" s="28" t="s">
        <v>86</v>
      </c>
      <c r="C144" s="28">
        <f t="shared" ref="C144:K144" si="7">SUM(C9+C26+C43+C59+C76+C93+C110+C127)</f>
        <v>17</v>
      </c>
      <c r="D144" s="28">
        <f t="shared" si="7"/>
        <v>12</v>
      </c>
      <c r="E144" s="28">
        <f t="shared" si="7"/>
        <v>0</v>
      </c>
      <c r="F144" s="28">
        <f t="shared" si="7"/>
        <v>350</v>
      </c>
      <c r="G144" s="28">
        <f t="shared" si="7"/>
        <v>310</v>
      </c>
      <c r="H144" s="28">
        <f t="shared" si="7"/>
        <v>310</v>
      </c>
      <c r="I144" s="28">
        <f t="shared" si="7"/>
        <v>0</v>
      </c>
      <c r="J144" s="28">
        <f t="shared" si="7"/>
        <v>0</v>
      </c>
      <c r="K144" s="28">
        <f t="shared" si="7"/>
        <v>0</v>
      </c>
      <c r="L144" s="29"/>
    </row>
    <row r="145" spans="1:12">
      <c r="A145" s="28">
        <v>4</v>
      </c>
      <c r="B145" s="28" t="s">
        <v>87</v>
      </c>
      <c r="C145" s="28">
        <f t="shared" ref="C145:K145" si="8">SUM(C10+C27+C44+C60+C77+C94+C111+C128)</f>
        <v>10</v>
      </c>
      <c r="D145" s="28">
        <f t="shared" si="8"/>
        <v>43</v>
      </c>
      <c r="E145" s="28">
        <f t="shared" si="8"/>
        <v>37</v>
      </c>
      <c r="F145" s="28">
        <f t="shared" si="8"/>
        <v>430</v>
      </c>
      <c r="G145" s="28">
        <f t="shared" si="8"/>
        <v>375</v>
      </c>
      <c r="H145" s="28">
        <f t="shared" si="8"/>
        <v>385</v>
      </c>
      <c r="I145" s="28">
        <f t="shared" si="8"/>
        <v>0</v>
      </c>
      <c r="J145" s="28">
        <f t="shared" si="8"/>
        <v>0</v>
      </c>
      <c r="K145" s="28">
        <f t="shared" si="8"/>
        <v>0</v>
      </c>
      <c r="L145" s="29"/>
    </row>
    <row r="146" spans="1:12">
      <c r="A146" s="28">
        <v>4</v>
      </c>
      <c r="B146" s="28" t="s">
        <v>88</v>
      </c>
      <c r="C146" s="28">
        <f t="shared" ref="C146:K146" si="9">SUM(C11+C28+C45+C61+C78+C95+C112+C129)</f>
        <v>218</v>
      </c>
      <c r="D146" s="28">
        <f t="shared" si="9"/>
        <v>246</v>
      </c>
      <c r="E146" s="28">
        <f t="shared" si="9"/>
        <v>231</v>
      </c>
      <c r="F146" s="28">
        <f t="shared" si="9"/>
        <v>701</v>
      </c>
      <c r="G146" s="28">
        <f t="shared" si="9"/>
        <v>541</v>
      </c>
      <c r="H146" s="28">
        <f t="shared" si="9"/>
        <v>601</v>
      </c>
      <c r="I146" s="28">
        <f t="shared" si="9"/>
        <v>0</v>
      </c>
      <c r="J146" s="28">
        <f t="shared" si="9"/>
        <v>0</v>
      </c>
      <c r="K146" s="28">
        <f t="shared" si="9"/>
        <v>0</v>
      </c>
      <c r="L146" s="29"/>
    </row>
    <row r="147" spans="1:12">
      <c r="A147" s="28">
        <v>5</v>
      </c>
      <c r="B147" s="28" t="s">
        <v>89</v>
      </c>
      <c r="C147" s="28">
        <f t="shared" ref="C147:K147" si="10">SUM(C12+C29+C46+C62+C79+C96+C113+C130)</f>
        <v>0</v>
      </c>
      <c r="D147" s="28">
        <f t="shared" si="10"/>
        <v>0</v>
      </c>
      <c r="E147" s="28">
        <f t="shared" si="10"/>
        <v>0</v>
      </c>
      <c r="F147" s="28">
        <f t="shared" si="10"/>
        <v>0</v>
      </c>
      <c r="G147" s="28">
        <f t="shared" si="10"/>
        <v>0</v>
      </c>
      <c r="H147" s="28">
        <f t="shared" si="10"/>
        <v>0</v>
      </c>
      <c r="I147" s="28">
        <f t="shared" si="10"/>
        <v>0</v>
      </c>
      <c r="J147" s="28">
        <f t="shared" si="10"/>
        <v>0</v>
      </c>
      <c r="K147" s="28">
        <f t="shared" si="10"/>
        <v>0</v>
      </c>
      <c r="L147" s="29"/>
    </row>
    <row r="148" spans="1:12">
      <c r="A148" s="28">
        <v>7</v>
      </c>
      <c r="B148" s="28" t="s">
        <v>90</v>
      </c>
      <c r="C148" s="28">
        <f t="shared" ref="C148:K148" si="11">SUM(C13+C30+C47+C63+C80+C97+C114+C131)</f>
        <v>21</v>
      </c>
      <c r="D148" s="28">
        <f t="shared" si="11"/>
        <v>34</v>
      </c>
      <c r="E148" s="28">
        <f t="shared" si="11"/>
        <v>32</v>
      </c>
      <c r="F148" s="28">
        <f t="shared" si="11"/>
        <v>290</v>
      </c>
      <c r="G148" s="28">
        <f t="shared" si="11"/>
        <v>235</v>
      </c>
      <c r="H148" s="28">
        <f t="shared" si="11"/>
        <v>255</v>
      </c>
      <c r="I148" s="28">
        <f t="shared" si="11"/>
        <v>0</v>
      </c>
      <c r="J148" s="28">
        <f t="shared" si="11"/>
        <v>0</v>
      </c>
      <c r="K148" s="28">
        <f t="shared" si="11"/>
        <v>0</v>
      </c>
      <c r="L148" s="29"/>
    </row>
    <row r="149" spans="1:12">
      <c r="A149" s="28">
        <v>8</v>
      </c>
      <c r="B149" s="28" t="s">
        <v>91</v>
      </c>
      <c r="C149" s="28">
        <f t="shared" ref="C149:K149" si="12">SUM(C14+C31+C48+C64+C81+C98+C115+C132)</f>
        <v>0</v>
      </c>
      <c r="D149" s="28">
        <f t="shared" si="12"/>
        <v>0</v>
      </c>
      <c r="E149" s="28">
        <f t="shared" si="12"/>
        <v>0</v>
      </c>
      <c r="F149" s="28">
        <f t="shared" si="12"/>
        <v>0</v>
      </c>
      <c r="G149" s="28">
        <f t="shared" si="12"/>
        <v>0</v>
      </c>
      <c r="H149" s="28">
        <f t="shared" si="12"/>
        <v>0</v>
      </c>
      <c r="I149" s="28">
        <f t="shared" si="12"/>
        <v>0</v>
      </c>
      <c r="J149" s="28">
        <f t="shared" si="12"/>
        <v>0</v>
      </c>
      <c r="K149" s="28">
        <f t="shared" si="12"/>
        <v>0</v>
      </c>
      <c r="L149" s="29"/>
    </row>
    <row r="150" spans="1:12">
      <c r="A150" s="5">
        <v>9</v>
      </c>
      <c r="B150" s="28" t="s">
        <v>92</v>
      </c>
      <c r="C150" s="28">
        <f t="shared" ref="C150:K150" si="13">SUM(C15+C32+C49+C65+C82+C99+C116+C133)</f>
        <v>0</v>
      </c>
      <c r="D150" s="28">
        <f t="shared" si="13"/>
        <v>0</v>
      </c>
      <c r="E150" s="28">
        <f t="shared" si="13"/>
        <v>0</v>
      </c>
      <c r="F150" s="28">
        <f t="shared" si="13"/>
        <v>0</v>
      </c>
      <c r="G150" s="28">
        <f t="shared" si="13"/>
        <v>0</v>
      </c>
      <c r="H150" s="28">
        <f t="shared" si="13"/>
        <v>0</v>
      </c>
      <c r="I150" s="28">
        <f t="shared" si="13"/>
        <v>0</v>
      </c>
      <c r="J150" s="28">
        <f t="shared" si="13"/>
        <v>0</v>
      </c>
      <c r="K150" s="28">
        <f t="shared" si="13"/>
        <v>0</v>
      </c>
      <c r="L150" s="29"/>
    </row>
    <row r="151" spans="1:12" ht="14.4" thickBot="1">
      <c r="A151" s="31"/>
      <c r="B151" s="10" t="s">
        <v>35</v>
      </c>
      <c r="C151" s="28">
        <f t="shared" ref="C151:K151" si="14">SUM(C16+C33+C50+C66+C83+C100+C117+C134)</f>
        <v>7143</v>
      </c>
      <c r="D151" s="28">
        <f t="shared" si="14"/>
        <v>7954</v>
      </c>
      <c r="E151" s="28">
        <f t="shared" si="14"/>
        <v>9980</v>
      </c>
      <c r="F151" s="28">
        <f t="shared" si="14"/>
        <v>19432</v>
      </c>
      <c r="G151" s="28">
        <f t="shared" si="14"/>
        <v>12528</v>
      </c>
      <c r="H151" s="28">
        <f>SUM(H16+H33+H50+H66+H83+H100+H117+H134)</f>
        <v>18554</v>
      </c>
      <c r="I151" s="28">
        <f t="shared" si="14"/>
        <v>0</v>
      </c>
      <c r="J151" s="28">
        <f t="shared" si="14"/>
        <v>0</v>
      </c>
      <c r="K151" s="28">
        <f t="shared" si="14"/>
        <v>0</v>
      </c>
      <c r="L151" s="7">
        <v>0</v>
      </c>
    </row>
    <row r="152" spans="1:12" ht="14.4" thickTop="1">
      <c r="A152" s="32"/>
      <c r="B152" s="33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</sheetData>
  <mergeCells count="81">
    <mergeCell ref="G139:G140"/>
    <mergeCell ref="H139:K139"/>
    <mergeCell ref="L139:L140"/>
    <mergeCell ref="A138:C138"/>
    <mergeCell ref="A139:A140"/>
    <mergeCell ref="B139:B140"/>
    <mergeCell ref="C139:E139"/>
    <mergeCell ref="A137:L137"/>
    <mergeCell ref="C4:E4"/>
    <mergeCell ref="H4:K4"/>
    <mergeCell ref="A18:L18"/>
    <mergeCell ref="A19:L19"/>
    <mergeCell ref="A20:C20"/>
    <mergeCell ref="A35:L35"/>
    <mergeCell ref="A36:L36"/>
    <mergeCell ref="G38:G39"/>
    <mergeCell ref="B4:B5"/>
    <mergeCell ref="A136:L136"/>
    <mergeCell ref="H38:K38"/>
    <mergeCell ref="L38:L39"/>
    <mergeCell ref="A68:L68"/>
    <mergeCell ref="A37:C37"/>
    <mergeCell ref="A38:A39"/>
    <mergeCell ref="A1:L1"/>
    <mergeCell ref="A3:C3"/>
    <mergeCell ref="H21:K21"/>
    <mergeCell ref="L21:L22"/>
    <mergeCell ref="A21:A22"/>
    <mergeCell ref="B21:B22"/>
    <mergeCell ref="C21:E21"/>
    <mergeCell ref="G21:G22"/>
    <mergeCell ref="A2:L2"/>
    <mergeCell ref="A4:A5"/>
    <mergeCell ref="L4:L5"/>
    <mergeCell ref="G4:G5"/>
    <mergeCell ref="B38:B39"/>
    <mergeCell ref="C38:E38"/>
    <mergeCell ref="A69:L69"/>
    <mergeCell ref="A70:C70"/>
    <mergeCell ref="A71:A72"/>
    <mergeCell ref="B71:B72"/>
    <mergeCell ref="C71:E71"/>
    <mergeCell ref="G71:G72"/>
    <mergeCell ref="H71:K71"/>
    <mergeCell ref="L71:L72"/>
    <mergeCell ref="A51:L51"/>
    <mergeCell ref="A52:L52"/>
    <mergeCell ref="A53:C53"/>
    <mergeCell ref="A54:A55"/>
    <mergeCell ref="B54:B55"/>
    <mergeCell ref="C54:E54"/>
    <mergeCell ref="H122:K122"/>
    <mergeCell ref="L122:L123"/>
    <mergeCell ref="A102:L102"/>
    <mergeCell ref="A103:L103"/>
    <mergeCell ref="A104:C104"/>
    <mergeCell ref="A105:A106"/>
    <mergeCell ref="B105:B106"/>
    <mergeCell ref="C105:E105"/>
    <mergeCell ref="G105:G106"/>
    <mergeCell ref="H105:K105"/>
    <mergeCell ref="L105:L106"/>
    <mergeCell ref="A121:C121"/>
    <mergeCell ref="A122:A123"/>
    <mergeCell ref="B122:B123"/>
    <mergeCell ref="C122:E122"/>
    <mergeCell ref="G122:G123"/>
    <mergeCell ref="G54:G55"/>
    <mergeCell ref="H54:K54"/>
    <mergeCell ref="L54:L55"/>
    <mergeCell ref="A119:L119"/>
    <mergeCell ref="A120:L120"/>
    <mergeCell ref="A85:L85"/>
    <mergeCell ref="A86:L86"/>
    <mergeCell ref="A87:C87"/>
    <mergeCell ref="A88:A89"/>
    <mergeCell ref="B88:B89"/>
    <mergeCell ref="C88:E88"/>
    <mergeCell ref="G88:G89"/>
    <mergeCell ref="H88:K88"/>
    <mergeCell ref="L88:L89"/>
  </mergeCells>
  <phoneticPr fontId="0" type="noConversion"/>
  <pageMargins left="0.64" right="0.17" top="0.17" bottom="2.5" header="0.21" footer="0.17"/>
  <pageSetup paperSize="5" orientation="landscape" r:id="rId1"/>
  <headerFooter>
    <oddFooter>&amp;Z&amp;F&amp;RPage &amp;P</oddFooter>
  </headerFooter>
  <rowBreaks count="8" manualBreakCount="8">
    <brk id="17" max="16383" man="1"/>
    <brk id="34" max="16383" man="1"/>
    <brk id="50" max="16383" man="1"/>
    <brk id="67" max="16383" man="1"/>
    <brk id="84" max="16383" man="1"/>
    <brk id="101" max="16383" man="1"/>
    <brk id="118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view="pageBreakPreview" topLeftCell="A13" zoomScaleNormal="80" zoomScaleSheetLayoutView="100" workbookViewId="0">
      <selection activeCell="L18" sqref="L18:L19"/>
    </sheetView>
  </sheetViews>
  <sheetFormatPr defaultColWidth="9.109375" defaultRowHeight="13.8"/>
  <cols>
    <col min="1" max="1" width="3.5546875" style="53" customWidth="1"/>
    <col min="2" max="2" width="17.6640625" style="53" customWidth="1"/>
    <col min="3" max="4" width="11" style="53" customWidth="1"/>
    <col min="5" max="5" width="11.88671875" style="53" customWidth="1"/>
    <col min="6" max="6" width="12.88671875" style="53" customWidth="1"/>
    <col min="7" max="7" width="10.44140625" style="53" customWidth="1"/>
    <col min="8" max="8" width="14.33203125" style="53" customWidth="1"/>
    <col min="9" max="9" width="12.88671875" style="53" customWidth="1"/>
    <col min="10" max="10" width="10.5546875" style="53" customWidth="1"/>
    <col min="11" max="11" width="9.88671875" style="53" customWidth="1"/>
    <col min="12" max="12" width="51.44140625" style="72" customWidth="1"/>
    <col min="13" max="16384" width="9.109375" style="50"/>
  </cols>
  <sheetData>
    <row r="1" spans="1:12" ht="21" customHeight="1">
      <c r="A1" s="105" t="str">
        <f>'Page 4'!A136</f>
        <v>प्रपत्र - अ  -  अर्थसंकल्पीय अंदाजपत्रक सन 2021-2022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20.25" customHeight="1">
      <c r="A2" s="105" t="s">
        <v>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>
      <c r="A3" s="149" t="s">
        <v>28</v>
      </c>
      <c r="B3" s="149"/>
      <c r="C3" s="149"/>
      <c r="D3" s="58"/>
      <c r="E3" s="58"/>
      <c r="F3" s="58"/>
      <c r="G3" s="58"/>
      <c r="H3" s="58"/>
      <c r="I3" s="58"/>
      <c r="J3" s="58"/>
      <c r="K3" s="58"/>
      <c r="L3" s="27" t="s">
        <v>47</v>
      </c>
    </row>
    <row r="4" spans="1:12" ht="39" customHeight="1">
      <c r="A4" s="109" t="s">
        <v>81</v>
      </c>
      <c r="B4" s="109" t="s">
        <v>83</v>
      </c>
      <c r="C4" s="147" t="str">
        <f>'Page 4'!C139</f>
        <v>प्रत्यक्ष रक्कमा (खर्च)</v>
      </c>
      <c r="D4" s="147"/>
      <c r="E4" s="147"/>
      <c r="F4" s="47" t="str">
        <f>'Page 4'!F139</f>
        <v>अर्थसंकल्पीय अंदाज</v>
      </c>
      <c r="G4" s="109" t="str">
        <f>'Page 4'!G139</f>
        <v>सुधारीत अंदाज     2020-2021</v>
      </c>
      <c r="H4" s="147" t="str">
        <f>'Page 4'!H139</f>
        <v>अर्थसंकल्पीय अंदाज 2021-2022</v>
      </c>
      <c r="I4" s="147"/>
      <c r="J4" s="147"/>
      <c r="K4" s="147"/>
      <c r="L4" s="109" t="s">
        <v>99</v>
      </c>
    </row>
    <row r="5" spans="1:12" ht="39.75" customHeight="1">
      <c r="A5" s="146"/>
      <c r="B5" s="146"/>
      <c r="C5" s="47" t="str">
        <f>'Page 4'!C140</f>
        <v>2017-2018</v>
      </c>
      <c r="D5" s="47" t="str">
        <f>'Page 4'!D140</f>
        <v>2018-2019</v>
      </c>
      <c r="E5" s="47" t="str">
        <f>'Page 4'!E140</f>
        <v>2019-2020</v>
      </c>
      <c r="F5" s="47" t="str">
        <f>'Page 4'!F140</f>
        <v>2020-2021</v>
      </c>
      <c r="G5" s="146"/>
      <c r="H5" s="47" t="str">
        <f>'Page 4'!H140</f>
        <v>प्राकक्लन (एस्टिमेटिंग) अधिका-याचा</v>
      </c>
      <c r="I5" s="47" t="str">
        <f>'Page 4'!I140</f>
        <v>नियंत्रक अधिका-यांचा</v>
      </c>
      <c r="J5" s="47" t="str">
        <f>'Page 4'!J140</f>
        <v>प्रशासकीय विभागाचा</v>
      </c>
      <c r="K5" s="47" t="str">
        <f>'Page 4'!K140</f>
        <v>वित्त विभागाचा</v>
      </c>
      <c r="L5" s="146"/>
    </row>
    <row r="6" spans="1:12">
      <c r="A6" s="46">
        <v>1</v>
      </c>
      <c r="B6" s="46">
        <v>2</v>
      </c>
      <c r="C6" s="46">
        <v>3</v>
      </c>
      <c r="D6" s="46">
        <v>4</v>
      </c>
      <c r="E6" s="46">
        <v>5</v>
      </c>
      <c r="F6" s="46">
        <v>6</v>
      </c>
      <c r="G6" s="46">
        <v>7</v>
      </c>
      <c r="H6" s="46">
        <v>8</v>
      </c>
      <c r="I6" s="46">
        <v>9</v>
      </c>
      <c r="J6" s="46">
        <v>10</v>
      </c>
      <c r="K6" s="46">
        <v>11</v>
      </c>
      <c r="L6" s="46">
        <v>12</v>
      </c>
    </row>
    <row r="7" spans="1:12" ht="75.75" customHeight="1">
      <c r="A7" s="28">
        <v>1</v>
      </c>
      <c r="B7" s="28" t="s">
        <v>84</v>
      </c>
      <c r="C7" s="28">
        <f>'Page 4'!C142</f>
        <v>6877</v>
      </c>
      <c r="D7" s="28">
        <f>'Page 4'!D142</f>
        <v>7619</v>
      </c>
      <c r="E7" s="28">
        <f>'Page 4'!E142</f>
        <v>9680</v>
      </c>
      <c r="F7" s="28">
        <f>'Page 4'!F142</f>
        <v>17661</v>
      </c>
      <c r="G7" s="28">
        <f>'Page 4'!G142</f>
        <v>11067</v>
      </c>
      <c r="H7" s="28"/>
      <c r="I7" s="28">
        <f>'Page 4'!H142</f>
        <v>17003</v>
      </c>
      <c r="J7" s="28"/>
      <c r="K7" s="28"/>
      <c r="L7" s="70" t="s">
        <v>132</v>
      </c>
    </row>
    <row r="8" spans="1:12">
      <c r="A8" s="28">
        <v>2</v>
      </c>
      <c r="B8" s="28" t="s">
        <v>85</v>
      </c>
      <c r="C8" s="28">
        <f>'Page 4'!C143</f>
        <v>0</v>
      </c>
      <c r="D8" s="28">
        <f>'Page 4'!D143</f>
        <v>0</v>
      </c>
      <c r="E8" s="28">
        <f>'Page 4'!E143</f>
        <v>0</v>
      </c>
      <c r="F8" s="28">
        <f>'Page 4'!F143</f>
        <v>0</v>
      </c>
      <c r="G8" s="28">
        <f>'Page 4'!G143</f>
        <v>0</v>
      </c>
      <c r="H8" s="28"/>
      <c r="I8" s="28">
        <f>'Page 4'!H143</f>
        <v>0</v>
      </c>
      <c r="J8" s="28"/>
      <c r="K8" s="28"/>
      <c r="L8" s="69"/>
    </row>
    <row r="9" spans="1:12" ht="77.25" customHeight="1">
      <c r="A9" s="28">
        <v>3</v>
      </c>
      <c r="B9" s="28" t="s">
        <v>86</v>
      </c>
      <c r="C9" s="28">
        <f>'Page 4'!C144</f>
        <v>17</v>
      </c>
      <c r="D9" s="28">
        <f>'Page 4'!D144</f>
        <v>12</v>
      </c>
      <c r="E9" s="28">
        <f>'Page 4'!E144</f>
        <v>0</v>
      </c>
      <c r="F9" s="28">
        <f>'Page 4'!F144</f>
        <v>350</v>
      </c>
      <c r="G9" s="28">
        <f>'Page 4'!G144</f>
        <v>310</v>
      </c>
      <c r="H9" s="28"/>
      <c r="I9" s="28">
        <f>'Page 4'!H144</f>
        <v>310</v>
      </c>
      <c r="J9" s="28"/>
      <c r="K9" s="28"/>
      <c r="L9" s="73" t="s">
        <v>112</v>
      </c>
    </row>
    <row r="10" spans="1:12" ht="78" customHeight="1">
      <c r="A10" s="28">
        <v>4</v>
      </c>
      <c r="B10" s="28" t="s">
        <v>87</v>
      </c>
      <c r="C10" s="28">
        <f>'Page 4'!C145</f>
        <v>10</v>
      </c>
      <c r="D10" s="28">
        <f>'Page 4'!D145</f>
        <v>43</v>
      </c>
      <c r="E10" s="28">
        <f>'Page 4'!E145</f>
        <v>37</v>
      </c>
      <c r="F10" s="28">
        <f>'Page 4'!F145</f>
        <v>430</v>
      </c>
      <c r="G10" s="28">
        <f>'Page 4'!G145</f>
        <v>375</v>
      </c>
      <c r="H10" s="28"/>
      <c r="I10" s="28">
        <f>'Page 4'!H145</f>
        <v>385</v>
      </c>
      <c r="J10" s="28"/>
      <c r="K10" s="28"/>
      <c r="L10" s="74" t="s">
        <v>114</v>
      </c>
    </row>
    <row r="11" spans="1:12" ht="134.25" customHeight="1">
      <c r="A11" s="28">
        <v>5</v>
      </c>
      <c r="B11" s="28" t="s">
        <v>88</v>
      </c>
      <c r="C11" s="28">
        <f>'Page 4'!C146</f>
        <v>218</v>
      </c>
      <c r="D11" s="28">
        <f>'Page 4'!D146</f>
        <v>246</v>
      </c>
      <c r="E11" s="28">
        <f>'Page 4'!E146</f>
        <v>231</v>
      </c>
      <c r="F11" s="28">
        <f>'Page 4'!F146</f>
        <v>701</v>
      </c>
      <c r="G11" s="28">
        <f>'Page 4'!G146</f>
        <v>541</v>
      </c>
      <c r="H11" s="28"/>
      <c r="I11" s="28">
        <f>'Page 4'!H146</f>
        <v>601</v>
      </c>
      <c r="J11" s="28"/>
      <c r="K11" s="28"/>
      <c r="L11" s="74" t="s">
        <v>115</v>
      </c>
    </row>
    <row r="12" spans="1:12">
      <c r="A12" s="28">
        <v>6</v>
      </c>
      <c r="B12" s="28" t="s">
        <v>89</v>
      </c>
      <c r="C12" s="28">
        <f>'Page 4'!C147</f>
        <v>0</v>
      </c>
      <c r="D12" s="28">
        <f>'Page 4'!D147</f>
        <v>0</v>
      </c>
      <c r="E12" s="28">
        <f>'Page 4'!E147</f>
        <v>0</v>
      </c>
      <c r="F12" s="28">
        <f>'Page 4'!F147</f>
        <v>0</v>
      </c>
      <c r="G12" s="28">
        <f>'Page 4'!G147</f>
        <v>0</v>
      </c>
      <c r="H12" s="28"/>
      <c r="I12" s="28">
        <f>'Page 4'!H147</f>
        <v>0</v>
      </c>
      <c r="J12" s="28"/>
      <c r="K12" s="28"/>
      <c r="L12" s="70"/>
    </row>
    <row r="13" spans="1:12" ht="165.75" customHeight="1">
      <c r="A13" s="28">
        <v>7</v>
      </c>
      <c r="B13" s="28" t="s">
        <v>90</v>
      </c>
      <c r="C13" s="28">
        <f>'Page 4'!C148</f>
        <v>21</v>
      </c>
      <c r="D13" s="28">
        <f>'Page 4'!D148</f>
        <v>34</v>
      </c>
      <c r="E13" s="28">
        <f>'Page 4'!E148</f>
        <v>32</v>
      </c>
      <c r="F13" s="28">
        <f>'Page 4'!F148</f>
        <v>290</v>
      </c>
      <c r="G13" s="28">
        <f>'Page 4'!G148</f>
        <v>235</v>
      </c>
      <c r="H13" s="28"/>
      <c r="I13" s="28">
        <f>'Page 4'!H148</f>
        <v>255</v>
      </c>
      <c r="J13" s="28"/>
      <c r="K13" s="28"/>
      <c r="L13" s="74" t="s">
        <v>113</v>
      </c>
    </row>
    <row r="14" spans="1:12" ht="27.6">
      <c r="A14" s="28">
        <v>8</v>
      </c>
      <c r="B14" s="28" t="s">
        <v>91</v>
      </c>
      <c r="C14" s="28">
        <f>'Page 4'!C149</f>
        <v>0</v>
      </c>
      <c r="D14" s="28">
        <f>'Page 4'!D149</f>
        <v>0</v>
      </c>
      <c r="E14" s="28">
        <f>'Page 4'!E149</f>
        <v>0</v>
      </c>
      <c r="F14" s="28">
        <f>'Page 4'!F149</f>
        <v>0</v>
      </c>
      <c r="G14" s="28">
        <f>'Page 4'!G149</f>
        <v>0</v>
      </c>
      <c r="H14" s="28"/>
      <c r="I14" s="28">
        <f>'Page 4'!H149</f>
        <v>0</v>
      </c>
      <c r="J14" s="28"/>
      <c r="K14" s="28"/>
      <c r="L14" s="70"/>
    </row>
    <row r="15" spans="1:12">
      <c r="A15" s="28">
        <v>9</v>
      </c>
      <c r="B15" s="28" t="s">
        <v>92</v>
      </c>
      <c r="C15" s="28">
        <f>'Page 4'!C150</f>
        <v>0</v>
      </c>
      <c r="D15" s="28">
        <f>'Page 4'!D150</f>
        <v>0</v>
      </c>
      <c r="E15" s="28">
        <f>'Page 4'!E150</f>
        <v>0</v>
      </c>
      <c r="F15" s="28">
        <f>'Page 4'!F150</f>
        <v>0</v>
      </c>
      <c r="G15" s="28">
        <f>'Page 4'!G150</f>
        <v>0</v>
      </c>
      <c r="H15" s="28"/>
      <c r="I15" s="28">
        <f>'Page 4'!H150</f>
        <v>0</v>
      </c>
      <c r="J15" s="28"/>
      <c r="K15" s="28"/>
      <c r="L15" s="70"/>
    </row>
    <row r="16" spans="1:12" ht="14.4" thickBot="1">
      <c r="A16" s="35"/>
      <c r="B16" s="34" t="s">
        <v>35</v>
      </c>
      <c r="C16" s="35">
        <f>SUM(C7:C15)</f>
        <v>7143</v>
      </c>
      <c r="D16" s="35">
        <f t="shared" ref="D16:K16" si="0">SUM(D7:D15)</f>
        <v>7954</v>
      </c>
      <c r="E16" s="35">
        <f t="shared" si="0"/>
        <v>9980</v>
      </c>
      <c r="F16" s="35">
        <f t="shared" si="0"/>
        <v>19432</v>
      </c>
      <c r="G16" s="35">
        <f t="shared" si="0"/>
        <v>12528</v>
      </c>
      <c r="H16" s="35">
        <f t="shared" si="0"/>
        <v>0</v>
      </c>
      <c r="I16" s="35">
        <f t="shared" si="0"/>
        <v>18554</v>
      </c>
      <c r="J16" s="35">
        <f t="shared" si="0"/>
        <v>0</v>
      </c>
      <c r="K16" s="35">
        <f t="shared" si="0"/>
        <v>0</v>
      </c>
      <c r="L16" s="71"/>
    </row>
    <row r="17" spans="2:12" ht="14.4" thickTop="1">
      <c r="B17" s="59"/>
    </row>
    <row r="18" spans="2:12">
      <c r="B18" s="59"/>
      <c r="L18" s="99" t="s">
        <v>140</v>
      </c>
    </row>
    <row r="19" spans="2:12">
      <c r="L19" s="99" t="s">
        <v>141</v>
      </c>
    </row>
  </sheetData>
  <mergeCells count="9">
    <mergeCell ref="A1:L1"/>
    <mergeCell ref="A2:L2"/>
    <mergeCell ref="A3:C3"/>
    <mergeCell ref="A4:A5"/>
    <mergeCell ref="B4:B5"/>
    <mergeCell ref="C4:E4"/>
    <mergeCell ref="G4:G5"/>
    <mergeCell ref="H4:K4"/>
    <mergeCell ref="L4:L5"/>
  </mergeCells>
  <phoneticPr fontId="1" type="noConversion"/>
  <pageMargins left="0.52" right="0.17" top="0.24" bottom="0.31" header="0.21" footer="0.17"/>
  <pageSetup paperSize="5" scale="95" orientation="landscape" r:id="rId1"/>
  <headerFooter alignWithMargins="0">
    <oddFooter>&amp;Z&amp;F&amp;RPage &amp;P</oddFooter>
  </headerFooter>
  <rowBreaks count="1" manualBreakCount="1">
    <brk id="11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"/>
  <sheetViews>
    <sheetView view="pageBreakPreview" zoomScaleNormal="100" zoomScaleSheetLayoutView="100" workbookViewId="0">
      <selection activeCell="I11" sqref="I11"/>
    </sheetView>
  </sheetViews>
  <sheetFormatPr defaultColWidth="9.109375" defaultRowHeight="15"/>
  <cols>
    <col min="1" max="1" width="4" style="83" customWidth="1"/>
    <col min="2" max="2" width="29.109375" style="83" customWidth="1"/>
    <col min="3" max="3" width="8" style="83" customWidth="1"/>
    <col min="4" max="4" width="7.88671875" style="83" customWidth="1"/>
    <col min="5" max="5" width="7.5546875" style="83" customWidth="1"/>
    <col min="6" max="6" width="9.6640625" style="83" customWidth="1"/>
    <col min="7" max="7" width="11.44140625" style="83" customWidth="1"/>
    <col min="8" max="8" width="12.88671875" style="83" customWidth="1"/>
    <col min="9" max="9" width="14.5546875" style="83" customWidth="1"/>
    <col min="10" max="10" width="17.5546875" style="83" customWidth="1"/>
    <col min="11" max="11" width="13.5546875" style="83" customWidth="1"/>
    <col min="12" max="13" width="11.88671875" style="83" customWidth="1"/>
    <col min="14" max="16384" width="9.109375" style="83"/>
  </cols>
  <sheetData>
    <row r="1" spans="1:13">
      <c r="A1" s="150" t="s">
        <v>118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>
      <c r="A2" s="150" t="s">
        <v>121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</row>
    <row r="3" spans="1:13" s="85" customFormat="1">
      <c r="A3" s="84"/>
      <c r="B3" s="84"/>
      <c r="C3" s="84" t="s">
        <v>0</v>
      </c>
      <c r="D3" s="84" t="s">
        <v>1</v>
      </c>
      <c r="E3" s="84" t="s">
        <v>2</v>
      </c>
      <c r="F3" s="84" t="s">
        <v>3</v>
      </c>
      <c r="G3" s="84" t="s">
        <v>103</v>
      </c>
      <c r="H3" s="84" t="s">
        <v>4</v>
      </c>
      <c r="I3" s="84" t="s">
        <v>5</v>
      </c>
      <c r="J3" s="84" t="s">
        <v>6</v>
      </c>
      <c r="K3" s="84" t="s">
        <v>7</v>
      </c>
      <c r="L3" s="84" t="s">
        <v>102</v>
      </c>
      <c r="M3" s="84" t="s">
        <v>8</v>
      </c>
    </row>
    <row r="4" spans="1:13">
      <c r="A4" s="48">
        <v>1</v>
      </c>
      <c r="B4" s="48" t="s">
        <v>9</v>
      </c>
      <c r="C4" s="48">
        <v>0</v>
      </c>
      <c r="D4" s="48">
        <v>0</v>
      </c>
      <c r="E4" s="48">
        <f t="shared" ref="E4:E11" si="0">SUM(C4:D4)</f>
        <v>0</v>
      </c>
      <c r="F4" s="49">
        <v>94</v>
      </c>
      <c r="G4" s="48">
        <v>317</v>
      </c>
      <c r="H4" s="48">
        <v>1194</v>
      </c>
      <c r="I4" s="48">
        <v>175</v>
      </c>
      <c r="J4" s="48">
        <v>140</v>
      </c>
      <c r="K4" s="48">
        <v>0</v>
      </c>
      <c r="L4" s="49">
        <f t="shared" ref="L4:L11" si="1">SUM(F4:K4)</f>
        <v>1920</v>
      </c>
      <c r="M4" s="49">
        <f t="shared" ref="M4:M11" si="2">SUM(L4,E4)</f>
        <v>1920</v>
      </c>
    </row>
    <row r="5" spans="1:13">
      <c r="A5" s="48">
        <v>6</v>
      </c>
      <c r="B5" s="48" t="s">
        <v>13</v>
      </c>
      <c r="C5" s="48"/>
      <c r="D5" s="48"/>
      <c r="E5" s="48">
        <f t="shared" si="0"/>
        <v>0</v>
      </c>
      <c r="F5" s="48"/>
      <c r="G5" s="48"/>
      <c r="H5" s="48"/>
      <c r="I5" s="48"/>
      <c r="J5" s="48"/>
      <c r="K5" s="48"/>
      <c r="L5" s="49">
        <f t="shared" si="1"/>
        <v>0</v>
      </c>
      <c r="M5" s="49">
        <f t="shared" si="2"/>
        <v>0</v>
      </c>
    </row>
    <row r="6" spans="1:13">
      <c r="A6" s="48">
        <v>11</v>
      </c>
      <c r="B6" s="48" t="s">
        <v>10</v>
      </c>
      <c r="C6" s="48"/>
      <c r="D6" s="48"/>
      <c r="E6" s="48">
        <f t="shared" si="0"/>
        <v>0</v>
      </c>
      <c r="F6" s="48"/>
      <c r="G6" s="48"/>
      <c r="H6" s="48"/>
      <c r="I6" s="48"/>
      <c r="J6" s="48"/>
      <c r="K6" s="48"/>
      <c r="L6" s="49">
        <f t="shared" si="1"/>
        <v>0</v>
      </c>
      <c r="M6" s="49">
        <f t="shared" si="2"/>
        <v>0</v>
      </c>
    </row>
    <row r="7" spans="1:13">
      <c r="A7" s="48">
        <v>13</v>
      </c>
      <c r="B7" s="48" t="s">
        <v>11</v>
      </c>
      <c r="C7" s="48"/>
      <c r="D7" s="48"/>
      <c r="E7" s="48">
        <f t="shared" si="0"/>
        <v>0</v>
      </c>
      <c r="F7" s="48"/>
      <c r="G7" s="48"/>
      <c r="H7" s="48"/>
      <c r="I7" s="48"/>
      <c r="J7" s="48"/>
      <c r="K7" s="48"/>
      <c r="L7" s="49">
        <f t="shared" si="1"/>
        <v>0</v>
      </c>
      <c r="M7" s="49">
        <f t="shared" si="2"/>
        <v>0</v>
      </c>
    </row>
    <row r="8" spans="1:13">
      <c r="A8" s="48">
        <v>14</v>
      </c>
      <c r="B8" s="48" t="s">
        <v>15</v>
      </c>
      <c r="C8" s="48"/>
      <c r="D8" s="48"/>
      <c r="E8" s="48">
        <f t="shared" si="0"/>
        <v>0</v>
      </c>
      <c r="F8" s="48"/>
      <c r="G8" s="48"/>
      <c r="H8" s="48"/>
      <c r="I8" s="48"/>
      <c r="J8" s="48"/>
      <c r="K8" s="48"/>
      <c r="L8" s="49">
        <f t="shared" si="1"/>
        <v>0</v>
      </c>
      <c r="M8" s="49">
        <f t="shared" si="2"/>
        <v>0</v>
      </c>
    </row>
    <row r="9" spans="1:13">
      <c r="A9" s="48">
        <v>17</v>
      </c>
      <c r="B9" s="48" t="s">
        <v>12</v>
      </c>
      <c r="C9" s="48"/>
      <c r="D9" s="48"/>
      <c r="E9" s="48">
        <f t="shared" si="0"/>
        <v>0</v>
      </c>
      <c r="F9" s="48"/>
      <c r="G9" s="48"/>
      <c r="H9" s="48"/>
      <c r="I9" s="48"/>
      <c r="J9" s="48"/>
      <c r="K9" s="48"/>
      <c r="L9" s="49">
        <f t="shared" si="1"/>
        <v>0</v>
      </c>
      <c r="M9" s="49">
        <f t="shared" si="2"/>
        <v>0</v>
      </c>
    </row>
    <row r="10" spans="1:13">
      <c r="A10" s="48">
        <v>26</v>
      </c>
      <c r="B10" s="48" t="s">
        <v>16</v>
      </c>
      <c r="C10" s="48"/>
      <c r="D10" s="48"/>
      <c r="E10" s="48">
        <f t="shared" si="0"/>
        <v>0</v>
      </c>
      <c r="F10" s="48"/>
      <c r="G10" s="48"/>
      <c r="H10" s="48"/>
      <c r="I10" s="48"/>
      <c r="J10" s="48"/>
      <c r="K10" s="48"/>
      <c r="L10" s="49">
        <f t="shared" si="1"/>
        <v>0</v>
      </c>
      <c r="M10" s="49">
        <f t="shared" si="2"/>
        <v>0</v>
      </c>
    </row>
    <row r="11" spans="1:13">
      <c r="A11" s="48">
        <v>51</v>
      </c>
      <c r="B11" s="48" t="s">
        <v>17</v>
      </c>
      <c r="C11" s="48"/>
      <c r="D11" s="48"/>
      <c r="E11" s="48">
        <f t="shared" si="0"/>
        <v>0</v>
      </c>
      <c r="F11" s="48"/>
      <c r="G11" s="48"/>
      <c r="H11" s="48"/>
      <c r="I11" s="48"/>
      <c r="J11" s="48"/>
      <c r="K11" s="48"/>
      <c r="L11" s="49">
        <f t="shared" si="1"/>
        <v>0</v>
      </c>
      <c r="M11" s="49">
        <f t="shared" si="2"/>
        <v>0</v>
      </c>
    </row>
    <row r="12" spans="1:13">
      <c r="A12" s="48"/>
      <c r="B12" s="48"/>
      <c r="C12" s="48">
        <f>SUM(C4:C11)</f>
        <v>0</v>
      </c>
      <c r="D12" s="48">
        <f t="shared" ref="D12:M12" si="3">SUM(D4:D11)</f>
        <v>0</v>
      </c>
      <c r="E12" s="48">
        <f t="shared" si="3"/>
        <v>0</v>
      </c>
      <c r="F12" s="48">
        <f t="shared" si="3"/>
        <v>94</v>
      </c>
      <c r="G12" s="48">
        <f t="shared" si="3"/>
        <v>317</v>
      </c>
      <c r="H12" s="48">
        <f t="shared" si="3"/>
        <v>1194</v>
      </c>
      <c r="I12" s="48">
        <f t="shared" si="3"/>
        <v>175</v>
      </c>
      <c r="J12" s="48">
        <f t="shared" si="3"/>
        <v>140</v>
      </c>
      <c r="K12" s="48">
        <f t="shared" si="3"/>
        <v>0</v>
      </c>
      <c r="L12" s="48">
        <f t="shared" si="3"/>
        <v>1920</v>
      </c>
      <c r="M12" s="48">
        <f t="shared" si="3"/>
        <v>1920</v>
      </c>
    </row>
    <row r="15" spans="1:13">
      <c r="K15" s="102" t="s">
        <v>140</v>
      </c>
      <c r="L15" s="102"/>
      <c r="M15" s="102"/>
    </row>
    <row r="16" spans="1:13">
      <c r="K16" s="102" t="s">
        <v>141</v>
      </c>
      <c r="L16" s="102"/>
      <c r="M16" s="102"/>
    </row>
    <row r="20" spans="10:10">
      <c r="J20" s="83" t="s">
        <v>14</v>
      </c>
    </row>
  </sheetData>
  <mergeCells count="4">
    <mergeCell ref="A1:M1"/>
    <mergeCell ref="A2:M2"/>
    <mergeCell ref="K15:M15"/>
    <mergeCell ref="K16:M16"/>
  </mergeCells>
  <phoneticPr fontId="1" type="noConversion"/>
  <pageMargins left="0.75" right="0.75" top="1" bottom="1" header="0.5" footer="0.5"/>
  <pageSetup paperSize="5" scale="9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"/>
  <sheetViews>
    <sheetView view="pageBreakPreview" zoomScaleNormal="100" zoomScaleSheetLayoutView="100" workbookViewId="0">
      <selection activeCell="E13" sqref="E13"/>
    </sheetView>
  </sheetViews>
  <sheetFormatPr defaultColWidth="9.109375" defaultRowHeight="13.8"/>
  <cols>
    <col min="1" max="1" width="7.88671875" style="86" customWidth="1"/>
    <col min="2" max="8" width="17.33203125" style="86" customWidth="1"/>
    <col min="9" max="16384" width="9.109375" style="86"/>
  </cols>
  <sheetData>
    <row r="1" spans="1:16" ht="25.5" customHeight="1">
      <c r="A1" s="151" t="s">
        <v>122</v>
      </c>
      <c r="B1" s="151"/>
      <c r="C1" s="151"/>
      <c r="D1" s="151"/>
      <c r="E1" s="151"/>
      <c r="F1" s="151"/>
      <c r="G1" s="151"/>
      <c r="H1" s="151"/>
    </row>
    <row r="2" spans="1:16" ht="25.5" customHeight="1">
      <c r="A2" s="152" t="s">
        <v>142</v>
      </c>
      <c r="B2" s="152"/>
      <c r="C2" s="152"/>
      <c r="D2" s="152"/>
      <c r="E2" s="152"/>
      <c r="F2" s="152"/>
      <c r="G2" s="152"/>
      <c r="H2" s="152"/>
      <c r="I2" s="87"/>
      <c r="J2" s="87"/>
      <c r="K2" s="87"/>
      <c r="L2" s="87"/>
      <c r="M2" s="87"/>
      <c r="N2" s="87"/>
      <c r="O2" s="87"/>
      <c r="P2" s="87"/>
    </row>
    <row r="3" spans="1:16" ht="25.5" customHeight="1">
      <c r="A3" s="153" t="s">
        <v>127</v>
      </c>
      <c r="B3" s="153"/>
      <c r="C3" s="153"/>
      <c r="D3" s="153"/>
      <c r="E3" s="153"/>
      <c r="F3" s="153"/>
      <c r="G3" s="153"/>
      <c r="H3" s="153"/>
    </row>
    <row r="4" spans="1:16" ht="25.5" customHeight="1">
      <c r="A4" s="153" t="s">
        <v>123</v>
      </c>
      <c r="B4" s="153"/>
      <c r="C4" s="153"/>
      <c r="D4" s="153"/>
      <c r="E4" s="153"/>
      <c r="F4" s="153"/>
      <c r="G4" s="153"/>
      <c r="H4" s="153"/>
    </row>
    <row r="5" spans="1:16" s="89" customFormat="1" ht="32.25" customHeight="1">
      <c r="A5" s="88" t="s">
        <v>21</v>
      </c>
      <c r="B5" s="88" t="s">
        <v>124</v>
      </c>
      <c r="C5" s="154" t="s">
        <v>38</v>
      </c>
      <c r="D5" s="154"/>
      <c r="E5" s="154" t="s">
        <v>69</v>
      </c>
      <c r="F5" s="154"/>
      <c r="G5" s="154" t="s">
        <v>72</v>
      </c>
      <c r="H5" s="154"/>
    </row>
    <row r="6" spans="1:16" s="89" customFormat="1" ht="32.25" customHeight="1">
      <c r="A6" s="88"/>
      <c r="B6" s="88"/>
      <c r="C6" s="88" t="s">
        <v>32</v>
      </c>
      <c r="D6" s="88" t="s">
        <v>36</v>
      </c>
      <c r="E6" s="88" t="s">
        <v>32</v>
      </c>
      <c r="F6" s="88" t="s">
        <v>36</v>
      </c>
      <c r="G6" s="88" t="s">
        <v>32</v>
      </c>
      <c r="H6" s="88" t="s">
        <v>36</v>
      </c>
    </row>
    <row r="7" spans="1:16" s="89" customFormat="1" ht="32.25" customHeight="1">
      <c r="A7" s="88">
        <v>1</v>
      </c>
      <c r="B7" s="88" t="s">
        <v>125</v>
      </c>
      <c r="C7" s="90">
        <v>0</v>
      </c>
      <c r="D7" s="90">
        <v>0</v>
      </c>
      <c r="E7" s="90">
        <f>SUM('Page 3'!C132)</f>
        <v>0</v>
      </c>
      <c r="F7" s="90">
        <f>SUM('Page 3'!E132)</f>
        <v>0</v>
      </c>
      <c r="G7" s="90">
        <f>SUM('Page 3'!D132)</f>
        <v>0</v>
      </c>
      <c r="H7" s="90">
        <f>SUM('Page 3'!F132)</f>
        <v>0</v>
      </c>
    </row>
    <row r="8" spans="1:16" s="89" customFormat="1" ht="32.25" customHeight="1">
      <c r="A8" s="88">
        <v>2</v>
      </c>
      <c r="B8" s="88" t="s">
        <v>126</v>
      </c>
      <c r="C8" s="90">
        <v>0</v>
      </c>
      <c r="D8" s="90">
        <v>0</v>
      </c>
      <c r="E8" s="90">
        <f>SUM('Page 3'!C133)</f>
        <v>0</v>
      </c>
      <c r="F8" s="90">
        <f>SUM('Page 3'!E133)</f>
        <v>0</v>
      </c>
      <c r="G8" s="90">
        <f>SUM('Page 3'!D133)</f>
        <v>0</v>
      </c>
      <c r="H8" s="90">
        <f>SUM('Page 3'!F133)</f>
        <v>0</v>
      </c>
    </row>
    <row r="9" spans="1:16" s="89" customFormat="1" ht="32.25" customHeight="1">
      <c r="A9" s="88">
        <v>3</v>
      </c>
      <c r="B9" s="88" t="s">
        <v>30</v>
      </c>
      <c r="C9" s="90">
        <f>SUM('Page 1'!E129)</f>
        <v>31</v>
      </c>
      <c r="D9" s="90">
        <v>0</v>
      </c>
      <c r="E9" s="90">
        <f>SUM('Page 3'!C134)</f>
        <v>14</v>
      </c>
      <c r="F9" s="90">
        <f>SUM('Page 3'!E134)</f>
        <v>0</v>
      </c>
      <c r="G9" s="90">
        <f>SUM('Page 3'!D134)</f>
        <v>17</v>
      </c>
      <c r="H9" s="90">
        <f>SUM('Page 3'!F134)</f>
        <v>0</v>
      </c>
    </row>
    <row r="10" spans="1:16" s="89" customFormat="1" ht="32.25" customHeight="1" thickBot="1">
      <c r="A10" s="91">
        <v>4</v>
      </c>
      <c r="B10" s="91" t="s">
        <v>71</v>
      </c>
      <c r="C10" s="92">
        <v>0</v>
      </c>
      <c r="D10" s="92">
        <v>0</v>
      </c>
      <c r="E10" s="92">
        <f>SUM('Page 3'!C135)</f>
        <v>0</v>
      </c>
      <c r="F10" s="92">
        <f>SUM('Page 3'!E135)</f>
        <v>0</v>
      </c>
      <c r="G10" s="92">
        <f>SUM('Page 3'!D135)</f>
        <v>0</v>
      </c>
      <c r="H10" s="92">
        <f>SUM('Page 3'!F135)</f>
        <v>0</v>
      </c>
    </row>
    <row r="11" spans="1:16" s="89" customFormat="1" ht="32.25" customHeight="1" thickTop="1" thickBot="1">
      <c r="A11" s="93"/>
      <c r="B11" s="94" t="s">
        <v>42</v>
      </c>
      <c r="C11" s="95">
        <f t="shared" ref="C11:H11" si="0">SUM(C7:C10)</f>
        <v>31</v>
      </c>
      <c r="D11" s="95">
        <f t="shared" si="0"/>
        <v>0</v>
      </c>
      <c r="E11" s="95">
        <f t="shared" si="0"/>
        <v>14</v>
      </c>
      <c r="F11" s="95">
        <f t="shared" si="0"/>
        <v>0</v>
      </c>
      <c r="G11" s="95">
        <f t="shared" si="0"/>
        <v>17</v>
      </c>
      <c r="H11" s="95">
        <f t="shared" si="0"/>
        <v>0</v>
      </c>
    </row>
    <row r="12" spans="1:16" ht="14.4" thickTop="1"/>
    <row r="14" spans="1:16">
      <c r="F14" s="102" t="s">
        <v>140</v>
      </c>
      <c r="G14" s="102"/>
      <c r="H14" s="102"/>
    </row>
    <row r="15" spans="1:16" ht="15.6">
      <c r="E15" s="100"/>
      <c r="F15" s="102" t="s">
        <v>141</v>
      </c>
      <c r="G15" s="102"/>
      <c r="H15" s="102"/>
    </row>
  </sheetData>
  <mergeCells count="9">
    <mergeCell ref="F14:H14"/>
    <mergeCell ref="F15:H15"/>
    <mergeCell ref="A1:H1"/>
    <mergeCell ref="A2:H2"/>
    <mergeCell ref="A3:H3"/>
    <mergeCell ref="A4:H4"/>
    <mergeCell ref="C5:D5"/>
    <mergeCell ref="E5:F5"/>
    <mergeCell ref="G5:H5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view="pageBreakPreview" topLeftCell="A13" zoomScaleNormal="100" zoomScaleSheetLayoutView="100" workbookViewId="0">
      <selection activeCell="K30" sqref="K30"/>
    </sheetView>
  </sheetViews>
  <sheetFormatPr defaultColWidth="9.109375" defaultRowHeight="13.8"/>
  <cols>
    <col min="1" max="1" width="5.6640625" style="60" customWidth="1"/>
    <col min="2" max="2" width="28.109375" style="60" customWidth="1"/>
    <col min="3" max="3" width="13.44140625" style="60" customWidth="1"/>
    <col min="4" max="4" width="13" style="60" customWidth="1"/>
    <col min="5" max="5" width="13.44140625" style="60" customWidth="1"/>
    <col min="6" max="6" width="14.44140625" style="60" customWidth="1"/>
    <col min="7" max="7" width="13" style="60" customWidth="1"/>
    <col min="8" max="8" width="12.44140625" style="60" customWidth="1"/>
    <col min="9" max="9" width="13.44140625" style="60" customWidth="1"/>
    <col min="10" max="10" width="14.33203125" style="60" customWidth="1"/>
    <col min="11" max="11" width="13.6640625" style="60" customWidth="1"/>
    <col min="12" max="16384" width="9.109375" style="60"/>
  </cols>
  <sheetData>
    <row r="1" spans="1:11" ht="18" customHeight="1">
      <c r="A1" s="156" t="s">
        <v>104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18" customHeight="1">
      <c r="A2" s="156" t="s">
        <v>110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 ht="18.75" customHeight="1">
      <c r="A3" s="157" t="s">
        <v>47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</row>
    <row r="4" spans="1:11" ht="38.25" customHeight="1">
      <c r="A4" s="61" t="s">
        <v>105</v>
      </c>
      <c r="B4" s="61" t="s">
        <v>106</v>
      </c>
      <c r="C4" s="62" t="s">
        <v>51</v>
      </c>
      <c r="D4" s="62" t="s">
        <v>52</v>
      </c>
      <c r="E4" s="62" t="s">
        <v>53</v>
      </c>
      <c r="F4" s="62" t="s">
        <v>101</v>
      </c>
      <c r="G4" s="62" t="s">
        <v>54</v>
      </c>
      <c r="H4" s="62" t="s">
        <v>55</v>
      </c>
      <c r="I4" s="62" t="s">
        <v>56</v>
      </c>
      <c r="J4" s="62" t="s">
        <v>107</v>
      </c>
      <c r="K4" s="62" t="s">
        <v>42</v>
      </c>
    </row>
    <row r="5" spans="1:11">
      <c r="A5" s="63">
        <v>1</v>
      </c>
      <c r="B5" s="64" t="s">
        <v>84</v>
      </c>
      <c r="C5" s="64">
        <f>SUM('Page 4'!H7)</f>
        <v>0</v>
      </c>
      <c r="D5" s="64">
        <f>SUM('Page 4'!H24)</f>
        <v>0</v>
      </c>
      <c r="E5" s="64">
        <f>SUM('Page 4'!H41)</f>
        <v>1588</v>
      </c>
      <c r="F5" s="64">
        <f>SUM('Page 4'!H57)</f>
        <v>2430</v>
      </c>
      <c r="G5" s="64">
        <f>SUM('Page 4'!H74)</f>
        <v>9693</v>
      </c>
      <c r="H5" s="64">
        <f>SUM('Page 4'!H91)</f>
        <v>2760</v>
      </c>
      <c r="I5" s="64">
        <f>SUM('Page 4'!H108)</f>
        <v>532</v>
      </c>
      <c r="J5" s="64">
        <f>SUM('Page 4'!H125)</f>
        <v>0</v>
      </c>
      <c r="K5" s="65">
        <f>SUM(C5:J5)</f>
        <v>17003</v>
      </c>
    </row>
    <row r="6" spans="1:11">
      <c r="A6" s="63">
        <v>2</v>
      </c>
      <c r="B6" s="64" t="s">
        <v>108</v>
      </c>
      <c r="C6" s="64">
        <f>SUM('Page 4'!H8)</f>
        <v>0</v>
      </c>
      <c r="D6" s="64">
        <f>SUM('Page 4'!H25)</f>
        <v>0</v>
      </c>
      <c r="E6" s="64">
        <f>SUM('Page 4'!H42)</f>
        <v>0</v>
      </c>
      <c r="F6" s="64">
        <f>SUM('Page 4'!H58)</f>
        <v>0</v>
      </c>
      <c r="G6" s="64">
        <f>SUM('Page 4'!H75)</f>
        <v>0</v>
      </c>
      <c r="H6" s="64">
        <f>SUM('Page 4'!H92)</f>
        <v>0</v>
      </c>
      <c r="I6" s="64">
        <f>SUM('Page 4'!H109)</f>
        <v>0</v>
      </c>
      <c r="J6" s="64">
        <f>SUM('Page 4'!H126)</f>
        <v>0</v>
      </c>
      <c r="K6" s="65">
        <f t="shared" ref="K6:K13" si="0">SUM(C6:J6)</f>
        <v>0</v>
      </c>
    </row>
    <row r="7" spans="1:11" ht="20.25" customHeight="1">
      <c r="A7" s="63">
        <v>3</v>
      </c>
      <c r="B7" s="64" t="s">
        <v>86</v>
      </c>
      <c r="C7" s="64">
        <f>SUM('Page 4'!H9)</f>
        <v>0</v>
      </c>
      <c r="D7" s="64">
        <f>SUM('Page 4'!H26)</f>
        <v>0</v>
      </c>
      <c r="E7" s="64">
        <f>SUM('Page 4'!H43)</f>
        <v>60</v>
      </c>
      <c r="F7" s="64">
        <f>SUM('Page 4'!H59)</f>
        <v>0</v>
      </c>
      <c r="G7" s="64">
        <f>SUM('Page 4'!H76)</f>
        <v>250</v>
      </c>
      <c r="H7" s="64">
        <f>SUM('Page 4'!H93)</f>
        <v>0</v>
      </c>
      <c r="I7" s="64">
        <f>SUM('Page 4'!H110)</f>
        <v>0</v>
      </c>
      <c r="J7" s="64">
        <f>SUM('Page 4'!H127)</f>
        <v>0</v>
      </c>
      <c r="K7" s="65">
        <f t="shared" si="0"/>
        <v>310</v>
      </c>
    </row>
    <row r="8" spans="1:11">
      <c r="A8" s="63">
        <v>4</v>
      </c>
      <c r="B8" s="64" t="s">
        <v>87</v>
      </c>
      <c r="C8" s="64">
        <f>SUM('Page 4'!H10)</f>
        <v>0</v>
      </c>
      <c r="D8" s="64">
        <f>SUM('Page 4'!H27)</f>
        <v>0</v>
      </c>
      <c r="E8" s="64">
        <f>SUM('Page 4'!H44)</f>
        <v>60</v>
      </c>
      <c r="F8" s="64">
        <f>SUM('Page 4'!H60)</f>
        <v>5</v>
      </c>
      <c r="G8" s="64">
        <f>SUM('Page 4'!H77)</f>
        <v>280</v>
      </c>
      <c r="H8" s="64">
        <f>SUM('Page 4'!H94)</f>
        <v>10</v>
      </c>
      <c r="I8" s="64">
        <f>SUM('Page 4'!H111)</f>
        <v>30</v>
      </c>
      <c r="J8" s="64">
        <f>SUM('Page 4'!H128)</f>
        <v>0</v>
      </c>
      <c r="K8" s="65">
        <f t="shared" si="0"/>
        <v>385</v>
      </c>
    </row>
    <row r="9" spans="1:11">
      <c r="A9" s="63">
        <v>5</v>
      </c>
      <c r="B9" s="64" t="s">
        <v>88</v>
      </c>
      <c r="C9" s="64">
        <f>SUM('Page 4'!H11)</f>
        <v>0</v>
      </c>
      <c r="D9" s="64">
        <f>SUM('Page 4'!H28)</f>
        <v>0</v>
      </c>
      <c r="E9" s="64">
        <f>SUM('Page 4'!H45)</f>
        <v>61</v>
      </c>
      <c r="F9" s="64">
        <f>SUM('Page 4'!H61)</f>
        <v>50</v>
      </c>
      <c r="G9" s="64">
        <f>SUM('Page 4'!H78)</f>
        <v>400</v>
      </c>
      <c r="H9" s="64">
        <f>SUM('Page 4'!H95)</f>
        <v>50</v>
      </c>
      <c r="I9" s="64">
        <f>SUM('Page 4'!H112)</f>
        <v>40</v>
      </c>
      <c r="J9" s="64">
        <f>SUM('Page 4'!H129)</f>
        <v>0</v>
      </c>
      <c r="K9" s="65">
        <f t="shared" si="0"/>
        <v>601</v>
      </c>
    </row>
    <row r="10" spans="1:11">
      <c r="A10" s="63">
        <v>6</v>
      </c>
      <c r="B10" s="64" t="s">
        <v>109</v>
      </c>
      <c r="C10" s="64">
        <f>SUM('Page 4'!H12)</f>
        <v>0</v>
      </c>
      <c r="D10" s="64">
        <f>SUM('Page 4'!H29)</f>
        <v>0</v>
      </c>
      <c r="E10" s="64">
        <f>SUM('Page 4'!H46)</f>
        <v>0</v>
      </c>
      <c r="F10" s="64">
        <f>SUM('Page 4'!H62)</f>
        <v>0</v>
      </c>
      <c r="G10" s="64">
        <f>SUM('Page 4'!H79)</f>
        <v>0</v>
      </c>
      <c r="H10" s="64">
        <f>SUM('Page 4'!H96)</f>
        <v>0</v>
      </c>
      <c r="I10" s="64">
        <f>SUM('Page 4'!H113)</f>
        <v>0</v>
      </c>
      <c r="J10" s="64">
        <f>SUM('Page 4'!H130)</f>
        <v>0</v>
      </c>
      <c r="K10" s="65">
        <f t="shared" si="0"/>
        <v>0</v>
      </c>
    </row>
    <row r="11" spans="1:11">
      <c r="A11" s="63">
        <v>8</v>
      </c>
      <c r="B11" s="64" t="s">
        <v>90</v>
      </c>
      <c r="C11" s="64">
        <f>SUM('Page 4'!H13)</f>
        <v>0</v>
      </c>
      <c r="D11" s="64">
        <f>SUM('Page 4'!H30)</f>
        <v>0</v>
      </c>
      <c r="E11" s="64">
        <f>SUM('Page 4'!H47)</f>
        <v>70</v>
      </c>
      <c r="F11" s="64">
        <f>SUM('Page 4'!H63)</f>
        <v>15</v>
      </c>
      <c r="G11" s="64">
        <f>SUM('Page 4'!H80)</f>
        <v>150</v>
      </c>
      <c r="H11" s="64">
        <f>SUM('Page 4'!H97)</f>
        <v>20</v>
      </c>
      <c r="I11" s="64">
        <f>SUM('Page 4'!H114)</f>
        <v>0</v>
      </c>
      <c r="J11" s="64">
        <f>SUM('Page 4'!H131)</f>
        <v>0</v>
      </c>
      <c r="K11" s="65">
        <f t="shared" si="0"/>
        <v>255</v>
      </c>
    </row>
    <row r="12" spans="1:11">
      <c r="A12" s="63">
        <v>9</v>
      </c>
      <c r="B12" s="64" t="s">
        <v>91</v>
      </c>
      <c r="C12" s="64">
        <f>SUM('Page 4'!H14)</f>
        <v>0</v>
      </c>
      <c r="D12" s="64">
        <f>SUM('Page 4'!H31)</f>
        <v>0</v>
      </c>
      <c r="E12" s="64">
        <f>SUM('Page 4'!H48)</f>
        <v>0</v>
      </c>
      <c r="F12" s="64">
        <f>SUM('Page 4'!H64)</f>
        <v>0</v>
      </c>
      <c r="G12" s="64">
        <f>SUM('Page 4'!H81)</f>
        <v>0</v>
      </c>
      <c r="H12" s="64">
        <f>SUM('Page 4'!H98)</f>
        <v>0</v>
      </c>
      <c r="I12" s="64">
        <f>SUM('Page 4'!H115)</f>
        <v>0</v>
      </c>
      <c r="J12" s="64">
        <f>SUM('Page 4'!H132)</f>
        <v>0</v>
      </c>
      <c r="K12" s="65">
        <f t="shared" si="0"/>
        <v>0</v>
      </c>
    </row>
    <row r="13" spans="1:11">
      <c r="A13" s="63">
        <v>10</v>
      </c>
      <c r="B13" s="64" t="s">
        <v>111</v>
      </c>
      <c r="C13" s="64">
        <f>SUM('Page 4'!H15)</f>
        <v>0</v>
      </c>
      <c r="D13" s="64">
        <f>SUM('Page 4'!H32)</f>
        <v>0</v>
      </c>
      <c r="E13" s="64">
        <f>SUM('Page 4'!H49)</f>
        <v>0</v>
      </c>
      <c r="F13" s="64">
        <f>SUM('Page 4'!H65)</f>
        <v>0</v>
      </c>
      <c r="G13" s="64">
        <f>SUM('Page 4'!H82)</f>
        <v>0</v>
      </c>
      <c r="H13" s="64">
        <f>SUM('Page 4'!H99)</f>
        <v>0</v>
      </c>
      <c r="I13" s="64">
        <f>SUM('Page 4'!H116)</f>
        <v>0</v>
      </c>
      <c r="J13" s="64">
        <f>SUM('Page 4'!H133)</f>
        <v>0</v>
      </c>
      <c r="K13" s="65">
        <f t="shared" si="0"/>
        <v>0</v>
      </c>
    </row>
    <row r="14" spans="1:11" ht="14.4" thickBot="1">
      <c r="A14" s="158" t="s">
        <v>42</v>
      </c>
      <c r="B14" s="159"/>
      <c r="C14" s="66">
        <f>SUM(C5:C13)</f>
        <v>0</v>
      </c>
      <c r="D14" s="66">
        <f t="shared" ref="D14:K14" si="1">SUM(D5:D13)</f>
        <v>0</v>
      </c>
      <c r="E14" s="66">
        <f t="shared" si="1"/>
        <v>1839</v>
      </c>
      <c r="F14" s="66">
        <f t="shared" si="1"/>
        <v>2500</v>
      </c>
      <c r="G14" s="66">
        <f t="shared" si="1"/>
        <v>10773</v>
      </c>
      <c r="H14" s="66">
        <f t="shared" si="1"/>
        <v>2840</v>
      </c>
      <c r="I14" s="66">
        <f t="shared" si="1"/>
        <v>602</v>
      </c>
      <c r="J14" s="66">
        <f t="shared" si="1"/>
        <v>0</v>
      </c>
      <c r="K14" s="66">
        <f t="shared" si="1"/>
        <v>18554</v>
      </c>
    </row>
    <row r="15" spans="1:11" ht="23.25" customHeight="1" thickTop="1">
      <c r="A15" s="67"/>
      <c r="B15" s="68"/>
      <c r="C15" s="67"/>
      <c r="D15" s="67"/>
      <c r="E15" s="67"/>
    </row>
    <row r="16" spans="1:11">
      <c r="A16" s="155" t="s">
        <v>117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</row>
    <row r="17" spans="1:12">
      <c r="A17" s="155" t="s">
        <v>110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</row>
    <row r="18" spans="1:12">
      <c r="A18" s="155" t="s">
        <v>47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</row>
    <row r="19" spans="1:12" ht="27.6">
      <c r="A19" s="64" t="s">
        <v>105</v>
      </c>
      <c r="B19" s="64" t="s">
        <v>106</v>
      </c>
      <c r="C19" s="64" t="s">
        <v>51</v>
      </c>
      <c r="D19" s="64" t="s">
        <v>52</v>
      </c>
      <c r="E19" s="64" t="s">
        <v>53</v>
      </c>
      <c r="F19" s="64" t="s">
        <v>101</v>
      </c>
      <c r="G19" s="64" t="s">
        <v>54</v>
      </c>
      <c r="H19" s="64" t="s">
        <v>55</v>
      </c>
      <c r="I19" s="64" t="s">
        <v>56</v>
      </c>
      <c r="J19" s="64" t="s">
        <v>107</v>
      </c>
      <c r="K19" s="64" t="s">
        <v>42</v>
      </c>
    </row>
    <row r="20" spans="1:12">
      <c r="A20" s="64">
        <v>1</v>
      </c>
      <c r="B20" s="64" t="s">
        <v>84</v>
      </c>
      <c r="C20" s="80">
        <f>SUM((C5/K5)*100)</f>
        <v>0</v>
      </c>
      <c r="D20" s="80">
        <f>SUM((D5/K5)*100)</f>
        <v>0</v>
      </c>
      <c r="E20" s="80">
        <f>SUM((E5/K5)*100)</f>
        <v>9.3395283185320235</v>
      </c>
      <c r="F20" s="80">
        <f>SUM((F5/K5)*100)</f>
        <v>14.291595600776333</v>
      </c>
      <c r="G20" s="80">
        <f>SUM((G5/K5)*100)</f>
        <v>57.007586896430041</v>
      </c>
      <c r="H20" s="80">
        <f>SUM((H5/K5)*100)</f>
        <v>16.232429571252133</v>
      </c>
      <c r="I20" s="80">
        <f>SUM((I5/K5)*100)</f>
        <v>3.1288596130094688</v>
      </c>
      <c r="J20" s="80">
        <f>SUM((J5/K5)*100)</f>
        <v>0</v>
      </c>
      <c r="K20" s="65">
        <v>11845</v>
      </c>
      <c r="L20" s="60">
        <f>SUM(C20:J20)</f>
        <v>100</v>
      </c>
    </row>
    <row r="21" spans="1:12">
      <c r="A21" s="64">
        <v>2</v>
      </c>
      <c r="B21" s="64" t="s">
        <v>108</v>
      </c>
      <c r="C21" s="80" t="e">
        <f t="shared" ref="C21:C28" si="2">SUM((C6/K6)*100)</f>
        <v>#DIV/0!</v>
      </c>
      <c r="D21" s="80" t="e">
        <f t="shared" ref="D21:D28" si="3">SUM((D6/K6)*100)</f>
        <v>#DIV/0!</v>
      </c>
      <c r="E21" s="80" t="e">
        <f t="shared" ref="E21:E28" si="4">SUM((E6/K6)*100)</f>
        <v>#DIV/0!</v>
      </c>
      <c r="F21" s="80" t="e">
        <f t="shared" ref="F21:F28" si="5">SUM((F6/K6)*100)</f>
        <v>#DIV/0!</v>
      </c>
      <c r="G21" s="80" t="e">
        <f t="shared" ref="G21:G28" si="6">SUM((G6/K6)*100)</f>
        <v>#DIV/0!</v>
      </c>
      <c r="H21" s="80" t="e">
        <f t="shared" ref="H21:H28" si="7">SUM((H6/K6)*100)</f>
        <v>#DIV/0!</v>
      </c>
      <c r="I21" s="80" t="e">
        <f t="shared" ref="I21:I28" si="8">SUM((I6/K6)*100)</f>
        <v>#DIV/0!</v>
      </c>
      <c r="J21" s="80" t="e">
        <f t="shared" ref="J21:J28" si="9">SUM((J6/K6)*100)</f>
        <v>#DIV/0!</v>
      </c>
      <c r="K21" s="65">
        <v>0</v>
      </c>
      <c r="L21" s="60" t="e">
        <f t="shared" ref="L21:L29" si="10">SUM(C21:J21)</f>
        <v>#DIV/0!</v>
      </c>
    </row>
    <row r="22" spans="1:12">
      <c r="A22" s="64">
        <v>3</v>
      </c>
      <c r="B22" s="64" t="s">
        <v>86</v>
      </c>
      <c r="C22" s="80">
        <f t="shared" si="2"/>
        <v>0</v>
      </c>
      <c r="D22" s="80">
        <f t="shared" si="3"/>
        <v>0</v>
      </c>
      <c r="E22" s="80">
        <f t="shared" si="4"/>
        <v>19.35483870967742</v>
      </c>
      <c r="F22" s="80">
        <f t="shared" si="5"/>
        <v>0</v>
      </c>
      <c r="G22" s="80">
        <f t="shared" si="6"/>
        <v>80.645161290322577</v>
      </c>
      <c r="H22" s="80">
        <f t="shared" si="7"/>
        <v>0</v>
      </c>
      <c r="I22" s="80">
        <f t="shared" si="8"/>
        <v>0</v>
      </c>
      <c r="J22" s="80">
        <f t="shared" si="9"/>
        <v>0</v>
      </c>
      <c r="K22" s="65">
        <v>330</v>
      </c>
      <c r="L22" s="60">
        <f t="shared" si="10"/>
        <v>100</v>
      </c>
    </row>
    <row r="23" spans="1:12">
      <c r="A23" s="64">
        <v>4</v>
      </c>
      <c r="B23" s="64" t="s">
        <v>87</v>
      </c>
      <c r="C23" s="80">
        <f t="shared" si="2"/>
        <v>0</v>
      </c>
      <c r="D23" s="80">
        <f t="shared" si="3"/>
        <v>0</v>
      </c>
      <c r="E23" s="80">
        <f t="shared" si="4"/>
        <v>15.584415584415584</v>
      </c>
      <c r="F23" s="80">
        <f t="shared" si="5"/>
        <v>1.2987012987012987</v>
      </c>
      <c r="G23" s="80">
        <f t="shared" si="6"/>
        <v>72.727272727272734</v>
      </c>
      <c r="H23" s="80">
        <f t="shared" si="7"/>
        <v>2.5974025974025974</v>
      </c>
      <c r="I23" s="80">
        <f t="shared" si="8"/>
        <v>7.7922077922077921</v>
      </c>
      <c r="J23" s="80">
        <f t="shared" si="9"/>
        <v>0</v>
      </c>
      <c r="K23" s="65">
        <v>420</v>
      </c>
      <c r="L23" s="60">
        <f t="shared" si="10"/>
        <v>100</v>
      </c>
    </row>
    <row r="24" spans="1:12">
      <c r="A24" s="64">
        <v>5</v>
      </c>
      <c r="B24" s="64" t="s">
        <v>88</v>
      </c>
      <c r="C24" s="80">
        <f t="shared" si="2"/>
        <v>0</v>
      </c>
      <c r="D24" s="80">
        <f t="shared" si="3"/>
        <v>0</v>
      </c>
      <c r="E24" s="80">
        <f t="shared" si="4"/>
        <v>10.149750415973378</v>
      </c>
      <c r="F24" s="80">
        <f t="shared" si="5"/>
        <v>8.3194675540765388</v>
      </c>
      <c r="G24" s="80">
        <f t="shared" si="6"/>
        <v>66.555740432612311</v>
      </c>
      <c r="H24" s="80">
        <f t="shared" si="7"/>
        <v>8.3194675540765388</v>
      </c>
      <c r="I24" s="80">
        <f t="shared" si="8"/>
        <v>6.6555740432612307</v>
      </c>
      <c r="J24" s="80">
        <f t="shared" si="9"/>
        <v>0</v>
      </c>
      <c r="K24" s="65">
        <v>650</v>
      </c>
      <c r="L24" s="60">
        <f t="shared" si="10"/>
        <v>100</v>
      </c>
    </row>
    <row r="25" spans="1:12">
      <c r="A25" s="64">
        <v>6</v>
      </c>
      <c r="B25" s="64" t="s">
        <v>109</v>
      </c>
      <c r="C25" s="80" t="e">
        <f t="shared" si="2"/>
        <v>#DIV/0!</v>
      </c>
      <c r="D25" s="80" t="e">
        <f t="shared" si="3"/>
        <v>#DIV/0!</v>
      </c>
      <c r="E25" s="80" t="e">
        <f t="shared" si="4"/>
        <v>#DIV/0!</v>
      </c>
      <c r="F25" s="80" t="e">
        <f t="shared" si="5"/>
        <v>#DIV/0!</v>
      </c>
      <c r="G25" s="80" t="e">
        <f t="shared" si="6"/>
        <v>#DIV/0!</v>
      </c>
      <c r="H25" s="80" t="e">
        <f t="shared" si="7"/>
        <v>#DIV/0!</v>
      </c>
      <c r="I25" s="80" t="e">
        <f t="shared" si="8"/>
        <v>#DIV/0!</v>
      </c>
      <c r="J25" s="80" t="e">
        <f t="shared" si="9"/>
        <v>#DIV/0!</v>
      </c>
      <c r="K25" s="65">
        <v>0</v>
      </c>
      <c r="L25" s="60" t="e">
        <f t="shared" si="10"/>
        <v>#DIV/0!</v>
      </c>
    </row>
    <row r="26" spans="1:12">
      <c r="A26" s="64">
        <v>7</v>
      </c>
      <c r="B26" s="64" t="s">
        <v>90</v>
      </c>
      <c r="C26" s="80">
        <f t="shared" si="2"/>
        <v>0</v>
      </c>
      <c r="D26" s="80">
        <f t="shared" si="3"/>
        <v>0</v>
      </c>
      <c r="E26" s="80">
        <f t="shared" si="4"/>
        <v>27.450980392156865</v>
      </c>
      <c r="F26" s="80">
        <f t="shared" si="5"/>
        <v>5.8823529411764701</v>
      </c>
      <c r="G26" s="80">
        <f t="shared" si="6"/>
        <v>58.82352941176471</v>
      </c>
      <c r="H26" s="80">
        <f t="shared" si="7"/>
        <v>7.8431372549019605</v>
      </c>
      <c r="I26" s="80">
        <f t="shared" si="8"/>
        <v>0</v>
      </c>
      <c r="J26" s="80">
        <f t="shared" si="9"/>
        <v>0</v>
      </c>
      <c r="K26" s="65">
        <v>280</v>
      </c>
      <c r="L26" s="60">
        <f t="shared" si="10"/>
        <v>100</v>
      </c>
    </row>
    <row r="27" spans="1:12">
      <c r="A27" s="64">
        <v>8</v>
      </c>
      <c r="B27" s="64" t="s">
        <v>91</v>
      </c>
      <c r="C27" s="80" t="e">
        <f t="shared" si="2"/>
        <v>#DIV/0!</v>
      </c>
      <c r="D27" s="80" t="e">
        <f t="shared" si="3"/>
        <v>#DIV/0!</v>
      </c>
      <c r="E27" s="80" t="e">
        <f t="shared" si="4"/>
        <v>#DIV/0!</v>
      </c>
      <c r="F27" s="80" t="e">
        <f t="shared" si="5"/>
        <v>#DIV/0!</v>
      </c>
      <c r="G27" s="80" t="e">
        <f t="shared" si="6"/>
        <v>#DIV/0!</v>
      </c>
      <c r="H27" s="80" t="e">
        <f t="shared" si="7"/>
        <v>#DIV/0!</v>
      </c>
      <c r="I27" s="80" t="e">
        <f t="shared" si="8"/>
        <v>#DIV/0!</v>
      </c>
      <c r="J27" s="80" t="e">
        <f t="shared" si="9"/>
        <v>#DIV/0!</v>
      </c>
      <c r="K27" s="65">
        <v>0</v>
      </c>
      <c r="L27" s="60" t="e">
        <f t="shared" si="10"/>
        <v>#DIV/0!</v>
      </c>
    </row>
    <row r="28" spans="1:12">
      <c r="A28" s="64">
        <v>9</v>
      </c>
      <c r="B28" s="64" t="s">
        <v>111</v>
      </c>
      <c r="C28" s="80" t="e">
        <f t="shared" si="2"/>
        <v>#DIV/0!</v>
      </c>
      <c r="D28" s="80" t="e">
        <f t="shared" si="3"/>
        <v>#DIV/0!</v>
      </c>
      <c r="E28" s="80" t="e">
        <f t="shared" si="4"/>
        <v>#DIV/0!</v>
      </c>
      <c r="F28" s="80" t="e">
        <f t="shared" si="5"/>
        <v>#DIV/0!</v>
      </c>
      <c r="G28" s="80" t="e">
        <f t="shared" si="6"/>
        <v>#DIV/0!</v>
      </c>
      <c r="H28" s="80" t="e">
        <f t="shared" si="7"/>
        <v>#DIV/0!</v>
      </c>
      <c r="I28" s="80" t="e">
        <f t="shared" si="8"/>
        <v>#DIV/0!</v>
      </c>
      <c r="J28" s="80" t="e">
        <f t="shared" si="9"/>
        <v>#DIV/0!</v>
      </c>
      <c r="K28" s="65">
        <v>0</v>
      </c>
      <c r="L28" s="60" t="e">
        <f t="shared" si="10"/>
        <v>#DIV/0!</v>
      </c>
    </row>
    <row r="29" spans="1:12">
      <c r="A29" s="64" t="s">
        <v>42</v>
      </c>
      <c r="B29" s="64"/>
      <c r="C29" s="80">
        <f>SUM((C14/K14)*100)</f>
        <v>0</v>
      </c>
      <c r="D29" s="80">
        <f>SUM((D14/K14)*100)</f>
        <v>0</v>
      </c>
      <c r="E29" s="80">
        <f>SUM((E14/K14)*100)</f>
        <v>9.9116093564729972</v>
      </c>
      <c r="F29" s="80">
        <f>SUM((F14/K14)*100)</f>
        <v>13.474183464482053</v>
      </c>
      <c r="G29" s="80">
        <f>SUM((G14/K14)*100)</f>
        <v>58.062951385146057</v>
      </c>
      <c r="H29" s="80">
        <f>SUM((H14/K14)*100)</f>
        <v>15.306672415651612</v>
      </c>
      <c r="I29" s="80">
        <f>SUM((I14/K14)*100)</f>
        <v>3.2445833782472779</v>
      </c>
      <c r="J29" s="80">
        <f>SUM((J14/K14)*100)</f>
        <v>0</v>
      </c>
      <c r="K29" s="64">
        <f>SUM(K20:K28)</f>
        <v>13525</v>
      </c>
      <c r="L29" s="60">
        <f t="shared" si="10"/>
        <v>100</v>
      </c>
    </row>
  </sheetData>
  <mergeCells count="7">
    <mergeCell ref="A18:K18"/>
    <mergeCell ref="A1:K1"/>
    <mergeCell ref="A2:K2"/>
    <mergeCell ref="A3:K3"/>
    <mergeCell ref="A14:B14"/>
    <mergeCell ref="A16:K16"/>
    <mergeCell ref="A17:K17"/>
  </mergeCells>
  <pageMargins left="0.7" right="0.7" top="0.75" bottom="0.75" header="0.3" footer="0.3"/>
  <pageSetup paperSize="5" orientation="landscape" r:id="rId1"/>
  <rowBreaks count="1" manualBreakCount="1">
    <brk id="1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Page 1</vt:lpstr>
      <vt:lpstr>Page 2</vt:lpstr>
      <vt:lpstr>Page 3</vt:lpstr>
      <vt:lpstr>Page 4</vt:lpstr>
      <vt:lpstr>Page 5</vt:lpstr>
      <vt:lpstr>4-12 TO 7-12 MES</vt:lpstr>
      <vt:lpstr>jodpatra D</vt:lpstr>
      <vt:lpstr>Sheet1</vt:lpstr>
      <vt:lpstr>'jodpatra D'!Print_Area</vt:lpstr>
      <vt:lpstr>'Page 2'!Print_Area</vt:lpstr>
      <vt:lpstr>'Page 3'!Print_Area</vt:lpstr>
      <vt:lpstr>'Page 5'!Print_Area</vt:lpstr>
      <vt:lpstr>Sheet1!Print_Area</vt:lpstr>
      <vt:lpstr>'Page 5'!Print_Titles</vt:lpstr>
    </vt:vector>
  </TitlesOfParts>
  <Company>KOKAN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REVENUE</dc:creator>
  <cp:lastModifiedBy>prasad somvanshi</cp:lastModifiedBy>
  <cp:lastPrinted>2020-10-27T07:01:31Z</cp:lastPrinted>
  <dcterms:created xsi:type="dcterms:W3CDTF">2012-06-14T05:07:46Z</dcterms:created>
  <dcterms:modified xsi:type="dcterms:W3CDTF">2026-01-20T05:33:23Z</dcterms:modified>
</cp:coreProperties>
</file>