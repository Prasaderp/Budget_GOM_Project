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595eb590-196c-49aa-82c3-d01ee81e5eec\"/>
    </mc:Choice>
  </mc:AlternateContent>
  <xr:revisionPtr revIDLastSave="0" documentId="8_{67F5E52C-3395-45CA-86D3-8E7AFB923A7D}" xr6:coauthVersionLast="47" xr6:coauthVersionMax="47" xr10:uidLastSave="{00000000-0000-0000-0000-000000000000}"/>
  <bookViews>
    <workbookView xWindow="-120" yWindow="-120" windowWidth="19440" windowHeight="10440" activeTab="6"/>
  </bookViews>
  <sheets>
    <sheet name="Page 1" sheetId="4" r:id="rId1"/>
    <sheet name="Page 2" sheetId="3" r:id="rId2"/>
    <sheet name="Page 3" sheetId="2" r:id="rId3"/>
    <sheet name="Page 4" sheetId="1" r:id="rId4"/>
    <sheet name="Page 5" sheetId="5" r:id="rId5"/>
    <sheet name="4-12 TO 7-12 MES" sheetId="6" r:id="rId6"/>
    <sheet name="jodpatra d" sheetId="8" r:id="rId7"/>
    <sheet name="Sheet1" sheetId="7" r:id="rId8"/>
  </sheets>
  <definedNames>
    <definedName name="_xlnm.Print_Area" localSheetId="5">'4-12 TO 7-12 MES'!$A$1:$M$17</definedName>
    <definedName name="_xlnm.Print_Area" localSheetId="6">'jodpatra d'!$A$1:$H$15</definedName>
    <definedName name="_xlnm.Print_Area" localSheetId="0">'Page 1'!$A$1:$Q$290</definedName>
    <definedName name="_xlnm.Print_Area" localSheetId="1">'Page 2'!$A$1:$P$290</definedName>
    <definedName name="_xlnm.Print_Area" localSheetId="2">'Page 3'!$A$1:$I$146</definedName>
    <definedName name="_xlnm.Print_Area" localSheetId="4">'Page 5'!$A$1:$L$20</definedName>
    <definedName name="_xlnm.Print_Area" localSheetId="7">Sheet1!$A$1:$K$31</definedName>
    <definedName name="_xlnm.Print_Titles" localSheetId="4">'Page 5'!$1:$6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50" i="1" l="1"/>
  <c r="H70" i="1"/>
  <c r="E283" i="3"/>
  <c r="D283" i="3"/>
  <c r="D268" i="3"/>
  <c r="J180" i="4"/>
  <c r="J149" i="4"/>
  <c r="H142" i="2"/>
  <c r="G142" i="2"/>
  <c r="F142" i="2"/>
  <c r="I126" i="2"/>
  <c r="I110" i="2"/>
  <c r="I94" i="2"/>
  <c r="I78" i="2"/>
  <c r="I62" i="2"/>
  <c r="I47" i="2"/>
  <c r="I31" i="2"/>
  <c r="I15" i="2"/>
  <c r="G9" i="8"/>
  <c r="G8" i="8"/>
  <c r="G7" i="8"/>
  <c r="E9" i="8"/>
  <c r="E8" i="8"/>
  <c r="E7" i="8"/>
  <c r="E11" i="8" s="1"/>
  <c r="E11" i="6"/>
  <c r="M11" i="6" s="1"/>
  <c r="I286" i="3"/>
  <c r="H283" i="3"/>
  <c r="H286" i="3"/>
  <c r="G283" i="3"/>
  <c r="C283" i="3"/>
  <c r="E217" i="3"/>
  <c r="A144" i="1"/>
  <c r="A126" i="1"/>
  <c r="A108" i="1"/>
  <c r="A90" i="1"/>
  <c r="A72" i="1"/>
  <c r="A54" i="1"/>
  <c r="A37" i="1"/>
  <c r="A19" i="1"/>
  <c r="A128" i="2"/>
  <c r="A112" i="2"/>
  <c r="A96" i="2"/>
  <c r="A80" i="2"/>
  <c r="A64" i="2"/>
  <c r="A48" i="2"/>
  <c r="A33" i="2"/>
  <c r="A17" i="2"/>
  <c r="A257" i="3"/>
  <c r="A225" i="3"/>
  <c r="A193" i="3"/>
  <c r="A161" i="3"/>
  <c r="A129" i="3"/>
  <c r="A97" i="3"/>
  <c r="A65" i="3"/>
  <c r="A33" i="3"/>
  <c r="J217" i="4"/>
  <c r="Q217" i="4" s="1"/>
  <c r="D269" i="4"/>
  <c r="E269" i="4"/>
  <c r="F269" i="4"/>
  <c r="G269" i="4"/>
  <c r="H269" i="4"/>
  <c r="I269" i="4"/>
  <c r="J269" i="4"/>
  <c r="D270" i="4"/>
  <c r="E270" i="4"/>
  <c r="D259" i="4"/>
  <c r="E259" i="4"/>
  <c r="F259" i="4"/>
  <c r="G259" i="4"/>
  <c r="H259" i="4"/>
  <c r="I259" i="4"/>
  <c r="J259" i="4"/>
  <c r="D260" i="4"/>
  <c r="E260" i="4"/>
  <c r="D237" i="4"/>
  <c r="E237" i="4"/>
  <c r="F237" i="4"/>
  <c r="G237" i="4"/>
  <c r="H237" i="4"/>
  <c r="I237" i="4"/>
  <c r="J237" i="4"/>
  <c r="D238" i="4"/>
  <c r="E238" i="4"/>
  <c r="D227" i="4"/>
  <c r="E227" i="4"/>
  <c r="F227" i="4"/>
  <c r="G227" i="4"/>
  <c r="H227" i="4"/>
  <c r="I227" i="4"/>
  <c r="J227" i="4"/>
  <c r="D228" i="4"/>
  <c r="E228" i="4"/>
  <c r="D205" i="4"/>
  <c r="E205" i="4"/>
  <c r="F205" i="4"/>
  <c r="G205" i="4"/>
  <c r="H205" i="4"/>
  <c r="I205" i="4"/>
  <c r="J205" i="4"/>
  <c r="D206" i="4"/>
  <c r="E206" i="4"/>
  <c r="D195" i="4"/>
  <c r="E195" i="4"/>
  <c r="F195" i="4"/>
  <c r="G195" i="4"/>
  <c r="H195" i="4"/>
  <c r="I195" i="4"/>
  <c r="J195" i="4"/>
  <c r="D196" i="4"/>
  <c r="E196" i="4"/>
  <c r="D173" i="4"/>
  <c r="E173" i="4"/>
  <c r="F173" i="4"/>
  <c r="G173" i="4"/>
  <c r="H173" i="4"/>
  <c r="I173" i="4"/>
  <c r="J173" i="4"/>
  <c r="D174" i="4"/>
  <c r="E174" i="4"/>
  <c r="D163" i="4"/>
  <c r="E163" i="4"/>
  <c r="F163" i="4"/>
  <c r="G163" i="4"/>
  <c r="H163" i="4"/>
  <c r="I163" i="4"/>
  <c r="J163" i="4"/>
  <c r="D164" i="4"/>
  <c r="E164" i="4"/>
  <c r="D141" i="4"/>
  <c r="E141" i="4"/>
  <c r="F141" i="4"/>
  <c r="G141" i="4"/>
  <c r="H141" i="4"/>
  <c r="I141" i="4"/>
  <c r="J141" i="4"/>
  <c r="D142" i="4"/>
  <c r="E142" i="4"/>
  <c r="D131" i="4"/>
  <c r="E131" i="4"/>
  <c r="F131" i="4"/>
  <c r="G131" i="4"/>
  <c r="H131" i="4"/>
  <c r="I131" i="4"/>
  <c r="J131" i="4"/>
  <c r="D132" i="4"/>
  <c r="E132" i="4"/>
  <c r="D109" i="4"/>
  <c r="E109" i="4"/>
  <c r="F109" i="4"/>
  <c r="G109" i="4"/>
  <c r="H109" i="4"/>
  <c r="I109" i="4"/>
  <c r="J109" i="4"/>
  <c r="D110" i="4"/>
  <c r="E110" i="4"/>
  <c r="D99" i="4"/>
  <c r="E99" i="4"/>
  <c r="F99" i="4"/>
  <c r="G99" i="4"/>
  <c r="H99" i="4"/>
  <c r="I99" i="4"/>
  <c r="J99" i="4"/>
  <c r="D100" i="4"/>
  <c r="E100" i="4"/>
  <c r="D78" i="4"/>
  <c r="E78" i="4"/>
  <c r="F78" i="4"/>
  <c r="G78" i="4"/>
  <c r="H78" i="4"/>
  <c r="I78" i="4"/>
  <c r="J78" i="4"/>
  <c r="D79" i="4"/>
  <c r="E79" i="4"/>
  <c r="D68" i="4"/>
  <c r="E68" i="4"/>
  <c r="F68" i="4"/>
  <c r="G68" i="4"/>
  <c r="H68" i="4"/>
  <c r="I68" i="4"/>
  <c r="J68" i="4"/>
  <c r="D69" i="4"/>
  <c r="E69" i="4"/>
  <c r="D46" i="4"/>
  <c r="E46" i="4"/>
  <c r="F46" i="4"/>
  <c r="G46" i="4"/>
  <c r="H46" i="4"/>
  <c r="I46" i="4"/>
  <c r="J46" i="4"/>
  <c r="D47" i="4"/>
  <c r="E47" i="4"/>
  <c r="D36" i="4"/>
  <c r="E36" i="4"/>
  <c r="F36" i="4"/>
  <c r="G36" i="4"/>
  <c r="H36" i="4"/>
  <c r="I36" i="4"/>
  <c r="J36" i="4"/>
  <c r="D37" i="4"/>
  <c r="E37" i="4"/>
  <c r="D14" i="4"/>
  <c r="E14" i="4"/>
  <c r="F14" i="4"/>
  <c r="G14" i="4"/>
  <c r="H14" i="4"/>
  <c r="I14" i="4"/>
  <c r="J14" i="4"/>
  <c r="D15" i="4"/>
  <c r="E15" i="4"/>
  <c r="A256" i="4"/>
  <c r="A224" i="4"/>
  <c r="A192" i="4"/>
  <c r="A160" i="4"/>
  <c r="A128" i="4"/>
  <c r="A96" i="4"/>
  <c r="A65" i="4"/>
  <c r="A33" i="4"/>
  <c r="J93" i="4"/>
  <c r="E70" i="1"/>
  <c r="G155" i="1"/>
  <c r="G159" i="1"/>
  <c r="G16" i="5"/>
  <c r="J14" i="7"/>
  <c r="J13" i="7"/>
  <c r="J12" i="7"/>
  <c r="J11" i="7"/>
  <c r="J10" i="7"/>
  <c r="J9" i="7"/>
  <c r="J8" i="7"/>
  <c r="J7" i="7"/>
  <c r="J6" i="7"/>
  <c r="I14" i="7"/>
  <c r="I13" i="7"/>
  <c r="I12" i="7"/>
  <c r="I11" i="7"/>
  <c r="I10" i="7"/>
  <c r="I9" i="7"/>
  <c r="I8" i="7"/>
  <c r="I7" i="7"/>
  <c r="K7" i="7" s="1"/>
  <c r="I6" i="7"/>
  <c r="H14" i="7"/>
  <c r="H13" i="7"/>
  <c r="H12" i="7"/>
  <c r="K12" i="7" s="1"/>
  <c r="H11" i="7"/>
  <c r="K11" i="7" s="1"/>
  <c r="H10" i="7"/>
  <c r="H9" i="7"/>
  <c r="H8" i="7"/>
  <c r="H7" i="7"/>
  <c r="H6" i="7"/>
  <c r="G14" i="7"/>
  <c r="G13" i="7"/>
  <c r="G12" i="7"/>
  <c r="G11" i="7"/>
  <c r="G10" i="7"/>
  <c r="G9" i="7"/>
  <c r="G8" i="7"/>
  <c r="G7" i="7"/>
  <c r="G6" i="7"/>
  <c r="F14" i="7"/>
  <c r="F13" i="7"/>
  <c r="F12" i="7"/>
  <c r="F11" i="7"/>
  <c r="F10" i="7"/>
  <c r="F9" i="7"/>
  <c r="F8" i="7"/>
  <c r="F7" i="7"/>
  <c r="F6" i="7"/>
  <c r="E14" i="7"/>
  <c r="E13" i="7"/>
  <c r="E12" i="7"/>
  <c r="E11" i="7"/>
  <c r="E10" i="7"/>
  <c r="E9" i="7"/>
  <c r="E8" i="7"/>
  <c r="E7" i="7"/>
  <c r="E6" i="7"/>
  <c r="D14" i="7"/>
  <c r="D13" i="7"/>
  <c r="K13" i="7" s="1"/>
  <c r="C29" i="7" s="1"/>
  <c r="D12" i="7"/>
  <c r="D11" i="7"/>
  <c r="D10" i="7"/>
  <c r="D9" i="7"/>
  <c r="D8" i="7"/>
  <c r="D7" i="7"/>
  <c r="D6" i="7"/>
  <c r="J5" i="7"/>
  <c r="I5" i="7"/>
  <c r="H5" i="7"/>
  <c r="H15" i="7" s="1"/>
  <c r="G5" i="7"/>
  <c r="F5" i="7"/>
  <c r="E5" i="7"/>
  <c r="D5" i="7"/>
  <c r="J15" i="7"/>
  <c r="C14" i="7"/>
  <c r="C13" i="7"/>
  <c r="C12" i="7"/>
  <c r="C11" i="7"/>
  <c r="C10" i="7"/>
  <c r="C9" i="7"/>
  <c r="C8" i="7"/>
  <c r="C7" i="7"/>
  <c r="C6" i="7"/>
  <c r="K6" i="7" s="1"/>
  <c r="D22" i="7" s="1"/>
  <c r="C5" i="7"/>
  <c r="F150" i="1"/>
  <c r="F151" i="1"/>
  <c r="F8" i="5"/>
  <c r="F152" i="1"/>
  <c r="F153" i="1"/>
  <c r="F154" i="1"/>
  <c r="F155" i="1"/>
  <c r="F12" i="5" s="1"/>
  <c r="F17" i="5" s="1"/>
  <c r="F156" i="1"/>
  <c r="F13" i="5"/>
  <c r="F157" i="1"/>
  <c r="F158" i="1"/>
  <c r="F15" i="5"/>
  <c r="F159" i="1"/>
  <c r="F16" i="5"/>
  <c r="P284" i="4"/>
  <c r="O284" i="4"/>
  <c r="P283" i="4"/>
  <c r="O283" i="4"/>
  <c r="O285" i="4"/>
  <c r="K70" i="1"/>
  <c r="K160" i="1" s="1"/>
  <c r="J70" i="1"/>
  <c r="J160" i="1" s="1"/>
  <c r="I70" i="1"/>
  <c r="G70" i="1"/>
  <c r="F70" i="1"/>
  <c r="D70" i="1"/>
  <c r="C70" i="1"/>
  <c r="F127" i="3"/>
  <c r="F126" i="3"/>
  <c r="F125" i="3"/>
  <c r="F124" i="3"/>
  <c r="F123" i="3"/>
  <c r="F122" i="3"/>
  <c r="K122" i="3" s="1"/>
  <c r="O122" i="3" s="1"/>
  <c r="F120" i="3"/>
  <c r="F119" i="3"/>
  <c r="F118" i="3"/>
  <c r="I120" i="4"/>
  <c r="J17" i="5"/>
  <c r="H17" i="5"/>
  <c r="K17" i="5"/>
  <c r="K159" i="1"/>
  <c r="J159" i="1"/>
  <c r="I159" i="1"/>
  <c r="H159" i="1"/>
  <c r="I16" i="5" s="1"/>
  <c r="E159" i="1"/>
  <c r="E16" i="5"/>
  <c r="D159" i="1"/>
  <c r="D16" i="5"/>
  <c r="C159" i="1"/>
  <c r="C16" i="5"/>
  <c r="K158" i="1"/>
  <c r="J158" i="1"/>
  <c r="I158" i="1"/>
  <c r="H158" i="1"/>
  <c r="I15" i="5" s="1"/>
  <c r="G158" i="1"/>
  <c r="G15" i="5"/>
  <c r="E158" i="1"/>
  <c r="E15" i="5"/>
  <c r="D158" i="1"/>
  <c r="D15" i="5" s="1"/>
  <c r="C158" i="1"/>
  <c r="C15" i="5" s="1"/>
  <c r="K157" i="1"/>
  <c r="J157" i="1"/>
  <c r="I157" i="1"/>
  <c r="H157" i="1"/>
  <c r="I14" i="5"/>
  <c r="G157" i="1"/>
  <c r="G14" i="5"/>
  <c r="E157" i="1"/>
  <c r="E14" i="5"/>
  <c r="D157" i="1"/>
  <c r="D14" i="5"/>
  <c r="C157" i="1"/>
  <c r="C14" i="5"/>
  <c r="K156" i="1"/>
  <c r="J156" i="1"/>
  <c r="I156" i="1"/>
  <c r="H156" i="1"/>
  <c r="I13" i="5"/>
  <c r="G156" i="1"/>
  <c r="G13" i="5"/>
  <c r="E156" i="1"/>
  <c r="E13" i="5"/>
  <c r="D156" i="1"/>
  <c r="D13" i="5" s="1"/>
  <c r="C156" i="1"/>
  <c r="C13" i="5"/>
  <c r="K155" i="1"/>
  <c r="J155" i="1"/>
  <c r="I155" i="1"/>
  <c r="H155" i="1"/>
  <c r="I12" i="5"/>
  <c r="E155" i="1"/>
  <c r="E12" i="5" s="1"/>
  <c r="D155" i="1"/>
  <c r="D12" i="5"/>
  <c r="C155" i="1"/>
  <c r="C12" i="5"/>
  <c r="K154" i="1"/>
  <c r="J154" i="1"/>
  <c r="I154" i="1"/>
  <c r="H154" i="1"/>
  <c r="I11" i="5"/>
  <c r="G154" i="1"/>
  <c r="G11" i="5"/>
  <c r="E154" i="1"/>
  <c r="E11" i="5"/>
  <c r="D154" i="1"/>
  <c r="D11" i="5" s="1"/>
  <c r="C154" i="1"/>
  <c r="C11" i="5"/>
  <c r="K153" i="1"/>
  <c r="J153" i="1"/>
  <c r="I153" i="1"/>
  <c r="H153" i="1"/>
  <c r="I10" i="5"/>
  <c r="G153" i="1"/>
  <c r="G10" i="5"/>
  <c r="E153" i="1"/>
  <c r="E10" i="5"/>
  <c r="D153" i="1"/>
  <c r="D10" i="5"/>
  <c r="C153" i="1"/>
  <c r="C10" i="5"/>
  <c r="K152" i="1"/>
  <c r="J152" i="1"/>
  <c r="I152" i="1"/>
  <c r="H152" i="1"/>
  <c r="I9" i="5"/>
  <c r="G152" i="1"/>
  <c r="G9" i="5"/>
  <c r="E152" i="1"/>
  <c r="D152" i="1"/>
  <c r="D9" i="5"/>
  <c r="C152" i="1"/>
  <c r="K151" i="1"/>
  <c r="J151" i="1"/>
  <c r="I151" i="1"/>
  <c r="H151" i="1"/>
  <c r="I8" i="5" s="1"/>
  <c r="G151" i="1"/>
  <c r="G8" i="5"/>
  <c r="E151" i="1"/>
  <c r="E8" i="5"/>
  <c r="D151" i="1"/>
  <c r="D8" i="5"/>
  <c r="C151" i="1"/>
  <c r="C8" i="5"/>
  <c r="K150" i="1"/>
  <c r="J150" i="1"/>
  <c r="I150" i="1"/>
  <c r="G150" i="1"/>
  <c r="G7" i="5" s="1"/>
  <c r="E150" i="1"/>
  <c r="D150" i="1"/>
  <c r="C150" i="1"/>
  <c r="C7" i="5" s="1"/>
  <c r="E142" i="2"/>
  <c r="D142" i="2"/>
  <c r="C142" i="2"/>
  <c r="I142" i="2" s="1"/>
  <c r="F136" i="2"/>
  <c r="H10" i="8" s="1"/>
  <c r="E136" i="2"/>
  <c r="F10" i="8"/>
  <c r="D136" i="2"/>
  <c r="G10" i="8"/>
  <c r="G11" i="8"/>
  <c r="C136" i="2"/>
  <c r="E10" i="8"/>
  <c r="F135" i="2"/>
  <c r="H9" i="8" s="1"/>
  <c r="E135" i="2"/>
  <c r="F9" i="8" s="1"/>
  <c r="D135" i="2"/>
  <c r="C135" i="2"/>
  <c r="F134" i="2"/>
  <c r="H8" i="8"/>
  <c r="H11" i="8" s="1"/>
  <c r="E134" i="2"/>
  <c r="F8" i="8"/>
  <c r="D134" i="2"/>
  <c r="C134" i="2"/>
  <c r="F133" i="2"/>
  <c r="H7" i="8"/>
  <c r="E133" i="2"/>
  <c r="F7" i="8"/>
  <c r="F11" i="8" s="1"/>
  <c r="D133" i="2"/>
  <c r="C133" i="2"/>
  <c r="I287" i="3"/>
  <c r="H287" i="3"/>
  <c r="G287" i="3"/>
  <c r="J287" i="3" s="1"/>
  <c r="E287" i="3"/>
  <c r="D287" i="3"/>
  <c r="C287" i="3"/>
  <c r="F287" i="3" s="1"/>
  <c r="K287" i="3" s="1"/>
  <c r="G286" i="3"/>
  <c r="J286" i="3" s="1"/>
  <c r="E286" i="3"/>
  <c r="D286" i="3"/>
  <c r="C286" i="3"/>
  <c r="F286" i="3" s="1"/>
  <c r="I285" i="3"/>
  <c r="H285" i="3"/>
  <c r="J285" i="3" s="1"/>
  <c r="G285" i="3"/>
  <c r="E285" i="3"/>
  <c r="D285" i="3"/>
  <c r="C285" i="3"/>
  <c r="I284" i="3"/>
  <c r="H284" i="3"/>
  <c r="G284" i="3"/>
  <c r="E284" i="3"/>
  <c r="D284" i="3"/>
  <c r="C284" i="3"/>
  <c r="F284" i="3" s="1"/>
  <c r="I283" i="3"/>
  <c r="J283" i="3" s="1"/>
  <c r="K283" i="3" s="1"/>
  <c r="I282" i="3"/>
  <c r="H282" i="3"/>
  <c r="G282" i="3"/>
  <c r="J282" i="3"/>
  <c r="E282" i="3"/>
  <c r="D282" i="3"/>
  <c r="C282" i="3"/>
  <c r="I280" i="3"/>
  <c r="H280" i="3"/>
  <c r="G280" i="3"/>
  <c r="E280" i="3"/>
  <c r="D280" i="3"/>
  <c r="C280" i="3"/>
  <c r="I279" i="3"/>
  <c r="H279" i="3"/>
  <c r="G279" i="3"/>
  <c r="J279" i="3" s="1"/>
  <c r="K279" i="3" s="1"/>
  <c r="E279" i="3"/>
  <c r="D279" i="3"/>
  <c r="C279" i="3"/>
  <c r="I278" i="3"/>
  <c r="H278" i="3"/>
  <c r="J278" i="3" s="1"/>
  <c r="K278" i="3" s="1"/>
  <c r="G278" i="3"/>
  <c r="E278" i="3"/>
  <c r="D278" i="3"/>
  <c r="C278" i="3"/>
  <c r="F278" i="3" s="1"/>
  <c r="I272" i="3"/>
  <c r="H272" i="3"/>
  <c r="G272" i="3"/>
  <c r="E272" i="3"/>
  <c r="D272" i="3"/>
  <c r="C272" i="3"/>
  <c r="I271" i="3"/>
  <c r="H271" i="3"/>
  <c r="G271" i="3"/>
  <c r="E271" i="3"/>
  <c r="D271" i="3"/>
  <c r="C271" i="3"/>
  <c r="I270" i="3"/>
  <c r="H270" i="3"/>
  <c r="G270" i="3"/>
  <c r="E270" i="3"/>
  <c r="D270" i="3"/>
  <c r="C270" i="3"/>
  <c r="I269" i="3"/>
  <c r="H269" i="3"/>
  <c r="G269" i="3"/>
  <c r="E269" i="3"/>
  <c r="D269" i="3"/>
  <c r="C269" i="3"/>
  <c r="I268" i="3"/>
  <c r="H268" i="3"/>
  <c r="G268" i="3"/>
  <c r="E268" i="3"/>
  <c r="C268" i="3"/>
  <c r="I267" i="3"/>
  <c r="H267" i="3"/>
  <c r="G267" i="3"/>
  <c r="E267" i="3"/>
  <c r="D267" i="3"/>
  <c r="C267" i="3"/>
  <c r="I265" i="3"/>
  <c r="H265" i="3"/>
  <c r="G265" i="3"/>
  <c r="E265" i="3"/>
  <c r="D265" i="3"/>
  <c r="C265" i="3"/>
  <c r="I264" i="3"/>
  <c r="H264" i="3"/>
  <c r="G264" i="3"/>
  <c r="E264" i="3"/>
  <c r="D264" i="3"/>
  <c r="C264" i="3"/>
  <c r="I263" i="3"/>
  <c r="H263" i="3"/>
  <c r="G263" i="3"/>
  <c r="E263" i="3"/>
  <c r="D263" i="3"/>
  <c r="C263" i="3"/>
  <c r="N284" i="4"/>
  <c r="N285" i="4" s="1"/>
  <c r="M284" i="4"/>
  <c r="M285" i="4" s="1"/>
  <c r="M286" i="4" s="1"/>
  <c r="L284" i="4"/>
  <c r="K284" i="4"/>
  <c r="H284" i="4"/>
  <c r="G284" i="4"/>
  <c r="F284" i="4"/>
  <c r="E284" i="4"/>
  <c r="D284" i="4"/>
  <c r="N283" i="4"/>
  <c r="M283" i="4"/>
  <c r="L283" i="4"/>
  <c r="K283" i="4"/>
  <c r="H283" i="4"/>
  <c r="G283" i="4"/>
  <c r="G285" i="4" s="1"/>
  <c r="F283" i="4"/>
  <c r="F285" i="4" s="1"/>
  <c r="E283" i="4"/>
  <c r="E285" i="4"/>
  <c r="D10" i="8" s="1"/>
  <c r="D283" i="4"/>
  <c r="D285" i="4" s="1"/>
  <c r="P281" i="4"/>
  <c r="O281" i="4"/>
  <c r="N281" i="4"/>
  <c r="M281" i="4"/>
  <c r="L281" i="4"/>
  <c r="K281" i="4"/>
  <c r="H281" i="4"/>
  <c r="G281" i="4"/>
  <c r="F281" i="4"/>
  <c r="E281" i="4"/>
  <c r="D281" i="4"/>
  <c r="P280" i="4"/>
  <c r="O280" i="4"/>
  <c r="N280" i="4"/>
  <c r="M280" i="4"/>
  <c r="L280" i="4"/>
  <c r="K280" i="4"/>
  <c r="H280" i="4"/>
  <c r="G280" i="4"/>
  <c r="F280" i="4"/>
  <c r="E280" i="4"/>
  <c r="D280" i="4"/>
  <c r="P279" i="4"/>
  <c r="O279" i="4"/>
  <c r="N279" i="4"/>
  <c r="M279" i="4"/>
  <c r="L279" i="4"/>
  <c r="K279" i="4"/>
  <c r="H279" i="4"/>
  <c r="G279" i="4"/>
  <c r="F279" i="4"/>
  <c r="E279" i="4"/>
  <c r="D279" i="4"/>
  <c r="P278" i="4"/>
  <c r="O278" i="4"/>
  <c r="N278" i="4"/>
  <c r="M278" i="4"/>
  <c r="L278" i="4"/>
  <c r="K278" i="4"/>
  <c r="H278" i="4"/>
  <c r="G278" i="4"/>
  <c r="F278" i="4"/>
  <c r="E278" i="4"/>
  <c r="D278" i="4"/>
  <c r="P277" i="4"/>
  <c r="P282" i="4" s="1"/>
  <c r="P286" i="4" s="1"/>
  <c r="O277" i="4"/>
  <c r="O282" i="4" s="1"/>
  <c r="N277" i="4"/>
  <c r="M277" i="4"/>
  <c r="L277" i="4"/>
  <c r="K277" i="4"/>
  <c r="H277" i="4"/>
  <c r="G277" i="4"/>
  <c r="F277" i="4"/>
  <c r="E277" i="4"/>
  <c r="D277" i="4"/>
  <c r="P276" i="4"/>
  <c r="O276" i="4"/>
  <c r="N276" i="4"/>
  <c r="M276" i="4"/>
  <c r="M282" i="4" s="1"/>
  <c r="L276" i="4"/>
  <c r="L282" i="4" s="1"/>
  <c r="K276" i="4"/>
  <c r="H276" i="4"/>
  <c r="G276" i="4"/>
  <c r="F276" i="4"/>
  <c r="E276" i="4"/>
  <c r="D276" i="4"/>
  <c r="P275" i="4"/>
  <c r="O275" i="4"/>
  <c r="N275" i="4"/>
  <c r="M275" i="4"/>
  <c r="L275" i="4"/>
  <c r="K275" i="4"/>
  <c r="H275" i="4"/>
  <c r="H282" i="4" s="1"/>
  <c r="G275" i="4"/>
  <c r="G282" i="4" s="1"/>
  <c r="F275" i="4"/>
  <c r="F282" i="4"/>
  <c r="E275" i="4"/>
  <c r="E282" i="4" s="1"/>
  <c r="D9" i="8" s="1"/>
  <c r="D11" i="8" s="1"/>
  <c r="D275" i="4"/>
  <c r="D282" i="4" s="1"/>
  <c r="P273" i="4"/>
  <c r="O273" i="4"/>
  <c r="N273" i="4"/>
  <c r="M273" i="4"/>
  <c r="L273" i="4"/>
  <c r="K273" i="4"/>
  <c r="H273" i="4"/>
  <c r="H274" i="4" s="1"/>
  <c r="G273" i="4"/>
  <c r="F273" i="4"/>
  <c r="E273" i="4"/>
  <c r="D273" i="4"/>
  <c r="D274" i="4" s="1"/>
  <c r="P272" i="4"/>
  <c r="P274" i="4" s="1"/>
  <c r="O272" i="4"/>
  <c r="O274" i="4"/>
  <c r="N272" i="4"/>
  <c r="N274" i="4"/>
  <c r="M272" i="4"/>
  <c r="M274" i="4" s="1"/>
  <c r="L272" i="4"/>
  <c r="K272" i="4"/>
  <c r="K274" i="4" s="1"/>
  <c r="H272" i="4"/>
  <c r="G272" i="4"/>
  <c r="F272" i="4"/>
  <c r="F274" i="4" s="1"/>
  <c r="E272" i="4"/>
  <c r="D272" i="4"/>
  <c r="P265" i="4"/>
  <c r="P266" i="4"/>
  <c r="O265" i="4"/>
  <c r="O266" i="4"/>
  <c r="N265" i="4"/>
  <c r="N266" i="4"/>
  <c r="N267" i="4" s="1"/>
  <c r="M265" i="4"/>
  <c r="M266" i="4" s="1"/>
  <c r="M267" i="4" s="1"/>
  <c r="L265" i="4"/>
  <c r="L266" i="4" s="1"/>
  <c r="K265" i="4"/>
  <c r="K266" i="4"/>
  <c r="H265" i="4"/>
  <c r="H266" i="4"/>
  <c r="G265" i="4"/>
  <c r="G266" i="4"/>
  <c r="F265" i="4"/>
  <c r="F266" i="4"/>
  <c r="F267" i="4"/>
  <c r="E265" i="4"/>
  <c r="E266" i="4"/>
  <c r="D265" i="4"/>
  <c r="D266" i="4"/>
  <c r="P263" i="4"/>
  <c r="O263" i="4"/>
  <c r="N263" i="4"/>
  <c r="M263" i="4"/>
  <c r="M264" i="4" s="1"/>
  <c r="L263" i="4"/>
  <c r="L264" i="4" s="1"/>
  <c r="K263" i="4"/>
  <c r="K264" i="4" s="1"/>
  <c r="K267" i="4" s="1"/>
  <c r="H263" i="4"/>
  <c r="H264" i="4" s="1"/>
  <c r="H267" i="4" s="1"/>
  <c r="G263" i="4"/>
  <c r="G264" i="4" s="1"/>
  <c r="G267" i="4" s="1"/>
  <c r="F263" i="4"/>
  <c r="F264" i="4" s="1"/>
  <c r="E263" i="4"/>
  <c r="E264" i="4" s="1"/>
  <c r="C9" i="8" s="1"/>
  <c r="D263" i="4"/>
  <c r="D264" i="4" s="1"/>
  <c r="D267" i="4" s="1"/>
  <c r="P262" i="4"/>
  <c r="P264" i="4" s="1"/>
  <c r="P267" i="4" s="1"/>
  <c r="O262" i="4"/>
  <c r="O264" i="4" s="1"/>
  <c r="O267" i="4" s="1"/>
  <c r="N262" i="4"/>
  <c r="M262" i="4"/>
  <c r="L262" i="4"/>
  <c r="K262" i="4"/>
  <c r="H262" i="4"/>
  <c r="G262" i="4"/>
  <c r="F262" i="4"/>
  <c r="E262" i="4"/>
  <c r="D262" i="4"/>
  <c r="K12" i="6"/>
  <c r="J12" i="6"/>
  <c r="I12" i="6"/>
  <c r="H12" i="6"/>
  <c r="G12" i="6"/>
  <c r="F12" i="6"/>
  <c r="D12" i="6"/>
  <c r="C12" i="6"/>
  <c r="L11" i="6"/>
  <c r="L10" i="6"/>
  <c r="L9" i="6"/>
  <c r="L8" i="6"/>
  <c r="L7" i="6"/>
  <c r="L6" i="6"/>
  <c r="L5" i="6"/>
  <c r="L4" i="6"/>
  <c r="L12" i="6" s="1"/>
  <c r="G56" i="2"/>
  <c r="G55" i="2"/>
  <c r="G54" i="2"/>
  <c r="G53" i="2"/>
  <c r="E57" i="2"/>
  <c r="D57" i="2"/>
  <c r="C57" i="2"/>
  <c r="F57" i="2"/>
  <c r="N120" i="3"/>
  <c r="N127" i="3" s="1"/>
  <c r="G121" i="3"/>
  <c r="G128" i="3"/>
  <c r="F121" i="3"/>
  <c r="E121" i="3"/>
  <c r="E128" i="3"/>
  <c r="D121" i="3"/>
  <c r="D281" i="3" s="1"/>
  <c r="D288" i="3" s="1"/>
  <c r="D128" i="3"/>
  <c r="C121" i="3"/>
  <c r="C128" i="3" s="1"/>
  <c r="I121" i="3"/>
  <c r="I128" i="3"/>
  <c r="J127" i="3"/>
  <c r="K127" i="3"/>
  <c r="O126" i="3"/>
  <c r="J126" i="3"/>
  <c r="K126" i="3" s="1"/>
  <c r="O125" i="3" s="1"/>
  <c r="P125" i="3" s="1"/>
  <c r="J125" i="3"/>
  <c r="J124" i="3"/>
  <c r="J123" i="3"/>
  <c r="K123" i="3"/>
  <c r="O121" i="3"/>
  <c r="P121" i="3" s="1"/>
  <c r="J122" i="3"/>
  <c r="J120" i="3"/>
  <c r="K120" i="3" s="1"/>
  <c r="O119" i="3" s="1"/>
  <c r="J119" i="3"/>
  <c r="K119" i="3"/>
  <c r="O118" i="3" s="1"/>
  <c r="J118" i="3"/>
  <c r="K118" i="3"/>
  <c r="O117" i="3" s="1"/>
  <c r="P117" i="3" s="1"/>
  <c r="H121" i="3"/>
  <c r="H128" i="3"/>
  <c r="P122" i="4"/>
  <c r="P126" i="4"/>
  <c r="O122" i="4"/>
  <c r="O126" i="4" s="1"/>
  <c r="N122" i="4"/>
  <c r="N126" i="4"/>
  <c r="M122" i="4"/>
  <c r="M126" i="4"/>
  <c r="L122" i="4"/>
  <c r="L126" i="4" s="1"/>
  <c r="K122" i="4"/>
  <c r="K126" i="4"/>
  <c r="H122" i="4"/>
  <c r="H126" i="4"/>
  <c r="G122" i="4"/>
  <c r="G126" i="4" s="1"/>
  <c r="F122" i="4"/>
  <c r="F126" i="4"/>
  <c r="E122" i="4"/>
  <c r="E126" i="4" s="1"/>
  <c r="D122" i="4"/>
  <c r="D126" i="4"/>
  <c r="I115" i="4"/>
  <c r="J115" i="4" s="1"/>
  <c r="L53" i="1"/>
  <c r="K53" i="1"/>
  <c r="J53" i="1"/>
  <c r="I53" i="1"/>
  <c r="H53" i="1"/>
  <c r="G53" i="1"/>
  <c r="F53" i="1"/>
  <c r="E53" i="1"/>
  <c r="D53" i="1"/>
  <c r="C53" i="1"/>
  <c r="G41" i="2"/>
  <c r="G40" i="2"/>
  <c r="G39" i="2"/>
  <c r="G38" i="2"/>
  <c r="F42" i="2"/>
  <c r="E42" i="2"/>
  <c r="D42" i="2"/>
  <c r="C42" i="2"/>
  <c r="J95" i="3"/>
  <c r="J94" i="3"/>
  <c r="J93" i="3"/>
  <c r="J92" i="3"/>
  <c r="J91" i="3"/>
  <c r="J90" i="3"/>
  <c r="J96" i="3" s="1"/>
  <c r="N88" i="3"/>
  <c r="N95" i="3" s="1"/>
  <c r="F95" i="3"/>
  <c r="K95" i="3" s="1"/>
  <c r="O94" i="3" s="1"/>
  <c r="F94" i="3"/>
  <c r="K94" i="3"/>
  <c r="O93" i="3" s="1"/>
  <c r="F93" i="3"/>
  <c r="K93" i="3" s="1"/>
  <c r="O92" i="3" s="1"/>
  <c r="P92" i="3" s="1"/>
  <c r="F92" i="3"/>
  <c r="K92" i="3" s="1"/>
  <c r="O91" i="3" s="1"/>
  <c r="F91" i="3"/>
  <c r="F90" i="3"/>
  <c r="J88" i="3"/>
  <c r="J87" i="3"/>
  <c r="J86" i="3"/>
  <c r="I89" i="3"/>
  <c r="I96" i="3"/>
  <c r="H89" i="3"/>
  <c r="H96" i="3" s="1"/>
  <c r="G89" i="3"/>
  <c r="G96" i="3" s="1"/>
  <c r="E89" i="3"/>
  <c r="E96" i="3" s="1"/>
  <c r="D89" i="3"/>
  <c r="D96" i="3" s="1"/>
  <c r="C89" i="3"/>
  <c r="C96" i="3" s="1"/>
  <c r="F88" i="3"/>
  <c r="K88" i="3" s="1"/>
  <c r="O87" i="3" s="1"/>
  <c r="F87" i="3"/>
  <c r="F89" i="3" s="1"/>
  <c r="F86" i="3"/>
  <c r="K86" i="3" s="1"/>
  <c r="O85" i="3" s="1"/>
  <c r="P94" i="4"/>
  <c r="O94" i="4"/>
  <c r="N94" i="4"/>
  <c r="M94" i="4"/>
  <c r="L94" i="4"/>
  <c r="K94" i="4"/>
  <c r="K95" i="4" s="1"/>
  <c r="H94" i="4"/>
  <c r="G94" i="4"/>
  <c r="F94" i="4"/>
  <c r="E94" i="4"/>
  <c r="D94" i="4"/>
  <c r="D95" i="4" s="1"/>
  <c r="P91" i="4"/>
  <c r="P95" i="4" s="1"/>
  <c r="O91" i="4"/>
  <c r="O95" i="4" s="1"/>
  <c r="N91" i="4"/>
  <c r="N95" i="4"/>
  <c r="M91" i="4"/>
  <c r="L91" i="4"/>
  <c r="K91" i="4"/>
  <c r="H91" i="4"/>
  <c r="G91" i="4"/>
  <c r="G95" i="4" s="1"/>
  <c r="F91" i="4"/>
  <c r="E91" i="4"/>
  <c r="D91" i="4"/>
  <c r="P83" i="4"/>
  <c r="O83" i="4"/>
  <c r="N83" i="4"/>
  <c r="M83" i="4"/>
  <c r="M95" i="4"/>
  <c r="L83" i="4"/>
  <c r="K83" i="4"/>
  <c r="H83" i="4"/>
  <c r="G83" i="4"/>
  <c r="F83" i="4"/>
  <c r="F95" i="4" s="1"/>
  <c r="E83" i="4"/>
  <c r="D83" i="4"/>
  <c r="P75" i="4"/>
  <c r="P76" i="4"/>
  <c r="O75" i="4"/>
  <c r="O76" i="4" s="1"/>
  <c r="N75" i="4"/>
  <c r="N76" i="4"/>
  <c r="M75" i="4"/>
  <c r="M76" i="4" s="1"/>
  <c r="L75" i="4"/>
  <c r="L76" i="4"/>
  <c r="K75" i="4"/>
  <c r="K76" i="4" s="1"/>
  <c r="H75" i="4"/>
  <c r="H76" i="4"/>
  <c r="G75" i="4"/>
  <c r="G76" i="4" s="1"/>
  <c r="F75" i="4"/>
  <c r="E75" i="4"/>
  <c r="E76" i="4" s="1"/>
  <c r="D75" i="4"/>
  <c r="D76" i="4" s="1"/>
  <c r="P73" i="4"/>
  <c r="O73" i="4"/>
  <c r="N73" i="4"/>
  <c r="M73" i="4"/>
  <c r="L73" i="4"/>
  <c r="K73" i="4"/>
  <c r="H73" i="4"/>
  <c r="G73" i="4"/>
  <c r="F73" i="4"/>
  <c r="F76" i="4" s="1"/>
  <c r="E73" i="4"/>
  <c r="D73" i="4"/>
  <c r="I93" i="4"/>
  <c r="I92" i="4"/>
  <c r="I94" i="4"/>
  <c r="I90" i="4"/>
  <c r="I281" i="4" s="1"/>
  <c r="I89" i="4"/>
  <c r="I88" i="4"/>
  <c r="I87" i="4"/>
  <c r="J87" i="4"/>
  <c r="Q87" i="4" s="1"/>
  <c r="I86" i="4"/>
  <c r="I85" i="4"/>
  <c r="I84" i="4"/>
  <c r="J84" i="4"/>
  <c r="I82" i="4"/>
  <c r="J82" i="4"/>
  <c r="J273" i="4" s="1"/>
  <c r="I81" i="4"/>
  <c r="J81" i="4"/>
  <c r="I74" i="4"/>
  <c r="J74" i="4"/>
  <c r="J75" i="4" s="1"/>
  <c r="I72" i="4"/>
  <c r="I71" i="4"/>
  <c r="J71" i="4"/>
  <c r="L124" i="1"/>
  <c r="K124" i="1"/>
  <c r="J124" i="1"/>
  <c r="I124" i="1"/>
  <c r="H124" i="1"/>
  <c r="G124" i="1"/>
  <c r="F124" i="1"/>
  <c r="E124" i="1"/>
  <c r="D124" i="1"/>
  <c r="C124" i="1"/>
  <c r="G104" i="2"/>
  <c r="G103" i="2"/>
  <c r="G102" i="2"/>
  <c r="G101" i="2"/>
  <c r="F105" i="2"/>
  <c r="E105" i="2"/>
  <c r="D105" i="2"/>
  <c r="C105" i="2"/>
  <c r="F223" i="3"/>
  <c r="F222" i="3"/>
  <c r="F221" i="3"/>
  <c r="F220" i="3"/>
  <c r="K220" i="3" s="1"/>
  <c r="O219" i="3" s="1"/>
  <c r="P219" i="3" s="1"/>
  <c r="F219" i="3"/>
  <c r="K219" i="3" s="1"/>
  <c r="O217" i="3" s="1"/>
  <c r="P217" i="3" s="1"/>
  <c r="F218" i="3"/>
  <c r="K218" i="3" s="1"/>
  <c r="O218" i="3" s="1"/>
  <c r="P218" i="3" s="1"/>
  <c r="J223" i="3"/>
  <c r="K223" i="3"/>
  <c r="O222" i="3"/>
  <c r="P222" i="3" s="1"/>
  <c r="J222" i="3"/>
  <c r="K222" i="3" s="1"/>
  <c r="O221" i="3" s="1"/>
  <c r="P221" i="3" s="1"/>
  <c r="J221" i="3"/>
  <c r="J220" i="3"/>
  <c r="J219" i="3"/>
  <c r="J218" i="3"/>
  <c r="J216" i="3"/>
  <c r="J215" i="3"/>
  <c r="J214" i="3"/>
  <c r="F216" i="3"/>
  <c r="K216" i="3" s="1"/>
  <c r="O215" i="3" s="1"/>
  <c r="P215" i="3" s="1"/>
  <c r="F215" i="3"/>
  <c r="F214" i="3"/>
  <c r="K214" i="3" s="1"/>
  <c r="O213" i="3" s="1"/>
  <c r="I217" i="3"/>
  <c r="I224" i="3" s="1"/>
  <c r="H217" i="3"/>
  <c r="H224" i="3"/>
  <c r="G217" i="3"/>
  <c r="G281" i="3" s="1"/>
  <c r="G224" i="3"/>
  <c r="E224" i="3"/>
  <c r="D217" i="3"/>
  <c r="D224" i="3" s="1"/>
  <c r="C217" i="3"/>
  <c r="C224" i="3" s="1"/>
  <c r="P221" i="4"/>
  <c r="O221" i="4"/>
  <c r="O222" i="4" s="1"/>
  <c r="N221" i="4"/>
  <c r="M221" i="4"/>
  <c r="L221" i="4"/>
  <c r="L222" i="4" s="1"/>
  <c r="K221" i="4"/>
  <c r="H221" i="4"/>
  <c r="H222" i="4" s="1"/>
  <c r="G221" i="4"/>
  <c r="G222" i="4" s="1"/>
  <c r="F221" i="4"/>
  <c r="F222" i="4"/>
  <c r="E221" i="4"/>
  <c r="E222" i="4" s="1"/>
  <c r="D221" i="4"/>
  <c r="P218" i="4"/>
  <c r="P222" i="4" s="1"/>
  <c r="O218" i="4"/>
  <c r="N218" i="4"/>
  <c r="N222" i="4" s="1"/>
  <c r="M218" i="4"/>
  <c r="L218" i="4"/>
  <c r="K218" i="4"/>
  <c r="H218" i="4"/>
  <c r="G218" i="4"/>
  <c r="F218" i="4"/>
  <c r="E218" i="4"/>
  <c r="D218" i="4"/>
  <c r="D222" i="4" s="1"/>
  <c r="I220" i="4"/>
  <c r="J220" i="4" s="1"/>
  <c r="J221" i="4" s="1"/>
  <c r="Q220" i="4"/>
  <c r="I219" i="4"/>
  <c r="J219" i="4"/>
  <c r="I217" i="4"/>
  <c r="I216" i="4"/>
  <c r="J216" i="4" s="1"/>
  <c r="I215" i="4"/>
  <c r="I214" i="4"/>
  <c r="J214" i="4"/>
  <c r="I213" i="4"/>
  <c r="J213" i="4" s="1"/>
  <c r="Q213" i="4"/>
  <c r="I212" i="4"/>
  <c r="J212" i="4" s="1"/>
  <c r="Q212" i="4"/>
  <c r="I211" i="4"/>
  <c r="J211" i="4"/>
  <c r="P210" i="4"/>
  <c r="O210" i="4"/>
  <c r="N210" i="4"/>
  <c r="M210" i="4"/>
  <c r="L210" i="4"/>
  <c r="K210" i="4"/>
  <c r="K222" i="4" s="1"/>
  <c r="H210" i="4"/>
  <c r="G210" i="4"/>
  <c r="F210" i="4"/>
  <c r="E210" i="4"/>
  <c r="D210" i="4"/>
  <c r="I209" i="4"/>
  <c r="J209" i="4" s="1"/>
  <c r="Q209" i="4"/>
  <c r="I208" i="4"/>
  <c r="J208" i="4"/>
  <c r="J210" i="4" s="1"/>
  <c r="L88" i="1"/>
  <c r="K88" i="1"/>
  <c r="J88" i="1"/>
  <c r="I88" i="1"/>
  <c r="H88" i="1"/>
  <c r="G88" i="1"/>
  <c r="F88" i="1"/>
  <c r="E88" i="1"/>
  <c r="D88" i="1"/>
  <c r="C88" i="1"/>
  <c r="G72" i="2"/>
  <c r="G71" i="2"/>
  <c r="G70" i="2"/>
  <c r="G69" i="2"/>
  <c r="F73" i="2"/>
  <c r="F137" i="2" s="1"/>
  <c r="E73" i="2"/>
  <c r="D73" i="2"/>
  <c r="D137" i="2" s="1"/>
  <c r="C73" i="2"/>
  <c r="J159" i="3"/>
  <c r="J158" i="3"/>
  <c r="J157" i="3"/>
  <c r="J156" i="3"/>
  <c r="K156" i="3" s="1"/>
  <c r="O155" i="3" s="1"/>
  <c r="J155" i="3"/>
  <c r="K155" i="3" s="1"/>
  <c r="O153" i="3" s="1"/>
  <c r="J154" i="3"/>
  <c r="K154" i="3" s="1"/>
  <c r="J152" i="3"/>
  <c r="J151" i="3"/>
  <c r="J153" i="3" s="1"/>
  <c r="J150" i="3"/>
  <c r="F159" i="3"/>
  <c r="K159" i="3"/>
  <c r="O158" i="3"/>
  <c r="F158" i="3"/>
  <c r="K158" i="3" s="1"/>
  <c r="O157" i="3" s="1"/>
  <c r="F157" i="3"/>
  <c r="K157" i="3" s="1"/>
  <c r="O156" i="3" s="1"/>
  <c r="F156" i="3"/>
  <c r="F155" i="3"/>
  <c r="F154" i="3"/>
  <c r="F152" i="3"/>
  <c r="K152" i="3" s="1"/>
  <c r="O151" i="3" s="1"/>
  <c r="F151" i="3"/>
  <c r="K151" i="3" s="1"/>
  <c r="O150" i="3" s="1"/>
  <c r="F153" i="3"/>
  <c r="F160" i="3" s="1"/>
  <c r="F150" i="3"/>
  <c r="K150" i="3" s="1"/>
  <c r="O149" i="3" s="1"/>
  <c r="I153" i="3"/>
  <c r="H153" i="3"/>
  <c r="H160" i="3"/>
  <c r="G153" i="3"/>
  <c r="G160" i="3"/>
  <c r="E153" i="3"/>
  <c r="E160" i="3"/>
  <c r="D153" i="3"/>
  <c r="D160" i="3" s="1"/>
  <c r="C153" i="3"/>
  <c r="C160" i="3" s="1"/>
  <c r="F144" i="3"/>
  <c r="F143" i="3"/>
  <c r="F142" i="3"/>
  <c r="F270" i="3" s="1"/>
  <c r="F141" i="3"/>
  <c r="K141" i="3" s="1"/>
  <c r="F140" i="3"/>
  <c r="F268" i="3" s="1"/>
  <c r="F139" i="3"/>
  <c r="F267" i="3"/>
  <c r="J144" i="3"/>
  <c r="J143" i="3"/>
  <c r="J142" i="3"/>
  <c r="J141" i="3"/>
  <c r="J140" i="3"/>
  <c r="J268" i="3" s="1"/>
  <c r="J139" i="3"/>
  <c r="J137" i="3"/>
  <c r="J265" i="3" s="1"/>
  <c r="J136" i="3"/>
  <c r="K136" i="3" s="1"/>
  <c r="J135" i="3"/>
  <c r="K135" i="3" s="1"/>
  <c r="F137" i="3"/>
  <c r="F265" i="3" s="1"/>
  <c r="F136" i="3"/>
  <c r="F138" i="3" s="1"/>
  <c r="F135" i="3"/>
  <c r="F263" i="3" s="1"/>
  <c r="I138" i="3"/>
  <c r="H138" i="3"/>
  <c r="G138" i="3"/>
  <c r="E138" i="3"/>
  <c r="D138" i="3"/>
  <c r="D145" i="3"/>
  <c r="C138" i="3"/>
  <c r="C145" i="3" s="1"/>
  <c r="P154" i="4"/>
  <c r="P158" i="4" s="1"/>
  <c r="O154" i="4"/>
  <c r="O158" i="4" s="1"/>
  <c r="N154" i="4"/>
  <c r="M154" i="4"/>
  <c r="L154" i="4"/>
  <c r="K154" i="4"/>
  <c r="H154" i="4"/>
  <c r="G154" i="4"/>
  <c r="F154" i="4"/>
  <c r="F158" i="4" s="1"/>
  <c r="E154" i="4"/>
  <c r="D154" i="4"/>
  <c r="P157" i="4"/>
  <c r="O157" i="4"/>
  <c r="N157" i="4"/>
  <c r="M157" i="4"/>
  <c r="L157" i="4"/>
  <c r="K157" i="4"/>
  <c r="K158" i="4" s="1"/>
  <c r="H157" i="4"/>
  <c r="H158" i="4" s="1"/>
  <c r="G157" i="4"/>
  <c r="F157" i="4"/>
  <c r="E157" i="4"/>
  <c r="D157" i="4"/>
  <c r="I156" i="4"/>
  <c r="J156" i="4" s="1"/>
  <c r="I155" i="4"/>
  <c r="J155" i="4"/>
  <c r="I153" i="4"/>
  <c r="I152" i="4"/>
  <c r="J152" i="4"/>
  <c r="I151" i="4"/>
  <c r="J151" i="4"/>
  <c r="I150" i="4"/>
  <c r="J150" i="4"/>
  <c r="J278" i="4" s="1"/>
  <c r="I149" i="4"/>
  <c r="I148" i="4"/>
  <c r="J148" i="4"/>
  <c r="I147" i="4"/>
  <c r="J147" i="4" s="1"/>
  <c r="P146" i="4"/>
  <c r="O146" i="4"/>
  <c r="N146" i="4"/>
  <c r="N158" i="4"/>
  <c r="M146" i="4"/>
  <c r="M158" i="4" s="1"/>
  <c r="L146" i="4"/>
  <c r="K146" i="4"/>
  <c r="H146" i="4"/>
  <c r="G146" i="4"/>
  <c r="F146" i="4"/>
  <c r="E146" i="4"/>
  <c r="E158" i="4" s="1"/>
  <c r="D146" i="4"/>
  <c r="D158" i="4"/>
  <c r="I145" i="4"/>
  <c r="J145" i="4" s="1"/>
  <c r="I144" i="4"/>
  <c r="J144" i="4"/>
  <c r="P138" i="4"/>
  <c r="O138" i="4"/>
  <c r="O139" i="4"/>
  <c r="N138" i="4"/>
  <c r="N139" i="4" s="1"/>
  <c r="M138" i="4"/>
  <c r="M139" i="4" s="1"/>
  <c r="L138" i="4"/>
  <c r="K138" i="4"/>
  <c r="H138" i="4"/>
  <c r="G138" i="4"/>
  <c r="G139" i="4" s="1"/>
  <c r="F138" i="4"/>
  <c r="F139" i="4" s="1"/>
  <c r="E138" i="4"/>
  <c r="D138" i="4"/>
  <c r="I137" i="4"/>
  <c r="I138" i="4"/>
  <c r="P136" i="4"/>
  <c r="P139" i="4"/>
  <c r="O136" i="4"/>
  <c r="N136" i="4"/>
  <c r="M136" i="4"/>
  <c r="L136" i="4"/>
  <c r="L139" i="4"/>
  <c r="K136" i="4"/>
  <c r="K139" i="4" s="1"/>
  <c r="H136" i="4"/>
  <c r="H139" i="4"/>
  <c r="G136" i="4"/>
  <c r="F136" i="4"/>
  <c r="E136" i="4"/>
  <c r="D136" i="4"/>
  <c r="D139" i="4" s="1"/>
  <c r="I135" i="4"/>
  <c r="J135" i="4"/>
  <c r="Q135" i="4" s="1"/>
  <c r="I134" i="4"/>
  <c r="A1" i="5"/>
  <c r="A2" i="5"/>
  <c r="A3" i="5"/>
  <c r="L3" i="5"/>
  <c r="A4" i="5"/>
  <c r="B4" i="5"/>
  <c r="C4" i="5"/>
  <c r="F4" i="5"/>
  <c r="G4" i="5"/>
  <c r="H4" i="5"/>
  <c r="L4" i="5"/>
  <c r="C5" i="5"/>
  <c r="D5" i="5"/>
  <c r="E5" i="5"/>
  <c r="F5" i="5"/>
  <c r="H5" i="5"/>
  <c r="I5" i="5"/>
  <c r="J5" i="5"/>
  <c r="K5" i="5"/>
  <c r="A6" i="5"/>
  <c r="B6" i="5"/>
  <c r="C6" i="5"/>
  <c r="D6" i="5"/>
  <c r="E6" i="5"/>
  <c r="F6" i="5"/>
  <c r="G6" i="5"/>
  <c r="H6" i="5"/>
  <c r="I6" i="5"/>
  <c r="J6" i="5"/>
  <c r="K6" i="5"/>
  <c r="L6" i="5"/>
  <c r="L106" i="1"/>
  <c r="K106" i="1"/>
  <c r="J106" i="1"/>
  <c r="I106" i="1"/>
  <c r="H106" i="1"/>
  <c r="G106" i="1"/>
  <c r="F106" i="1"/>
  <c r="E106" i="1"/>
  <c r="D106" i="1"/>
  <c r="C106" i="1"/>
  <c r="G88" i="2"/>
  <c r="G87" i="2"/>
  <c r="G86" i="2"/>
  <c r="G85" i="2"/>
  <c r="G89" i="2" s="1"/>
  <c r="F89" i="2"/>
  <c r="E89" i="2"/>
  <c r="D89" i="2"/>
  <c r="C89" i="2"/>
  <c r="C137" i="2" s="1"/>
  <c r="J191" i="3"/>
  <c r="J190" i="3"/>
  <c r="K190" i="3" s="1"/>
  <c r="J189" i="3"/>
  <c r="J188" i="3"/>
  <c r="J187" i="3"/>
  <c r="J186" i="3"/>
  <c r="J184" i="3"/>
  <c r="J183" i="3"/>
  <c r="K183" i="3" s="1"/>
  <c r="J182" i="3"/>
  <c r="J176" i="3"/>
  <c r="J175" i="3"/>
  <c r="J271" i="3" s="1"/>
  <c r="J174" i="3"/>
  <c r="J270" i="3"/>
  <c r="J173" i="3"/>
  <c r="J269" i="3"/>
  <c r="J172" i="3"/>
  <c r="J171" i="3"/>
  <c r="J169" i="3"/>
  <c r="J168" i="3"/>
  <c r="F191" i="3"/>
  <c r="K191" i="3" s="1"/>
  <c r="O190" i="3" s="1"/>
  <c r="F190" i="3"/>
  <c r="O189" i="3"/>
  <c r="F189" i="3"/>
  <c r="K189" i="3" s="1"/>
  <c r="O188" i="3" s="1"/>
  <c r="F188" i="3"/>
  <c r="K188" i="3" s="1"/>
  <c r="O187" i="3" s="1"/>
  <c r="F187" i="3"/>
  <c r="F186" i="3"/>
  <c r="K186" i="3"/>
  <c r="O186" i="3"/>
  <c r="F184" i="3"/>
  <c r="F183" i="3"/>
  <c r="F182" i="3"/>
  <c r="I185" i="3"/>
  <c r="H185" i="3"/>
  <c r="H192" i="3"/>
  <c r="G185" i="3"/>
  <c r="G192" i="3"/>
  <c r="E185" i="3"/>
  <c r="E281" i="3"/>
  <c r="E288" i="3"/>
  <c r="D185" i="3"/>
  <c r="D192" i="3" s="1"/>
  <c r="C185" i="3"/>
  <c r="C192" i="3"/>
  <c r="F176" i="3"/>
  <c r="K176" i="3" s="1"/>
  <c r="F272" i="3"/>
  <c r="F175" i="3"/>
  <c r="F271" i="3" s="1"/>
  <c r="F174" i="3"/>
  <c r="F173" i="3"/>
  <c r="K173" i="3" s="1"/>
  <c r="N187" i="3" s="1"/>
  <c r="F172" i="3"/>
  <c r="K172" i="3" s="1"/>
  <c r="F171" i="3"/>
  <c r="K171" i="3" s="1"/>
  <c r="N186" i="3" s="1"/>
  <c r="P186" i="3" s="1"/>
  <c r="J167" i="3"/>
  <c r="J263" i="3"/>
  <c r="F169" i="3"/>
  <c r="F168" i="3"/>
  <c r="F167" i="3"/>
  <c r="I170" i="3"/>
  <c r="H170" i="3"/>
  <c r="H177" i="3"/>
  <c r="G170" i="3"/>
  <c r="E170" i="3"/>
  <c r="C170" i="3"/>
  <c r="C266" i="3" s="1"/>
  <c r="C177" i="3"/>
  <c r="C273" i="3" s="1"/>
  <c r="D170" i="3"/>
  <c r="D266" i="3" s="1"/>
  <c r="D177" i="3"/>
  <c r="D273" i="3" s="1"/>
  <c r="I188" i="4"/>
  <c r="I187" i="4"/>
  <c r="Q187" i="4" s="1"/>
  <c r="J187" i="4"/>
  <c r="I185" i="4"/>
  <c r="J185" i="4" s="1"/>
  <c r="I184" i="4"/>
  <c r="J184" i="4" s="1"/>
  <c r="I183" i="4"/>
  <c r="J183" i="4"/>
  <c r="I182" i="4"/>
  <c r="J182" i="4"/>
  <c r="I181" i="4"/>
  <c r="J181" i="4" s="1"/>
  <c r="I180" i="4"/>
  <c r="Q180" i="4"/>
  <c r="I179" i="4"/>
  <c r="I186" i="4" s="1"/>
  <c r="J179" i="4"/>
  <c r="J186" i="4" s="1"/>
  <c r="I177" i="4"/>
  <c r="J177" i="4" s="1"/>
  <c r="I176" i="4"/>
  <c r="J176" i="4"/>
  <c r="J178" i="4" s="1"/>
  <c r="P189" i="4"/>
  <c r="P190" i="4" s="1"/>
  <c r="O189" i="4"/>
  <c r="N189" i="4"/>
  <c r="M189" i="4"/>
  <c r="L189" i="4"/>
  <c r="K189" i="4"/>
  <c r="H189" i="4"/>
  <c r="H190" i="4" s="1"/>
  <c r="G189" i="4"/>
  <c r="F189" i="4"/>
  <c r="F190" i="4"/>
  <c r="E189" i="4"/>
  <c r="E190" i="4"/>
  <c r="D189" i="4"/>
  <c r="D190" i="4" s="1"/>
  <c r="P186" i="4"/>
  <c r="O186" i="4"/>
  <c r="N186" i="4"/>
  <c r="M186" i="4"/>
  <c r="L186" i="4"/>
  <c r="K186" i="4"/>
  <c r="H186" i="4"/>
  <c r="G186" i="4"/>
  <c r="F186" i="4"/>
  <c r="E186" i="4"/>
  <c r="D186" i="4"/>
  <c r="P178" i="4"/>
  <c r="O178" i="4"/>
  <c r="N178" i="4"/>
  <c r="N190" i="4" s="1"/>
  <c r="M178" i="4"/>
  <c r="L178" i="4"/>
  <c r="K178" i="4"/>
  <c r="H178" i="4"/>
  <c r="G178" i="4"/>
  <c r="F178" i="4"/>
  <c r="E178" i="4"/>
  <c r="D178" i="4"/>
  <c r="P170" i="4"/>
  <c r="O170" i="4"/>
  <c r="N170" i="4"/>
  <c r="N171" i="4"/>
  <c r="M170" i="4"/>
  <c r="M171" i="4"/>
  <c r="L170" i="4"/>
  <c r="L171" i="4" s="1"/>
  <c r="K170" i="4"/>
  <c r="K171" i="4" s="1"/>
  <c r="H170" i="4"/>
  <c r="H171" i="4" s="1"/>
  <c r="G170" i="4"/>
  <c r="F170" i="4"/>
  <c r="E170" i="4"/>
  <c r="D170" i="4"/>
  <c r="D171" i="4" s="1"/>
  <c r="I169" i="4"/>
  <c r="J169" i="4" s="1"/>
  <c r="J170" i="4" s="1"/>
  <c r="P168" i="4"/>
  <c r="P171" i="4"/>
  <c r="O168" i="4"/>
  <c r="O171" i="4" s="1"/>
  <c r="N168" i="4"/>
  <c r="M168" i="4"/>
  <c r="L168" i="4"/>
  <c r="K168" i="4"/>
  <c r="H168" i="4"/>
  <c r="G168" i="4"/>
  <c r="G171" i="4"/>
  <c r="F168" i="4"/>
  <c r="F171" i="4" s="1"/>
  <c r="E168" i="4"/>
  <c r="E171" i="4" s="1"/>
  <c r="D168" i="4"/>
  <c r="I167" i="4"/>
  <c r="J167" i="4"/>
  <c r="I166" i="4"/>
  <c r="I168" i="4" s="1"/>
  <c r="J166" i="4"/>
  <c r="J168" i="4" s="1"/>
  <c r="E4" i="6"/>
  <c r="E5" i="6"/>
  <c r="M5" i="6"/>
  <c r="E6" i="6"/>
  <c r="M6" i="6"/>
  <c r="E7" i="6"/>
  <c r="M7" i="6"/>
  <c r="E8" i="6"/>
  <c r="M8" i="6"/>
  <c r="E9" i="6"/>
  <c r="M9" i="6" s="1"/>
  <c r="E10" i="6"/>
  <c r="M10" i="6" s="1"/>
  <c r="J170" i="3"/>
  <c r="J177" i="3"/>
  <c r="K143" i="3"/>
  <c r="N157" i="3" s="1"/>
  <c r="J89" i="3"/>
  <c r="I170" i="4"/>
  <c r="I171" i="4" s="1"/>
  <c r="Q177" i="4"/>
  <c r="I73" i="4"/>
  <c r="I189" i="4"/>
  <c r="K87" i="3"/>
  <c r="K89" i="3" s="1"/>
  <c r="O86" i="3"/>
  <c r="O88" i="3" s="1"/>
  <c r="P86" i="3"/>
  <c r="K282" i="4"/>
  <c r="J280" i="3"/>
  <c r="K285" i="4"/>
  <c r="K286" i="4" s="1"/>
  <c r="L285" i="4"/>
  <c r="H285" i="4"/>
  <c r="F285" i="3"/>
  <c r="F283" i="3"/>
  <c r="E192" i="3"/>
  <c r="F279" i="3"/>
  <c r="K174" i="3"/>
  <c r="N188" i="3" s="1"/>
  <c r="P188" i="3" s="1"/>
  <c r="K125" i="3"/>
  <c r="O124" i="3" s="1"/>
  <c r="P124" i="3" s="1"/>
  <c r="P285" i="4"/>
  <c r="N264" i="4"/>
  <c r="O154" i="3"/>
  <c r="K167" i="3"/>
  <c r="N181" i="3" s="1"/>
  <c r="P181" i="3" s="1"/>
  <c r="K144" i="3"/>
  <c r="G145" i="3"/>
  <c r="I160" i="3"/>
  <c r="Q181" i="4"/>
  <c r="Q71" i="4"/>
  <c r="I279" i="4"/>
  <c r="N158" i="3"/>
  <c r="I278" i="4"/>
  <c r="J284" i="3"/>
  <c r="L95" i="4"/>
  <c r="G274" i="4"/>
  <c r="G158" i="4"/>
  <c r="I276" i="4"/>
  <c r="I15" i="7"/>
  <c r="H160" i="1"/>
  <c r="I7" i="5"/>
  <c r="E7" i="5"/>
  <c r="M222" i="4"/>
  <c r="I157" i="4"/>
  <c r="J157" i="4"/>
  <c r="I146" i="4"/>
  <c r="K215" i="3"/>
  <c r="K217" i="3" s="1"/>
  <c r="O214" i="3"/>
  <c r="P214" i="3" s="1"/>
  <c r="G12" i="5"/>
  <c r="I122" i="4"/>
  <c r="I126" i="4" s="1"/>
  <c r="G190" i="4"/>
  <c r="H95" i="4"/>
  <c r="J217" i="3"/>
  <c r="K221" i="3"/>
  <c r="O220" i="3"/>
  <c r="P220" i="3" s="1"/>
  <c r="P158" i="3"/>
  <c r="K187" i="3"/>
  <c r="O185" i="3" s="1"/>
  <c r="J185" i="3"/>
  <c r="K182" i="3"/>
  <c r="O181" i="3"/>
  <c r="I192" i="3"/>
  <c r="Q219" i="4"/>
  <c r="E15" i="7"/>
  <c r="P94" i="3"/>
  <c r="L274" i="4"/>
  <c r="E274" i="4"/>
  <c r="Q144" i="4"/>
  <c r="F15" i="7"/>
  <c r="I177" i="3"/>
  <c r="E177" i="3"/>
  <c r="L190" i="4"/>
  <c r="Q183" i="4"/>
  <c r="Q169" i="4"/>
  <c r="Q170" i="4" s="1"/>
  <c r="Q171" i="4" s="1"/>
  <c r="N185" i="3"/>
  <c r="F280" i="3"/>
  <c r="K280" i="3"/>
  <c r="F217" i="3"/>
  <c r="F224" i="3"/>
  <c r="P213" i="3"/>
  <c r="Q221" i="4"/>
  <c r="Q214" i="4"/>
  <c r="Q211" i="4"/>
  <c r="J192" i="3"/>
  <c r="P187" i="3"/>
  <c r="Q184" i="4"/>
  <c r="Q182" i="4"/>
  <c r="Q167" i="4"/>
  <c r="J171" i="4"/>
  <c r="Q166" i="4"/>
  <c r="Q168" i="4" s="1"/>
  <c r="Q156" i="4"/>
  <c r="Q155" i="4"/>
  <c r="Q157" i="4" s="1"/>
  <c r="Q151" i="4"/>
  <c r="Q145" i="4"/>
  <c r="P122" i="3"/>
  <c r="P119" i="3"/>
  <c r="P120" i="3" s="1"/>
  <c r="K121" i="3"/>
  <c r="P126" i="3"/>
  <c r="P118" i="3"/>
  <c r="G17" i="5"/>
  <c r="J22" i="7"/>
  <c r="F22" i="7"/>
  <c r="G22" i="7"/>
  <c r="H22" i="7"/>
  <c r="E22" i="7"/>
  <c r="E29" i="7"/>
  <c r="G29" i="7"/>
  <c r="I29" i="7"/>
  <c r="J29" i="7"/>
  <c r="D29" i="7"/>
  <c r="Q84" i="4"/>
  <c r="P93" i="3"/>
  <c r="K269" i="3" l="1"/>
  <c r="N155" i="3"/>
  <c r="N286" i="4"/>
  <c r="D30" i="7"/>
  <c r="J222" i="4"/>
  <c r="E27" i="7"/>
  <c r="C27" i="7"/>
  <c r="L27" i="7" s="1"/>
  <c r="I27" i="7"/>
  <c r="D27" i="7"/>
  <c r="F27" i="7"/>
  <c r="J27" i="7"/>
  <c r="J28" i="7"/>
  <c r="F28" i="7"/>
  <c r="I28" i="7"/>
  <c r="D28" i="7"/>
  <c r="N149" i="3"/>
  <c r="K263" i="3"/>
  <c r="K138" i="3"/>
  <c r="N150" i="3"/>
  <c r="P157" i="3"/>
  <c r="J275" i="4"/>
  <c r="J122" i="4"/>
  <c r="J126" i="4" s="1"/>
  <c r="E23" i="7"/>
  <c r="H23" i="7"/>
  <c r="F23" i="7"/>
  <c r="G23" i="7"/>
  <c r="C23" i="7"/>
  <c r="L23" i="7" s="1"/>
  <c r="D23" i="7"/>
  <c r="J23" i="7"/>
  <c r="P91" i="3"/>
  <c r="I95" i="4"/>
  <c r="I17" i="5"/>
  <c r="P88" i="3"/>
  <c r="D286" i="4"/>
  <c r="K286" i="3"/>
  <c r="L29" i="7"/>
  <c r="E266" i="3"/>
  <c r="E145" i="3"/>
  <c r="E273" i="3" s="1"/>
  <c r="Q74" i="4"/>
  <c r="I265" i="4"/>
  <c r="I266" i="4" s="1"/>
  <c r="J92" i="4"/>
  <c r="Q92" i="4"/>
  <c r="Q176" i="4"/>
  <c r="Q178" i="4" s="1"/>
  <c r="I178" i="4"/>
  <c r="I190" i="4" s="1"/>
  <c r="G288" i="3"/>
  <c r="I284" i="4"/>
  <c r="O216" i="3"/>
  <c r="P216" i="3" s="1"/>
  <c r="P223" i="3" s="1"/>
  <c r="K224" i="3"/>
  <c r="O223" i="3" s="1"/>
  <c r="J224" i="3"/>
  <c r="M4" i="6"/>
  <c r="M12" i="6" s="1"/>
  <c r="C281" i="3"/>
  <c r="C288" i="3" s="1"/>
  <c r="Q208" i="4"/>
  <c r="Q210" i="4" s="1"/>
  <c r="I210" i="4"/>
  <c r="K153" i="3"/>
  <c r="H281" i="3"/>
  <c r="H288" i="3" s="1"/>
  <c r="Q148" i="4"/>
  <c r="I154" i="4"/>
  <c r="I158" i="4" s="1"/>
  <c r="Q149" i="4"/>
  <c r="F264" i="3"/>
  <c r="J89" i="4"/>
  <c r="J280" i="4" s="1"/>
  <c r="Q89" i="4"/>
  <c r="F128" i="3"/>
  <c r="K124" i="3"/>
  <c r="E28" i="7"/>
  <c r="O277" i="3"/>
  <c r="P85" i="3"/>
  <c r="E267" i="4"/>
  <c r="J188" i="4"/>
  <c r="Q188" i="4" s="1"/>
  <c r="Q189" i="4" s="1"/>
  <c r="Q190" i="4" s="1"/>
  <c r="J272" i="4"/>
  <c r="J274" i="4" s="1"/>
  <c r="F286" i="4"/>
  <c r="Q216" i="4"/>
  <c r="I83" i="4"/>
  <c r="I272" i="4"/>
  <c r="I274" i="4" s="1"/>
  <c r="Q81" i="4"/>
  <c r="P185" i="3"/>
  <c r="I266" i="3"/>
  <c r="I145" i="3"/>
  <c r="I273" i="3" s="1"/>
  <c r="G134" i="2"/>
  <c r="G57" i="2"/>
  <c r="H286" i="4"/>
  <c r="I75" i="4"/>
  <c r="I76" i="4" s="1"/>
  <c r="I273" i="4"/>
  <c r="G135" i="2"/>
  <c r="C10" i="8"/>
  <c r="C11" i="8" s="1"/>
  <c r="E12" i="6"/>
  <c r="H29" i="7"/>
  <c r="L286" i="4"/>
  <c r="C160" i="1"/>
  <c r="C9" i="5"/>
  <c r="C17" i="5" s="1"/>
  <c r="F160" i="1"/>
  <c r="O286" i="4"/>
  <c r="H28" i="7"/>
  <c r="Q82" i="4"/>
  <c r="Q273" i="4" s="1"/>
  <c r="I136" i="4"/>
  <c r="I139" i="4" s="1"/>
  <c r="J134" i="4"/>
  <c r="G133" i="2"/>
  <c r="G73" i="2"/>
  <c r="I281" i="3"/>
  <c r="I288" i="3" s="1"/>
  <c r="E9" i="5"/>
  <c r="E160" i="1"/>
  <c r="P87" i="3"/>
  <c r="I280" i="4"/>
  <c r="K272" i="3"/>
  <c r="N190" i="3"/>
  <c r="K285" i="3"/>
  <c r="C15" i="7"/>
  <c r="C21" i="7"/>
  <c r="Q137" i="4"/>
  <c r="Q138" i="4" s="1"/>
  <c r="G160" i="1"/>
  <c r="G15" i="7"/>
  <c r="C22" i="7"/>
  <c r="L22" i="7" s="1"/>
  <c r="J120" i="4"/>
  <c r="Q120" i="4" s="1"/>
  <c r="E17" i="5"/>
  <c r="K142" i="3"/>
  <c r="O190" i="4"/>
  <c r="Q185" i="4"/>
  <c r="F170" i="3"/>
  <c r="F177" i="3" s="1"/>
  <c r="K168" i="3"/>
  <c r="K264" i="3" s="1"/>
  <c r="Q150" i="4"/>
  <c r="Q278" i="4" s="1"/>
  <c r="J72" i="4"/>
  <c r="Q72" i="4" s="1"/>
  <c r="I263" i="4"/>
  <c r="K90" i="3"/>
  <c r="O90" i="3" s="1"/>
  <c r="E137" i="2"/>
  <c r="H145" i="3"/>
  <c r="H273" i="3" s="1"/>
  <c r="H266" i="3"/>
  <c r="G286" i="4"/>
  <c r="Q146" i="4"/>
  <c r="F29" i="7"/>
  <c r="E286" i="4"/>
  <c r="K284" i="3"/>
  <c r="F269" i="3"/>
  <c r="F145" i="3"/>
  <c r="F273" i="3" s="1"/>
  <c r="D21" i="7"/>
  <c r="I218" i="4"/>
  <c r="Q93" i="4"/>
  <c r="H27" i="7"/>
  <c r="J83" i="4"/>
  <c r="Q179" i="4"/>
  <c r="Q186" i="4" s="1"/>
  <c r="Q147" i="4"/>
  <c r="J264" i="3"/>
  <c r="J138" i="3"/>
  <c r="K9" i="7"/>
  <c r="J25" i="7" s="1"/>
  <c r="K5" i="7"/>
  <c r="I221" i="4"/>
  <c r="K184" i="3"/>
  <c r="O183" i="3" s="1"/>
  <c r="O279" i="3" s="1"/>
  <c r="F185" i="3"/>
  <c r="F192" i="3" s="1"/>
  <c r="O286" i="3"/>
  <c r="K137" i="3"/>
  <c r="I23" i="7"/>
  <c r="D15" i="7"/>
  <c r="I283" i="4"/>
  <c r="O285" i="3"/>
  <c r="I22" i="7"/>
  <c r="K14" i="7"/>
  <c r="O182" i="3"/>
  <c r="G105" i="2"/>
  <c r="J90" i="4"/>
  <c r="J281" i="4" s="1"/>
  <c r="Q90" i="4"/>
  <c r="K91" i="3"/>
  <c r="O89" i="3" s="1"/>
  <c r="Q115" i="4"/>
  <c r="I275" i="4"/>
  <c r="I282" i="4" s="1"/>
  <c r="N282" i="4"/>
  <c r="J267" i="3"/>
  <c r="K139" i="3"/>
  <c r="J160" i="3"/>
  <c r="G136" i="2"/>
  <c r="G42" i="2"/>
  <c r="G26" i="7"/>
  <c r="O284" i="3"/>
  <c r="K8" i="7"/>
  <c r="D24" i="7"/>
  <c r="G27" i="7"/>
  <c r="I25" i="7"/>
  <c r="G177" i="3"/>
  <c r="G273" i="3" s="1"/>
  <c r="G266" i="3"/>
  <c r="D160" i="1"/>
  <c r="D7" i="5"/>
  <c r="D17" i="5" s="1"/>
  <c r="K10" i="7"/>
  <c r="C26" i="7"/>
  <c r="G28" i="7"/>
  <c r="K190" i="4"/>
  <c r="Q152" i="4"/>
  <c r="J215" i="4"/>
  <c r="J218" i="4" s="1"/>
  <c r="I262" i="4"/>
  <c r="I264" i="4" s="1"/>
  <c r="J88" i="4"/>
  <c r="J279" i="4" s="1"/>
  <c r="Q88" i="4"/>
  <c r="E95" i="4"/>
  <c r="F282" i="3"/>
  <c r="K282" i="3" s="1"/>
  <c r="C28" i="7"/>
  <c r="F96" i="3"/>
  <c r="K140" i="3"/>
  <c r="J86" i="4"/>
  <c r="I277" i="4"/>
  <c r="K169" i="3"/>
  <c r="N183" i="3" s="1"/>
  <c r="E30" i="7"/>
  <c r="L158" i="4"/>
  <c r="J272" i="3"/>
  <c r="J153" i="4"/>
  <c r="Q153" i="4" s="1"/>
  <c r="J146" i="4"/>
  <c r="I160" i="1"/>
  <c r="J121" i="3"/>
  <c r="L267" i="4"/>
  <c r="J137" i="4"/>
  <c r="J138" i="4" s="1"/>
  <c r="M190" i="4"/>
  <c r="E139" i="4"/>
  <c r="Q85" i="4"/>
  <c r="I91" i="4"/>
  <c r="J85" i="4"/>
  <c r="O120" i="3"/>
  <c r="K175" i="3"/>
  <c r="Q263" i="4" l="1"/>
  <c r="Q73" i="4"/>
  <c r="P277" i="3"/>
  <c r="J284" i="4"/>
  <c r="J21" i="7"/>
  <c r="F21" i="7"/>
  <c r="K15" i="7"/>
  <c r="E21" i="7"/>
  <c r="L21" i="7" s="1"/>
  <c r="G21" i="7"/>
  <c r="I21" i="7"/>
  <c r="H21" i="7"/>
  <c r="F266" i="3"/>
  <c r="J281" i="3"/>
  <c r="J288" i="3" s="1"/>
  <c r="J128" i="3"/>
  <c r="Q279" i="4"/>
  <c r="J145" i="3"/>
  <c r="J273" i="3" s="1"/>
  <c r="J266" i="3"/>
  <c r="P190" i="3"/>
  <c r="P286" i="3" s="1"/>
  <c r="N286" i="3"/>
  <c r="H24" i="7"/>
  <c r="C24" i="7"/>
  <c r="F24" i="7"/>
  <c r="J24" i="7"/>
  <c r="G24" i="7"/>
  <c r="K185" i="3"/>
  <c r="K192" i="3" s="1"/>
  <c r="Q94" i="4"/>
  <c r="Q283" i="4"/>
  <c r="Q285" i="4" s="1"/>
  <c r="O184" i="3"/>
  <c r="O191" i="3" s="1"/>
  <c r="Q154" i="4"/>
  <c r="Q158" i="4" s="1"/>
  <c r="K270" i="3"/>
  <c r="N156" i="3"/>
  <c r="Q272" i="4"/>
  <c r="Q274" i="4" s="1"/>
  <c r="Q83" i="4"/>
  <c r="I24" i="7"/>
  <c r="J94" i="4"/>
  <c r="J95" i="4" s="1"/>
  <c r="J283" i="4"/>
  <c r="P150" i="3"/>
  <c r="H30" i="7"/>
  <c r="I30" i="7"/>
  <c r="J30" i="7"/>
  <c r="G30" i="7"/>
  <c r="F30" i="7"/>
  <c r="J154" i="4"/>
  <c r="J158" i="4" s="1"/>
  <c r="C30" i="7"/>
  <c r="L30" i="7" s="1"/>
  <c r="I267" i="4"/>
  <c r="N152" i="3"/>
  <c r="K266" i="3"/>
  <c r="K145" i="3"/>
  <c r="Q215" i="4"/>
  <c r="Q218" i="4" s="1"/>
  <c r="Q222" i="4" s="1"/>
  <c r="G137" i="2"/>
  <c r="E24" i="7"/>
  <c r="O123" i="3"/>
  <c r="K128" i="3"/>
  <c r="Q265" i="4"/>
  <c r="Q266" i="4" s="1"/>
  <c r="Q75" i="4"/>
  <c r="Q76" i="4" s="1"/>
  <c r="J265" i="4"/>
  <c r="J266" i="4" s="1"/>
  <c r="K96" i="3"/>
  <c r="I222" i="4"/>
  <c r="I285" i="4"/>
  <c r="I286" i="4" s="1"/>
  <c r="N154" i="3"/>
  <c r="K267" i="3"/>
  <c r="P183" i="3"/>
  <c r="Q276" i="4"/>
  <c r="N153" i="3"/>
  <c r="K268" i="3"/>
  <c r="Q284" i="4"/>
  <c r="J263" i="4"/>
  <c r="J73" i="4"/>
  <c r="J76" i="4" s="1"/>
  <c r="P95" i="3"/>
  <c r="Q275" i="4"/>
  <c r="Q122" i="4"/>
  <c r="Q126" i="4" s="1"/>
  <c r="L28" i="7"/>
  <c r="P89" i="3"/>
  <c r="O281" i="3"/>
  <c r="C31" i="7"/>
  <c r="Q281" i="4"/>
  <c r="K170" i="3"/>
  <c r="K177" i="3" s="1"/>
  <c r="N182" i="3"/>
  <c r="K160" i="3"/>
  <c r="O159" i="3" s="1"/>
  <c r="O152" i="3"/>
  <c r="E25" i="7"/>
  <c r="H25" i="7"/>
  <c r="D25" i="7"/>
  <c r="C25" i="7"/>
  <c r="L25" i="7" s="1"/>
  <c r="Q280" i="4"/>
  <c r="P149" i="3"/>
  <c r="N277" i="3"/>
  <c r="N189" i="3"/>
  <c r="K271" i="3"/>
  <c r="D31" i="7"/>
  <c r="J189" i="4"/>
  <c r="J190" i="4" s="1"/>
  <c r="G25" i="7"/>
  <c r="F281" i="3"/>
  <c r="F288" i="3" s="1"/>
  <c r="J276" i="4"/>
  <c r="J282" i="4" s="1"/>
  <c r="J91" i="4"/>
  <c r="H26" i="7"/>
  <c r="E26" i="7"/>
  <c r="D26" i="7"/>
  <c r="L26" i="7" s="1"/>
  <c r="F26" i="7"/>
  <c r="I26" i="7"/>
  <c r="K265" i="3"/>
  <c r="N151" i="3"/>
  <c r="O282" i="3"/>
  <c r="P90" i="3"/>
  <c r="F25" i="7"/>
  <c r="O95" i="3"/>
  <c r="N283" i="3"/>
  <c r="P155" i="3"/>
  <c r="Q86" i="4"/>
  <c r="Q277" i="4" s="1"/>
  <c r="J277" i="4"/>
  <c r="J136" i="4"/>
  <c r="J139" i="4" s="1"/>
  <c r="Q134" i="4"/>
  <c r="J262" i="4"/>
  <c r="J264" i="4" s="1"/>
  <c r="O278" i="3"/>
  <c r="O280" i="3" s="1"/>
  <c r="J26" i="7"/>
  <c r="P152" i="3" l="1"/>
  <c r="Q136" i="4"/>
  <c r="Q139" i="4" s="1"/>
  <c r="Q262" i="4"/>
  <c r="Q264" i="4" s="1"/>
  <c r="Q267" i="4" s="1"/>
  <c r="Q282" i="4"/>
  <c r="J267" i="4"/>
  <c r="Q286" i="4"/>
  <c r="Q95" i="4"/>
  <c r="P123" i="3"/>
  <c r="O283" i="3"/>
  <c r="O287" i="3" s="1"/>
  <c r="K281" i="3"/>
  <c r="K288" i="3" s="1"/>
  <c r="P182" i="3"/>
  <c r="P184" i="3" s="1"/>
  <c r="P191" i="3" s="1"/>
  <c r="N184" i="3"/>
  <c r="N191" i="3" s="1"/>
  <c r="N281" i="3"/>
  <c r="P153" i="3"/>
  <c r="P281" i="3" s="1"/>
  <c r="Q91" i="4"/>
  <c r="N278" i="3"/>
  <c r="F31" i="7"/>
  <c r="E31" i="7"/>
  <c r="J31" i="7"/>
  <c r="H31" i="7"/>
  <c r="I31" i="7"/>
  <c r="G31" i="7"/>
  <c r="O127" i="3"/>
  <c r="P282" i="3"/>
  <c r="J285" i="4"/>
  <c r="J286" i="4" s="1"/>
  <c r="L24" i="7"/>
  <c r="L31" i="7"/>
  <c r="K273" i="3"/>
  <c r="N159" i="3"/>
  <c r="N279" i="3"/>
  <c r="P151" i="3"/>
  <c r="P279" i="3" s="1"/>
  <c r="N282" i="3"/>
  <c r="P154" i="3"/>
  <c r="P189" i="3"/>
  <c r="P285" i="3" s="1"/>
  <c r="N285" i="3"/>
  <c r="P156" i="3"/>
  <c r="P284" i="3" s="1"/>
  <c r="N284" i="3"/>
  <c r="P127" i="3" l="1"/>
  <c r="P283" i="3"/>
  <c r="P278" i="3"/>
  <c r="P280" i="3" s="1"/>
  <c r="P287" i="3" s="1"/>
  <c r="N280" i="3"/>
  <c r="N287" i="3" s="1"/>
  <c r="P159" i="3"/>
</calcChain>
</file>

<file path=xl/sharedStrings.xml><?xml version="1.0" encoding="utf-8"?>
<sst xmlns="http://schemas.openxmlformats.org/spreadsheetml/2006/main" count="1704" uniqueCount="164">
  <si>
    <t>Mcity</t>
  </si>
  <si>
    <t>MSD</t>
  </si>
  <si>
    <t>PAO</t>
  </si>
  <si>
    <t>THANE</t>
  </si>
  <si>
    <t>RAIGAD</t>
  </si>
  <si>
    <t>RATNAGIRI</t>
  </si>
  <si>
    <t>SINDHUDURG</t>
  </si>
  <si>
    <t>DIV COMM</t>
  </si>
  <si>
    <t>TOTAL</t>
  </si>
  <si>
    <t>Salary</t>
  </si>
  <si>
    <t>TE</t>
  </si>
  <si>
    <t>OE</t>
  </si>
  <si>
    <t>ELCT/WAT/TEL</t>
  </si>
  <si>
    <t xml:space="preserve">                   </t>
  </si>
  <si>
    <t>Computer</t>
  </si>
  <si>
    <t>Property Tax</t>
  </si>
  <si>
    <t>Petrol-oil</t>
  </si>
  <si>
    <t>Advertisement &amp; Publicity</t>
  </si>
  <si>
    <t>Total</t>
  </si>
  <si>
    <t>मागणी क्र.सी- 1- लेखाशिर्ष 2029 0182</t>
  </si>
  <si>
    <t>जिल्हा मुंबई शहर</t>
  </si>
  <si>
    <t>अ क्र</t>
  </si>
  <si>
    <t>अ.क्र.</t>
  </si>
  <si>
    <t>जिल्हा मुंबई उपनगर</t>
  </si>
  <si>
    <t>जिल्हा ठाणे</t>
  </si>
  <si>
    <t>जिल्हा रायगड</t>
  </si>
  <si>
    <t>जिल्हा रत्नागिरी</t>
  </si>
  <si>
    <t>मा.विभागीय आयुक्त कोकण विभाग यांचे कार्यालय</t>
  </si>
  <si>
    <t>कोकण विभाग</t>
  </si>
  <si>
    <t>वर्ग</t>
  </si>
  <si>
    <t>वर्ग-3</t>
  </si>
  <si>
    <t>वर्ग-4</t>
  </si>
  <si>
    <t>वर्ग-1 व 2</t>
  </si>
  <si>
    <t>पद</t>
  </si>
  <si>
    <t>स्थायी</t>
  </si>
  <si>
    <t>अव्वल कारकून</t>
  </si>
  <si>
    <t>लिपिक</t>
  </si>
  <si>
    <t>एकूण वर्ग 3</t>
  </si>
  <si>
    <t>शिपाई</t>
  </si>
  <si>
    <t>एकूण वर्ग 4</t>
  </si>
  <si>
    <t>एकूण वर्ग 3 4</t>
  </si>
  <si>
    <t>अस्थायी</t>
  </si>
  <si>
    <t>उप जिल्हाधिकारी/वि.भू.अधि</t>
  </si>
  <si>
    <t>नायब तहसिलदार</t>
  </si>
  <si>
    <t>एकूण वर्ग 1 2</t>
  </si>
  <si>
    <t>उपलेखापाल</t>
  </si>
  <si>
    <t>लघुलेखक</t>
  </si>
  <si>
    <t>मंडळ अधिकारी</t>
  </si>
  <si>
    <t>तलाठी</t>
  </si>
  <si>
    <t>वाहन चालक</t>
  </si>
  <si>
    <t>पहारेकरी</t>
  </si>
  <si>
    <t>एकूण वर्ग 1 2 3 4</t>
  </si>
  <si>
    <t>एकूण वर्ग 1 व 2</t>
  </si>
  <si>
    <t>मंजूर पदे</t>
  </si>
  <si>
    <t>विशेष वेतन</t>
  </si>
  <si>
    <t>मुळ वेतन</t>
  </si>
  <si>
    <t>ग्रेड वेतन</t>
  </si>
  <si>
    <t>एकूण</t>
  </si>
  <si>
    <t>स्थानिक पुरक भत्ता</t>
  </si>
  <si>
    <t>घर भाडे भत्ता</t>
  </si>
  <si>
    <t>वाहन भत्ता</t>
  </si>
  <si>
    <t>धूलाई भत्ता</t>
  </si>
  <si>
    <t>(आकडे हजारात)</t>
  </si>
  <si>
    <t>रोख भत्ता</t>
  </si>
  <si>
    <t>चप्पल भत्ता/ इतर</t>
  </si>
  <si>
    <t>जिल्हा</t>
  </si>
  <si>
    <t>मुंबई शहर</t>
  </si>
  <si>
    <t>मुंबई उपनगर</t>
  </si>
  <si>
    <t>ठाणे</t>
  </si>
  <si>
    <t>रायगड</t>
  </si>
  <si>
    <t>रत्नागिरी</t>
  </si>
  <si>
    <t>सिंधुदुर्ग</t>
  </si>
  <si>
    <t>विभाग</t>
  </si>
  <si>
    <t>मा. विभागीय आयुक्त कोकण विभाग यांचे कार्यालय</t>
  </si>
  <si>
    <t>स्थायी पदे</t>
  </si>
  <si>
    <t>पदे</t>
  </si>
  <si>
    <t>वेतन</t>
  </si>
  <si>
    <t>ग्रेड पे</t>
  </si>
  <si>
    <t>एकुण</t>
  </si>
  <si>
    <t>महा.भत्ता</t>
  </si>
  <si>
    <t>स्था.पु.भ.</t>
  </si>
  <si>
    <t>घरभाडे</t>
  </si>
  <si>
    <t>प्रवास भत्ता</t>
  </si>
  <si>
    <t>इतर</t>
  </si>
  <si>
    <t>अस्थायी पदे</t>
  </si>
  <si>
    <t>भरलेली पदे</t>
  </si>
  <si>
    <t>रिक्त पदे</t>
  </si>
  <si>
    <t>सर्व वर्ग पदे</t>
  </si>
  <si>
    <t>मंजुर पदे</t>
  </si>
  <si>
    <t>जिल्हा / विभाग</t>
  </si>
  <si>
    <t>विभागीय आयुक्त कोकण विभाग कार्या.</t>
  </si>
  <si>
    <t>वैद्यकिय खर्च</t>
  </si>
  <si>
    <t>उत्सव/सण अग्रिम</t>
  </si>
  <si>
    <t>स्वग्राम/महाराष्ट्र दर्शन</t>
  </si>
  <si>
    <t>( आकडे हजारात)</t>
  </si>
  <si>
    <t>अ. क्र</t>
  </si>
  <si>
    <t>लेख्याची प्राथमिक आणि दुय्यम युनिट</t>
  </si>
  <si>
    <t>01- वेतन</t>
  </si>
  <si>
    <t>03 अति.भत्ता</t>
  </si>
  <si>
    <t>06- दूरध्वनी वीज,पाणी व शुल्क</t>
  </si>
  <si>
    <t>11- देशातंर्गत प्रवास खर्च</t>
  </si>
  <si>
    <t>13- कार्यालयीन खर्च</t>
  </si>
  <si>
    <t>14-भाडेपटटी व कर</t>
  </si>
  <si>
    <t>16- प्रकाशने</t>
  </si>
  <si>
    <t>17- संगणक खर्च</t>
  </si>
  <si>
    <t>24- इंधन खर्च</t>
  </si>
  <si>
    <t>26- जाहीरात व प्रसिध्दी खर्च</t>
  </si>
  <si>
    <t>प्रत्यक्ष रक्कमा (खर्च)</t>
  </si>
  <si>
    <t>अर्थसंकल्पीय अंदाज</t>
  </si>
  <si>
    <t>प्राकक्लन (एस्टिमेटिंग) अधिका-याचा</t>
  </si>
  <si>
    <t>नियंत्रक अधिका-यांचा</t>
  </si>
  <si>
    <t>प्रशासकीय विभागाचा</t>
  </si>
  <si>
    <t>वित्त विभागाचा</t>
  </si>
  <si>
    <t>मागील वर्षाच्या प्रत्यक्ष रक्कमा आणि चालु वर्षाच्या अर्थसंकल्पीय अंदाजाची तुलना करता आगामी वर्षासाठीच्या अंदाजातील वाढ किंवा घट यांच्या संबधातील स्पष्टीकरणे.</t>
  </si>
  <si>
    <t>जिल्हा सिंधुदुर्ग</t>
  </si>
  <si>
    <t>विभागीय आयुक्त कोकण विभाग कार्यालय</t>
  </si>
  <si>
    <t>जिल्हा पालघर</t>
  </si>
  <si>
    <t>पालघर</t>
  </si>
  <si>
    <t>PALGHAR</t>
  </si>
  <si>
    <t>AG</t>
  </si>
  <si>
    <t>अ. क्र.</t>
  </si>
  <si>
    <t>उपलेखाशिर्ष</t>
  </si>
  <si>
    <t>मा.उप आयुक्त (सा.प्र.)</t>
  </si>
  <si>
    <t>03- अति.भत्ता</t>
  </si>
  <si>
    <t>14-भाडेपट्टी व कर</t>
  </si>
  <si>
    <t>16-प्रकाशने</t>
  </si>
  <si>
    <t>मागणी क्र.सी-1- लेखाशिर्ष : 20290182</t>
  </si>
  <si>
    <t>अर्थसंकल्पीय अंदाजपत्रक सन 2017-2018 (जिल्हानिहाय)</t>
  </si>
  <si>
    <t>2017-2018</t>
  </si>
  <si>
    <t>06- दूरध्वनी, वीज पाणी व शुल्क:- भुसंपादन कार्यालयाकडील क्षेत्रीय कार्यालये व मुख्यालये यामध्ये दुरध्वनी खर्च तसेच वाढीव दराची वीज देयके अदा करणेकामी जादा अनुदानाची आवश्यकता आहे.</t>
  </si>
  <si>
    <t>11- देशातंर्गत प्रवास खर्च:-  भुसंपादन कार्यालयाकडील कराव्या लागलेल्या फिरती बदली प्रवासभत्ता दैनिकभत्ता इत्यादीसाठी वाढीव महागाई दराच्या आधारावर जादा अनुदानाची आवश्यकता आहे.</t>
  </si>
  <si>
    <t>17- संगणक खर्च :- सदर बाबीखाली सन 2010-2011 पासून मागणी करण्यात येत आहे. सदर उपशिर्षाखाली भुसंपादन कार्यालयास व क्षेत्रीय कार्यालयास पाठवावयाचे नियतकालीके अहवाल तयार करणे इ. कार्यालयीन कामे संगणकावर करावी लागतात. 2013-14 वित्‍त्तीय वर्षात सदर लेखाशिर्षातंर्गत नवीन बाब निर्माण करण्यांत आली आहे. मात्र अत्यल्प अनुदान उपलब्ध करुन देण्यांत आले. सबब या वित्तीय वर्षात सदर अनुदानाची तरतूद होण्यास विनंती आहे.</t>
  </si>
  <si>
    <t>14-भाडेपट्टी व कर :- भूसंपादन कार्यालयाचे हिश्याचे वार्षीक मालमत्ता कराचे देयक अदा करण्याकरीता अनुदनाची आवश्यकता आहे.</t>
  </si>
  <si>
    <t>13- कार्यालयीन खर्च :- सदर बाबीखाली कार्या.खर्चसाठी स्टेशनरी, जडसंग्रह वस्तु, झेरॉक्स यांच्या वाढीव दरामुळे तसेच अधिका-यांच्या साठी उपलब्ध असलेल्या शासकीय वाहनांची देखभाल, दुरुस्ती, पेट्रोल व डिझेल यांचे वाढीव दर यामुळे कार्यालयीन खर्च मोठया प्रमाणावर वाढला आहे. त्यामुळे वाढीव अनुदानाची मागणी केली आहे.</t>
  </si>
  <si>
    <t>24-इंधन खर्च:- भूसंपादन अधिका-यांच्या साठी उपलब्ध असलेल्या शासकीय वाहनांचे पेट्रोल व डिझेल यांचे वाढीव दर यामुळे इंधन खर्च मोठया प्रमाणावर वाढला आहे. त्यामुळे वाढीव अनुदानाची मागणी केली आहे.</t>
  </si>
  <si>
    <t>26-जाहिरात व प्रसिद्धी खर्च:- भूसंपादन कार्यालयातील विविध प्रकारच्या शासकीय जाहिराती प्रसिद्धी करणेकामी होणा-या खर्चाची देयके अदा करण्याकरीता अनुदानाची तरतुद होण्यास विनंती आहे.</t>
  </si>
  <si>
    <t>प्रपत्र - अ  - अर्थसंकल्पीय अंदाजपत्रक सन 2018-2019</t>
  </si>
  <si>
    <t>उपलेखापाल/नायब तहसिलदार</t>
  </si>
  <si>
    <t>2018-2019</t>
  </si>
  <si>
    <t>2019-2020</t>
  </si>
  <si>
    <t>जोडपत्र-ड</t>
  </si>
  <si>
    <t>कोकण विभाग संगर्व निहाय पदांची माहिती</t>
  </si>
  <si>
    <t>संवर्ग</t>
  </si>
  <si>
    <t>वर्ग-1</t>
  </si>
  <si>
    <t>वर्ग-2</t>
  </si>
  <si>
    <t>मागणी क्र.सी-1 2029 जमीन महसूल (20290182)</t>
  </si>
  <si>
    <t>2020-2021</t>
  </si>
  <si>
    <t>महागाई भत्ता 25%</t>
  </si>
  <si>
    <t xml:space="preserve">घर भाडे भत्ता </t>
  </si>
  <si>
    <t>7 व्या वेतन आयोग फरक</t>
  </si>
  <si>
    <t xml:space="preserve">एनपीएस </t>
  </si>
  <si>
    <t xml:space="preserve">01- वेतन:- या बाबीखाली  चालु महागाई भत्ता दर आकारणी 25% प्रमाणे विचारात घेवून केली आहे. </t>
  </si>
  <si>
    <t>प्रपत्र - ड  -  अर्थसंकल्पीय अंदाजपत्रक सन 2021-2022</t>
  </si>
  <si>
    <t>2021-2022</t>
  </si>
  <si>
    <t>प्रपत्र - क  -  अर्थसंकल्पीय अंदाजपत्रक सन 2021-2022</t>
  </si>
  <si>
    <t>प्रपत्र - अ  -  अर्थसंकल्पीय अंदाजपत्रक सन 2021-2022</t>
  </si>
  <si>
    <t>प्रपत्र - ब  -  अर्थसंकल्पीय अंदाजपत्रक सन 2021-2022</t>
  </si>
  <si>
    <t>सुधारीत अंदाज 2020-2021</t>
  </si>
  <si>
    <t>अर्थसंकल्पीय अंदाज 2021-2022</t>
  </si>
  <si>
    <t>(विनिता भूमकर)</t>
  </si>
  <si>
    <t>सहाय्यक संचालक(लेखा) कोकण विभाग</t>
  </si>
  <si>
    <t>4/2020-7/2020 Monthly Expenditure 20290182</t>
  </si>
  <si>
    <t>अर्थसंकल्पीय अंदाजपत्रक सन 2021-2022</t>
  </si>
  <si>
    <t>सहाय्यक संचालक (लेखा)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</si>
</sst>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indexed="8"/>
      <name val="DVOT-Surekh"/>
    </font>
    <font>
      <sz val="11"/>
      <color indexed="8"/>
      <name val="DVOT-Surekh"/>
    </font>
    <font>
      <sz val="8"/>
      <color indexed="8"/>
      <name val="DVOT-Surekh"/>
    </font>
    <font>
      <b/>
      <sz val="11"/>
      <name val="DVOT-Surekh"/>
    </font>
    <font>
      <b/>
      <u/>
      <sz val="10"/>
      <color indexed="8"/>
      <name val="DVOT-Surekh"/>
    </font>
    <font>
      <sz val="10"/>
      <color indexed="8"/>
      <name val="DVOT-Surekh"/>
    </font>
    <font>
      <sz val="10"/>
      <name val="DVOT-Surekh"/>
    </font>
    <font>
      <b/>
      <u/>
      <sz val="10"/>
      <name val="DVOT-Surekh"/>
    </font>
    <font>
      <b/>
      <sz val="10"/>
      <color indexed="8"/>
      <name val="DVOT-Surekh"/>
    </font>
    <font>
      <b/>
      <sz val="10"/>
      <name val="DVOT-Surekh"/>
    </font>
    <font>
      <u/>
      <sz val="11"/>
      <color indexed="8"/>
      <name val="DVOT-Surekh"/>
    </font>
    <font>
      <b/>
      <u/>
      <sz val="11"/>
      <color indexed="8"/>
      <name val="DVOT-Surekh"/>
    </font>
    <font>
      <sz val="11"/>
      <name val="DVOT-Surekh"/>
    </font>
    <font>
      <b/>
      <sz val="12"/>
      <color indexed="8"/>
      <name val="DVOT-Surekh"/>
    </font>
    <font>
      <b/>
      <sz val="13"/>
      <color indexed="8"/>
      <name val="DVOT-Surekh"/>
    </font>
    <font>
      <b/>
      <sz val="11"/>
      <color theme="1"/>
      <name val="DVOT-Surekh"/>
    </font>
    <font>
      <b/>
      <sz val="11"/>
      <color rgb="FFFF0000"/>
      <name val="DVOT-Surekh"/>
    </font>
    <font>
      <sz val="11"/>
      <color theme="1"/>
      <name val="DVOT-Surekh"/>
    </font>
    <font>
      <sz val="12"/>
      <color theme="1"/>
      <name val="DVOT-Surekh"/>
    </font>
    <font>
      <b/>
      <sz val="12"/>
      <color theme="1"/>
      <name val="DVOT-Surekh"/>
    </font>
    <font>
      <b/>
      <sz val="14"/>
      <color theme="1"/>
      <name val="DVOT-Surekh"/>
    </font>
    <font>
      <b/>
      <sz val="13"/>
      <color theme="1"/>
      <name val="DVOT-Surekh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3" fillId="0" borderId="0" xfId="0" applyFont="1" applyAlignment="1">
      <alignment vertical="top" wrapText="1"/>
    </xf>
    <xf numFmtId="0" fontId="17" fillId="2" borderId="1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8" fillId="0" borderId="3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top" wrapText="1"/>
    </xf>
    <xf numFmtId="0" fontId="7" fillId="2" borderId="0" xfId="0" applyFont="1" applyFill="1"/>
    <xf numFmtId="0" fontId="6" fillId="2" borderId="4" xfId="0" applyFont="1" applyFill="1" applyBorder="1" applyAlignment="1">
      <alignment vertical="top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vertical="top"/>
    </xf>
    <xf numFmtId="0" fontId="7" fillId="2" borderId="2" xfId="0" applyFont="1" applyFill="1" applyBorder="1"/>
    <xf numFmtId="0" fontId="10" fillId="2" borderId="2" xfId="0" applyFont="1" applyFill="1" applyBorder="1"/>
    <xf numFmtId="0" fontId="7" fillId="2" borderId="2" xfId="0" applyFont="1" applyFill="1" applyBorder="1" applyAlignment="1">
      <alignment horizontal="right"/>
    </xf>
    <xf numFmtId="0" fontId="8" fillId="2" borderId="3" xfId="0" applyFont="1" applyFill="1" applyBorder="1" applyAlignment="1">
      <alignment vertical="top"/>
    </xf>
    <xf numFmtId="0" fontId="7" fillId="2" borderId="3" xfId="0" applyFont="1" applyFill="1" applyBorder="1"/>
    <xf numFmtId="0" fontId="10" fillId="2" borderId="3" xfId="0" applyFont="1" applyFill="1" applyBorder="1"/>
    <xf numFmtId="0" fontId="7" fillId="2" borderId="3" xfId="0" applyFont="1" applyFill="1" applyBorder="1" applyAlignment="1">
      <alignment horizontal="right"/>
    </xf>
    <xf numFmtId="0" fontId="8" fillId="2" borderId="5" xfId="0" applyFont="1" applyFill="1" applyBorder="1" applyAlignment="1">
      <alignment horizontal="center" vertical="top"/>
    </xf>
    <xf numFmtId="0" fontId="7" fillId="2" borderId="5" xfId="0" applyFont="1" applyFill="1" applyBorder="1"/>
    <xf numFmtId="0" fontId="8" fillId="2" borderId="5" xfId="0" applyFont="1" applyFill="1" applyBorder="1" applyAlignment="1">
      <alignment vertical="top"/>
    </xf>
    <xf numFmtId="0" fontId="10" fillId="2" borderId="5" xfId="0" applyFont="1" applyFill="1" applyBorder="1"/>
    <xf numFmtId="0" fontId="7" fillId="2" borderId="5" xfId="0" applyFont="1" applyFill="1" applyBorder="1" applyAlignment="1">
      <alignment horizontal="right"/>
    </xf>
    <xf numFmtId="0" fontId="7" fillId="2" borderId="5" xfId="0" applyFont="1" applyFill="1" applyBorder="1" applyAlignment="1">
      <alignment vertical="top" wrapText="1"/>
    </xf>
    <xf numFmtId="0" fontId="11" fillId="2" borderId="5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vertical="top" wrapText="1"/>
    </xf>
    <xf numFmtId="0" fontId="11" fillId="2" borderId="3" xfId="0" applyFont="1" applyFill="1" applyBorder="1" applyAlignment="1"/>
    <xf numFmtId="0" fontId="11" fillId="2" borderId="5" xfId="0" applyFont="1" applyFill="1" applyBorder="1" applyAlignment="1"/>
    <xf numFmtId="0" fontId="8" fillId="2" borderId="6" xfId="0" applyFont="1" applyFill="1" applyBorder="1" applyAlignment="1">
      <alignment vertical="top"/>
    </xf>
    <xf numFmtId="0" fontId="11" fillId="2" borderId="6" xfId="0" applyFont="1" applyFill="1" applyBorder="1" applyAlignment="1"/>
    <xf numFmtId="0" fontId="7" fillId="2" borderId="6" xfId="0" applyFont="1" applyFill="1" applyBorder="1"/>
    <xf numFmtId="0" fontId="10" fillId="2" borderId="6" xfId="0" applyFont="1" applyFill="1" applyBorder="1"/>
    <xf numFmtId="0" fontId="7" fillId="2" borderId="6" xfId="0" applyFont="1" applyFill="1" applyBorder="1" applyAlignment="1">
      <alignment horizontal="right"/>
    </xf>
    <xf numFmtId="0" fontId="11" fillId="2" borderId="2" xfId="0" applyFont="1" applyFill="1" applyBorder="1" applyAlignment="1"/>
    <xf numFmtId="0" fontId="7" fillId="2" borderId="6" xfId="0" applyFont="1" applyFill="1" applyBorder="1" applyAlignment="1">
      <alignment vertical="top" wrapText="1"/>
    </xf>
    <xf numFmtId="0" fontId="7" fillId="2" borderId="3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vertical="top" wrapText="1"/>
    </xf>
    <xf numFmtId="0" fontId="7" fillId="2" borderId="0" xfId="0" applyFont="1" applyFill="1" applyAlignment="1">
      <alignment horizontal="center" vertical="top"/>
    </xf>
    <xf numFmtId="0" fontId="7" fillId="2" borderId="0" xfId="0" applyFont="1" applyFill="1" applyAlignment="1">
      <alignment vertical="top" wrapText="1"/>
    </xf>
    <xf numFmtId="0" fontId="10" fillId="2" borderId="7" xfId="0" applyFont="1" applyFill="1" applyBorder="1"/>
    <xf numFmtId="0" fontId="8" fillId="2" borderId="3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2" borderId="0" xfId="0" applyFont="1" applyFill="1"/>
    <xf numFmtId="0" fontId="12" fillId="2" borderId="0" xfId="0" applyFont="1" applyFill="1" applyAlignment="1"/>
    <xf numFmtId="0" fontId="3" fillId="2" borderId="2" xfId="0" applyFont="1" applyFill="1" applyBorder="1" applyAlignment="1">
      <alignment vertical="top"/>
    </xf>
    <xf numFmtId="0" fontId="3" fillId="2" borderId="2" xfId="0" applyFont="1" applyFill="1" applyBorder="1" applyAlignment="1">
      <alignment horizontal="center" vertical="top"/>
    </xf>
    <xf numFmtId="0" fontId="12" fillId="2" borderId="2" xfId="0" applyFont="1" applyFill="1" applyBorder="1" applyAlignment="1">
      <alignment vertical="top"/>
    </xf>
    <xf numFmtId="0" fontId="3" fillId="2" borderId="2" xfId="0" applyFont="1" applyFill="1" applyBorder="1" applyAlignment="1">
      <alignment horizontal="right"/>
    </xf>
    <xf numFmtId="0" fontId="3" fillId="2" borderId="3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3" xfId="0" applyFont="1" applyFill="1" applyBorder="1" applyAlignment="1">
      <alignment horizontal="center" vertical="top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6" xfId="0" applyFont="1" applyFill="1" applyBorder="1"/>
    <xf numFmtId="0" fontId="3" fillId="2" borderId="0" xfId="0" applyFont="1" applyFill="1" applyBorder="1"/>
    <xf numFmtId="0" fontId="3" fillId="2" borderId="3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horizontal="right"/>
    </xf>
    <xf numFmtId="0" fontId="2" fillId="2" borderId="0" xfId="0" applyFont="1" applyFill="1" applyAlignment="1"/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vertical="top"/>
    </xf>
    <xf numFmtId="0" fontId="5" fillId="2" borderId="4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14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/>
    </xf>
    <xf numFmtId="0" fontId="2" fillId="2" borderId="3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vertical="top"/>
    </xf>
    <xf numFmtId="0" fontId="2" fillId="2" borderId="0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vertical="top" wrapText="1"/>
    </xf>
    <xf numFmtId="0" fontId="3" fillId="2" borderId="0" xfId="0" applyFont="1" applyFill="1" applyAlignment="1">
      <alignment vertical="top"/>
    </xf>
    <xf numFmtId="0" fontId="3" fillId="2" borderId="2" xfId="0" applyFont="1" applyFill="1" applyBorder="1" applyAlignment="1">
      <alignment horizontal="justify" vertical="justify" wrapText="1"/>
    </xf>
    <xf numFmtId="0" fontId="3" fillId="0" borderId="2" xfId="0" applyFont="1" applyBorder="1" applyAlignment="1">
      <alignment horizontal="justify" vertical="justify"/>
    </xf>
    <xf numFmtId="0" fontId="3" fillId="0" borderId="2" xfId="0" applyFont="1" applyBorder="1" applyAlignment="1">
      <alignment horizontal="justify" vertical="top"/>
    </xf>
    <xf numFmtId="0" fontId="3" fillId="0" borderId="2" xfId="0" applyFont="1" applyBorder="1" applyAlignment="1">
      <alignment horizontal="justify" vertical="justify" wrapText="1"/>
    </xf>
    <xf numFmtId="0" fontId="3" fillId="2" borderId="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/>
    </xf>
    <xf numFmtId="2" fontId="3" fillId="0" borderId="2" xfId="0" applyNumberFormat="1" applyFont="1" applyBorder="1" applyAlignment="1">
      <alignment vertical="top" wrapText="1"/>
    </xf>
    <xf numFmtId="2" fontId="3" fillId="0" borderId="0" xfId="0" applyNumberFormat="1" applyFont="1" applyAlignment="1">
      <alignment vertical="top" wrapText="1"/>
    </xf>
    <xf numFmtId="0" fontId="8" fillId="2" borderId="8" xfId="0" applyFont="1" applyFill="1" applyBorder="1" applyAlignment="1">
      <alignment vertical="top"/>
    </xf>
    <xf numFmtId="0" fontId="11" fillId="2" borderId="8" xfId="0" applyFont="1" applyFill="1" applyBorder="1" applyAlignment="1"/>
    <xf numFmtId="0" fontId="7" fillId="2" borderId="8" xfId="0" applyFont="1" applyFill="1" applyBorder="1"/>
    <xf numFmtId="0" fontId="10" fillId="2" borderId="8" xfId="0" applyFont="1" applyFill="1" applyBorder="1"/>
    <xf numFmtId="0" fontId="7" fillId="2" borderId="7" xfId="0" applyFont="1" applyFill="1" applyBorder="1" applyAlignment="1">
      <alignment horizontal="right"/>
    </xf>
    <xf numFmtId="0" fontId="19" fillId="2" borderId="0" xfId="0" applyFont="1" applyFill="1"/>
    <xf numFmtId="0" fontId="19" fillId="2" borderId="2" xfId="0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19" fillId="2" borderId="2" xfId="0" applyFont="1" applyFill="1" applyBorder="1"/>
    <xf numFmtId="0" fontId="7" fillId="2" borderId="5" xfId="0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center" vertical="top" wrapText="1"/>
    </xf>
    <xf numFmtId="0" fontId="19" fillId="0" borderId="0" xfId="0" applyFont="1"/>
    <xf numFmtId="0" fontId="10" fillId="2" borderId="0" xfId="0" applyFont="1" applyFill="1" applyAlignment="1"/>
    <xf numFmtId="0" fontId="20" fillId="0" borderId="2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center" vertical="top" wrapText="1"/>
    </xf>
    <xf numFmtId="0" fontId="19" fillId="2" borderId="2" xfId="0" applyFont="1" applyFill="1" applyBorder="1" applyAlignment="1">
      <alignment horizontal="center"/>
    </xf>
    <xf numFmtId="0" fontId="15" fillId="2" borderId="0" xfId="0" applyFont="1" applyFill="1" applyAlignment="1">
      <alignment horizontal="center" vertical="top"/>
    </xf>
    <xf numFmtId="0" fontId="3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9" xfId="0" applyFont="1" applyFill="1" applyBorder="1" applyAlignment="1">
      <alignment horizontal="center" vertical="top"/>
    </xf>
    <xf numFmtId="0" fontId="7" fillId="2" borderId="9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10" fillId="2" borderId="10" xfId="0" applyFont="1" applyFill="1" applyBorder="1" applyAlignment="1">
      <alignment horizontal="left" vertical="top" wrapText="1"/>
    </xf>
    <xf numFmtId="0" fontId="10" fillId="2" borderId="11" xfId="0" applyFont="1" applyFill="1" applyBorder="1" applyAlignment="1">
      <alignment horizontal="left" vertical="top" wrapText="1"/>
    </xf>
    <xf numFmtId="0" fontId="10" fillId="2" borderId="12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center" vertical="top"/>
    </xf>
    <xf numFmtId="0" fontId="9" fillId="2" borderId="10" xfId="0" applyFont="1" applyFill="1" applyBorder="1" applyAlignment="1">
      <alignment horizontal="left" vertical="top"/>
    </xf>
    <xf numFmtId="0" fontId="9" fillId="2" borderId="11" xfId="0" applyFont="1" applyFill="1" applyBorder="1" applyAlignment="1">
      <alignment horizontal="left" vertical="top"/>
    </xf>
    <xf numFmtId="0" fontId="9" fillId="2" borderId="12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center" vertical="top"/>
    </xf>
    <xf numFmtId="0" fontId="8" fillId="2" borderId="6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top"/>
    </xf>
    <xf numFmtId="0" fontId="7" fillId="2" borderId="1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10" xfId="0" applyFont="1" applyFill="1" applyBorder="1" applyAlignment="1">
      <alignment horizontal="center" vertical="top"/>
    </xf>
    <xf numFmtId="0" fontId="3" fillId="2" borderId="11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right"/>
    </xf>
    <xf numFmtId="0" fontId="3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19" fillId="2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15" fillId="2" borderId="0" xfId="0" applyFont="1" applyFill="1" applyAlignment="1">
      <alignment horizontal="center" vertical="top"/>
    </xf>
    <xf numFmtId="0" fontId="22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4" fillId="0" borderId="4" xfId="0" applyFont="1" applyBorder="1" applyAlignment="1">
      <alignment horizontal="right" vertical="top" wrapText="1"/>
    </xf>
    <xf numFmtId="0" fontId="18" fillId="0" borderId="14" xfId="0" applyFont="1" applyBorder="1" applyAlignment="1">
      <alignment horizontal="center" vertical="top" wrapText="1"/>
    </xf>
    <xf numFmtId="0" fontId="18" fillId="0" borderId="1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0"/>
  <sheetViews>
    <sheetView view="pageBreakPreview" topLeftCell="A265" zoomScale="110" zoomScaleNormal="75" zoomScaleSheetLayoutView="110" workbookViewId="0">
      <selection activeCell="I276" sqref="I276"/>
    </sheetView>
  </sheetViews>
  <sheetFormatPr defaultRowHeight="12.75"/>
  <cols>
    <col min="1" max="1" width="3.5703125" style="43" customWidth="1"/>
    <col min="2" max="2" width="9.5703125" style="44" customWidth="1"/>
    <col min="3" max="3" width="24.5703125" style="48" customWidth="1"/>
    <col min="4" max="4" width="10.28515625" style="10" customWidth="1"/>
    <col min="5" max="5" width="10.140625" style="10" customWidth="1"/>
    <col min="6" max="6" width="8" style="10" customWidth="1"/>
    <col min="7" max="7" width="10.7109375" style="10" customWidth="1"/>
    <col min="8" max="8" width="9.42578125" style="10" customWidth="1"/>
    <col min="9" max="9" width="9.85546875" style="10" customWidth="1"/>
    <col min="10" max="10" width="10.140625" style="10" customWidth="1"/>
    <col min="11" max="11" width="9.140625" style="10"/>
    <col min="12" max="12" width="9" style="10" customWidth="1"/>
    <col min="13" max="13" width="7.42578125" style="10" customWidth="1"/>
    <col min="14" max="14" width="7.85546875" style="10" customWidth="1"/>
    <col min="15" max="15" width="6.42578125" style="10" customWidth="1"/>
    <col min="16" max="16" width="9.140625" style="10"/>
    <col min="17" max="17" width="10.7109375" style="10" customWidth="1"/>
    <col min="18" max="16384" width="9.140625" style="10"/>
  </cols>
  <sheetData>
    <row r="1" spans="1:17">
      <c r="A1" s="140" t="s">
        <v>152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</row>
    <row r="2" spans="1:17">
      <c r="A2" s="140" t="s">
        <v>19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</row>
    <row r="3" spans="1:17">
      <c r="A3" s="147" t="s">
        <v>20</v>
      </c>
      <c r="B3" s="147"/>
      <c r="C3" s="147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53" t="s">
        <v>62</v>
      </c>
      <c r="P3" s="153"/>
      <c r="Q3" s="153"/>
    </row>
    <row r="4" spans="1:17">
      <c r="A4" s="141" t="s">
        <v>21</v>
      </c>
      <c r="B4" s="141" t="s">
        <v>29</v>
      </c>
      <c r="C4" s="151" t="s">
        <v>33</v>
      </c>
      <c r="D4" s="12" t="s">
        <v>53</v>
      </c>
      <c r="E4" s="12" t="s">
        <v>53</v>
      </c>
      <c r="F4" s="138" t="s">
        <v>54</v>
      </c>
      <c r="G4" s="138" t="s">
        <v>55</v>
      </c>
      <c r="H4" s="138" t="s">
        <v>56</v>
      </c>
      <c r="I4" s="138" t="s">
        <v>57</v>
      </c>
      <c r="J4" s="138" t="s">
        <v>147</v>
      </c>
      <c r="K4" s="138" t="s">
        <v>58</v>
      </c>
      <c r="L4" s="138" t="s">
        <v>148</v>
      </c>
      <c r="M4" s="138" t="s">
        <v>60</v>
      </c>
      <c r="N4" s="138" t="s">
        <v>61</v>
      </c>
      <c r="O4" s="138" t="s">
        <v>63</v>
      </c>
      <c r="P4" s="138" t="s">
        <v>64</v>
      </c>
      <c r="Q4" s="138" t="s">
        <v>57</v>
      </c>
    </row>
    <row r="5" spans="1:17">
      <c r="A5" s="142"/>
      <c r="B5" s="142"/>
      <c r="C5" s="152"/>
      <c r="D5" s="13" t="s">
        <v>146</v>
      </c>
      <c r="E5" s="13" t="s">
        <v>153</v>
      </c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</row>
    <row r="6" spans="1:17">
      <c r="A6" s="143"/>
      <c r="B6" s="143"/>
      <c r="C6" s="148" t="s">
        <v>34</v>
      </c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50"/>
    </row>
    <row r="7" spans="1:17">
      <c r="A7" s="132">
        <v>1</v>
      </c>
      <c r="B7" s="134" t="s">
        <v>30</v>
      </c>
      <c r="C7" s="14" t="s">
        <v>35</v>
      </c>
      <c r="D7" s="15"/>
      <c r="E7" s="15"/>
      <c r="F7" s="15"/>
      <c r="G7" s="15"/>
      <c r="H7" s="15"/>
      <c r="I7" s="16">
        <v>0</v>
      </c>
      <c r="J7" s="17">
        <v>0</v>
      </c>
      <c r="K7" s="15"/>
      <c r="L7" s="15"/>
      <c r="M7" s="15"/>
      <c r="N7" s="15"/>
      <c r="O7" s="15"/>
      <c r="P7" s="15"/>
      <c r="Q7" s="16">
        <v>0</v>
      </c>
    </row>
    <row r="8" spans="1:17" ht="13.5" thickBot="1">
      <c r="A8" s="133"/>
      <c r="B8" s="135"/>
      <c r="C8" s="18" t="s">
        <v>36</v>
      </c>
      <c r="D8" s="19"/>
      <c r="E8" s="19"/>
      <c r="F8" s="19"/>
      <c r="G8" s="19"/>
      <c r="H8" s="19"/>
      <c r="I8" s="20">
        <v>0</v>
      </c>
      <c r="J8" s="21">
        <v>0</v>
      </c>
      <c r="K8" s="19"/>
      <c r="L8" s="19"/>
      <c r="M8" s="19"/>
      <c r="N8" s="19"/>
      <c r="O8" s="19"/>
      <c r="P8" s="19"/>
      <c r="Q8" s="20">
        <v>0</v>
      </c>
    </row>
    <row r="9" spans="1:17" ht="14.25" thickTop="1" thickBot="1">
      <c r="A9" s="110"/>
      <c r="B9" s="111"/>
      <c r="C9" s="22" t="s">
        <v>37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</row>
    <row r="10" spans="1:17" ht="14.25" thickTop="1" thickBot="1">
      <c r="A10" s="110">
        <v>2</v>
      </c>
      <c r="B10" s="111" t="s">
        <v>31</v>
      </c>
      <c r="C10" s="24" t="s">
        <v>38</v>
      </c>
      <c r="D10" s="23"/>
      <c r="E10" s="23"/>
      <c r="F10" s="23"/>
      <c r="G10" s="23"/>
      <c r="H10" s="23"/>
      <c r="I10" s="25">
        <v>0</v>
      </c>
      <c r="J10" s="26">
        <v>0</v>
      </c>
      <c r="K10" s="23"/>
      <c r="L10" s="23"/>
      <c r="M10" s="23"/>
      <c r="N10" s="23"/>
      <c r="O10" s="23"/>
      <c r="P10" s="23"/>
      <c r="Q10" s="25">
        <v>0</v>
      </c>
    </row>
    <row r="11" spans="1:17" ht="14.25" thickTop="1" thickBot="1">
      <c r="A11" s="110"/>
      <c r="B11" s="111"/>
      <c r="C11" s="22" t="s">
        <v>39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</row>
    <row r="12" spans="1:17" ht="14.25" thickTop="1" thickBot="1">
      <c r="A12" s="110"/>
      <c r="B12" s="27"/>
      <c r="C12" s="28" t="s">
        <v>40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</row>
    <row r="13" spans="1:17" ht="13.5" thickTop="1">
      <c r="A13" s="29"/>
      <c r="B13" s="30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</row>
    <row r="14" spans="1:17" ht="18.75" customHeight="1">
      <c r="A14" s="141" t="s">
        <v>22</v>
      </c>
      <c r="B14" s="141" t="s">
        <v>29</v>
      </c>
      <c r="C14" s="151" t="s">
        <v>33</v>
      </c>
      <c r="D14" s="12" t="str">
        <f t="shared" ref="D14:J15" si="0">D4</f>
        <v>मंजूर पदे</v>
      </c>
      <c r="E14" s="12" t="str">
        <f t="shared" si="0"/>
        <v>मंजूर पदे</v>
      </c>
      <c r="F14" s="138" t="str">
        <f t="shared" si="0"/>
        <v>विशेष वेतन</v>
      </c>
      <c r="G14" s="138" t="str">
        <f t="shared" si="0"/>
        <v>मुळ वेतन</v>
      </c>
      <c r="H14" s="138" t="str">
        <f t="shared" si="0"/>
        <v>ग्रेड वेतन</v>
      </c>
      <c r="I14" s="138" t="str">
        <f t="shared" si="0"/>
        <v>एकूण</v>
      </c>
      <c r="J14" s="138" t="str">
        <f t="shared" si="0"/>
        <v>महागाई भत्ता 25%</v>
      </c>
      <c r="K14" s="138" t="s">
        <v>58</v>
      </c>
      <c r="L14" s="138" t="s">
        <v>59</v>
      </c>
      <c r="M14" s="138" t="s">
        <v>60</v>
      </c>
      <c r="N14" s="138" t="s">
        <v>61</v>
      </c>
      <c r="O14" s="138" t="s">
        <v>63</v>
      </c>
      <c r="P14" s="138" t="s">
        <v>64</v>
      </c>
      <c r="Q14" s="138" t="s">
        <v>57</v>
      </c>
    </row>
    <row r="15" spans="1:17">
      <c r="A15" s="142"/>
      <c r="B15" s="142"/>
      <c r="C15" s="152"/>
      <c r="D15" s="13" t="str">
        <f t="shared" si="0"/>
        <v>2020-2021</v>
      </c>
      <c r="E15" s="13" t="str">
        <f t="shared" si="0"/>
        <v>2021-2022</v>
      </c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</row>
    <row r="16" spans="1:17">
      <c r="A16" s="143"/>
      <c r="B16" s="143"/>
      <c r="C16" s="144" t="s">
        <v>41</v>
      </c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6"/>
    </row>
    <row r="17" spans="1:17">
      <c r="A17" s="132">
        <v>1</v>
      </c>
      <c r="B17" s="134" t="s">
        <v>32</v>
      </c>
      <c r="C17" s="31" t="s">
        <v>42</v>
      </c>
      <c r="D17" s="15"/>
      <c r="E17" s="15"/>
      <c r="F17" s="15"/>
      <c r="G17" s="15"/>
      <c r="H17" s="15"/>
      <c r="I17" s="16">
        <v>0</v>
      </c>
      <c r="J17" s="17">
        <v>0</v>
      </c>
      <c r="K17" s="15"/>
      <c r="L17" s="15"/>
      <c r="M17" s="15"/>
      <c r="N17" s="15"/>
      <c r="O17" s="15"/>
      <c r="P17" s="15"/>
      <c r="Q17" s="16">
        <v>0</v>
      </c>
    </row>
    <row r="18" spans="1:17" ht="13.5" thickBot="1">
      <c r="A18" s="133"/>
      <c r="B18" s="135"/>
      <c r="C18" s="18" t="s">
        <v>43</v>
      </c>
      <c r="D18" s="32"/>
      <c r="E18" s="32"/>
      <c r="F18" s="32"/>
      <c r="G18" s="19"/>
      <c r="H18" s="19"/>
      <c r="I18" s="20">
        <v>0</v>
      </c>
      <c r="J18" s="21">
        <v>0</v>
      </c>
      <c r="K18" s="19"/>
      <c r="L18" s="19"/>
      <c r="M18" s="19"/>
      <c r="N18" s="19"/>
      <c r="O18" s="19"/>
      <c r="P18" s="19"/>
      <c r="Q18" s="20">
        <v>0</v>
      </c>
    </row>
    <row r="19" spans="1:17" ht="14.25" thickTop="1" thickBot="1">
      <c r="A19" s="110"/>
      <c r="B19" s="111"/>
      <c r="C19" s="22" t="s">
        <v>44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</row>
    <row r="20" spans="1:17" ht="13.5" thickTop="1">
      <c r="A20" s="136">
        <v>2</v>
      </c>
      <c r="B20" s="137" t="s">
        <v>30</v>
      </c>
      <c r="C20" s="34" t="s">
        <v>35</v>
      </c>
      <c r="D20" s="35"/>
      <c r="E20" s="35"/>
      <c r="F20" s="35"/>
      <c r="G20" s="36"/>
      <c r="H20" s="36"/>
      <c r="I20" s="37">
        <v>0</v>
      </c>
      <c r="J20" s="38">
        <v>0</v>
      </c>
      <c r="K20" s="36"/>
      <c r="L20" s="36"/>
      <c r="M20" s="36"/>
      <c r="N20" s="36"/>
      <c r="O20" s="36"/>
      <c r="P20" s="36"/>
      <c r="Q20" s="37">
        <v>0</v>
      </c>
    </row>
    <row r="21" spans="1:17">
      <c r="A21" s="136"/>
      <c r="B21" s="137"/>
      <c r="C21" s="14" t="s">
        <v>45</v>
      </c>
      <c r="D21" s="39"/>
      <c r="E21" s="39"/>
      <c r="F21" s="39"/>
      <c r="G21" s="15"/>
      <c r="H21" s="15"/>
      <c r="I21" s="16">
        <v>0</v>
      </c>
      <c r="J21" s="17">
        <v>0</v>
      </c>
      <c r="K21" s="15"/>
      <c r="L21" s="15"/>
      <c r="M21" s="15"/>
      <c r="N21" s="15"/>
      <c r="O21" s="15"/>
      <c r="P21" s="15"/>
      <c r="Q21" s="16">
        <v>0</v>
      </c>
    </row>
    <row r="22" spans="1:17">
      <c r="A22" s="136"/>
      <c r="B22" s="137"/>
      <c r="C22" s="14" t="s">
        <v>46</v>
      </c>
      <c r="D22" s="39"/>
      <c r="E22" s="39"/>
      <c r="F22" s="39"/>
      <c r="G22" s="15"/>
      <c r="H22" s="15"/>
      <c r="I22" s="16">
        <v>0</v>
      </c>
      <c r="J22" s="17">
        <v>0</v>
      </c>
      <c r="K22" s="15"/>
      <c r="L22" s="15"/>
      <c r="M22" s="15"/>
      <c r="N22" s="15"/>
      <c r="O22" s="15"/>
      <c r="P22" s="15"/>
      <c r="Q22" s="16">
        <v>0</v>
      </c>
    </row>
    <row r="23" spans="1:17">
      <c r="A23" s="136"/>
      <c r="B23" s="137"/>
      <c r="C23" s="14" t="s">
        <v>47</v>
      </c>
      <c r="D23" s="39"/>
      <c r="E23" s="39"/>
      <c r="F23" s="39"/>
      <c r="G23" s="15"/>
      <c r="H23" s="15"/>
      <c r="I23" s="16">
        <v>0</v>
      </c>
      <c r="J23" s="17">
        <v>0</v>
      </c>
      <c r="K23" s="15"/>
      <c r="L23" s="15"/>
      <c r="M23" s="15"/>
      <c r="N23" s="15"/>
      <c r="O23" s="15"/>
      <c r="P23" s="15"/>
      <c r="Q23" s="16">
        <v>0</v>
      </c>
    </row>
    <row r="24" spans="1:17">
      <c r="A24" s="136"/>
      <c r="B24" s="137"/>
      <c r="C24" s="14" t="s">
        <v>48</v>
      </c>
      <c r="D24" s="39"/>
      <c r="E24" s="39"/>
      <c r="F24" s="39"/>
      <c r="G24" s="15"/>
      <c r="H24" s="15"/>
      <c r="I24" s="16">
        <v>0</v>
      </c>
      <c r="J24" s="17">
        <v>0</v>
      </c>
      <c r="K24" s="15"/>
      <c r="L24" s="15"/>
      <c r="M24" s="15"/>
      <c r="N24" s="15"/>
      <c r="O24" s="15"/>
      <c r="P24" s="15"/>
      <c r="Q24" s="16">
        <v>0</v>
      </c>
    </row>
    <row r="25" spans="1:17">
      <c r="A25" s="136"/>
      <c r="B25" s="137"/>
      <c r="C25" s="14" t="s">
        <v>36</v>
      </c>
      <c r="D25" s="39"/>
      <c r="E25" s="39"/>
      <c r="F25" s="39"/>
      <c r="G25" s="15"/>
      <c r="H25" s="15"/>
      <c r="I25" s="16">
        <v>0</v>
      </c>
      <c r="J25" s="17">
        <v>0</v>
      </c>
      <c r="K25" s="15"/>
      <c r="L25" s="15"/>
      <c r="M25" s="15"/>
      <c r="N25" s="15"/>
      <c r="O25" s="15"/>
      <c r="P25" s="15"/>
      <c r="Q25" s="16">
        <v>0</v>
      </c>
    </row>
    <row r="26" spans="1:17" ht="13.5" thickBot="1">
      <c r="A26" s="133"/>
      <c r="B26" s="135"/>
      <c r="C26" s="18" t="s">
        <v>49</v>
      </c>
      <c r="D26" s="32"/>
      <c r="E26" s="32"/>
      <c r="F26" s="32"/>
      <c r="G26" s="19"/>
      <c r="H26" s="19"/>
      <c r="I26" s="20">
        <v>0</v>
      </c>
      <c r="J26" s="21">
        <v>0</v>
      </c>
      <c r="K26" s="19"/>
      <c r="L26" s="19"/>
      <c r="M26" s="19"/>
      <c r="N26" s="19"/>
      <c r="O26" s="19"/>
      <c r="P26" s="19"/>
      <c r="Q26" s="20">
        <v>0</v>
      </c>
    </row>
    <row r="27" spans="1:17" ht="14.25" thickTop="1" thickBot="1">
      <c r="A27" s="110"/>
      <c r="B27" s="111"/>
      <c r="C27" s="22" t="s">
        <v>37</v>
      </c>
      <c r="D27" s="33">
        <v>0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</row>
    <row r="28" spans="1:17" ht="13.5" thickTop="1">
      <c r="A28" s="98">
        <v>3</v>
      </c>
      <c r="B28" s="40" t="s">
        <v>31</v>
      </c>
      <c r="C28" s="34" t="s">
        <v>38</v>
      </c>
      <c r="D28" s="35"/>
      <c r="E28" s="35"/>
      <c r="F28" s="35"/>
      <c r="G28" s="36"/>
      <c r="H28" s="36"/>
      <c r="I28" s="37">
        <v>0</v>
      </c>
      <c r="J28" s="38">
        <v>0</v>
      </c>
      <c r="K28" s="36"/>
      <c r="L28" s="36"/>
      <c r="M28" s="36"/>
      <c r="N28" s="36"/>
      <c r="O28" s="36"/>
      <c r="P28" s="36"/>
      <c r="Q28" s="37">
        <v>0</v>
      </c>
    </row>
    <row r="29" spans="1:17" ht="13.5" thickBot="1">
      <c r="A29" s="41"/>
      <c r="B29" s="42"/>
      <c r="C29" s="18" t="s">
        <v>50</v>
      </c>
      <c r="D29" s="32"/>
      <c r="E29" s="32"/>
      <c r="F29" s="32"/>
      <c r="G29" s="19"/>
      <c r="H29" s="19"/>
      <c r="I29" s="20">
        <v>0</v>
      </c>
      <c r="J29" s="21">
        <v>0</v>
      </c>
      <c r="K29" s="19"/>
      <c r="L29" s="19"/>
      <c r="M29" s="19"/>
      <c r="N29" s="19"/>
      <c r="O29" s="19"/>
      <c r="P29" s="19"/>
      <c r="Q29" s="20">
        <v>0</v>
      </c>
    </row>
    <row r="30" spans="1:17" ht="14.25" thickTop="1" thickBot="1">
      <c r="A30" s="110"/>
      <c r="B30" s="27"/>
      <c r="C30" s="22" t="s">
        <v>39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</row>
    <row r="31" spans="1:17" ht="14.25" thickTop="1" thickBot="1">
      <c r="A31" s="110"/>
      <c r="B31" s="27"/>
      <c r="C31" s="22" t="s">
        <v>51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</row>
    <row r="32" spans="1:17" ht="13.5" thickTop="1">
      <c r="C32" s="44"/>
    </row>
    <row r="33" spans="1:17">
      <c r="A33" s="140" t="str">
        <f>$A$1</f>
        <v>प्रपत्र - ड  -  अर्थसंकल्पीय अंदाजपत्रक सन 2021-2022</v>
      </c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</row>
    <row r="34" spans="1:17">
      <c r="A34" s="140" t="s">
        <v>19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</row>
    <row r="35" spans="1:17">
      <c r="A35" s="147" t="s">
        <v>23</v>
      </c>
      <c r="B35" s="147"/>
      <c r="C35" s="14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53" t="s">
        <v>62</v>
      </c>
      <c r="P35" s="153"/>
      <c r="Q35" s="153"/>
    </row>
    <row r="36" spans="1:17" ht="18.75" customHeight="1">
      <c r="A36" s="141" t="s">
        <v>21</v>
      </c>
      <c r="B36" s="141" t="s">
        <v>29</v>
      </c>
      <c r="C36" s="151" t="s">
        <v>33</v>
      </c>
      <c r="D36" s="12" t="str">
        <f t="shared" ref="D36:J37" si="1">D4</f>
        <v>मंजूर पदे</v>
      </c>
      <c r="E36" s="12" t="str">
        <f t="shared" si="1"/>
        <v>मंजूर पदे</v>
      </c>
      <c r="F36" s="138" t="str">
        <f t="shared" si="1"/>
        <v>विशेष वेतन</v>
      </c>
      <c r="G36" s="138" t="str">
        <f t="shared" si="1"/>
        <v>मुळ वेतन</v>
      </c>
      <c r="H36" s="138" t="str">
        <f t="shared" si="1"/>
        <v>ग्रेड वेतन</v>
      </c>
      <c r="I36" s="138" t="str">
        <f t="shared" si="1"/>
        <v>एकूण</v>
      </c>
      <c r="J36" s="138" t="str">
        <f t="shared" si="1"/>
        <v>महागाई भत्ता 25%</v>
      </c>
      <c r="K36" s="138" t="s">
        <v>58</v>
      </c>
      <c r="L36" s="138" t="s">
        <v>59</v>
      </c>
      <c r="M36" s="138" t="s">
        <v>60</v>
      </c>
      <c r="N36" s="138" t="s">
        <v>61</v>
      </c>
      <c r="O36" s="138" t="s">
        <v>63</v>
      </c>
      <c r="P36" s="138" t="s">
        <v>64</v>
      </c>
      <c r="Q36" s="138" t="s">
        <v>57</v>
      </c>
    </row>
    <row r="37" spans="1:17">
      <c r="A37" s="142"/>
      <c r="B37" s="142"/>
      <c r="C37" s="152"/>
      <c r="D37" s="13" t="str">
        <f t="shared" si="1"/>
        <v>2020-2021</v>
      </c>
      <c r="E37" s="13" t="str">
        <f t="shared" si="1"/>
        <v>2021-2022</v>
      </c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</row>
    <row r="38" spans="1:17">
      <c r="A38" s="143"/>
      <c r="B38" s="143"/>
      <c r="C38" s="148" t="s">
        <v>34</v>
      </c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50"/>
    </row>
    <row r="39" spans="1:17">
      <c r="A39" s="132">
        <v>1</v>
      </c>
      <c r="B39" s="134" t="s">
        <v>30</v>
      </c>
      <c r="C39" s="14" t="s">
        <v>35</v>
      </c>
      <c r="D39" s="15"/>
      <c r="E39" s="15"/>
      <c r="F39" s="15"/>
      <c r="G39" s="15"/>
      <c r="H39" s="15"/>
      <c r="I39" s="16">
        <v>0</v>
      </c>
      <c r="J39" s="17">
        <v>0</v>
      </c>
      <c r="K39" s="15"/>
      <c r="L39" s="15"/>
      <c r="M39" s="15"/>
      <c r="N39" s="15"/>
      <c r="O39" s="15"/>
      <c r="P39" s="15"/>
      <c r="Q39" s="16">
        <v>0</v>
      </c>
    </row>
    <row r="40" spans="1:17" ht="13.5" thickBot="1">
      <c r="A40" s="133"/>
      <c r="B40" s="135"/>
      <c r="C40" s="18" t="s">
        <v>36</v>
      </c>
      <c r="D40" s="19"/>
      <c r="E40" s="19"/>
      <c r="F40" s="19"/>
      <c r="G40" s="19"/>
      <c r="H40" s="19"/>
      <c r="I40" s="20">
        <v>0</v>
      </c>
      <c r="J40" s="21">
        <v>0</v>
      </c>
      <c r="K40" s="19"/>
      <c r="L40" s="19"/>
      <c r="M40" s="19"/>
      <c r="N40" s="19"/>
      <c r="O40" s="19"/>
      <c r="P40" s="19"/>
      <c r="Q40" s="20">
        <v>0</v>
      </c>
    </row>
    <row r="41" spans="1:17" ht="14.25" thickTop="1" thickBot="1">
      <c r="A41" s="110"/>
      <c r="B41" s="111"/>
      <c r="C41" s="22" t="s">
        <v>37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</row>
    <row r="42" spans="1:17" ht="14.25" thickTop="1" thickBot="1">
      <c r="A42" s="110">
        <v>2</v>
      </c>
      <c r="B42" s="111" t="s">
        <v>31</v>
      </c>
      <c r="C42" s="24" t="s">
        <v>38</v>
      </c>
      <c r="D42" s="23"/>
      <c r="E42" s="23"/>
      <c r="F42" s="23"/>
      <c r="G42" s="23"/>
      <c r="H42" s="23"/>
      <c r="I42" s="25">
        <v>0</v>
      </c>
      <c r="J42" s="26">
        <v>0</v>
      </c>
      <c r="K42" s="23"/>
      <c r="L42" s="23"/>
      <c r="M42" s="23"/>
      <c r="N42" s="23"/>
      <c r="O42" s="23"/>
      <c r="P42" s="23"/>
      <c r="Q42" s="25">
        <v>0</v>
      </c>
    </row>
    <row r="43" spans="1:17" ht="14.25" thickTop="1" thickBot="1">
      <c r="A43" s="110"/>
      <c r="B43" s="111"/>
      <c r="C43" s="22" t="s">
        <v>39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</row>
    <row r="44" spans="1:17" ht="18.75" customHeight="1" thickTop="1" thickBot="1">
      <c r="A44" s="110"/>
      <c r="B44" s="27"/>
      <c r="C44" s="28" t="s">
        <v>40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</row>
    <row r="45" spans="1:17" ht="13.5" thickTop="1">
      <c r="A45" s="29"/>
      <c r="B45" s="30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</row>
    <row r="46" spans="1:17" ht="18.75" customHeight="1">
      <c r="A46" s="141" t="s">
        <v>22</v>
      </c>
      <c r="B46" s="141" t="s">
        <v>29</v>
      </c>
      <c r="C46" s="151" t="s">
        <v>33</v>
      </c>
      <c r="D46" s="12" t="str">
        <f t="shared" ref="D46:J47" si="2">D4</f>
        <v>मंजूर पदे</v>
      </c>
      <c r="E46" s="12" t="str">
        <f t="shared" si="2"/>
        <v>मंजूर पदे</v>
      </c>
      <c r="F46" s="138" t="str">
        <f t="shared" si="2"/>
        <v>विशेष वेतन</v>
      </c>
      <c r="G46" s="138" t="str">
        <f t="shared" si="2"/>
        <v>मुळ वेतन</v>
      </c>
      <c r="H46" s="138" t="str">
        <f t="shared" si="2"/>
        <v>ग्रेड वेतन</v>
      </c>
      <c r="I46" s="138" t="str">
        <f t="shared" si="2"/>
        <v>एकूण</v>
      </c>
      <c r="J46" s="138" t="str">
        <f t="shared" si="2"/>
        <v>महागाई भत्ता 25%</v>
      </c>
      <c r="K46" s="138" t="s">
        <v>58</v>
      </c>
      <c r="L46" s="138" t="s">
        <v>59</v>
      </c>
      <c r="M46" s="138" t="s">
        <v>60</v>
      </c>
      <c r="N46" s="138" t="s">
        <v>61</v>
      </c>
      <c r="O46" s="138" t="s">
        <v>63</v>
      </c>
      <c r="P46" s="138" t="s">
        <v>64</v>
      </c>
      <c r="Q46" s="138" t="s">
        <v>57</v>
      </c>
    </row>
    <row r="47" spans="1:17">
      <c r="A47" s="142"/>
      <c r="B47" s="142"/>
      <c r="C47" s="152"/>
      <c r="D47" s="13" t="str">
        <f t="shared" si="2"/>
        <v>2020-2021</v>
      </c>
      <c r="E47" s="13" t="str">
        <f t="shared" si="2"/>
        <v>2021-2022</v>
      </c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</row>
    <row r="48" spans="1:17">
      <c r="A48" s="143"/>
      <c r="B48" s="143"/>
      <c r="C48" s="144" t="s">
        <v>41</v>
      </c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6"/>
    </row>
    <row r="49" spans="1:17">
      <c r="A49" s="132">
        <v>1</v>
      </c>
      <c r="B49" s="134" t="s">
        <v>32</v>
      </c>
      <c r="C49" s="31" t="s">
        <v>42</v>
      </c>
      <c r="D49" s="15"/>
      <c r="E49" s="15"/>
      <c r="F49" s="15"/>
      <c r="G49" s="15"/>
      <c r="H49" s="15"/>
      <c r="I49" s="16">
        <v>0</v>
      </c>
      <c r="J49" s="17">
        <v>0</v>
      </c>
      <c r="K49" s="15"/>
      <c r="L49" s="15"/>
      <c r="M49" s="15"/>
      <c r="N49" s="15"/>
      <c r="O49" s="15"/>
      <c r="P49" s="15"/>
      <c r="Q49" s="16">
        <v>0</v>
      </c>
    </row>
    <row r="50" spans="1:17" ht="13.5" thickBot="1">
      <c r="A50" s="133"/>
      <c r="B50" s="135"/>
      <c r="C50" s="18" t="s">
        <v>43</v>
      </c>
      <c r="D50" s="32"/>
      <c r="E50" s="32"/>
      <c r="F50" s="32"/>
      <c r="G50" s="19"/>
      <c r="H50" s="19"/>
      <c r="I50" s="20">
        <v>0</v>
      </c>
      <c r="J50" s="21">
        <v>0</v>
      </c>
      <c r="K50" s="19"/>
      <c r="L50" s="19"/>
      <c r="M50" s="19"/>
      <c r="N50" s="19"/>
      <c r="O50" s="19"/>
      <c r="P50" s="19"/>
      <c r="Q50" s="20">
        <v>0</v>
      </c>
    </row>
    <row r="51" spans="1:17" ht="14.25" thickTop="1" thickBot="1">
      <c r="A51" s="110"/>
      <c r="B51" s="111"/>
      <c r="C51" s="22" t="s">
        <v>44</v>
      </c>
      <c r="D51" s="33">
        <v>0</v>
      </c>
      <c r="E51" s="33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</row>
    <row r="52" spans="1:17" ht="13.5" thickTop="1">
      <c r="A52" s="136">
        <v>2</v>
      </c>
      <c r="B52" s="137" t="s">
        <v>30</v>
      </c>
      <c r="C52" s="34" t="s">
        <v>35</v>
      </c>
      <c r="D52" s="35"/>
      <c r="E52" s="35"/>
      <c r="F52" s="35"/>
      <c r="G52" s="36"/>
      <c r="H52" s="36"/>
      <c r="I52" s="37">
        <v>0</v>
      </c>
      <c r="J52" s="38">
        <v>0</v>
      </c>
      <c r="K52" s="36"/>
      <c r="L52" s="36"/>
      <c r="M52" s="36"/>
      <c r="N52" s="36"/>
      <c r="O52" s="36"/>
      <c r="P52" s="36"/>
      <c r="Q52" s="37">
        <v>0</v>
      </c>
    </row>
    <row r="53" spans="1:17">
      <c r="A53" s="136"/>
      <c r="B53" s="137"/>
      <c r="C53" s="14" t="s">
        <v>45</v>
      </c>
      <c r="D53" s="39"/>
      <c r="E53" s="39"/>
      <c r="F53" s="39"/>
      <c r="G53" s="15"/>
      <c r="H53" s="15"/>
      <c r="I53" s="16">
        <v>0</v>
      </c>
      <c r="J53" s="17">
        <v>0</v>
      </c>
      <c r="K53" s="15"/>
      <c r="L53" s="15"/>
      <c r="M53" s="15"/>
      <c r="N53" s="15"/>
      <c r="O53" s="15"/>
      <c r="P53" s="15"/>
      <c r="Q53" s="16">
        <v>0</v>
      </c>
    </row>
    <row r="54" spans="1:17">
      <c r="A54" s="136"/>
      <c r="B54" s="137"/>
      <c r="C54" s="14" t="s">
        <v>46</v>
      </c>
      <c r="D54" s="39"/>
      <c r="E54" s="39"/>
      <c r="F54" s="39"/>
      <c r="G54" s="15"/>
      <c r="H54" s="15"/>
      <c r="I54" s="16">
        <v>0</v>
      </c>
      <c r="J54" s="17">
        <v>0</v>
      </c>
      <c r="K54" s="15"/>
      <c r="L54" s="15"/>
      <c r="M54" s="15"/>
      <c r="N54" s="15"/>
      <c r="O54" s="15"/>
      <c r="P54" s="15"/>
      <c r="Q54" s="16">
        <v>0</v>
      </c>
    </row>
    <row r="55" spans="1:17">
      <c r="A55" s="136"/>
      <c r="B55" s="137"/>
      <c r="C55" s="14" t="s">
        <v>47</v>
      </c>
      <c r="D55" s="39"/>
      <c r="E55" s="39"/>
      <c r="F55" s="39"/>
      <c r="G55" s="15"/>
      <c r="H55" s="15"/>
      <c r="I55" s="16">
        <v>0</v>
      </c>
      <c r="J55" s="17">
        <v>0</v>
      </c>
      <c r="K55" s="15"/>
      <c r="L55" s="15"/>
      <c r="M55" s="15"/>
      <c r="N55" s="15"/>
      <c r="O55" s="15"/>
      <c r="P55" s="15"/>
      <c r="Q55" s="16">
        <v>0</v>
      </c>
    </row>
    <row r="56" spans="1:17">
      <c r="A56" s="136"/>
      <c r="B56" s="137"/>
      <c r="C56" s="14" t="s">
        <v>48</v>
      </c>
      <c r="D56" s="39"/>
      <c r="E56" s="39"/>
      <c r="F56" s="39"/>
      <c r="G56" s="15"/>
      <c r="H56" s="15"/>
      <c r="I56" s="16">
        <v>0</v>
      </c>
      <c r="J56" s="17">
        <v>0</v>
      </c>
      <c r="K56" s="15"/>
      <c r="L56" s="15"/>
      <c r="M56" s="15"/>
      <c r="N56" s="15"/>
      <c r="O56" s="15"/>
      <c r="P56" s="15"/>
      <c r="Q56" s="16">
        <v>0</v>
      </c>
    </row>
    <row r="57" spans="1:17">
      <c r="A57" s="136"/>
      <c r="B57" s="137"/>
      <c r="C57" s="14" t="s">
        <v>36</v>
      </c>
      <c r="D57" s="39"/>
      <c r="E57" s="39"/>
      <c r="F57" s="39"/>
      <c r="G57" s="15"/>
      <c r="H57" s="15"/>
      <c r="I57" s="16">
        <v>0</v>
      </c>
      <c r="J57" s="17">
        <v>0</v>
      </c>
      <c r="K57" s="15"/>
      <c r="L57" s="15"/>
      <c r="M57" s="15"/>
      <c r="N57" s="15"/>
      <c r="O57" s="15"/>
      <c r="P57" s="15"/>
      <c r="Q57" s="16">
        <v>0</v>
      </c>
    </row>
    <row r="58" spans="1:17" ht="13.5" thickBot="1">
      <c r="A58" s="133"/>
      <c r="B58" s="135"/>
      <c r="C58" s="18" t="s">
        <v>49</v>
      </c>
      <c r="D58" s="32"/>
      <c r="E58" s="32"/>
      <c r="F58" s="32"/>
      <c r="G58" s="19"/>
      <c r="H58" s="19"/>
      <c r="I58" s="20">
        <v>0</v>
      </c>
      <c r="J58" s="21">
        <v>0</v>
      </c>
      <c r="K58" s="19"/>
      <c r="L58" s="19"/>
      <c r="M58" s="19"/>
      <c r="N58" s="19"/>
      <c r="O58" s="19"/>
      <c r="P58" s="19"/>
      <c r="Q58" s="20">
        <v>0</v>
      </c>
    </row>
    <row r="59" spans="1:17" ht="14.25" thickTop="1" thickBot="1">
      <c r="A59" s="110"/>
      <c r="B59" s="111"/>
      <c r="C59" s="22" t="s">
        <v>37</v>
      </c>
      <c r="D59" s="33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</row>
    <row r="60" spans="1:17" ht="13.5" thickTop="1">
      <c r="A60" s="98">
        <v>3</v>
      </c>
      <c r="B60" s="40" t="s">
        <v>31</v>
      </c>
      <c r="C60" s="34" t="s">
        <v>38</v>
      </c>
      <c r="D60" s="35"/>
      <c r="E60" s="35"/>
      <c r="F60" s="35"/>
      <c r="G60" s="36"/>
      <c r="H60" s="36"/>
      <c r="I60" s="37">
        <v>0</v>
      </c>
      <c r="J60" s="38">
        <v>0</v>
      </c>
      <c r="K60" s="36"/>
      <c r="L60" s="36"/>
      <c r="M60" s="36"/>
      <c r="N60" s="36"/>
      <c r="O60" s="36"/>
      <c r="P60" s="36"/>
      <c r="Q60" s="37">
        <v>0</v>
      </c>
    </row>
    <row r="61" spans="1:17" ht="13.5" thickBot="1">
      <c r="A61" s="41"/>
      <c r="B61" s="42"/>
      <c r="C61" s="18" t="s">
        <v>50</v>
      </c>
      <c r="D61" s="32"/>
      <c r="E61" s="32"/>
      <c r="F61" s="32"/>
      <c r="G61" s="19"/>
      <c r="H61" s="19"/>
      <c r="I61" s="20">
        <v>0</v>
      </c>
      <c r="J61" s="21">
        <v>0</v>
      </c>
      <c r="K61" s="19"/>
      <c r="L61" s="19"/>
      <c r="M61" s="19"/>
      <c r="N61" s="19"/>
      <c r="O61" s="19"/>
      <c r="P61" s="19"/>
      <c r="Q61" s="20">
        <v>0</v>
      </c>
    </row>
    <row r="62" spans="1:17" ht="14.25" thickTop="1" thickBot="1">
      <c r="A62" s="110"/>
      <c r="B62" s="27"/>
      <c r="C62" s="22" t="s">
        <v>39</v>
      </c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</row>
    <row r="63" spans="1:17" ht="14.25" thickTop="1" thickBot="1">
      <c r="A63" s="110"/>
      <c r="B63" s="27"/>
      <c r="C63" s="22" t="s">
        <v>51</v>
      </c>
      <c r="D63" s="33">
        <v>0</v>
      </c>
      <c r="E63" s="33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</row>
    <row r="64" spans="1:17" ht="13.5" thickTop="1">
      <c r="C64" s="44"/>
    </row>
    <row r="65" spans="1:17">
      <c r="A65" s="140" t="str">
        <f>$A$1</f>
        <v>प्रपत्र - ड  -  अर्थसंकल्पीय अंदाजपत्रक सन 2021-2022</v>
      </c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</row>
    <row r="66" spans="1:17">
      <c r="A66" s="140" t="s">
        <v>19</v>
      </c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</row>
    <row r="67" spans="1:17">
      <c r="A67" s="147" t="s">
        <v>24</v>
      </c>
      <c r="B67" s="147"/>
      <c r="C67" s="147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53" t="s">
        <v>62</v>
      </c>
      <c r="P67" s="153"/>
      <c r="Q67" s="153"/>
    </row>
    <row r="68" spans="1:17" ht="17.25" customHeight="1">
      <c r="A68" s="141" t="s">
        <v>21</v>
      </c>
      <c r="B68" s="141" t="s">
        <v>29</v>
      </c>
      <c r="C68" s="151" t="s">
        <v>33</v>
      </c>
      <c r="D68" s="12" t="str">
        <f t="shared" ref="D68:J69" si="3">D4</f>
        <v>मंजूर पदे</v>
      </c>
      <c r="E68" s="12" t="str">
        <f t="shared" si="3"/>
        <v>मंजूर पदे</v>
      </c>
      <c r="F68" s="138" t="str">
        <f t="shared" si="3"/>
        <v>विशेष वेतन</v>
      </c>
      <c r="G68" s="138" t="str">
        <f t="shared" si="3"/>
        <v>मुळ वेतन</v>
      </c>
      <c r="H68" s="138" t="str">
        <f t="shared" si="3"/>
        <v>ग्रेड वेतन</v>
      </c>
      <c r="I68" s="138" t="str">
        <f t="shared" si="3"/>
        <v>एकूण</v>
      </c>
      <c r="J68" s="138" t="str">
        <f t="shared" si="3"/>
        <v>महागाई भत्ता 25%</v>
      </c>
      <c r="K68" s="138" t="s">
        <v>58</v>
      </c>
      <c r="L68" s="138" t="s">
        <v>59</v>
      </c>
      <c r="M68" s="138" t="s">
        <v>60</v>
      </c>
      <c r="N68" s="138" t="s">
        <v>61</v>
      </c>
      <c r="O68" s="138" t="s">
        <v>63</v>
      </c>
      <c r="P68" s="138" t="s">
        <v>64</v>
      </c>
      <c r="Q68" s="138" t="s">
        <v>57</v>
      </c>
    </row>
    <row r="69" spans="1:17">
      <c r="A69" s="142"/>
      <c r="B69" s="142"/>
      <c r="C69" s="152"/>
      <c r="D69" s="13" t="str">
        <f t="shared" si="3"/>
        <v>2020-2021</v>
      </c>
      <c r="E69" s="13" t="str">
        <f t="shared" si="3"/>
        <v>2021-2022</v>
      </c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</row>
    <row r="70" spans="1:17">
      <c r="A70" s="143"/>
      <c r="B70" s="143"/>
      <c r="C70" s="148" t="s">
        <v>34</v>
      </c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50"/>
    </row>
    <row r="71" spans="1:17">
      <c r="A71" s="132">
        <v>1</v>
      </c>
      <c r="B71" s="134" t="s">
        <v>30</v>
      </c>
      <c r="C71" s="14" t="s">
        <v>35</v>
      </c>
      <c r="D71" s="39">
        <v>0</v>
      </c>
      <c r="E71" s="39">
        <v>0</v>
      </c>
      <c r="F71" s="39">
        <v>0</v>
      </c>
      <c r="G71" s="39">
        <v>0</v>
      </c>
      <c r="H71" s="39">
        <v>0</v>
      </c>
      <c r="I71" s="16">
        <f>SUM(G71:H71)</f>
        <v>0</v>
      </c>
      <c r="J71" s="17">
        <f>ROUND(I71*1.3, 0)</f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16">
        <f>SUM(I71:P71)+F71</f>
        <v>0</v>
      </c>
    </row>
    <row r="72" spans="1:17" ht="13.5" thickBot="1">
      <c r="A72" s="133"/>
      <c r="B72" s="135"/>
      <c r="C72" s="18" t="s">
        <v>36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20">
        <f>SUM(G72:H72)</f>
        <v>0</v>
      </c>
      <c r="J72" s="21">
        <f>ROUND(I72*1.3, 0)</f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16">
        <f>SUM(I72:P72)+F72</f>
        <v>0</v>
      </c>
    </row>
    <row r="73" spans="1:17" ht="14.25" thickTop="1" thickBot="1">
      <c r="A73" s="110"/>
      <c r="B73" s="111"/>
      <c r="C73" s="22" t="s">
        <v>37</v>
      </c>
      <c r="D73" s="33">
        <f>SUM(D71:D72)</f>
        <v>0</v>
      </c>
      <c r="E73" s="33">
        <f t="shared" ref="E73:Q73" si="4">SUM(E71:E72)</f>
        <v>0</v>
      </c>
      <c r="F73" s="33">
        <f t="shared" si="4"/>
        <v>0</v>
      </c>
      <c r="G73" s="33">
        <f t="shared" si="4"/>
        <v>0</v>
      </c>
      <c r="H73" s="33">
        <f t="shared" si="4"/>
        <v>0</v>
      </c>
      <c r="I73" s="33">
        <f t="shared" si="4"/>
        <v>0</v>
      </c>
      <c r="J73" s="33">
        <f t="shared" si="4"/>
        <v>0</v>
      </c>
      <c r="K73" s="33">
        <f t="shared" si="4"/>
        <v>0</v>
      </c>
      <c r="L73" s="33">
        <f t="shared" si="4"/>
        <v>0</v>
      </c>
      <c r="M73" s="33">
        <f t="shared" si="4"/>
        <v>0</v>
      </c>
      <c r="N73" s="33">
        <f t="shared" si="4"/>
        <v>0</v>
      </c>
      <c r="O73" s="33">
        <f t="shared" si="4"/>
        <v>0</v>
      </c>
      <c r="P73" s="33">
        <f t="shared" si="4"/>
        <v>0</v>
      </c>
      <c r="Q73" s="33">
        <f t="shared" si="4"/>
        <v>0</v>
      </c>
    </row>
    <row r="74" spans="1:17" ht="14.25" thickTop="1" thickBot="1">
      <c r="A74" s="110">
        <v>2</v>
      </c>
      <c r="B74" s="111" t="s">
        <v>31</v>
      </c>
      <c r="C74" s="24" t="s">
        <v>38</v>
      </c>
      <c r="D74" s="33">
        <v>0</v>
      </c>
      <c r="E74" s="33">
        <v>0</v>
      </c>
      <c r="F74" s="33">
        <v>0</v>
      </c>
      <c r="G74" s="33">
        <v>0</v>
      </c>
      <c r="H74" s="33">
        <v>0</v>
      </c>
      <c r="I74" s="45">
        <f>SUM(G74:H74)</f>
        <v>0</v>
      </c>
      <c r="J74" s="105">
        <f>ROUND(I74*1.3, 0)</f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16">
        <f>SUM(I74:P74)+F74</f>
        <v>0</v>
      </c>
    </row>
    <row r="75" spans="1:17" ht="14.25" thickTop="1" thickBot="1">
      <c r="A75" s="110"/>
      <c r="B75" s="111"/>
      <c r="C75" s="22" t="s">
        <v>39</v>
      </c>
      <c r="D75" s="33">
        <f>SUM(D74)</f>
        <v>0</v>
      </c>
      <c r="E75" s="33">
        <f t="shared" ref="E75:Q75" si="5">SUM(E74)</f>
        <v>0</v>
      </c>
      <c r="F75" s="33">
        <f t="shared" si="5"/>
        <v>0</v>
      </c>
      <c r="G75" s="33">
        <f t="shared" si="5"/>
        <v>0</v>
      </c>
      <c r="H75" s="33">
        <f t="shared" si="5"/>
        <v>0</v>
      </c>
      <c r="I75" s="33">
        <f t="shared" si="5"/>
        <v>0</v>
      </c>
      <c r="J75" s="33">
        <f t="shared" si="5"/>
        <v>0</v>
      </c>
      <c r="K75" s="33">
        <f t="shared" si="5"/>
        <v>0</v>
      </c>
      <c r="L75" s="33">
        <f t="shared" si="5"/>
        <v>0</v>
      </c>
      <c r="M75" s="33">
        <f t="shared" si="5"/>
        <v>0</v>
      </c>
      <c r="N75" s="33">
        <f t="shared" si="5"/>
        <v>0</v>
      </c>
      <c r="O75" s="33">
        <f t="shared" si="5"/>
        <v>0</v>
      </c>
      <c r="P75" s="33">
        <f t="shared" si="5"/>
        <v>0</v>
      </c>
      <c r="Q75" s="33">
        <f t="shared" si="5"/>
        <v>0</v>
      </c>
    </row>
    <row r="76" spans="1:17" ht="14.25" thickTop="1" thickBot="1">
      <c r="A76" s="110"/>
      <c r="B76" s="27"/>
      <c r="C76" s="28" t="s">
        <v>40</v>
      </c>
      <c r="D76" s="25">
        <f>SUM(D75,D73)</f>
        <v>0</v>
      </c>
      <c r="E76" s="25">
        <f t="shared" ref="E76:Q76" si="6">SUM(E75,E73)</f>
        <v>0</v>
      </c>
      <c r="F76" s="25">
        <f t="shared" si="6"/>
        <v>0</v>
      </c>
      <c r="G76" s="25">
        <f t="shared" si="6"/>
        <v>0</v>
      </c>
      <c r="H76" s="25">
        <f t="shared" si="6"/>
        <v>0</v>
      </c>
      <c r="I76" s="25">
        <f t="shared" si="6"/>
        <v>0</v>
      </c>
      <c r="J76" s="25">
        <f t="shared" si="6"/>
        <v>0</v>
      </c>
      <c r="K76" s="25">
        <f t="shared" si="6"/>
        <v>0</v>
      </c>
      <c r="L76" s="25">
        <f t="shared" si="6"/>
        <v>0</v>
      </c>
      <c r="M76" s="25">
        <f t="shared" si="6"/>
        <v>0</v>
      </c>
      <c r="N76" s="25">
        <f t="shared" si="6"/>
        <v>0</v>
      </c>
      <c r="O76" s="25">
        <f t="shared" si="6"/>
        <v>0</v>
      </c>
      <c r="P76" s="25">
        <f t="shared" si="6"/>
        <v>0</v>
      </c>
      <c r="Q76" s="25">
        <f t="shared" si="6"/>
        <v>0</v>
      </c>
    </row>
    <row r="77" spans="1:17" ht="13.5" thickTop="1">
      <c r="A77" s="29"/>
      <c r="B77" s="30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</row>
    <row r="78" spans="1:17" ht="18.75" customHeight="1">
      <c r="A78" s="141" t="s">
        <v>22</v>
      </c>
      <c r="B78" s="141" t="s">
        <v>29</v>
      </c>
      <c r="C78" s="151" t="s">
        <v>33</v>
      </c>
      <c r="D78" s="12" t="str">
        <f t="shared" ref="D78:J79" si="7">D4</f>
        <v>मंजूर पदे</v>
      </c>
      <c r="E78" s="12" t="str">
        <f t="shared" si="7"/>
        <v>मंजूर पदे</v>
      </c>
      <c r="F78" s="138" t="str">
        <f t="shared" si="7"/>
        <v>विशेष वेतन</v>
      </c>
      <c r="G78" s="138" t="str">
        <f t="shared" si="7"/>
        <v>मुळ वेतन</v>
      </c>
      <c r="H78" s="138" t="str">
        <f t="shared" si="7"/>
        <v>ग्रेड वेतन</v>
      </c>
      <c r="I78" s="138" t="str">
        <f t="shared" si="7"/>
        <v>एकूण</v>
      </c>
      <c r="J78" s="138" t="str">
        <f t="shared" si="7"/>
        <v>महागाई भत्ता 25%</v>
      </c>
      <c r="K78" s="138" t="s">
        <v>58</v>
      </c>
      <c r="L78" s="138" t="s">
        <v>59</v>
      </c>
      <c r="M78" s="138" t="s">
        <v>60</v>
      </c>
      <c r="N78" s="138" t="s">
        <v>61</v>
      </c>
      <c r="O78" s="138" t="s">
        <v>63</v>
      </c>
      <c r="P78" s="138" t="s">
        <v>64</v>
      </c>
      <c r="Q78" s="138" t="s">
        <v>57</v>
      </c>
    </row>
    <row r="79" spans="1:17">
      <c r="A79" s="142"/>
      <c r="B79" s="142"/>
      <c r="C79" s="152"/>
      <c r="D79" s="13" t="str">
        <f t="shared" si="7"/>
        <v>2020-2021</v>
      </c>
      <c r="E79" s="13" t="str">
        <f t="shared" si="7"/>
        <v>2021-2022</v>
      </c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</row>
    <row r="80" spans="1:17">
      <c r="A80" s="143"/>
      <c r="B80" s="143"/>
      <c r="C80" s="144" t="s">
        <v>41</v>
      </c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6"/>
    </row>
    <row r="81" spans="1:17">
      <c r="A81" s="132">
        <v>1</v>
      </c>
      <c r="B81" s="134" t="s">
        <v>32</v>
      </c>
      <c r="C81" s="31" t="s">
        <v>42</v>
      </c>
      <c r="D81" s="15">
        <v>1</v>
      </c>
      <c r="E81" s="15">
        <v>1</v>
      </c>
      <c r="F81" s="15">
        <v>0</v>
      </c>
      <c r="G81" s="16">
        <v>1020</v>
      </c>
      <c r="H81" s="16">
        <v>0</v>
      </c>
      <c r="I81" s="16">
        <f>SUM(G81:H81)</f>
        <v>1020</v>
      </c>
      <c r="J81" s="17">
        <f>ROUND(I81*0.25, 0)</f>
        <v>255</v>
      </c>
      <c r="K81" s="16">
        <v>4</v>
      </c>
      <c r="L81" s="16">
        <v>275</v>
      </c>
      <c r="M81" s="16">
        <v>14</v>
      </c>
      <c r="N81" s="16">
        <v>0</v>
      </c>
      <c r="O81" s="16">
        <v>0</v>
      </c>
      <c r="P81" s="16">
        <v>0</v>
      </c>
      <c r="Q81" s="16">
        <f>SUM(I81:P81)+F81</f>
        <v>1568</v>
      </c>
    </row>
    <row r="82" spans="1:17" ht="13.5" thickBot="1">
      <c r="A82" s="133"/>
      <c r="B82" s="135"/>
      <c r="C82" s="18" t="s">
        <v>43</v>
      </c>
      <c r="D82" s="32">
        <v>1</v>
      </c>
      <c r="E82" s="32">
        <v>1</v>
      </c>
      <c r="F82" s="32">
        <v>0</v>
      </c>
      <c r="G82" s="20">
        <v>477</v>
      </c>
      <c r="H82" s="20">
        <v>0</v>
      </c>
      <c r="I82" s="20">
        <f>SUM(G82:H82)</f>
        <v>477</v>
      </c>
      <c r="J82" s="21">
        <f>ROUND(I82*0.25, 0)-1</f>
        <v>118</v>
      </c>
      <c r="K82" s="20">
        <v>4</v>
      </c>
      <c r="L82" s="20">
        <v>129</v>
      </c>
      <c r="M82" s="20">
        <v>14</v>
      </c>
      <c r="N82" s="20">
        <v>0</v>
      </c>
      <c r="O82" s="20">
        <v>0</v>
      </c>
      <c r="P82" s="20">
        <v>0</v>
      </c>
      <c r="Q82" s="20">
        <f>SUM(I82:P82)+F82</f>
        <v>742</v>
      </c>
    </row>
    <row r="83" spans="1:17" ht="14.25" thickTop="1" thickBot="1">
      <c r="A83" s="110"/>
      <c r="B83" s="111"/>
      <c r="C83" s="22" t="s">
        <v>44</v>
      </c>
      <c r="D83" s="33">
        <f>SUM(D81:D82)</f>
        <v>2</v>
      </c>
      <c r="E83" s="33">
        <f t="shared" ref="E83:Q83" si="8">SUM(E81:E82)</f>
        <v>2</v>
      </c>
      <c r="F83" s="33">
        <f t="shared" si="8"/>
        <v>0</v>
      </c>
      <c r="G83" s="33">
        <f t="shared" si="8"/>
        <v>1497</v>
      </c>
      <c r="H83" s="33">
        <f t="shared" si="8"/>
        <v>0</v>
      </c>
      <c r="I83" s="33">
        <f t="shared" si="8"/>
        <v>1497</v>
      </c>
      <c r="J83" s="33">
        <f t="shared" si="8"/>
        <v>373</v>
      </c>
      <c r="K83" s="33">
        <f t="shared" si="8"/>
        <v>8</v>
      </c>
      <c r="L83" s="33">
        <f t="shared" si="8"/>
        <v>404</v>
      </c>
      <c r="M83" s="33">
        <f t="shared" si="8"/>
        <v>28</v>
      </c>
      <c r="N83" s="33">
        <f t="shared" si="8"/>
        <v>0</v>
      </c>
      <c r="O83" s="33">
        <f t="shared" si="8"/>
        <v>0</v>
      </c>
      <c r="P83" s="33">
        <f t="shared" si="8"/>
        <v>0</v>
      </c>
      <c r="Q83" s="33">
        <f t="shared" si="8"/>
        <v>2310</v>
      </c>
    </row>
    <row r="84" spans="1:17" ht="13.5" thickTop="1">
      <c r="A84" s="136">
        <v>2</v>
      </c>
      <c r="B84" s="137" t="s">
        <v>30</v>
      </c>
      <c r="C84" s="34" t="s">
        <v>35</v>
      </c>
      <c r="D84" s="35">
        <v>4</v>
      </c>
      <c r="E84" s="35">
        <v>4</v>
      </c>
      <c r="F84" s="35">
        <v>0</v>
      </c>
      <c r="G84" s="37">
        <v>2240</v>
      </c>
      <c r="H84" s="37">
        <v>0</v>
      </c>
      <c r="I84" s="16">
        <f t="shared" ref="I84:I90" si="9">SUM(G84:H84)</f>
        <v>2240</v>
      </c>
      <c r="J84" s="17">
        <f t="shared" ref="J84:J89" si="10">ROUND(I84*0.25, 0)</f>
        <v>560</v>
      </c>
      <c r="K84" s="37">
        <v>13</v>
      </c>
      <c r="L84" s="37">
        <v>605</v>
      </c>
      <c r="M84" s="37">
        <v>19</v>
      </c>
      <c r="N84" s="37">
        <v>0</v>
      </c>
      <c r="O84" s="37">
        <v>0</v>
      </c>
      <c r="P84" s="37">
        <v>0</v>
      </c>
      <c r="Q84" s="16">
        <f t="shared" ref="Q84:Q93" si="11">SUM(I84:P84)+F84</f>
        <v>3437</v>
      </c>
    </row>
    <row r="85" spans="1:17">
      <c r="A85" s="136"/>
      <c r="B85" s="137"/>
      <c r="C85" s="14" t="s">
        <v>45</v>
      </c>
      <c r="D85" s="39">
        <v>0</v>
      </c>
      <c r="E85" s="39">
        <v>0</v>
      </c>
      <c r="F85" s="39">
        <v>0</v>
      </c>
      <c r="G85" s="16">
        <v>0</v>
      </c>
      <c r="H85" s="16">
        <v>0</v>
      </c>
      <c r="I85" s="16">
        <f t="shared" si="9"/>
        <v>0</v>
      </c>
      <c r="J85" s="17">
        <f t="shared" si="10"/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f t="shared" si="11"/>
        <v>0</v>
      </c>
    </row>
    <row r="86" spans="1:17">
      <c r="A86" s="136"/>
      <c r="B86" s="137"/>
      <c r="C86" s="14" t="s">
        <v>46</v>
      </c>
      <c r="D86" s="39">
        <v>1</v>
      </c>
      <c r="E86" s="39">
        <v>1</v>
      </c>
      <c r="F86" s="39">
        <v>0</v>
      </c>
      <c r="G86" s="16">
        <v>890</v>
      </c>
      <c r="H86" s="16">
        <v>0</v>
      </c>
      <c r="I86" s="16">
        <f t="shared" si="9"/>
        <v>890</v>
      </c>
      <c r="J86" s="17">
        <f t="shared" si="10"/>
        <v>223</v>
      </c>
      <c r="K86" s="16">
        <v>4</v>
      </c>
      <c r="L86" s="16">
        <v>240</v>
      </c>
      <c r="M86" s="16">
        <v>5</v>
      </c>
      <c r="N86" s="16">
        <v>0</v>
      </c>
      <c r="O86" s="16">
        <v>0</v>
      </c>
      <c r="P86" s="16">
        <v>0</v>
      </c>
      <c r="Q86" s="16">
        <f t="shared" si="11"/>
        <v>1362</v>
      </c>
    </row>
    <row r="87" spans="1:17">
      <c r="A87" s="136"/>
      <c r="B87" s="137"/>
      <c r="C87" s="14" t="s">
        <v>47</v>
      </c>
      <c r="D87" s="39">
        <v>1</v>
      </c>
      <c r="E87" s="39">
        <v>1</v>
      </c>
      <c r="F87" s="39">
        <v>0</v>
      </c>
      <c r="G87" s="16">
        <v>678</v>
      </c>
      <c r="H87" s="16">
        <v>0</v>
      </c>
      <c r="I87" s="16">
        <f t="shared" si="9"/>
        <v>678</v>
      </c>
      <c r="J87" s="17">
        <f t="shared" si="10"/>
        <v>170</v>
      </c>
      <c r="K87" s="16">
        <v>4</v>
      </c>
      <c r="L87" s="16">
        <v>183</v>
      </c>
      <c r="M87" s="16">
        <v>5</v>
      </c>
      <c r="N87" s="16">
        <v>0</v>
      </c>
      <c r="O87" s="16">
        <v>0</v>
      </c>
      <c r="P87" s="16">
        <v>0</v>
      </c>
      <c r="Q87" s="16">
        <f t="shared" si="11"/>
        <v>1040</v>
      </c>
    </row>
    <row r="88" spans="1:17">
      <c r="A88" s="136"/>
      <c r="B88" s="137"/>
      <c r="C88" s="14" t="s">
        <v>48</v>
      </c>
      <c r="D88" s="39">
        <v>0</v>
      </c>
      <c r="E88" s="39">
        <v>0</v>
      </c>
      <c r="F88" s="39">
        <v>0</v>
      </c>
      <c r="G88" s="16">
        <v>0</v>
      </c>
      <c r="H88" s="16">
        <v>0</v>
      </c>
      <c r="I88" s="16">
        <f t="shared" si="9"/>
        <v>0</v>
      </c>
      <c r="J88" s="17">
        <f t="shared" si="10"/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f t="shared" si="11"/>
        <v>0</v>
      </c>
    </row>
    <row r="89" spans="1:17">
      <c r="A89" s="136"/>
      <c r="B89" s="137"/>
      <c r="C89" s="14" t="s">
        <v>36</v>
      </c>
      <c r="D89" s="39">
        <v>1</v>
      </c>
      <c r="E89" s="39">
        <v>1</v>
      </c>
      <c r="F89" s="39">
        <v>0</v>
      </c>
      <c r="G89" s="16">
        <v>332</v>
      </c>
      <c r="H89" s="16">
        <v>0</v>
      </c>
      <c r="I89" s="16">
        <f t="shared" si="9"/>
        <v>332</v>
      </c>
      <c r="J89" s="17">
        <f t="shared" si="10"/>
        <v>83</v>
      </c>
      <c r="K89" s="16">
        <v>4</v>
      </c>
      <c r="L89" s="16">
        <v>90</v>
      </c>
      <c r="M89" s="16">
        <v>5</v>
      </c>
      <c r="N89" s="16">
        <v>0</v>
      </c>
      <c r="O89" s="16">
        <v>0</v>
      </c>
      <c r="P89" s="16">
        <v>0</v>
      </c>
      <c r="Q89" s="16">
        <f t="shared" si="11"/>
        <v>514</v>
      </c>
    </row>
    <row r="90" spans="1:17" ht="13.5" thickBot="1">
      <c r="A90" s="133"/>
      <c r="B90" s="135"/>
      <c r="C90" s="18" t="s">
        <v>49</v>
      </c>
      <c r="D90" s="32">
        <v>0</v>
      </c>
      <c r="E90" s="32">
        <v>0</v>
      </c>
      <c r="F90" s="32">
        <v>0</v>
      </c>
      <c r="G90" s="20">
        <v>0</v>
      </c>
      <c r="H90" s="20">
        <v>0</v>
      </c>
      <c r="I90" s="20">
        <f t="shared" si="9"/>
        <v>0</v>
      </c>
      <c r="J90" s="21">
        <f>ROUND(I90*1.5, 0)</f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f t="shared" si="11"/>
        <v>0</v>
      </c>
    </row>
    <row r="91" spans="1:17" ht="14.25" thickTop="1" thickBot="1">
      <c r="A91" s="110"/>
      <c r="B91" s="111"/>
      <c r="C91" s="22" t="s">
        <v>37</v>
      </c>
      <c r="D91" s="33">
        <f>SUM(D84:D90)</f>
        <v>7</v>
      </c>
      <c r="E91" s="33">
        <f t="shared" ref="E91:Q91" si="12">SUM(E84:E90)</f>
        <v>7</v>
      </c>
      <c r="F91" s="33">
        <f t="shared" si="12"/>
        <v>0</v>
      </c>
      <c r="G91" s="33">
        <f t="shared" si="12"/>
        <v>4140</v>
      </c>
      <c r="H91" s="33">
        <f t="shared" si="12"/>
        <v>0</v>
      </c>
      <c r="I91" s="33">
        <f t="shared" si="12"/>
        <v>4140</v>
      </c>
      <c r="J91" s="33">
        <f t="shared" si="12"/>
        <v>1036</v>
      </c>
      <c r="K91" s="33">
        <f t="shared" si="12"/>
        <v>25</v>
      </c>
      <c r="L91" s="33">
        <f t="shared" si="12"/>
        <v>1118</v>
      </c>
      <c r="M91" s="33">
        <f t="shared" si="12"/>
        <v>34</v>
      </c>
      <c r="N91" s="33">
        <f t="shared" si="12"/>
        <v>0</v>
      </c>
      <c r="O91" s="33">
        <f t="shared" si="12"/>
        <v>0</v>
      </c>
      <c r="P91" s="33">
        <f t="shared" si="12"/>
        <v>0</v>
      </c>
      <c r="Q91" s="33">
        <f t="shared" si="12"/>
        <v>6353</v>
      </c>
    </row>
    <row r="92" spans="1:17" ht="13.5" thickTop="1">
      <c r="A92" s="98">
        <v>3</v>
      </c>
      <c r="B92" s="40" t="s">
        <v>31</v>
      </c>
      <c r="C92" s="34" t="s">
        <v>38</v>
      </c>
      <c r="D92" s="35">
        <v>1</v>
      </c>
      <c r="E92" s="35">
        <v>1</v>
      </c>
      <c r="F92" s="35">
        <v>0</v>
      </c>
      <c r="G92" s="37">
        <v>198</v>
      </c>
      <c r="H92" s="37">
        <v>0</v>
      </c>
      <c r="I92" s="16">
        <f>SUM(G92:H92)</f>
        <v>198</v>
      </c>
      <c r="J92" s="17">
        <f>ROUND(I92*0.25, 0)</f>
        <v>50</v>
      </c>
      <c r="K92" s="37">
        <v>3</v>
      </c>
      <c r="L92" s="37">
        <v>53</v>
      </c>
      <c r="M92" s="37">
        <v>5</v>
      </c>
      <c r="N92" s="37">
        <v>1</v>
      </c>
      <c r="O92" s="37">
        <v>0</v>
      </c>
      <c r="P92" s="37">
        <v>1</v>
      </c>
      <c r="Q92" s="16">
        <f t="shared" si="11"/>
        <v>311</v>
      </c>
    </row>
    <row r="93" spans="1:17" ht="13.5" thickBot="1">
      <c r="A93" s="41"/>
      <c r="B93" s="42"/>
      <c r="C93" s="18" t="s">
        <v>50</v>
      </c>
      <c r="D93" s="32">
        <v>0</v>
      </c>
      <c r="E93" s="32">
        <v>0</v>
      </c>
      <c r="F93" s="32">
        <v>0</v>
      </c>
      <c r="G93" s="20">
        <v>0</v>
      </c>
      <c r="H93" s="20">
        <v>0</v>
      </c>
      <c r="I93" s="16">
        <f>SUM(G93:H93)</f>
        <v>0</v>
      </c>
      <c r="J93" s="17">
        <f>ROUND(I93*1.6, 0)</f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16">
        <f t="shared" si="11"/>
        <v>0</v>
      </c>
    </row>
    <row r="94" spans="1:17" ht="14.25" thickTop="1" thickBot="1">
      <c r="A94" s="110"/>
      <c r="B94" s="27"/>
      <c r="C94" s="22" t="s">
        <v>39</v>
      </c>
      <c r="D94" s="33">
        <f>SUM(D92:D93)</f>
        <v>1</v>
      </c>
      <c r="E94" s="33">
        <f t="shared" ref="E94:Q94" si="13">SUM(E92:E93)</f>
        <v>1</v>
      </c>
      <c r="F94" s="33">
        <f t="shared" si="13"/>
        <v>0</v>
      </c>
      <c r="G94" s="33">
        <f t="shared" si="13"/>
        <v>198</v>
      </c>
      <c r="H94" s="33">
        <f t="shared" si="13"/>
        <v>0</v>
      </c>
      <c r="I94" s="33">
        <f t="shared" si="13"/>
        <v>198</v>
      </c>
      <c r="J94" s="33">
        <f t="shared" si="13"/>
        <v>50</v>
      </c>
      <c r="K94" s="33">
        <f t="shared" si="13"/>
        <v>3</v>
      </c>
      <c r="L94" s="33">
        <f t="shared" si="13"/>
        <v>53</v>
      </c>
      <c r="M94" s="33">
        <f t="shared" si="13"/>
        <v>5</v>
      </c>
      <c r="N94" s="33">
        <f t="shared" si="13"/>
        <v>1</v>
      </c>
      <c r="O94" s="33">
        <f t="shared" si="13"/>
        <v>0</v>
      </c>
      <c r="P94" s="33">
        <f t="shared" si="13"/>
        <v>1</v>
      </c>
      <c r="Q94" s="33">
        <f t="shared" si="13"/>
        <v>311</v>
      </c>
    </row>
    <row r="95" spans="1:17" ht="14.25" thickTop="1" thickBot="1">
      <c r="A95" s="110"/>
      <c r="B95" s="27"/>
      <c r="C95" s="22" t="s">
        <v>51</v>
      </c>
      <c r="D95" s="33">
        <f>SUM(D94,D91,D83)</f>
        <v>10</v>
      </c>
      <c r="E95" s="33">
        <f t="shared" ref="E95:Q95" si="14">SUM(E94,E91,E83)</f>
        <v>10</v>
      </c>
      <c r="F95" s="33">
        <f t="shared" si="14"/>
        <v>0</v>
      </c>
      <c r="G95" s="33">
        <f t="shared" si="14"/>
        <v>5835</v>
      </c>
      <c r="H95" s="33">
        <f t="shared" si="14"/>
        <v>0</v>
      </c>
      <c r="I95" s="33">
        <f t="shared" si="14"/>
        <v>5835</v>
      </c>
      <c r="J95" s="33">
        <f t="shared" si="14"/>
        <v>1459</v>
      </c>
      <c r="K95" s="33">
        <f t="shared" si="14"/>
        <v>36</v>
      </c>
      <c r="L95" s="33">
        <f t="shared" si="14"/>
        <v>1575</v>
      </c>
      <c r="M95" s="33">
        <f t="shared" si="14"/>
        <v>67</v>
      </c>
      <c r="N95" s="33">
        <f t="shared" si="14"/>
        <v>1</v>
      </c>
      <c r="O95" s="33">
        <f t="shared" si="14"/>
        <v>0</v>
      </c>
      <c r="P95" s="33">
        <f t="shared" si="14"/>
        <v>1</v>
      </c>
      <c r="Q95" s="33">
        <f t="shared" si="14"/>
        <v>8974</v>
      </c>
    </row>
    <row r="96" spans="1:17" ht="13.5" thickTop="1">
      <c r="A96" s="140" t="str">
        <f>$A$1</f>
        <v>प्रपत्र - ड  -  अर्थसंकल्पीय अंदाजपत्रक सन 2021-2022</v>
      </c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</row>
    <row r="97" spans="1:17">
      <c r="A97" s="140" t="s">
        <v>19</v>
      </c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</row>
    <row r="98" spans="1:17">
      <c r="A98" s="147" t="s">
        <v>116</v>
      </c>
      <c r="B98" s="147"/>
      <c r="C98" s="147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53" t="s">
        <v>62</v>
      </c>
      <c r="P98" s="153"/>
      <c r="Q98" s="153"/>
    </row>
    <row r="99" spans="1:17" ht="18.75" customHeight="1">
      <c r="A99" s="141" t="s">
        <v>21</v>
      </c>
      <c r="B99" s="141" t="s">
        <v>29</v>
      </c>
      <c r="C99" s="151" t="s">
        <v>33</v>
      </c>
      <c r="D99" s="12" t="str">
        <f t="shared" ref="D99:J100" si="15">D4</f>
        <v>मंजूर पदे</v>
      </c>
      <c r="E99" s="12" t="str">
        <f t="shared" si="15"/>
        <v>मंजूर पदे</v>
      </c>
      <c r="F99" s="138" t="str">
        <f t="shared" si="15"/>
        <v>विशेष वेतन</v>
      </c>
      <c r="G99" s="138" t="str">
        <f t="shared" si="15"/>
        <v>मुळ वेतन</v>
      </c>
      <c r="H99" s="138" t="str">
        <f t="shared" si="15"/>
        <v>ग्रेड वेतन</v>
      </c>
      <c r="I99" s="138" t="str">
        <f t="shared" si="15"/>
        <v>एकूण</v>
      </c>
      <c r="J99" s="138" t="str">
        <f t="shared" si="15"/>
        <v>महागाई भत्ता 25%</v>
      </c>
      <c r="K99" s="138" t="s">
        <v>58</v>
      </c>
      <c r="L99" s="138" t="s">
        <v>59</v>
      </c>
      <c r="M99" s="138" t="s">
        <v>60</v>
      </c>
      <c r="N99" s="138" t="s">
        <v>61</v>
      </c>
      <c r="O99" s="138" t="s">
        <v>63</v>
      </c>
      <c r="P99" s="138" t="s">
        <v>64</v>
      </c>
      <c r="Q99" s="138" t="s">
        <v>57</v>
      </c>
    </row>
    <row r="100" spans="1:17">
      <c r="A100" s="142"/>
      <c r="B100" s="142"/>
      <c r="C100" s="152"/>
      <c r="D100" s="13" t="str">
        <f t="shared" si="15"/>
        <v>2020-2021</v>
      </c>
      <c r="E100" s="13" t="str">
        <f t="shared" si="15"/>
        <v>2021-2022</v>
      </c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</row>
    <row r="101" spans="1:17">
      <c r="A101" s="143"/>
      <c r="B101" s="143"/>
      <c r="C101" s="148" t="s">
        <v>34</v>
      </c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50"/>
    </row>
    <row r="102" spans="1:17">
      <c r="A102" s="132">
        <v>1</v>
      </c>
      <c r="B102" s="134" t="s">
        <v>30</v>
      </c>
      <c r="C102" s="14" t="s">
        <v>35</v>
      </c>
      <c r="D102" s="16"/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7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</row>
    <row r="103" spans="1:17" ht="13.5" thickBot="1">
      <c r="A103" s="133"/>
      <c r="B103" s="135"/>
      <c r="C103" s="18" t="s">
        <v>36</v>
      </c>
      <c r="D103" s="16"/>
      <c r="E103" s="16">
        <v>0</v>
      </c>
      <c r="F103" s="16">
        <v>0</v>
      </c>
      <c r="G103" s="16">
        <v>0</v>
      </c>
      <c r="H103" s="16">
        <v>0</v>
      </c>
      <c r="I103" s="20">
        <v>0</v>
      </c>
      <c r="J103" s="21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20">
        <v>0</v>
      </c>
    </row>
    <row r="104" spans="1:17" ht="14.25" thickTop="1" thickBot="1">
      <c r="A104" s="110"/>
      <c r="B104" s="111"/>
      <c r="C104" s="22" t="s">
        <v>37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</row>
    <row r="105" spans="1:17" ht="14.25" thickTop="1" thickBot="1">
      <c r="A105" s="110">
        <v>2</v>
      </c>
      <c r="B105" s="111" t="s">
        <v>31</v>
      </c>
      <c r="C105" s="24" t="s">
        <v>38</v>
      </c>
      <c r="D105" s="16"/>
      <c r="E105" s="16">
        <v>0</v>
      </c>
      <c r="F105" s="16">
        <v>0</v>
      </c>
      <c r="G105" s="16">
        <v>0</v>
      </c>
      <c r="H105" s="16">
        <v>0</v>
      </c>
      <c r="I105" s="25">
        <v>0</v>
      </c>
      <c r="J105" s="2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25">
        <v>0</v>
      </c>
    </row>
    <row r="106" spans="1:17" ht="14.25" thickTop="1" thickBot="1">
      <c r="A106" s="110"/>
      <c r="B106" s="111"/>
      <c r="C106" s="22" t="s">
        <v>39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</row>
    <row r="107" spans="1:17" ht="18.75" customHeight="1" thickTop="1" thickBot="1">
      <c r="A107" s="110"/>
      <c r="B107" s="27"/>
      <c r="C107" s="28" t="s">
        <v>40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25">
        <v>0</v>
      </c>
      <c r="L107" s="25">
        <v>0</v>
      </c>
      <c r="M107" s="25">
        <v>0</v>
      </c>
      <c r="N107" s="25">
        <v>0</v>
      </c>
      <c r="O107" s="25">
        <v>0</v>
      </c>
      <c r="P107" s="25">
        <v>0</v>
      </c>
      <c r="Q107" s="25">
        <v>0</v>
      </c>
    </row>
    <row r="108" spans="1:17" ht="13.5" thickTop="1">
      <c r="A108" s="29"/>
      <c r="B108" s="30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</row>
    <row r="109" spans="1:17" ht="18.75" customHeight="1">
      <c r="A109" s="141" t="s">
        <v>22</v>
      </c>
      <c r="B109" s="141" t="s">
        <v>29</v>
      </c>
      <c r="C109" s="151" t="s">
        <v>33</v>
      </c>
      <c r="D109" s="12" t="str">
        <f t="shared" ref="D109:J110" si="16">D4</f>
        <v>मंजूर पदे</v>
      </c>
      <c r="E109" s="12" t="str">
        <f t="shared" si="16"/>
        <v>मंजूर पदे</v>
      </c>
      <c r="F109" s="138" t="str">
        <f t="shared" si="16"/>
        <v>विशेष वेतन</v>
      </c>
      <c r="G109" s="138" t="str">
        <f t="shared" si="16"/>
        <v>मुळ वेतन</v>
      </c>
      <c r="H109" s="138" t="str">
        <f t="shared" si="16"/>
        <v>ग्रेड वेतन</v>
      </c>
      <c r="I109" s="138" t="str">
        <f t="shared" si="16"/>
        <v>एकूण</v>
      </c>
      <c r="J109" s="138" t="str">
        <f t="shared" si="16"/>
        <v>महागाई भत्ता 25%</v>
      </c>
      <c r="K109" s="138" t="s">
        <v>58</v>
      </c>
      <c r="L109" s="138" t="s">
        <v>59</v>
      </c>
      <c r="M109" s="138" t="s">
        <v>60</v>
      </c>
      <c r="N109" s="138" t="s">
        <v>61</v>
      </c>
      <c r="O109" s="138" t="s">
        <v>63</v>
      </c>
      <c r="P109" s="138" t="s">
        <v>64</v>
      </c>
      <c r="Q109" s="138" t="s">
        <v>57</v>
      </c>
    </row>
    <row r="110" spans="1:17">
      <c r="A110" s="142"/>
      <c r="B110" s="142"/>
      <c r="C110" s="152"/>
      <c r="D110" s="13" t="str">
        <f t="shared" si="16"/>
        <v>2020-2021</v>
      </c>
      <c r="E110" s="13" t="str">
        <f t="shared" si="16"/>
        <v>2021-2022</v>
      </c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</row>
    <row r="111" spans="1:17">
      <c r="A111" s="143"/>
      <c r="B111" s="143"/>
      <c r="C111" s="144" t="s">
        <v>41</v>
      </c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6"/>
    </row>
    <row r="112" spans="1:17">
      <c r="A112" s="132">
        <v>1</v>
      </c>
      <c r="B112" s="134" t="s">
        <v>32</v>
      </c>
      <c r="C112" s="31" t="s">
        <v>42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7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</row>
    <row r="113" spans="1:17" ht="13.5" thickBot="1">
      <c r="A113" s="133"/>
      <c r="B113" s="135"/>
      <c r="C113" s="18" t="s">
        <v>43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1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</row>
    <row r="114" spans="1:17" ht="14.25" thickTop="1" thickBot="1">
      <c r="A114" s="110"/>
      <c r="B114" s="111"/>
      <c r="C114" s="22" t="s">
        <v>44</v>
      </c>
      <c r="D114" s="33">
        <v>0</v>
      </c>
      <c r="E114" s="33">
        <v>0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0</v>
      </c>
      <c r="M114" s="33">
        <v>0</v>
      </c>
      <c r="N114" s="33">
        <v>0</v>
      </c>
      <c r="O114" s="33">
        <v>0</v>
      </c>
      <c r="P114" s="33">
        <v>0</v>
      </c>
      <c r="Q114" s="33">
        <v>0</v>
      </c>
    </row>
    <row r="115" spans="1:17" ht="13.5" thickTop="1">
      <c r="A115" s="136">
        <v>2</v>
      </c>
      <c r="B115" s="137" t="s">
        <v>30</v>
      </c>
      <c r="C115" s="34" t="s">
        <v>35</v>
      </c>
      <c r="D115" s="16">
        <v>1</v>
      </c>
      <c r="E115" s="16">
        <v>1</v>
      </c>
      <c r="F115" s="16">
        <v>0</v>
      </c>
      <c r="G115" s="16">
        <v>492</v>
      </c>
      <c r="H115" s="16">
        <v>0</v>
      </c>
      <c r="I115" s="16">
        <f>SUM(G115:H115)</f>
        <v>492</v>
      </c>
      <c r="J115" s="16">
        <f>ROUND(I115*0.25, 0)</f>
        <v>123</v>
      </c>
      <c r="K115" s="16">
        <v>9</v>
      </c>
      <c r="L115" s="16">
        <v>44</v>
      </c>
      <c r="M115" s="16">
        <v>5</v>
      </c>
      <c r="N115" s="16">
        <v>9</v>
      </c>
      <c r="O115" s="16">
        <v>0</v>
      </c>
      <c r="P115" s="16">
        <v>0</v>
      </c>
      <c r="Q115" s="16">
        <f>SUM(I115:P115)+F115</f>
        <v>682</v>
      </c>
    </row>
    <row r="116" spans="1:17">
      <c r="A116" s="136"/>
      <c r="B116" s="137"/>
      <c r="C116" s="14" t="s">
        <v>45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7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</row>
    <row r="117" spans="1:17">
      <c r="A117" s="136"/>
      <c r="B117" s="137"/>
      <c r="C117" s="14" t="s">
        <v>46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7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</row>
    <row r="118" spans="1:17">
      <c r="A118" s="136"/>
      <c r="B118" s="137"/>
      <c r="C118" s="14" t="s">
        <v>47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7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</row>
    <row r="119" spans="1:17">
      <c r="A119" s="136"/>
      <c r="B119" s="137"/>
      <c r="C119" s="14" t="s">
        <v>48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7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</row>
    <row r="120" spans="1:17">
      <c r="A120" s="136"/>
      <c r="B120" s="137"/>
      <c r="C120" s="14" t="s">
        <v>36</v>
      </c>
      <c r="D120" s="16">
        <v>1</v>
      </c>
      <c r="E120" s="16">
        <v>1</v>
      </c>
      <c r="F120" s="16">
        <v>0</v>
      </c>
      <c r="G120" s="16">
        <v>473</v>
      </c>
      <c r="H120" s="16">
        <v>0</v>
      </c>
      <c r="I120" s="16">
        <f>SUM(G120:H120)</f>
        <v>473</v>
      </c>
      <c r="J120" s="16">
        <f>ROUND(I120*0.25, 0)</f>
        <v>118</v>
      </c>
      <c r="K120" s="16">
        <v>9</v>
      </c>
      <c r="L120" s="16">
        <v>43</v>
      </c>
      <c r="M120" s="16">
        <v>5</v>
      </c>
      <c r="N120" s="16">
        <v>6</v>
      </c>
      <c r="O120" s="16">
        <v>0</v>
      </c>
      <c r="P120" s="16">
        <v>0</v>
      </c>
      <c r="Q120" s="16">
        <f>SUM(I120:P120)+F120</f>
        <v>654</v>
      </c>
    </row>
    <row r="121" spans="1:17" ht="13.5" thickBot="1">
      <c r="A121" s="133"/>
      <c r="B121" s="135"/>
      <c r="C121" s="18" t="s">
        <v>49</v>
      </c>
      <c r="D121" s="20">
        <v>0</v>
      </c>
      <c r="E121" s="20">
        <v>0</v>
      </c>
      <c r="F121" s="20"/>
      <c r="G121" s="20"/>
      <c r="H121" s="20"/>
      <c r="I121" s="20">
        <v>0</v>
      </c>
      <c r="J121" s="21">
        <v>0</v>
      </c>
      <c r="K121" s="20"/>
      <c r="L121" s="20"/>
      <c r="M121" s="20"/>
      <c r="N121" s="20"/>
      <c r="O121" s="20"/>
      <c r="P121" s="20"/>
      <c r="Q121" s="20">
        <v>0</v>
      </c>
    </row>
    <row r="122" spans="1:17" ht="14.25" thickTop="1" thickBot="1">
      <c r="A122" s="110"/>
      <c r="B122" s="111"/>
      <c r="C122" s="22" t="s">
        <v>37</v>
      </c>
      <c r="D122" s="33">
        <f>SUM(D115:D121)</f>
        <v>2</v>
      </c>
      <c r="E122" s="33">
        <f t="shared" ref="E122:Q122" si="17">SUM(E115:E121)</f>
        <v>2</v>
      </c>
      <c r="F122" s="33">
        <f t="shared" si="17"/>
        <v>0</v>
      </c>
      <c r="G122" s="33">
        <f t="shared" si="17"/>
        <v>965</v>
      </c>
      <c r="H122" s="33">
        <f t="shared" si="17"/>
        <v>0</v>
      </c>
      <c r="I122" s="33">
        <f t="shared" si="17"/>
        <v>965</v>
      </c>
      <c r="J122" s="33">
        <f t="shared" si="17"/>
        <v>241</v>
      </c>
      <c r="K122" s="33">
        <f t="shared" si="17"/>
        <v>18</v>
      </c>
      <c r="L122" s="33">
        <f t="shared" si="17"/>
        <v>87</v>
      </c>
      <c r="M122" s="33">
        <f t="shared" si="17"/>
        <v>10</v>
      </c>
      <c r="N122" s="33">
        <f t="shared" si="17"/>
        <v>15</v>
      </c>
      <c r="O122" s="33">
        <f t="shared" si="17"/>
        <v>0</v>
      </c>
      <c r="P122" s="33">
        <f t="shared" si="17"/>
        <v>0</v>
      </c>
      <c r="Q122" s="33">
        <f t="shared" si="17"/>
        <v>1336</v>
      </c>
    </row>
    <row r="123" spans="1:17" ht="13.5" thickTop="1">
      <c r="A123" s="98">
        <v>3</v>
      </c>
      <c r="B123" s="40" t="s">
        <v>31</v>
      </c>
      <c r="C123" s="34" t="s">
        <v>38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37">
        <v>0</v>
      </c>
      <c r="J123" s="38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37">
        <v>0</v>
      </c>
    </row>
    <row r="124" spans="1:17" ht="13.5" thickBot="1">
      <c r="A124" s="41"/>
      <c r="B124" s="42"/>
      <c r="C124" s="18" t="s">
        <v>50</v>
      </c>
      <c r="D124" s="20">
        <v>0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1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</row>
    <row r="125" spans="1:17" ht="14.25" thickTop="1" thickBot="1">
      <c r="A125" s="110"/>
      <c r="B125" s="27"/>
      <c r="C125" s="22" t="s">
        <v>39</v>
      </c>
      <c r="D125" s="33">
        <v>0</v>
      </c>
      <c r="E125" s="33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3">
        <v>0</v>
      </c>
      <c r="O125" s="33">
        <v>0</v>
      </c>
      <c r="P125" s="33">
        <v>0</v>
      </c>
      <c r="Q125" s="33">
        <v>0</v>
      </c>
    </row>
    <row r="126" spans="1:17" ht="14.25" thickTop="1" thickBot="1">
      <c r="A126" s="110"/>
      <c r="B126" s="27"/>
      <c r="C126" s="22" t="s">
        <v>51</v>
      </c>
      <c r="D126" s="33">
        <f>SUM(D114+D122+D125)</f>
        <v>2</v>
      </c>
      <c r="E126" s="33">
        <f t="shared" ref="E126:Q126" si="18">SUM(E114+E122+E125)</f>
        <v>2</v>
      </c>
      <c r="F126" s="33">
        <f t="shared" si="18"/>
        <v>0</v>
      </c>
      <c r="G126" s="33">
        <f t="shared" si="18"/>
        <v>965</v>
      </c>
      <c r="H126" s="33">
        <f t="shared" si="18"/>
        <v>0</v>
      </c>
      <c r="I126" s="33">
        <f t="shared" si="18"/>
        <v>965</v>
      </c>
      <c r="J126" s="33">
        <f t="shared" si="18"/>
        <v>241</v>
      </c>
      <c r="K126" s="33">
        <f t="shared" si="18"/>
        <v>18</v>
      </c>
      <c r="L126" s="33">
        <f t="shared" si="18"/>
        <v>87</v>
      </c>
      <c r="M126" s="33">
        <f t="shared" si="18"/>
        <v>10</v>
      </c>
      <c r="N126" s="33">
        <f t="shared" si="18"/>
        <v>15</v>
      </c>
      <c r="O126" s="33">
        <f t="shared" si="18"/>
        <v>0</v>
      </c>
      <c r="P126" s="33">
        <f t="shared" si="18"/>
        <v>0</v>
      </c>
      <c r="Q126" s="33">
        <f t="shared" si="18"/>
        <v>1336</v>
      </c>
    </row>
    <row r="127" spans="1:17" ht="13.5" thickTop="1">
      <c r="C127" s="44"/>
    </row>
    <row r="128" spans="1:17">
      <c r="A128" s="140" t="str">
        <f>$A$1</f>
        <v>प्रपत्र - ड  -  अर्थसंकल्पीय अंदाजपत्रक सन 2021-2022</v>
      </c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</row>
    <row r="129" spans="1:17">
      <c r="A129" s="140" t="s">
        <v>19</v>
      </c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</row>
    <row r="130" spans="1:17">
      <c r="A130" s="147" t="s">
        <v>25</v>
      </c>
      <c r="B130" s="147"/>
      <c r="C130" s="147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53" t="s">
        <v>62</v>
      </c>
      <c r="P130" s="153"/>
      <c r="Q130" s="153"/>
    </row>
    <row r="131" spans="1:17" ht="18.75" customHeight="1">
      <c r="A131" s="141" t="s">
        <v>21</v>
      </c>
      <c r="B131" s="141" t="s">
        <v>29</v>
      </c>
      <c r="C131" s="151" t="s">
        <v>33</v>
      </c>
      <c r="D131" s="12" t="str">
        <f t="shared" ref="D131:J132" si="19">D4</f>
        <v>मंजूर पदे</v>
      </c>
      <c r="E131" s="12" t="str">
        <f t="shared" si="19"/>
        <v>मंजूर पदे</v>
      </c>
      <c r="F131" s="138" t="str">
        <f t="shared" si="19"/>
        <v>विशेष वेतन</v>
      </c>
      <c r="G131" s="138" t="str">
        <f t="shared" si="19"/>
        <v>मुळ वेतन</v>
      </c>
      <c r="H131" s="138" t="str">
        <f t="shared" si="19"/>
        <v>ग्रेड वेतन</v>
      </c>
      <c r="I131" s="138" t="str">
        <f t="shared" si="19"/>
        <v>एकूण</v>
      </c>
      <c r="J131" s="138" t="str">
        <f t="shared" si="19"/>
        <v>महागाई भत्ता 25%</v>
      </c>
      <c r="K131" s="138" t="s">
        <v>58</v>
      </c>
      <c r="L131" s="138" t="s">
        <v>59</v>
      </c>
      <c r="M131" s="138" t="s">
        <v>60</v>
      </c>
      <c r="N131" s="138" t="s">
        <v>61</v>
      </c>
      <c r="O131" s="138" t="s">
        <v>63</v>
      </c>
      <c r="P131" s="138" t="s">
        <v>64</v>
      </c>
      <c r="Q131" s="138" t="s">
        <v>57</v>
      </c>
    </row>
    <row r="132" spans="1:17">
      <c r="A132" s="142"/>
      <c r="B132" s="142"/>
      <c r="C132" s="152"/>
      <c r="D132" s="13" t="str">
        <f t="shared" si="19"/>
        <v>2020-2021</v>
      </c>
      <c r="E132" s="13" t="str">
        <f t="shared" si="19"/>
        <v>2021-2022</v>
      </c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</row>
    <row r="133" spans="1:17">
      <c r="A133" s="143"/>
      <c r="B133" s="143"/>
      <c r="C133" s="148" t="s">
        <v>34</v>
      </c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50"/>
    </row>
    <row r="134" spans="1:17">
      <c r="A134" s="132">
        <v>1</v>
      </c>
      <c r="B134" s="134" t="s">
        <v>30</v>
      </c>
      <c r="C134" s="14" t="s">
        <v>35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6">
        <f>SUM(G134:H134)</f>
        <v>0</v>
      </c>
      <c r="J134" s="17">
        <f>ROUND(I134*1.6, 0)</f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6">
        <f>SUM(I134:P134)+F134</f>
        <v>0</v>
      </c>
    </row>
    <row r="135" spans="1:17" ht="13.5" thickBot="1">
      <c r="A135" s="133"/>
      <c r="B135" s="135"/>
      <c r="C135" s="18" t="s">
        <v>36</v>
      </c>
      <c r="D135" s="19">
        <v>1</v>
      </c>
      <c r="E135" s="19">
        <v>1</v>
      </c>
      <c r="F135" s="19">
        <v>0</v>
      </c>
      <c r="G135" s="19">
        <v>512</v>
      </c>
      <c r="H135" s="19">
        <v>0</v>
      </c>
      <c r="I135" s="20">
        <f>SUM(G135:H135)</f>
        <v>512</v>
      </c>
      <c r="J135" s="17">
        <f>ROUND(I135*0.25, 0)</f>
        <v>128</v>
      </c>
      <c r="K135" s="19">
        <v>0</v>
      </c>
      <c r="L135" s="19">
        <v>46</v>
      </c>
      <c r="M135" s="19">
        <v>5</v>
      </c>
      <c r="N135" s="19">
        <v>0</v>
      </c>
      <c r="O135" s="19">
        <v>0</v>
      </c>
      <c r="P135" s="19">
        <v>0</v>
      </c>
      <c r="Q135" s="20">
        <f>SUM(I135:P135)+F135</f>
        <v>691</v>
      </c>
    </row>
    <row r="136" spans="1:17" ht="14.25" thickTop="1" thickBot="1">
      <c r="A136" s="110"/>
      <c r="B136" s="111"/>
      <c r="C136" s="22" t="s">
        <v>37</v>
      </c>
      <c r="D136" s="23">
        <f>SUM(D134:D135)</f>
        <v>1</v>
      </c>
      <c r="E136" s="23">
        <f t="shared" ref="E136:Q136" si="20">SUM(E134:E135)</f>
        <v>1</v>
      </c>
      <c r="F136" s="23">
        <f t="shared" si="20"/>
        <v>0</v>
      </c>
      <c r="G136" s="23">
        <f t="shared" si="20"/>
        <v>512</v>
      </c>
      <c r="H136" s="23">
        <f t="shared" si="20"/>
        <v>0</v>
      </c>
      <c r="I136" s="23">
        <f t="shared" si="20"/>
        <v>512</v>
      </c>
      <c r="J136" s="23">
        <f t="shared" si="20"/>
        <v>128</v>
      </c>
      <c r="K136" s="23">
        <f t="shared" si="20"/>
        <v>0</v>
      </c>
      <c r="L136" s="23">
        <f t="shared" si="20"/>
        <v>46</v>
      </c>
      <c r="M136" s="23">
        <f t="shared" si="20"/>
        <v>5</v>
      </c>
      <c r="N136" s="23">
        <f t="shared" si="20"/>
        <v>0</v>
      </c>
      <c r="O136" s="23">
        <f t="shared" si="20"/>
        <v>0</v>
      </c>
      <c r="P136" s="23">
        <f t="shared" si="20"/>
        <v>0</v>
      </c>
      <c r="Q136" s="23">
        <f t="shared" si="20"/>
        <v>691</v>
      </c>
    </row>
    <row r="137" spans="1:17" ht="14.25" thickTop="1" thickBot="1">
      <c r="A137" s="110">
        <v>2</v>
      </c>
      <c r="B137" s="111" t="s">
        <v>31</v>
      </c>
      <c r="C137" s="24" t="s">
        <v>38</v>
      </c>
      <c r="D137" s="23">
        <v>0</v>
      </c>
      <c r="E137" s="23">
        <v>0</v>
      </c>
      <c r="F137" s="23">
        <v>0</v>
      </c>
      <c r="G137" s="23">
        <v>0</v>
      </c>
      <c r="H137" s="23">
        <v>0</v>
      </c>
      <c r="I137" s="45">
        <f>SUM(G137:H137)</f>
        <v>0</v>
      </c>
      <c r="J137" s="17">
        <f>ROUND(I137*1.6, 0)</f>
        <v>0</v>
      </c>
      <c r="K137" s="26">
        <v>0</v>
      </c>
      <c r="L137" s="26">
        <v>0</v>
      </c>
      <c r="M137" s="26">
        <v>0</v>
      </c>
      <c r="N137" s="26">
        <v>0</v>
      </c>
      <c r="O137" s="26">
        <v>0</v>
      </c>
      <c r="P137" s="26">
        <v>0</v>
      </c>
      <c r="Q137" s="16">
        <f>SUM(I137:P137)+F137</f>
        <v>0</v>
      </c>
    </row>
    <row r="138" spans="1:17" ht="14.25" thickTop="1" thickBot="1">
      <c r="A138" s="110"/>
      <c r="B138" s="111"/>
      <c r="C138" s="28" t="s">
        <v>39</v>
      </c>
      <c r="D138" s="23">
        <f>SUM(D137)</f>
        <v>0</v>
      </c>
      <c r="E138" s="23">
        <f t="shared" ref="E138:Q138" si="21">SUM(E137)</f>
        <v>0</v>
      </c>
      <c r="F138" s="23">
        <f t="shared" si="21"/>
        <v>0</v>
      </c>
      <c r="G138" s="23">
        <f t="shared" si="21"/>
        <v>0</v>
      </c>
      <c r="H138" s="23">
        <f t="shared" si="21"/>
        <v>0</v>
      </c>
      <c r="I138" s="23">
        <f t="shared" si="21"/>
        <v>0</v>
      </c>
      <c r="J138" s="23">
        <f t="shared" si="21"/>
        <v>0</v>
      </c>
      <c r="K138" s="23">
        <f t="shared" si="21"/>
        <v>0</v>
      </c>
      <c r="L138" s="23">
        <f t="shared" si="21"/>
        <v>0</v>
      </c>
      <c r="M138" s="23">
        <f t="shared" si="21"/>
        <v>0</v>
      </c>
      <c r="N138" s="23">
        <f t="shared" si="21"/>
        <v>0</v>
      </c>
      <c r="O138" s="23">
        <f t="shared" si="21"/>
        <v>0</v>
      </c>
      <c r="P138" s="23">
        <f t="shared" si="21"/>
        <v>0</v>
      </c>
      <c r="Q138" s="23">
        <f t="shared" si="21"/>
        <v>0</v>
      </c>
    </row>
    <row r="139" spans="1:17" ht="14.25" thickTop="1" thickBot="1">
      <c r="A139" s="110"/>
      <c r="B139" s="27"/>
      <c r="C139" s="28" t="s">
        <v>40</v>
      </c>
      <c r="D139" s="25">
        <f>SUM(D138,D136)</f>
        <v>1</v>
      </c>
      <c r="E139" s="25">
        <f t="shared" ref="E139:Q139" si="22">SUM(E138,E136)</f>
        <v>1</v>
      </c>
      <c r="F139" s="25">
        <f t="shared" si="22"/>
        <v>0</v>
      </c>
      <c r="G139" s="25">
        <f t="shared" si="22"/>
        <v>512</v>
      </c>
      <c r="H139" s="25">
        <f t="shared" si="22"/>
        <v>0</v>
      </c>
      <c r="I139" s="25">
        <f t="shared" si="22"/>
        <v>512</v>
      </c>
      <c r="J139" s="25">
        <f t="shared" si="22"/>
        <v>128</v>
      </c>
      <c r="K139" s="25">
        <f t="shared" si="22"/>
        <v>0</v>
      </c>
      <c r="L139" s="25">
        <f t="shared" si="22"/>
        <v>46</v>
      </c>
      <c r="M139" s="25">
        <f t="shared" si="22"/>
        <v>5</v>
      </c>
      <c r="N139" s="25">
        <f t="shared" si="22"/>
        <v>0</v>
      </c>
      <c r="O139" s="25">
        <f t="shared" si="22"/>
        <v>0</v>
      </c>
      <c r="P139" s="25">
        <f t="shared" si="22"/>
        <v>0</v>
      </c>
      <c r="Q139" s="25">
        <f t="shared" si="22"/>
        <v>691</v>
      </c>
    </row>
    <row r="140" spans="1:17" ht="13.5" thickTop="1">
      <c r="A140" s="29"/>
      <c r="B140" s="30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</row>
    <row r="141" spans="1:17" ht="18.75" customHeight="1">
      <c r="A141" s="141" t="s">
        <v>22</v>
      </c>
      <c r="B141" s="141" t="s">
        <v>29</v>
      </c>
      <c r="C141" s="151" t="s">
        <v>33</v>
      </c>
      <c r="D141" s="12" t="str">
        <f t="shared" ref="D141:J142" si="23">D4</f>
        <v>मंजूर पदे</v>
      </c>
      <c r="E141" s="12" t="str">
        <f t="shared" si="23"/>
        <v>मंजूर पदे</v>
      </c>
      <c r="F141" s="138" t="str">
        <f t="shared" si="23"/>
        <v>विशेष वेतन</v>
      </c>
      <c r="G141" s="138" t="str">
        <f t="shared" si="23"/>
        <v>मुळ वेतन</v>
      </c>
      <c r="H141" s="138" t="str">
        <f t="shared" si="23"/>
        <v>ग्रेड वेतन</v>
      </c>
      <c r="I141" s="138" t="str">
        <f t="shared" si="23"/>
        <v>एकूण</v>
      </c>
      <c r="J141" s="138" t="str">
        <f t="shared" si="23"/>
        <v>महागाई भत्ता 25%</v>
      </c>
      <c r="K141" s="138" t="s">
        <v>58</v>
      </c>
      <c r="L141" s="138" t="s">
        <v>59</v>
      </c>
      <c r="M141" s="138" t="s">
        <v>60</v>
      </c>
      <c r="N141" s="138" t="s">
        <v>61</v>
      </c>
      <c r="O141" s="138" t="s">
        <v>63</v>
      </c>
      <c r="P141" s="138" t="s">
        <v>64</v>
      </c>
      <c r="Q141" s="138" t="s">
        <v>57</v>
      </c>
    </row>
    <row r="142" spans="1:17">
      <c r="A142" s="142"/>
      <c r="B142" s="142"/>
      <c r="C142" s="152"/>
      <c r="D142" s="13" t="str">
        <f t="shared" si="23"/>
        <v>2020-2021</v>
      </c>
      <c r="E142" s="13" t="str">
        <f t="shared" si="23"/>
        <v>2021-2022</v>
      </c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</row>
    <row r="143" spans="1:17">
      <c r="A143" s="143"/>
      <c r="B143" s="143"/>
      <c r="C143" s="144" t="s">
        <v>41</v>
      </c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6"/>
    </row>
    <row r="144" spans="1:17">
      <c r="A144" s="132">
        <v>1</v>
      </c>
      <c r="B144" s="134" t="s">
        <v>32</v>
      </c>
      <c r="C144" s="31" t="s">
        <v>42</v>
      </c>
      <c r="D144" s="15">
        <v>3</v>
      </c>
      <c r="E144" s="15">
        <v>3</v>
      </c>
      <c r="F144" s="15">
        <v>0</v>
      </c>
      <c r="G144" s="15">
        <v>3148</v>
      </c>
      <c r="H144" s="15">
        <v>0</v>
      </c>
      <c r="I144" s="16">
        <f>SUM(G144:H144)</f>
        <v>3148</v>
      </c>
      <c r="J144" s="17">
        <f>ROUND(I144*0.25, 0)</f>
        <v>787</v>
      </c>
      <c r="K144" s="15">
        <v>11</v>
      </c>
      <c r="L144" s="15">
        <v>850</v>
      </c>
      <c r="M144" s="15">
        <v>86</v>
      </c>
      <c r="N144" s="15">
        <v>0</v>
      </c>
      <c r="O144" s="15">
        <v>0</v>
      </c>
      <c r="P144" s="15">
        <v>0</v>
      </c>
      <c r="Q144" s="16">
        <f t="shared" ref="Q144:Q156" si="24">SUM(I144:P144)+F144</f>
        <v>4882</v>
      </c>
    </row>
    <row r="145" spans="1:17" ht="13.5" thickBot="1">
      <c r="A145" s="133"/>
      <c r="B145" s="135"/>
      <c r="C145" s="18" t="s">
        <v>137</v>
      </c>
      <c r="D145" s="32">
        <v>0</v>
      </c>
      <c r="E145" s="32">
        <v>1</v>
      </c>
      <c r="F145" s="19">
        <v>0</v>
      </c>
      <c r="G145" s="19">
        <v>487</v>
      </c>
      <c r="H145" s="19">
        <v>0</v>
      </c>
      <c r="I145" s="20">
        <f>SUM(G145:H145)</f>
        <v>487</v>
      </c>
      <c r="J145" s="21">
        <f>ROUND(I145*0.25, 0)</f>
        <v>122</v>
      </c>
      <c r="K145" s="19">
        <v>4</v>
      </c>
      <c r="L145" s="19">
        <v>131</v>
      </c>
      <c r="M145" s="19">
        <v>5</v>
      </c>
      <c r="N145" s="19">
        <v>0</v>
      </c>
      <c r="O145" s="19">
        <v>0</v>
      </c>
      <c r="P145" s="19">
        <v>0</v>
      </c>
      <c r="Q145" s="20">
        <f t="shared" si="24"/>
        <v>749</v>
      </c>
    </row>
    <row r="146" spans="1:17" ht="14.25" thickTop="1" thickBot="1">
      <c r="A146" s="110"/>
      <c r="B146" s="111"/>
      <c r="C146" s="22" t="s">
        <v>52</v>
      </c>
      <c r="D146" s="33">
        <f>SUM(D144:D145)</f>
        <v>3</v>
      </c>
      <c r="E146" s="33">
        <f t="shared" ref="E146:Q146" si="25">SUM(E144:E145)</f>
        <v>4</v>
      </c>
      <c r="F146" s="33">
        <f t="shared" si="25"/>
        <v>0</v>
      </c>
      <c r="G146" s="33">
        <f t="shared" si="25"/>
        <v>3635</v>
      </c>
      <c r="H146" s="33">
        <f t="shared" si="25"/>
        <v>0</v>
      </c>
      <c r="I146" s="33">
        <f t="shared" si="25"/>
        <v>3635</v>
      </c>
      <c r="J146" s="33">
        <f t="shared" si="25"/>
        <v>909</v>
      </c>
      <c r="K146" s="33">
        <f t="shared" si="25"/>
        <v>15</v>
      </c>
      <c r="L146" s="33">
        <f t="shared" si="25"/>
        <v>981</v>
      </c>
      <c r="M146" s="33">
        <f t="shared" si="25"/>
        <v>91</v>
      </c>
      <c r="N146" s="33">
        <f t="shared" si="25"/>
        <v>0</v>
      </c>
      <c r="O146" s="33">
        <f t="shared" si="25"/>
        <v>0</v>
      </c>
      <c r="P146" s="33">
        <f t="shared" si="25"/>
        <v>0</v>
      </c>
      <c r="Q146" s="33">
        <f t="shared" si="25"/>
        <v>5631</v>
      </c>
    </row>
    <row r="147" spans="1:17" ht="13.5" thickTop="1">
      <c r="A147" s="154">
        <v>2</v>
      </c>
      <c r="B147" s="155" t="s">
        <v>30</v>
      </c>
      <c r="C147" s="101" t="s">
        <v>35</v>
      </c>
      <c r="D147" s="102">
        <v>6</v>
      </c>
      <c r="E147" s="102">
        <v>6</v>
      </c>
      <c r="F147" s="103">
        <v>0</v>
      </c>
      <c r="G147" s="103">
        <v>3184</v>
      </c>
      <c r="H147" s="103">
        <v>0</v>
      </c>
      <c r="I147" s="104">
        <f t="shared" ref="I147:I153" si="26">SUM(G147:H147)</f>
        <v>3184</v>
      </c>
      <c r="J147" s="17">
        <f t="shared" ref="J147:J152" si="27">ROUND(I147*0.25, 0)</f>
        <v>796</v>
      </c>
      <c r="K147" s="103">
        <v>11</v>
      </c>
      <c r="L147" s="103">
        <v>570</v>
      </c>
      <c r="M147" s="103">
        <v>29</v>
      </c>
      <c r="N147" s="103">
        <v>0</v>
      </c>
      <c r="O147" s="103">
        <v>0</v>
      </c>
      <c r="P147" s="103">
        <v>0</v>
      </c>
      <c r="Q147" s="104">
        <f t="shared" si="24"/>
        <v>4590</v>
      </c>
    </row>
    <row r="148" spans="1:17">
      <c r="A148" s="136"/>
      <c r="B148" s="137"/>
      <c r="C148" s="14" t="s">
        <v>45</v>
      </c>
      <c r="D148" s="39">
        <v>1</v>
      </c>
      <c r="E148" s="39">
        <v>0</v>
      </c>
      <c r="F148" s="15">
        <v>0</v>
      </c>
      <c r="G148" s="15">
        <v>0</v>
      </c>
      <c r="H148" s="15">
        <v>0</v>
      </c>
      <c r="I148" s="16">
        <f t="shared" si="26"/>
        <v>0</v>
      </c>
      <c r="J148" s="17">
        <f t="shared" si="27"/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6">
        <f t="shared" si="24"/>
        <v>0</v>
      </c>
    </row>
    <row r="149" spans="1:17">
      <c r="A149" s="136"/>
      <c r="B149" s="137"/>
      <c r="C149" s="14" t="s">
        <v>46</v>
      </c>
      <c r="D149" s="39">
        <v>0</v>
      </c>
      <c r="E149" s="39">
        <v>0</v>
      </c>
      <c r="F149" s="15">
        <v>0</v>
      </c>
      <c r="G149" s="15">
        <v>0</v>
      </c>
      <c r="H149" s="15">
        <v>0</v>
      </c>
      <c r="I149" s="16">
        <f t="shared" si="26"/>
        <v>0</v>
      </c>
      <c r="J149" s="17">
        <f t="shared" si="27"/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6">
        <f t="shared" si="24"/>
        <v>0</v>
      </c>
    </row>
    <row r="150" spans="1:17">
      <c r="A150" s="136"/>
      <c r="B150" s="137"/>
      <c r="C150" s="14" t="s">
        <v>47</v>
      </c>
      <c r="D150" s="39">
        <v>4</v>
      </c>
      <c r="E150" s="39">
        <v>4</v>
      </c>
      <c r="F150" s="15">
        <v>0</v>
      </c>
      <c r="G150" s="15">
        <v>1960</v>
      </c>
      <c r="H150" s="15">
        <v>0</v>
      </c>
      <c r="I150" s="16">
        <f t="shared" si="26"/>
        <v>1960</v>
      </c>
      <c r="J150" s="17">
        <f t="shared" si="27"/>
        <v>490</v>
      </c>
      <c r="K150" s="15">
        <v>14</v>
      </c>
      <c r="L150" s="15">
        <v>529</v>
      </c>
      <c r="M150" s="15">
        <v>19</v>
      </c>
      <c r="N150" s="15">
        <v>0</v>
      </c>
      <c r="O150" s="15">
        <v>0</v>
      </c>
      <c r="P150" s="15">
        <v>0</v>
      </c>
      <c r="Q150" s="16">
        <f t="shared" si="24"/>
        <v>3012</v>
      </c>
    </row>
    <row r="151" spans="1:17">
      <c r="A151" s="136"/>
      <c r="B151" s="137"/>
      <c r="C151" s="14" t="s">
        <v>48</v>
      </c>
      <c r="D151" s="39">
        <v>2</v>
      </c>
      <c r="E151" s="39">
        <v>2</v>
      </c>
      <c r="F151" s="15">
        <v>0</v>
      </c>
      <c r="G151" s="15">
        <v>879</v>
      </c>
      <c r="H151" s="15">
        <v>0</v>
      </c>
      <c r="I151" s="16">
        <f t="shared" si="26"/>
        <v>879</v>
      </c>
      <c r="J151" s="17">
        <f t="shared" si="27"/>
        <v>220</v>
      </c>
      <c r="K151" s="15">
        <v>7</v>
      </c>
      <c r="L151" s="15">
        <v>237</v>
      </c>
      <c r="M151" s="15">
        <v>9</v>
      </c>
      <c r="N151" s="15">
        <v>0</v>
      </c>
      <c r="O151" s="15">
        <v>0</v>
      </c>
      <c r="P151" s="15">
        <v>0</v>
      </c>
      <c r="Q151" s="16">
        <f t="shared" si="24"/>
        <v>1352</v>
      </c>
    </row>
    <row r="152" spans="1:17">
      <c r="A152" s="136"/>
      <c r="B152" s="137"/>
      <c r="C152" s="14" t="s">
        <v>36</v>
      </c>
      <c r="D152" s="39">
        <v>6</v>
      </c>
      <c r="E152" s="39">
        <v>6</v>
      </c>
      <c r="F152" s="15">
        <v>0</v>
      </c>
      <c r="G152" s="15">
        <v>1860</v>
      </c>
      <c r="H152" s="15">
        <v>0</v>
      </c>
      <c r="I152" s="16">
        <f t="shared" si="26"/>
        <v>1860</v>
      </c>
      <c r="J152" s="17">
        <f t="shared" si="27"/>
        <v>465</v>
      </c>
      <c r="K152" s="15">
        <v>11</v>
      </c>
      <c r="L152" s="15">
        <v>364</v>
      </c>
      <c r="M152" s="15">
        <v>29</v>
      </c>
      <c r="N152" s="15">
        <v>0</v>
      </c>
      <c r="O152" s="15">
        <v>0</v>
      </c>
      <c r="P152" s="15">
        <v>0</v>
      </c>
      <c r="Q152" s="16">
        <f t="shared" si="24"/>
        <v>2729</v>
      </c>
    </row>
    <row r="153" spans="1:17" ht="13.5" thickBot="1">
      <c r="A153" s="133"/>
      <c r="B153" s="135"/>
      <c r="C153" s="18" t="s">
        <v>49</v>
      </c>
      <c r="D153" s="32">
        <v>0</v>
      </c>
      <c r="E153" s="32">
        <v>0</v>
      </c>
      <c r="F153" s="19">
        <v>0</v>
      </c>
      <c r="G153" s="19">
        <v>0</v>
      </c>
      <c r="H153" s="19">
        <v>0</v>
      </c>
      <c r="I153" s="20">
        <f t="shared" si="26"/>
        <v>0</v>
      </c>
      <c r="J153" s="21">
        <f>ROUND(I153*1.6, 0)</f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20">
        <f t="shared" si="24"/>
        <v>0</v>
      </c>
    </row>
    <row r="154" spans="1:17" ht="14.25" thickTop="1" thickBot="1">
      <c r="A154" s="110"/>
      <c r="B154" s="111"/>
      <c r="C154" s="22" t="s">
        <v>37</v>
      </c>
      <c r="D154" s="33">
        <f>SUM(D147:D153)</f>
        <v>19</v>
      </c>
      <c r="E154" s="33">
        <f t="shared" ref="E154:Q154" si="28">SUM(E147:E153)</f>
        <v>18</v>
      </c>
      <c r="F154" s="33">
        <f t="shared" si="28"/>
        <v>0</v>
      </c>
      <c r="G154" s="33">
        <f t="shared" si="28"/>
        <v>7883</v>
      </c>
      <c r="H154" s="33">
        <f t="shared" si="28"/>
        <v>0</v>
      </c>
      <c r="I154" s="33">
        <f t="shared" si="28"/>
        <v>7883</v>
      </c>
      <c r="J154" s="33">
        <f t="shared" si="28"/>
        <v>1971</v>
      </c>
      <c r="K154" s="33">
        <f t="shared" si="28"/>
        <v>43</v>
      </c>
      <c r="L154" s="33">
        <f t="shared" si="28"/>
        <v>1700</v>
      </c>
      <c r="M154" s="33">
        <f t="shared" si="28"/>
        <v>86</v>
      </c>
      <c r="N154" s="33">
        <f t="shared" si="28"/>
        <v>0</v>
      </c>
      <c r="O154" s="33">
        <f t="shared" si="28"/>
        <v>0</v>
      </c>
      <c r="P154" s="33">
        <f t="shared" si="28"/>
        <v>0</v>
      </c>
      <c r="Q154" s="33">
        <f t="shared" si="28"/>
        <v>11683</v>
      </c>
    </row>
    <row r="155" spans="1:17" ht="13.5" thickTop="1">
      <c r="A155" s="98">
        <v>3</v>
      </c>
      <c r="B155" s="40" t="s">
        <v>31</v>
      </c>
      <c r="C155" s="34" t="s">
        <v>38</v>
      </c>
      <c r="D155" s="35">
        <v>3</v>
      </c>
      <c r="E155" s="35">
        <v>3</v>
      </c>
      <c r="F155" s="36">
        <v>0</v>
      </c>
      <c r="G155" s="36">
        <v>890</v>
      </c>
      <c r="H155" s="36">
        <v>0</v>
      </c>
      <c r="I155" s="16">
        <f>SUM(G155:H155)</f>
        <v>890</v>
      </c>
      <c r="J155" s="17">
        <f>ROUND(I155*0.25, 0)</f>
        <v>223</v>
      </c>
      <c r="K155" s="36">
        <v>6</v>
      </c>
      <c r="L155" s="36">
        <v>248</v>
      </c>
      <c r="M155" s="36">
        <v>14</v>
      </c>
      <c r="N155" s="36">
        <v>2</v>
      </c>
      <c r="O155" s="36">
        <v>0</v>
      </c>
      <c r="P155" s="36">
        <v>0</v>
      </c>
      <c r="Q155" s="16">
        <f t="shared" si="24"/>
        <v>1383</v>
      </c>
    </row>
    <row r="156" spans="1:17">
      <c r="A156" s="47"/>
      <c r="B156" s="31"/>
      <c r="C156" s="14" t="s">
        <v>50</v>
      </c>
      <c r="D156" s="39">
        <v>1</v>
      </c>
      <c r="E156" s="39">
        <v>1</v>
      </c>
      <c r="F156" s="15">
        <v>0</v>
      </c>
      <c r="G156" s="15">
        <v>184</v>
      </c>
      <c r="H156" s="15">
        <v>0</v>
      </c>
      <c r="I156" s="16">
        <f>SUM(G156:H156)</f>
        <v>184</v>
      </c>
      <c r="J156" s="17">
        <f>ROUND(I156*0.25, 0)</f>
        <v>46</v>
      </c>
      <c r="K156" s="15">
        <v>2</v>
      </c>
      <c r="L156" s="15">
        <v>65</v>
      </c>
      <c r="M156" s="15">
        <v>5</v>
      </c>
      <c r="N156" s="15">
        <v>1</v>
      </c>
      <c r="O156" s="15">
        <v>0</v>
      </c>
      <c r="P156" s="15">
        <v>0</v>
      </c>
      <c r="Q156" s="16">
        <f t="shared" si="24"/>
        <v>303</v>
      </c>
    </row>
    <row r="157" spans="1:17" ht="13.5" thickBot="1">
      <c r="A157" s="41"/>
      <c r="B157" s="42"/>
      <c r="C157" s="46" t="s">
        <v>39</v>
      </c>
      <c r="D157" s="32">
        <f>SUM(D155:D156)</f>
        <v>4</v>
      </c>
      <c r="E157" s="32">
        <f t="shared" ref="E157:Q157" si="29">SUM(E155:E156)</f>
        <v>4</v>
      </c>
      <c r="F157" s="32">
        <f t="shared" si="29"/>
        <v>0</v>
      </c>
      <c r="G157" s="32">
        <f t="shared" si="29"/>
        <v>1074</v>
      </c>
      <c r="H157" s="32">
        <f t="shared" si="29"/>
        <v>0</v>
      </c>
      <c r="I157" s="32">
        <f t="shared" si="29"/>
        <v>1074</v>
      </c>
      <c r="J157" s="21">
        <f>ROUND(I157*0.25, 0)</f>
        <v>269</v>
      </c>
      <c r="K157" s="32">
        <f t="shared" si="29"/>
        <v>8</v>
      </c>
      <c r="L157" s="32">
        <f t="shared" si="29"/>
        <v>313</v>
      </c>
      <c r="M157" s="32">
        <f t="shared" si="29"/>
        <v>19</v>
      </c>
      <c r="N157" s="32">
        <f t="shared" si="29"/>
        <v>3</v>
      </c>
      <c r="O157" s="32">
        <f t="shared" si="29"/>
        <v>0</v>
      </c>
      <c r="P157" s="32">
        <f t="shared" si="29"/>
        <v>0</v>
      </c>
      <c r="Q157" s="32">
        <f t="shared" si="29"/>
        <v>1686</v>
      </c>
    </row>
    <row r="158" spans="1:17" ht="14.25" thickTop="1" thickBot="1">
      <c r="A158" s="110"/>
      <c r="B158" s="27"/>
      <c r="C158" s="22" t="s">
        <v>51</v>
      </c>
      <c r="D158" s="33">
        <f>SUM(D146+D154+D157)</f>
        <v>26</v>
      </c>
      <c r="E158" s="33">
        <f t="shared" ref="E158:Q158" si="30">SUM(E146+E154+E157)</f>
        <v>26</v>
      </c>
      <c r="F158" s="33">
        <f t="shared" si="30"/>
        <v>0</v>
      </c>
      <c r="G158" s="33">
        <f t="shared" si="30"/>
        <v>12592</v>
      </c>
      <c r="H158" s="33">
        <f t="shared" si="30"/>
        <v>0</v>
      </c>
      <c r="I158" s="33">
        <f t="shared" si="30"/>
        <v>12592</v>
      </c>
      <c r="J158" s="33">
        <f t="shared" si="30"/>
        <v>3149</v>
      </c>
      <c r="K158" s="33">
        <f t="shared" si="30"/>
        <v>66</v>
      </c>
      <c r="L158" s="33">
        <f t="shared" si="30"/>
        <v>2994</v>
      </c>
      <c r="M158" s="33">
        <f t="shared" si="30"/>
        <v>196</v>
      </c>
      <c r="N158" s="33">
        <f t="shared" si="30"/>
        <v>3</v>
      </c>
      <c r="O158" s="33">
        <f t="shared" si="30"/>
        <v>0</v>
      </c>
      <c r="P158" s="33">
        <f t="shared" si="30"/>
        <v>0</v>
      </c>
      <c r="Q158" s="33">
        <f t="shared" si="30"/>
        <v>19000</v>
      </c>
    </row>
    <row r="159" spans="1:17" ht="13.5" thickTop="1">
      <c r="C159" s="44"/>
    </row>
    <row r="160" spans="1:17">
      <c r="A160" s="140" t="str">
        <f>$A$1</f>
        <v>प्रपत्र - ड  -  अर्थसंकल्पीय अंदाजपत्रक सन 2021-2022</v>
      </c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</row>
    <row r="161" spans="1:17">
      <c r="A161" s="140" t="s">
        <v>19</v>
      </c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</row>
    <row r="162" spans="1:17">
      <c r="A162" s="147" t="s">
        <v>26</v>
      </c>
      <c r="B162" s="147"/>
      <c r="C162" s="147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53" t="s">
        <v>62</v>
      </c>
      <c r="P162" s="153"/>
      <c r="Q162" s="153"/>
    </row>
    <row r="163" spans="1:17" ht="18.75" customHeight="1">
      <c r="A163" s="141" t="s">
        <v>21</v>
      </c>
      <c r="B163" s="141" t="s">
        <v>29</v>
      </c>
      <c r="C163" s="151" t="s">
        <v>33</v>
      </c>
      <c r="D163" s="12" t="str">
        <f t="shared" ref="D163:J164" si="31">D4</f>
        <v>मंजूर पदे</v>
      </c>
      <c r="E163" s="12" t="str">
        <f t="shared" si="31"/>
        <v>मंजूर पदे</v>
      </c>
      <c r="F163" s="138" t="str">
        <f t="shared" si="31"/>
        <v>विशेष वेतन</v>
      </c>
      <c r="G163" s="138" t="str">
        <f t="shared" si="31"/>
        <v>मुळ वेतन</v>
      </c>
      <c r="H163" s="138" t="str">
        <f t="shared" si="31"/>
        <v>ग्रेड वेतन</v>
      </c>
      <c r="I163" s="138" t="str">
        <f t="shared" si="31"/>
        <v>एकूण</v>
      </c>
      <c r="J163" s="138" t="str">
        <f t="shared" si="31"/>
        <v>महागाई भत्ता 25%</v>
      </c>
      <c r="K163" s="138" t="s">
        <v>58</v>
      </c>
      <c r="L163" s="138" t="s">
        <v>59</v>
      </c>
      <c r="M163" s="138" t="s">
        <v>60</v>
      </c>
      <c r="N163" s="138" t="s">
        <v>61</v>
      </c>
      <c r="O163" s="138" t="s">
        <v>63</v>
      </c>
      <c r="P163" s="138" t="s">
        <v>64</v>
      </c>
      <c r="Q163" s="138" t="s">
        <v>57</v>
      </c>
    </row>
    <row r="164" spans="1:17">
      <c r="A164" s="142"/>
      <c r="B164" s="142"/>
      <c r="C164" s="152"/>
      <c r="D164" s="13" t="str">
        <f t="shared" si="31"/>
        <v>2020-2021</v>
      </c>
      <c r="E164" s="13" t="str">
        <f t="shared" si="31"/>
        <v>2021-2022</v>
      </c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</row>
    <row r="165" spans="1:17">
      <c r="A165" s="143"/>
      <c r="B165" s="143"/>
      <c r="C165" s="148" t="s">
        <v>34</v>
      </c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50"/>
    </row>
    <row r="166" spans="1:17">
      <c r="A166" s="132">
        <v>1</v>
      </c>
      <c r="B166" s="134" t="s">
        <v>30</v>
      </c>
      <c r="C166" s="14" t="s">
        <v>35</v>
      </c>
      <c r="D166" s="15">
        <v>1</v>
      </c>
      <c r="E166" s="15">
        <v>1</v>
      </c>
      <c r="F166" s="15">
        <v>0</v>
      </c>
      <c r="G166" s="15">
        <v>460</v>
      </c>
      <c r="H166" s="15">
        <v>0</v>
      </c>
      <c r="I166" s="16">
        <f>SUM(G166:H166)</f>
        <v>460</v>
      </c>
      <c r="J166" s="17">
        <f>ROUND(I166*0.25, 0)</f>
        <v>115</v>
      </c>
      <c r="K166" s="15">
        <v>5</v>
      </c>
      <c r="L166" s="15">
        <v>37</v>
      </c>
      <c r="M166" s="15">
        <v>0</v>
      </c>
      <c r="N166" s="15">
        <v>0</v>
      </c>
      <c r="O166" s="15">
        <v>0</v>
      </c>
      <c r="P166" s="15">
        <v>0</v>
      </c>
      <c r="Q166" s="16">
        <f>SUM(I166:P166)+F166</f>
        <v>617</v>
      </c>
    </row>
    <row r="167" spans="1:17" ht="13.5" thickBot="1">
      <c r="A167" s="133"/>
      <c r="B167" s="135"/>
      <c r="C167" s="18" t="s">
        <v>36</v>
      </c>
      <c r="D167" s="19">
        <v>1</v>
      </c>
      <c r="E167" s="19">
        <v>1</v>
      </c>
      <c r="F167" s="19">
        <v>0</v>
      </c>
      <c r="G167" s="19">
        <v>294</v>
      </c>
      <c r="H167" s="19">
        <v>0</v>
      </c>
      <c r="I167" s="20">
        <f>SUM(G167:H167)</f>
        <v>294</v>
      </c>
      <c r="J167" s="17">
        <f>ROUND(I167*0.25, 0)</f>
        <v>74</v>
      </c>
      <c r="K167" s="19">
        <v>5</v>
      </c>
      <c r="L167" s="19">
        <v>24</v>
      </c>
      <c r="M167" s="19">
        <v>0</v>
      </c>
      <c r="N167" s="19">
        <v>0</v>
      </c>
      <c r="O167" s="19">
        <v>0</v>
      </c>
      <c r="P167" s="19">
        <v>0</v>
      </c>
      <c r="Q167" s="20">
        <f>SUM(I167:P167)+F167</f>
        <v>397</v>
      </c>
    </row>
    <row r="168" spans="1:17" ht="14.25" thickTop="1" thickBot="1">
      <c r="A168" s="110"/>
      <c r="B168" s="111"/>
      <c r="C168" s="22" t="s">
        <v>37</v>
      </c>
      <c r="D168" s="23">
        <f>SUM(D166:D167)</f>
        <v>2</v>
      </c>
      <c r="E168" s="23">
        <f t="shared" ref="E168:Q168" si="32">SUM(E166:E167)</f>
        <v>2</v>
      </c>
      <c r="F168" s="23">
        <f t="shared" si="32"/>
        <v>0</v>
      </c>
      <c r="G168" s="23">
        <f t="shared" si="32"/>
        <v>754</v>
      </c>
      <c r="H168" s="23">
        <f t="shared" si="32"/>
        <v>0</v>
      </c>
      <c r="I168" s="23">
        <f t="shared" si="32"/>
        <v>754</v>
      </c>
      <c r="J168" s="23">
        <f t="shared" si="32"/>
        <v>189</v>
      </c>
      <c r="K168" s="23">
        <f t="shared" si="32"/>
        <v>10</v>
      </c>
      <c r="L168" s="23">
        <f t="shared" si="32"/>
        <v>61</v>
      </c>
      <c r="M168" s="23">
        <f t="shared" si="32"/>
        <v>0</v>
      </c>
      <c r="N168" s="23">
        <f t="shared" si="32"/>
        <v>0</v>
      </c>
      <c r="O168" s="23">
        <f t="shared" si="32"/>
        <v>0</v>
      </c>
      <c r="P168" s="23">
        <f t="shared" si="32"/>
        <v>0</v>
      </c>
      <c r="Q168" s="23">
        <f t="shared" si="32"/>
        <v>1014</v>
      </c>
    </row>
    <row r="169" spans="1:17" ht="14.25" thickTop="1" thickBot="1">
      <c r="A169" s="110">
        <v>2</v>
      </c>
      <c r="B169" s="111" t="s">
        <v>31</v>
      </c>
      <c r="C169" s="24" t="s">
        <v>38</v>
      </c>
      <c r="D169" s="23">
        <v>1</v>
      </c>
      <c r="E169" s="23">
        <v>1</v>
      </c>
      <c r="F169" s="23">
        <v>0</v>
      </c>
      <c r="G169" s="23">
        <v>211</v>
      </c>
      <c r="H169" s="23">
        <v>0</v>
      </c>
      <c r="I169" s="16">
        <f>SUM(G169:H169)</f>
        <v>211</v>
      </c>
      <c r="J169" s="17">
        <f>ROUND(I169*0.25, 0)</f>
        <v>53</v>
      </c>
      <c r="K169" s="19">
        <v>5</v>
      </c>
      <c r="L169" s="19">
        <v>17</v>
      </c>
      <c r="M169" s="19">
        <v>0</v>
      </c>
      <c r="N169" s="19">
        <v>1</v>
      </c>
      <c r="O169" s="19">
        <v>0</v>
      </c>
      <c r="P169" s="19">
        <v>0</v>
      </c>
      <c r="Q169" s="45">
        <f>SUM(I169:P169)+F169</f>
        <v>287</v>
      </c>
    </row>
    <row r="170" spans="1:17" ht="14.25" thickTop="1" thickBot="1">
      <c r="A170" s="110"/>
      <c r="B170" s="111"/>
      <c r="C170" s="28" t="s">
        <v>39</v>
      </c>
      <c r="D170" s="23">
        <f>SUM(D169)</f>
        <v>1</v>
      </c>
      <c r="E170" s="23">
        <f t="shared" ref="E170:Q170" si="33">SUM(E169)</f>
        <v>1</v>
      </c>
      <c r="F170" s="23">
        <f t="shared" si="33"/>
        <v>0</v>
      </c>
      <c r="G170" s="23">
        <f t="shared" si="33"/>
        <v>211</v>
      </c>
      <c r="H170" s="23">
        <f t="shared" si="33"/>
        <v>0</v>
      </c>
      <c r="I170" s="23">
        <f t="shared" si="33"/>
        <v>211</v>
      </c>
      <c r="J170" s="23">
        <f t="shared" si="33"/>
        <v>53</v>
      </c>
      <c r="K170" s="23">
        <f t="shared" si="33"/>
        <v>5</v>
      </c>
      <c r="L170" s="23">
        <f t="shared" si="33"/>
        <v>17</v>
      </c>
      <c r="M170" s="23">
        <f t="shared" si="33"/>
        <v>0</v>
      </c>
      <c r="N170" s="23">
        <f t="shared" si="33"/>
        <v>1</v>
      </c>
      <c r="O170" s="23">
        <f t="shared" si="33"/>
        <v>0</v>
      </c>
      <c r="P170" s="23">
        <f t="shared" si="33"/>
        <v>0</v>
      </c>
      <c r="Q170" s="23">
        <f t="shared" si="33"/>
        <v>287</v>
      </c>
    </row>
    <row r="171" spans="1:17" ht="14.25" thickTop="1" thickBot="1">
      <c r="A171" s="110"/>
      <c r="B171" s="27"/>
      <c r="C171" s="28" t="s">
        <v>40</v>
      </c>
      <c r="D171" s="25">
        <f>SUM(D170,D168)</f>
        <v>3</v>
      </c>
      <c r="E171" s="25">
        <f t="shared" ref="E171:Q171" si="34">SUM(E170,E168)</f>
        <v>3</v>
      </c>
      <c r="F171" s="25">
        <f t="shared" si="34"/>
        <v>0</v>
      </c>
      <c r="G171" s="25">
        <f t="shared" si="34"/>
        <v>965</v>
      </c>
      <c r="H171" s="25">
        <f t="shared" si="34"/>
        <v>0</v>
      </c>
      <c r="I171" s="25">
        <f t="shared" si="34"/>
        <v>965</v>
      </c>
      <c r="J171" s="25">
        <f t="shared" si="34"/>
        <v>242</v>
      </c>
      <c r="K171" s="25">
        <f t="shared" si="34"/>
        <v>15</v>
      </c>
      <c r="L171" s="25">
        <f t="shared" si="34"/>
        <v>78</v>
      </c>
      <c r="M171" s="25">
        <f t="shared" si="34"/>
        <v>0</v>
      </c>
      <c r="N171" s="25">
        <f t="shared" si="34"/>
        <v>1</v>
      </c>
      <c r="O171" s="25">
        <f t="shared" si="34"/>
        <v>0</v>
      </c>
      <c r="P171" s="25">
        <f t="shared" si="34"/>
        <v>0</v>
      </c>
      <c r="Q171" s="25">
        <f t="shared" si="34"/>
        <v>1301</v>
      </c>
    </row>
    <row r="172" spans="1:17" ht="13.5" thickTop="1">
      <c r="A172" s="29"/>
      <c r="B172" s="30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</row>
    <row r="173" spans="1:17" ht="18.75" customHeight="1">
      <c r="A173" s="141" t="s">
        <v>22</v>
      </c>
      <c r="B173" s="141" t="s">
        <v>29</v>
      </c>
      <c r="C173" s="151" t="s">
        <v>33</v>
      </c>
      <c r="D173" s="12" t="str">
        <f t="shared" ref="D173:J174" si="35">D4</f>
        <v>मंजूर पदे</v>
      </c>
      <c r="E173" s="12" t="str">
        <f t="shared" si="35"/>
        <v>मंजूर पदे</v>
      </c>
      <c r="F173" s="138" t="str">
        <f t="shared" si="35"/>
        <v>विशेष वेतन</v>
      </c>
      <c r="G173" s="138" t="str">
        <f t="shared" si="35"/>
        <v>मुळ वेतन</v>
      </c>
      <c r="H173" s="138" t="str">
        <f t="shared" si="35"/>
        <v>ग्रेड वेतन</v>
      </c>
      <c r="I173" s="138" t="str">
        <f t="shared" si="35"/>
        <v>एकूण</v>
      </c>
      <c r="J173" s="138" t="str">
        <f t="shared" si="35"/>
        <v>महागाई भत्ता 25%</v>
      </c>
      <c r="K173" s="138" t="s">
        <v>58</v>
      </c>
      <c r="L173" s="138" t="s">
        <v>59</v>
      </c>
      <c r="M173" s="138" t="s">
        <v>60</v>
      </c>
      <c r="N173" s="138" t="s">
        <v>61</v>
      </c>
      <c r="O173" s="138" t="s">
        <v>63</v>
      </c>
      <c r="P173" s="138" t="s">
        <v>64</v>
      </c>
      <c r="Q173" s="138" t="s">
        <v>57</v>
      </c>
    </row>
    <row r="174" spans="1:17">
      <c r="A174" s="142"/>
      <c r="B174" s="142"/>
      <c r="C174" s="152"/>
      <c r="D174" s="13" t="str">
        <f t="shared" si="35"/>
        <v>2020-2021</v>
      </c>
      <c r="E174" s="13" t="str">
        <f t="shared" si="35"/>
        <v>2021-2022</v>
      </c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</row>
    <row r="175" spans="1:17">
      <c r="A175" s="143"/>
      <c r="B175" s="143"/>
      <c r="C175" s="144" t="s">
        <v>41</v>
      </c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6"/>
    </row>
    <row r="176" spans="1:17">
      <c r="A176" s="132">
        <v>1</v>
      </c>
      <c r="B176" s="134" t="s">
        <v>32</v>
      </c>
      <c r="C176" s="31" t="s">
        <v>42</v>
      </c>
      <c r="D176" s="15">
        <v>2</v>
      </c>
      <c r="E176" s="15">
        <v>2</v>
      </c>
      <c r="F176" s="15">
        <v>0</v>
      </c>
      <c r="G176" s="15">
        <v>1920</v>
      </c>
      <c r="H176" s="15">
        <v>0</v>
      </c>
      <c r="I176" s="16">
        <f>SUM(G176:H176)</f>
        <v>1920</v>
      </c>
      <c r="J176" s="17">
        <f>ROUND(I176*0.25, 0)</f>
        <v>480</v>
      </c>
      <c r="K176" s="15">
        <v>15</v>
      </c>
      <c r="L176" s="15">
        <v>154</v>
      </c>
      <c r="M176" s="15">
        <v>0</v>
      </c>
      <c r="N176" s="15">
        <v>0</v>
      </c>
      <c r="O176" s="15">
        <v>0</v>
      </c>
      <c r="P176" s="15">
        <v>0</v>
      </c>
      <c r="Q176" s="16">
        <f>SUM(I176:P176)+F176</f>
        <v>2569</v>
      </c>
    </row>
    <row r="177" spans="1:17" ht="13.5" thickBot="1">
      <c r="A177" s="133"/>
      <c r="B177" s="135"/>
      <c r="C177" s="18" t="s">
        <v>43</v>
      </c>
      <c r="D177" s="32">
        <v>0</v>
      </c>
      <c r="E177" s="32">
        <v>0</v>
      </c>
      <c r="F177" s="32">
        <v>0</v>
      </c>
      <c r="G177" s="19">
        <v>0</v>
      </c>
      <c r="H177" s="19">
        <v>0</v>
      </c>
      <c r="I177" s="20">
        <f>SUM(G177:H177)</f>
        <v>0</v>
      </c>
      <c r="J177" s="21">
        <f>ROUND(I177*1.6, 0)</f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20">
        <f>SUM(I177:P177)+F177</f>
        <v>0</v>
      </c>
    </row>
    <row r="178" spans="1:17" ht="14.25" thickTop="1" thickBot="1">
      <c r="A178" s="110"/>
      <c r="B178" s="111"/>
      <c r="C178" s="22" t="s">
        <v>52</v>
      </c>
      <c r="D178" s="33">
        <f>SUM(D176:D177)</f>
        <v>2</v>
      </c>
      <c r="E178" s="33">
        <f t="shared" ref="E178:Q178" si="36">SUM(E176:E177)</f>
        <v>2</v>
      </c>
      <c r="F178" s="33">
        <f t="shared" si="36"/>
        <v>0</v>
      </c>
      <c r="G178" s="33">
        <f t="shared" si="36"/>
        <v>1920</v>
      </c>
      <c r="H178" s="33">
        <f t="shared" si="36"/>
        <v>0</v>
      </c>
      <c r="I178" s="33">
        <f t="shared" si="36"/>
        <v>1920</v>
      </c>
      <c r="J178" s="33">
        <f t="shared" si="36"/>
        <v>480</v>
      </c>
      <c r="K178" s="33">
        <f t="shared" si="36"/>
        <v>15</v>
      </c>
      <c r="L178" s="33">
        <f t="shared" si="36"/>
        <v>154</v>
      </c>
      <c r="M178" s="33">
        <f t="shared" si="36"/>
        <v>0</v>
      </c>
      <c r="N178" s="33">
        <f t="shared" si="36"/>
        <v>0</v>
      </c>
      <c r="O178" s="33">
        <f t="shared" si="36"/>
        <v>0</v>
      </c>
      <c r="P178" s="33">
        <f t="shared" si="36"/>
        <v>0</v>
      </c>
      <c r="Q178" s="33">
        <f t="shared" si="36"/>
        <v>2569</v>
      </c>
    </row>
    <row r="179" spans="1:17" ht="13.5" thickTop="1">
      <c r="A179" s="136">
        <v>2</v>
      </c>
      <c r="B179" s="137" t="s">
        <v>30</v>
      </c>
      <c r="C179" s="34" t="s">
        <v>35</v>
      </c>
      <c r="D179" s="35">
        <v>2</v>
      </c>
      <c r="E179" s="35">
        <v>2</v>
      </c>
      <c r="F179" s="35">
        <v>0</v>
      </c>
      <c r="G179" s="36">
        <v>768</v>
      </c>
      <c r="H179" s="36">
        <v>0</v>
      </c>
      <c r="I179" s="16">
        <f t="shared" ref="I179:I185" si="37">SUM(G179:H179)</f>
        <v>768</v>
      </c>
      <c r="J179" s="17">
        <f t="shared" ref="J179:J185" si="38">ROUND(I179*0.25, 0)</f>
        <v>192</v>
      </c>
      <c r="K179" s="36">
        <v>10</v>
      </c>
      <c r="L179" s="36">
        <v>61</v>
      </c>
      <c r="M179" s="36">
        <v>0</v>
      </c>
      <c r="N179" s="36">
        <v>0</v>
      </c>
      <c r="O179" s="36">
        <v>0</v>
      </c>
      <c r="P179" s="36">
        <v>0</v>
      </c>
      <c r="Q179" s="16">
        <f t="shared" ref="Q179:Q185" si="39">SUM(I179:P179)+F179</f>
        <v>1031</v>
      </c>
    </row>
    <row r="180" spans="1:17">
      <c r="A180" s="136"/>
      <c r="B180" s="137"/>
      <c r="C180" s="14" t="s">
        <v>45</v>
      </c>
      <c r="D180" s="39">
        <v>0</v>
      </c>
      <c r="E180" s="39">
        <v>0</v>
      </c>
      <c r="F180" s="39">
        <v>0</v>
      </c>
      <c r="G180" s="15">
        <v>0</v>
      </c>
      <c r="H180" s="15">
        <v>0</v>
      </c>
      <c r="I180" s="16">
        <f t="shared" si="37"/>
        <v>0</v>
      </c>
      <c r="J180" s="17">
        <f t="shared" si="38"/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6">
        <f t="shared" si="39"/>
        <v>0</v>
      </c>
    </row>
    <row r="181" spans="1:17">
      <c r="A181" s="136"/>
      <c r="B181" s="137"/>
      <c r="C181" s="14" t="s">
        <v>46</v>
      </c>
      <c r="D181" s="39">
        <v>0</v>
      </c>
      <c r="E181" s="39">
        <v>0</v>
      </c>
      <c r="F181" s="39">
        <v>0</v>
      </c>
      <c r="G181" s="15">
        <v>0</v>
      </c>
      <c r="H181" s="15">
        <v>0</v>
      </c>
      <c r="I181" s="16">
        <f t="shared" si="37"/>
        <v>0</v>
      </c>
      <c r="J181" s="17">
        <f t="shared" si="38"/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6">
        <f t="shared" si="39"/>
        <v>0</v>
      </c>
    </row>
    <row r="182" spans="1:17">
      <c r="A182" s="136"/>
      <c r="B182" s="137"/>
      <c r="C182" s="14" t="s">
        <v>47</v>
      </c>
      <c r="D182" s="39">
        <v>4</v>
      </c>
      <c r="E182" s="39">
        <v>4</v>
      </c>
      <c r="F182" s="39">
        <v>0</v>
      </c>
      <c r="G182" s="15">
        <v>2356</v>
      </c>
      <c r="H182" s="15">
        <v>0</v>
      </c>
      <c r="I182" s="16">
        <f t="shared" si="37"/>
        <v>2356</v>
      </c>
      <c r="J182" s="17">
        <f t="shared" si="38"/>
        <v>589</v>
      </c>
      <c r="K182" s="15">
        <v>19</v>
      </c>
      <c r="L182" s="15">
        <v>188</v>
      </c>
      <c r="M182" s="15">
        <v>0</v>
      </c>
      <c r="N182" s="15">
        <v>0</v>
      </c>
      <c r="O182" s="15">
        <v>0</v>
      </c>
      <c r="P182" s="15">
        <v>0</v>
      </c>
      <c r="Q182" s="16">
        <f t="shared" si="39"/>
        <v>3152</v>
      </c>
    </row>
    <row r="183" spans="1:17">
      <c r="A183" s="136"/>
      <c r="B183" s="137"/>
      <c r="C183" s="14" t="s">
        <v>48</v>
      </c>
      <c r="D183" s="39">
        <v>1</v>
      </c>
      <c r="E183" s="39">
        <v>1</v>
      </c>
      <c r="F183" s="39">
        <v>0</v>
      </c>
      <c r="G183" s="15">
        <v>595</v>
      </c>
      <c r="H183" s="15">
        <v>0</v>
      </c>
      <c r="I183" s="16">
        <f t="shared" si="37"/>
        <v>595</v>
      </c>
      <c r="J183" s="17">
        <f t="shared" si="38"/>
        <v>149</v>
      </c>
      <c r="K183" s="15">
        <v>5</v>
      </c>
      <c r="L183" s="15">
        <v>48</v>
      </c>
      <c r="M183" s="15">
        <v>0</v>
      </c>
      <c r="N183" s="15">
        <v>0</v>
      </c>
      <c r="O183" s="15">
        <v>0</v>
      </c>
      <c r="P183" s="15">
        <v>0</v>
      </c>
      <c r="Q183" s="16">
        <f t="shared" si="39"/>
        <v>797</v>
      </c>
    </row>
    <row r="184" spans="1:17">
      <c r="A184" s="136"/>
      <c r="B184" s="137"/>
      <c r="C184" s="14" t="s">
        <v>36</v>
      </c>
      <c r="D184" s="39">
        <v>2</v>
      </c>
      <c r="E184" s="39">
        <v>2</v>
      </c>
      <c r="F184" s="39">
        <v>0</v>
      </c>
      <c r="G184" s="15">
        <v>519</v>
      </c>
      <c r="H184" s="15">
        <v>0</v>
      </c>
      <c r="I184" s="16">
        <f t="shared" si="37"/>
        <v>519</v>
      </c>
      <c r="J184" s="17">
        <f t="shared" si="38"/>
        <v>130</v>
      </c>
      <c r="K184" s="15">
        <v>10</v>
      </c>
      <c r="L184" s="15">
        <v>42</v>
      </c>
      <c r="M184" s="15">
        <v>0</v>
      </c>
      <c r="N184" s="15">
        <v>0</v>
      </c>
      <c r="O184" s="15">
        <v>0</v>
      </c>
      <c r="P184" s="15">
        <v>0</v>
      </c>
      <c r="Q184" s="16">
        <f t="shared" si="39"/>
        <v>701</v>
      </c>
    </row>
    <row r="185" spans="1:17" ht="13.5" thickBot="1">
      <c r="A185" s="133"/>
      <c r="B185" s="135"/>
      <c r="C185" s="18" t="s">
        <v>49</v>
      </c>
      <c r="D185" s="32">
        <v>0</v>
      </c>
      <c r="E185" s="32">
        <v>0</v>
      </c>
      <c r="F185" s="32">
        <v>0</v>
      </c>
      <c r="G185" s="19">
        <v>0</v>
      </c>
      <c r="H185" s="19">
        <v>0</v>
      </c>
      <c r="I185" s="20">
        <f t="shared" si="37"/>
        <v>0</v>
      </c>
      <c r="J185" s="21">
        <f t="shared" si="38"/>
        <v>0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  <c r="P185" s="19">
        <v>0</v>
      </c>
      <c r="Q185" s="20">
        <f t="shared" si="39"/>
        <v>0</v>
      </c>
    </row>
    <row r="186" spans="1:17" ht="14.25" thickTop="1" thickBot="1">
      <c r="A186" s="110"/>
      <c r="B186" s="111"/>
      <c r="C186" s="22" t="s">
        <v>37</v>
      </c>
      <c r="D186" s="33">
        <f>SUM(D179:D185)</f>
        <v>9</v>
      </c>
      <c r="E186" s="33">
        <f t="shared" ref="E186:Q186" si="40">SUM(E179:E185)</f>
        <v>9</v>
      </c>
      <c r="F186" s="33">
        <f t="shared" si="40"/>
        <v>0</v>
      </c>
      <c r="G186" s="33">
        <f t="shared" si="40"/>
        <v>4238</v>
      </c>
      <c r="H186" s="33">
        <f t="shared" si="40"/>
        <v>0</v>
      </c>
      <c r="I186" s="33">
        <f t="shared" si="40"/>
        <v>4238</v>
      </c>
      <c r="J186" s="33">
        <f t="shared" si="40"/>
        <v>1060</v>
      </c>
      <c r="K186" s="33">
        <f t="shared" si="40"/>
        <v>44</v>
      </c>
      <c r="L186" s="33">
        <f t="shared" si="40"/>
        <v>339</v>
      </c>
      <c r="M186" s="33">
        <f t="shared" si="40"/>
        <v>0</v>
      </c>
      <c r="N186" s="33">
        <f t="shared" si="40"/>
        <v>0</v>
      </c>
      <c r="O186" s="33">
        <f t="shared" si="40"/>
        <v>0</v>
      </c>
      <c r="P186" s="33">
        <f t="shared" si="40"/>
        <v>0</v>
      </c>
      <c r="Q186" s="33">
        <f t="shared" si="40"/>
        <v>5681</v>
      </c>
    </row>
    <row r="187" spans="1:17" ht="13.5" thickTop="1">
      <c r="A187" s="98">
        <v>3</v>
      </c>
      <c r="B187" s="40" t="s">
        <v>31</v>
      </c>
      <c r="C187" s="34" t="s">
        <v>38</v>
      </c>
      <c r="D187" s="35">
        <v>3</v>
      </c>
      <c r="E187" s="35">
        <v>3</v>
      </c>
      <c r="F187" s="35">
        <v>0</v>
      </c>
      <c r="G187" s="36">
        <v>963</v>
      </c>
      <c r="H187" s="36">
        <v>0</v>
      </c>
      <c r="I187" s="16">
        <f>SUM(G187:H187)</f>
        <v>963</v>
      </c>
      <c r="J187" s="17">
        <f>ROUND(I187*0.25, 0)</f>
        <v>241</v>
      </c>
      <c r="K187" s="36">
        <v>15</v>
      </c>
      <c r="L187" s="36">
        <v>77</v>
      </c>
      <c r="M187" s="36">
        <v>0</v>
      </c>
      <c r="N187" s="36">
        <v>0</v>
      </c>
      <c r="O187" s="36">
        <v>0</v>
      </c>
      <c r="P187" s="36">
        <v>0</v>
      </c>
      <c r="Q187" s="16">
        <f>SUM(I187:P187)+F187</f>
        <v>1296</v>
      </c>
    </row>
    <row r="188" spans="1:17" ht="13.5" thickBot="1">
      <c r="A188" s="41"/>
      <c r="B188" s="42"/>
      <c r="C188" s="18" t="s">
        <v>50</v>
      </c>
      <c r="D188" s="32">
        <v>0</v>
      </c>
      <c r="E188" s="32">
        <v>0</v>
      </c>
      <c r="F188" s="32">
        <v>0</v>
      </c>
      <c r="G188" s="19"/>
      <c r="H188" s="19">
        <v>0</v>
      </c>
      <c r="I188" s="20">
        <f>SUM(G188:H188)</f>
        <v>0</v>
      </c>
      <c r="J188" s="21">
        <f>ROUND(I188*0.25, 0)</f>
        <v>0</v>
      </c>
      <c r="K188" s="19">
        <v>0</v>
      </c>
      <c r="L188" s="19">
        <v>0</v>
      </c>
      <c r="M188" s="19">
        <v>0</v>
      </c>
      <c r="N188" s="19">
        <v>0</v>
      </c>
      <c r="O188" s="19">
        <v>0</v>
      </c>
      <c r="P188" s="19">
        <v>0</v>
      </c>
      <c r="Q188" s="20">
        <f>SUM(I188:P188)+F188</f>
        <v>0</v>
      </c>
    </row>
    <row r="189" spans="1:17" ht="14.25" thickTop="1" thickBot="1">
      <c r="A189" s="110"/>
      <c r="B189" s="27"/>
      <c r="C189" s="22" t="s">
        <v>39</v>
      </c>
      <c r="D189" s="33">
        <f>SUM(D187:D188)</f>
        <v>3</v>
      </c>
      <c r="E189" s="33">
        <f t="shared" ref="E189:Q189" si="41">SUM(E187:E188)</f>
        <v>3</v>
      </c>
      <c r="F189" s="33">
        <f t="shared" si="41"/>
        <v>0</v>
      </c>
      <c r="G189" s="33">
        <f t="shared" si="41"/>
        <v>963</v>
      </c>
      <c r="H189" s="33">
        <f t="shared" si="41"/>
        <v>0</v>
      </c>
      <c r="I189" s="33">
        <f t="shared" si="41"/>
        <v>963</v>
      </c>
      <c r="J189" s="33">
        <f t="shared" si="41"/>
        <v>241</v>
      </c>
      <c r="K189" s="33">
        <f t="shared" si="41"/>
        <v>15</v>
      </c>
      <c r="L189" s="33">
        <f t="shared" si="41"/>
        <v>77</v>
      </c>
      <c r="M189" s="33">
        <f t="shared" si="41"/>
        <v>0</v>
      </c>
      <c r="N189" s="33">
        <f t="shared" si="41"/>
        <v>0</v>
      </c>
      <c r="O189" s="33">
        <f t="shared" si="41"/>
        <v>0</v>
      </c>
      <c r="P189" s="33">
        <f t="shared" si="41"/>
        <v>0</v>
      </c>
      <c r="Q189" s="33">
        <f t="shared" si="41"/>
        <v>1296</v>
      </c>
    </row>
    <row r="190" spans="1:17" ht="14.25" thickTop="1" thickBot="1">
      <c r="A190" s="110"/>
      <c r="B190" s="27"/>
      <c r="C190" s="22" t="s">
        <v>51</v>
      </c>
      <c r="D190" s="33">
        <f>SUM(D189,D186,D178)</f>
        <v>14</v>
      </c>
      <c r="E190" s="33">
        <f t="shared" ref="E190:Q190" si="42">SUM(E189,E186,E178)</f>
        <v>14</v>
      </c>
      <c r="F190" s="33">
        <f t="shared" si="42"/>
        <v>0</v>
      </c>
      <c r="G190" s="33">
        <f t="shared" si="42"/>
        <v>7121</v>
      </c>
      <c r="H190" s="33">
        <f t="shared" si="42"/>
        <v>0</v>
      </c>
      <c r="I190" s="33">
        <f t="shared" si="42"/>
        <v>7121</v>
      </c>
      <c r="J190" s="33">
        <f t="shared" si="42"/>
        <v>1781</v>
      </c>
      <c r="K190" s="33">
        <f t="shared" si="42"/>
        <v>74</v>
      </c>
      <c r="L190" s="33">
        <f t="shared" si="42"/>
        <v>570</v>
      </c>
      <c r="M190" s="33">
        <f t="shared" si="42"/>
        <v>0</v>
      </c>
      <c r="N190" s="33">
        <f t="shared" si="42"/>
        <v>0</v>
      </c>
      <c r="O190" s="33">
        <f t="shared" si="42"/>
        <v>0</v>
      </c>
      <c r="P190" s="33">
        <f t="shared" si="42"/>
        <v>0</v>
      </c>
      <c r="Q190" s="33">
        <f t="shared" si="42"/>
        <v>9546</v>
      </c>
    </row>
    <row r="191" spans="1:17" ht="13.5" thickTop="1">
      <c r="C191" s="44"/>
    </row>
    <row r="192" spans="1:17">
      <c r="A192" s="140" t="str">
        <f>$A$1</f>
        <v>प्रपत्र - ड  -  अर्थसंकल्पीय अंदाजपत्रक सन 2021-2022</v>
      </c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</row>
    <row r="193" spans="1:17">
      <c r="A193" s="140" t="s">
        <v>19</v>
      </c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</row>
    <row r="194" spans="1:17">
      <c r="A194" s="147" t="s">
        <v>114</v>
      </c>
      <c r="B194" s="147"/>
      <c r="C194" s="147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53" t="s">
        <v>62</v>
      </c>
      <c r="P194" s="153"/>
      <c r="Q194" s="153"/>
    </row>
    <row r="195" spans="1:17" ht="18.75" customHeight="1">
      <c r="A195" s="141" t="s">
        <v>21</v>
      </c>
      <c r="B195" s="141" t="s">
        <v>29</v>
      </c>
      <c r="C195" s="151" t="s">
        <v>33</v>
      </c>
      <c r="D195" s="12" t="str">
        <f t="shared" ref="D195:J196" si="43">D4</f>
        <v>मंजूर पदे</v>
      </c>
      <c r="E195" s="12" t="str">
        <f t="shared" si="43"/>
        <v>मंजूर पदे</v>
      </c>
      <c r="F195" s="138" t="str">
        <f t="shared" si="43"/>
        <v>विशेष वेतन</v>
      </c>
      <c r="G195" s="138" t="str">
        <f t="shared" si="43"/>
        <v>मुळ वेतन</v>
      </c>
      <c r="H195" s="138" t="str">
        <f t="shared" si="43"/>
        <v>ग्रेड वेतन</v>
      </c>
      <c r="I195" s="138" t="str">
        <f t="shared" si="43"/>
        <v>एकूण</v>
      </c>
      <c r="J195" s="138" t="str">
        <f t="shared" si="43"/>
        <v>महागाई भत्ता 25%</v>
      </c>
      <c r="K195" s="138" t="s">
        <v>58</v>
      </c>
      <c r="L195" s="138" t="s">
        <v>59</v>
      </c>
      <c r="M195" s="138" t="s">
        <v>60</v>
      </c>
      <c r="N195" s="138" t="s">
        <v>61</v>
      </c>
      <c r="O195" s="138" t="s">
        <v>63</v>
      </c>
      <c r="P195" s="138" t="s">
        <v>64</v>
      </c>
      <c r="Q195" s="138" t="s">
        <v>57</v>
      </c>
    </row>
    <row r="196" spans="1:17">
      <c r="A196" s="142"/>
      <c r="B196" s="142"/>
      <c r="C196" s="152"/>
      <c r="D196" s="13" t="str">
        <f t="shared" si="43"/>
        <v>2020-2021</v>
      </c>
      <c r="E196" s="13" t="str">
        <f t="shared" si="43"/>
        <v>2021-2022</v>
      </c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</row>
    <row r="197" spans="1:17">
      <c r="A197" s="143"/>
      <c r="B197" s="143"/>
      <c r="C197" s="148" t="s">
        <v>34</v>
      </c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50"/>
    </row>
    <row r="198" spans="1:17">
      <c r="A198" s="132">
        <v>1</v>
      </c>
      <c r="B198" s="134" t="s">
        <v>30</v>
      </c>
      <c r="C198" s="14" t="s">
        <v>35</v>
      </c>
      <c r="D198" s="15">
        <v>0</v>
      </c>
      <c r="E198" s="15">
        <v>0</v>
      </c>
      <c r="F198" s="15">
        <v>0</v>
      </c>
      <c r="G198" s="15">
        <v>0</v>
      </c>
      <c r="H198" s="15">
        <v>0</v>
      </c>
      <c r="I198" s="16">
        <v>0</v>
      </c>
      <c r="J198" s="17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6">
        <v>0</v>
      </c>
    </row>
    <row r="199" spans="1:17" ht="13.5" thickBot="1">
      <c r="A199" s="133"/>
      <c r="B199" s="135"/>
      <c r="C199" s="18" t="s">
        <v>36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20">
        <v>0</v>
      </c>
      <c r="J199" s="21">
        <v>0</v>
      </c>
      <c r="K199" s="19">
        <v>0</v>
      </c>
      <c r="L199" s="19">
        <v>0</v>
      </c>
      <c r="M199" s="19">
        <v>0</v>
      </c>
      <c r="N199" s="19">
        <v>0</v>
      </c>
      <c r="O199" s="19">
        <v>0</v>
      </c>
      <c r="P199" s="19">
        <v>0</v>
      </c>
      <c r="Q199" s="20">
        <v>0</v>
      </c>
    </row>
    <row r="200" spans="1:17" ht="14.25" thickTop="1" thickBot="1">
      <c r="A200" s="110"/>
      <c r="B200" s="111"/>
      <c r="C200" s="22" t="s">
        <v>37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23">
        <v>0</v>
      </c>
      <c r="J200" s="23">
        <v>0</v>
      </c>
      <c r="K200" s="23">
        <v>0</v>
      </c>
      <c r="L200" s="23">
        <v>0</v>
      </c>
      <c r="M200" s="23">
        <v>0</v>
      </c>
      <c r="N200" s="23">
        <v>0</v>
      </c>
      <c r="O200" s="23">
        <v>0</v>
      </c>
      <c r="P200" s="23">
        <v>0</v>
      </c>
      <c r="Q200" s="23">
        <v>0</v>
      </c>
    </row>
    <row r="201" spans="1:17" ht="14.25" thickTop="1" thickBot="1">
      <c r="A201" s="110">
        <v>2</v>
      </c>
      <c r="B201" s="111" t="s">
        <v>31</v>
      </c>
      <c r="C201" s="24" t="s">
        <v>38</v>
      </c>
      <c r="D201" s="23">
        <v>0</v>
      </c>
      <c r="E201" s="23">
        <v>0</v>
      </c>
      <c r="F201" s="23">
        <v>0</v>
      </c>
      <c r="G201" s="23">
        <v>0</v>
      </c>
      <c r="H201" s="23">
        <v>0</v>
      </c>
      <c r="I201" s="25">
        <v>0</v>
      </c>
      <c r="J201" s="26">
        <v>0</v>
      </c>
      <c r="K201" s="23">
        <v>0</v>
      </c>
      <c r="L201" s="23">
        <v>0</v>
      </c>
      <c r="M201" s="23">
        <v>0</v>
      </c>
      <c r="N201" s="23">
        <v>0</v>
      </c>
      <c r="O201" s="23">
        <v>0</v>
      </c>
      <c r="P201" s="23">
        <v>0</v>
      </c>
      <c r="Q201" s="25">
        <v>0</v>
      </c>
    </row>
    <row r="202" spans="1:17" ht="14.25" thickTop="1" thickBot="1">
      <c r="A202" s="110"/>
      <c r="B202" s="111"/>
      <c r="C202" s="22" t="s">
        <v>39</v>
      </c>
      <c r="D202" s="23">
        <v>0</v>
      </c>
      <c r="E202" s="23">
        <v>0</v>
      </c>
      <c r="F202" s="23">
        <v>0</v>
      </c>
      <c r="G202" s="23">
        <v>0</v>
      </c>
      <c r="H202" s="23">
        <v>0</v>
      </c>
      <c r="I202" s="23">
        <v>0</v>
      </c>
      <c r="J202" s="23">
        <v>0</v>
      </c>
      <c r="K202" s="23">
        <v>0</v>
      </c>
      <c r="L202" s="23">
        <v>0</v>
      </c>
      <c r="M202" s="23">
        <v>0</v>
      </c>
      <c r="N202" s="23">
        <v>0</v>
      </c>
      <c r="O202" s="23">
        <v>0</v>
      </c>
      <c r="P202" s="23">
        <v>0</v>
      </c>
      <c r="Q202" s="23">
        <v>0</v>
      </c>
    </row>
    <row r="203" spans="1:17" ht="14.25" thickTop="1" thickBot="1">
      <c r="A203" s="110"/>
      <c r="B203" s="27"/>
      <c r="C203" s="28" t="s">
        <v>40</v>
      </c>
      <c r="D203" s="25">
        <v>0</v>
      </c>
      <c r="E203" s="25">
        <v>0</v>
      </c>
      <c r="F203" s="25">
        <v>0</v>
      </c>
      <c r="G203" s="25">
        <v>0</v>
      </c>
      <c r="H203" s="25">
        <v>0</v>
      </c>
      <c r="I203" s="25">
        <v>0</v>
      </c>
      <c r="J203" s="25">
        <v>0</v>
      </c>
      <c r="K203" s="25">
        <v>0</v>
      </c>
      <c r="L203" s="25">
        <v>0</v>
      </c>
      <c r="M203" s="25">
        <v>0</v>
      </c>
      <c r="N203" s="25">
        <v>0</v>
      </c>
      <c r="O203" s="25">
        <v>0</v>
      </c>
      <c r="P203" s="25">
        <v>0</v>
      </c>
      <c r="Q203" s="25">
        <v>0</v>
      </c>
    </row>
    <row r="204" spans="1:17" ht="13.5" thickTop="1">
      <c r="A204" s="29"/>
      <c r="B204" s="30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</row>
    <row r="205" spans="1:17" ht="18.75" customHeight="1">
      <c r="A205" s="141" t="s">
        <v>22</v>
      </c>
      <c r="B205" s="141" t="s">
        <v>29</v>
      </c>
      <c r="C205" s="151" t="s">
        <v>33</v>
      </c>
      <c r="D205" s="12" t="str">
        <f t="shared" ref="D205:J206" si="44">D4</f>
        <v>मंजूर पदे</v>
      </c>
      <c r="E205" s="12" t="str">
        <f t="shared" si="44"/>
        <v>मंजूर पदे</v>
      </c>
      <c r="F205" s="138" t="str">
        <f t="shared" si="44"/>
        <v>विशेष वेतन</v>
      </c>
      <c r="G205" s="138" t="str">
        <f t="shared" si="44"/>
        <v>मुळ वेतन</v>
      </c>
      <c r="H205" s="138" t="str">
        <f t="shared" si="44"/>
        <v>ग्रेड वेतन</v>
      </c>
      <c r="I205" s="138" t="str">
        <f t="shared" si="44"/>
        <v>एकूण</v>
      </c>
      <c r="J205" s="138" t="str">
        <f t="shared" si="44"/>
        <v>महागाई भत्ता 25%</v>
      </c>
      <c r="K205" s="138" t="s">
        <v>58</v>
      </c>
      <c r="L205" s="138" t="s">
        <v>59</v>
      </c>
      <c r="M205" s="138" t="s">
        <v>60</v>
      </c>
      <c r="N205" s="138" t="s">
        <v>61</v>
      </c>
      <c r="O205" s="138" t="s">
        <v>63</v>
      </c>
      <c r="P205" s="138" t="s">
        <v>64</v>
      </c>
      <c r="Q205" s="138" t="s">
        <v>57</v>
      </c>
    </row>
    <row r="206" spans="1:17">
      <c r="A206" s="142"/>
      <c r="B206" s="142"/>
      <c r="C206" s="152"/>
      <c r="D206" s="13" t="str">
        <f t="shared" si="44"/>
        <v>2020-2021</v>
      </c>
      <c r="E206" s="13" t="str">
        <f t="shared" si="44"/>
        <v>2021-2022</v>
      </c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</row>
    <row r="207" spans="1:17">
      <c r="A207" s="143"/>
      <c r="B207" s="143"/>
      <c r="C207" s="144" t="s">
        <v>41</v>
      </c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6"/>
    </row>
    <row r="208" spans="1:17">
      <c r="A208" s="132">
        <v>1</v>
      </c>
      <c r="B208" s="134" t="s">
        <v>32</v>
      </c>
      <c r="C208" s="31" t="s">
        <v>42</v>
      </c>
      <c r="D208" s="15">
        <v>2</v>
      </c>
      <c r="E208" s="15">
        <v>2</v>
      </c>
      <c r="F208" s="39">
        <v>0</v>
      </c>
      <c r="G208" s="15">
        <v>1949</v>
      </c>
      <c r="H208" s="15">
        <v>0</v>
      </c>
      <c r="I208" s="16">
        <f>SUM(G208:H208)</f>
        <v>1949</v>
      </c>
      <c r="J208" s="17">
        <f>ROUND(I208*0.25, 0)</f>
        <v>487</v>
      </c>
      <c r="K208" s="15">
        <v>0</v>
      </c>
      <c r="L208" s="15">
        <v>175</v>
      </c>
      <c r="M208" s="15">
        <v>29</v>
      </c>
      <c r="N208" s="15">
        <v>0</v>
      </c>
      <c r="O208" s="15">
        <v>0</v>
      </c>
      <c r="P208" s="15">
        <v>0</v>
      </c>
      <c r="Q208" s="16">
        <f>SUM(I208:P208)+F208</f>
        <v>2640</v>
      </c>
    </row>
    <row r="209" spans="1:17" ht="13.5" thickBot="1">
      <c r="A209" s="133"/>
      <c r="B209" s="135"/>
      <c r="C209" s="18" t="s">
        <v>43</v>
      </c>
      <c r="D209" s="32">
        <v>0</v>
      </c>
      <c r="E209" s="32">
        <v>0</v>
      </c>
      <c r="F209" s="32">
        <v>0</v>
      </c>
      <c r="G209" s="19">
        <v>0</v>
      </c>
      <c r="H209" s="19">
        <v>0</v>
      </c>
      <c r="I209" s="20">
        <f>SUM(G209:H209)</f>
        <v>0</v>
      </c>
      <c r="J209" s="21">
        <f>ROUND(I209*1.6, 0)</f>
        <v>0</v>
      </c>
      <c r="K209" s="19">
        <v>0</v>
      </c>
      <c r="L209" s="19">
        <v>0</v>
      </c>
      <c r="M209" s="19">
        <v>0</v>
      </c>
      <c r="N209" s="19">
        <v>0</v>
      </c>
      <c r="O209" s="19">
        <v>0</v>
      </c>
      <c r="P209" s="19">
        <v>0</v>
      </c>
      <c r="Q209" s="20">
        <f>SUM(I209:P209)+F209</f>
        <v>0</v>
      </c>
    </row>
    <row r="210" spans="1:17" ht="14.25" thickTop="1" thickBot="1">
      <c r="A210" s="110"/>
      <c r="B210" s="111"/>
      <c r="C210" s="22" t="s">
        <v>44</v>
      </c>
      <c r="D210" s="33">
        <f>SUM(D208:D209)</f>
        <v>2</v>
      </c>
      <c r="E210" s="33">
        <f t="shared" ref="E210:Q210" si="45">SUM(E208:E209)</f>
        <v>2</v>
      </c>
      <c r="F210" s="33">
        <f t="shared" si="45"/>
        <v>0</v>
      </c>
      <c r="G210" s="33">
        <f t="shared" si="45"/>
        <v>1949</v>
      </c>
      <c r="H210" s="33">
        <f t="shared" si="45"/>
        <v>0</v>
      </c>
      <c r="I210" s="33">
        <f t="shared" si="45"/>
        <v>1949</v>
      </c>
      <c r="J210" s="33">
        <f t="shared" si="45"/>
        <v>487</v>
      </c>
      <c r="K210" s="33">
        <f t="shared" si="45"/>
        <v>0</v>
      </c>
      <c r="L210" s="33">
        <f t="shared" si="45"/>
        <v>175</v>
      </c>
      <c r="M210" s="33">
        <f t="shared" si="45"/>
        <v>29</v>
      </c>
      <c r="N210" s="33">
        <f t="shared" si="45"/>
        <v>0</v>
      </c>
      <c r="O210" s="33">
        <f t="shared" si="45"/>
        <v>0</v>
      </c>
      <c r="P210" s="33">
        <f t="shared" si="45"/>
        <v>0</v>
      </c>
      <c r="Q210" s="33">
        <f t="shared" si="45"/>
        <v>2640</v>
      </c>
    </row>
    <row r="211" spans="1:17" ht="13.5" thickTop="1">
      <c r="A211" s="136">
        <v>2</v>
      </c>
      <c r="B211" s="137" t="s">
        <v>30</v>
      </c>
      <c r="C211" s="34" t="s">
        <v>35</v>
      </c>
      <c r="D211" s="35">
        <v>3</v>
      </c>
      <c r="E211" s="35">
        <v>3</v>
      </c>
      <c r="F211" s="35">
        <v>0</v>
      </c>
      <c r="G211" s="36">
        <v>1570</v>
      </c>
      <c r="H211" s="36">
        <v>0</v>
      </c>
      <c r="I211" s="37">
        <f t="shared" ref="I211:I217" si="46">SUM(G211:H211)</f>
        <v>1570</v>
      </c>
      <c r="J211" s="17">
        <f>ROUND(I211*0.25, 0)</f>
        <v>393</v>
      </c>
      <c r="K211" s="36">
        <v>0</v>
      </c>
      <c r="L211" s="36">
        <v>141</v>
      </c>
      <c r="M211" s="36">
        <v>15</v>
      </c>
      <c r="N211" s="36">
        <v>0</v>
      </c>
      <c r="O211" s="36">
        <v>0</v>
      </c>
      <c r="P211" s="36">
        <v>0</v>
      </c>
      <c r="Q211" s="37">
        <f t="shared" ref="Q211:Q217" si="47">SUM(I211:P211)+F211</f>
        <v>2119</v>
      </c>
    </row>
    <row r="212" spans="1:17">
      <c r="A212" s="136"/>
      <c r="B212" s="137"/>
      <c r="C212" s="14" t="s">
        <v>45</v>
      </c>
      <c r="D212" s="39">
        <v>0</v>
      </c>
      <c r="E212" s="39">
        <v>0</v>
      </c>
      <c r="F212" s="39">
        <v>0</v>
      </c>
      <c r="G212" s="15">
        <v>0</v>
      </c>
      <c r="H212" s="15">
        <v>0</v>
      </c>
      <c r="I212" s="16">
        <f t="shared" si="46"/>
        <v>0</v>
      </c>
      <c r="J212" s="17">
        <f t="shared" ref="J212:J217" si="48">ROUND(I212*1.6, 0)</f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6">
        <f t="shared" si="47"/>
        <v>0</v>
      </c>
    </row>
    <row r="213" spans="1:17">
      <c r="A213" s="136"/>
      <c r="B213" s="137"/>
      <c r="C213" s="14" t="s">
        <v>46</v>
      </c>
      <c r="D213" s="39">
        <v>0</v>
      </c>
      <c r="E213" s="39">
        <v>0</v>
      </c>
      <c r="F213" s="39">
        <v>0</v>
      </c>
      <c r="G213" s="15">
        <v>0</v>
      </c>
      <c r="H213" s="15">
        <v>0</v>
      </c>
      <c r="I213" s="16">
        <f t="shared" si="46"/>
        <v>0</v>
      </c>
      <c r="J213" s="17">
        <f t="shared" si="48"/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6">
        <f t="shared" si="47"/>
        <v>0</v>
      </c>
    </row>
    <row r="214" spans="1:17">
      <c r="A214" s="136"/>
      <c r="B214" s="137"/>
      <c r="C214" s="14" t="s">
        <v>47</v>
      </c>
      <c r="D214" s="39">
        <v>5</v>
      </c>
      <c r="E214" s="39">
        <v>5</v>
      </c>
      <c r="F214" s="39">
        <v>0</v>
      </c>
      <c r="G214" s="15">
        <v>2561</v>
      </c>
      <c r="H214" s="15">
        <v>0</v>
      </c>
      <c r="I214" s="16">
        <f t="shared" si="46"/>
        <v>2561</v>
      </c>
      <c r="J214" s="17">
        <f>ROUND(I214*0.25, 0)</f>
        <v>640</v>
      </c>
      <c r="K214" s="15">
        <v>0</v>
      </c>
      <c r="L214" s="15">
        <v>231</v>
      </c>
      <c r="M214" s="15">
        <v>24</v>
      </c>
      <c r="N214" s="15">
        <v>0</v>
      </c>
      <c r="O214" s="15">
        <v>0</v>
      </c>
      <c r="P214" s="15">
        <v>0</v>
      </c>
      <c r="Q214" s="16">
        <f t="shared" si="47"/>
        <v>3456</v>
      </c>
    </row>
    <row r="215" spans="1:17">
      <c r="A215" s="136"/>
      <c r="B215" s="137"/>
      <c r="C215" s="14" t="s">
        <v>48</v>
      </c>
      <c r="D215" s="39">
        <v>0</v>
      </c>
      <c r="E215" s="39">
        <v>0</v>
      </c>
      <c r="F215" s="39">
        <v>0</v>
      </c>
      <c r="G215" s="15">
        <v>0</v>
      </c>
      <c r="H215" s="15">
        <v>0</v>
      </c>
      <c r="I215" s="16">
        <f t="shared" si="46"/>
        <v>0</v>
      </c>
      <c r="J215" s="17">
        <f>ROUND(I215*0.25, 0)</f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6">
        <f t="shared" si="47"/>
        <v>0</v>
      </c>
    </row>
    <row r="216" spans="1:17">
      <c r="A216" s="136"/>
      <c r="B216" s="137"/>
      <c r="C216" s="14" t="s">
        <v>36</v>
      </c>
      <c r="D216" s="39">
        <v>3</v>
      </c>
      <c r="E216" s="39">
        <v>3</v>
      </c>
      <c r="F216" s="39">
        <v>0</v>
      </c>
      <c r="G216" s="15">
        <v>827</v>
      </c>
      <c r="H216" s="15">
        <v>0</v>
      </c>
      <c r="I216" s="16">
        <f t="shared" si="46"/>
        <v>827</v>
      </c>
      <c r="J216" s="17">
        <f>ROUND(I216*0.25, 0)</f>
        <v>207</v>
      </c>
      <c r="K216" s="15">
        <v>0</v>
      </c>
      <c r="L216" s="15">
        <v>74</v>
      </c>
      <c r="M216" s="15">
        <v>15</v>
      </c>
      <c r="N216" s="15">
        <v>0</v>
      </c>
      <c r="O216" s="15">
        <v>0</v>
      </c>
      <c r="P216" s="15">
        <v>0</v>
      </c>
      <c r="Q216" s="16">
        <f t="shared" si="47"/>
        <v>1123</v>
      </c>
    </row>
    <row r="217" spans="1:17" ht="13.5" thickBot="1">
      <c r="A217" s="133"/>
      <c r="B217" s="135"/>
      <c r="C217" s="18" t="s">
        <v>49</v>
      </c>
      <c r="D217" s="32">
        <v>0</v>
      </c>
      <c r="E217" s="32">
        <v>0</v>
      </c>
      <c r="F217" s="32">
        <v>0</v>
      </c>
      <c r="G217" s="19">
        <v>0</v>
      </c>
      <c r="H217" s="19">
        <v>0</v>
      </c>
      <c r="I217" s="20">
        <f t="shared" si="46"/>
        <v>0</v>
      </c>
      <c r="J217" s="21">
        <f t="shared" si="48"/>
        <v>0</v>
      </c>
      <c r="K217" s="19">
        <v>0</v>
      </c>
      <c r="L217" s="19">
        <v>0</v>
      </c>
      <c r="M217" s="19">
        <v>0</v>
      </c>
      <c r="N217" s="19">
        <v>0</v>
      </c>
      <c r="O217" s="19">
        <v>0</v>
      </c>
      <c r="P217" s="19">
        <v>0</v>
      </c>
      <c r="Q217" s="20">
        <f t="shared" si="47"/>
        <v>0</v>
      </c>
    </row>
    <row r="218" spans="1:17" ht="14.25" thickTop="1" thickBot="1">
      <c r="A218" s="110"/>
      <c r="B218" s="111"/>
      <c r="C218" s="22" t="s">
        <v>37</v>
      </c>
      <c r="D218" s="33">
        <f>SUM(D211:D217)</f>
        <v>11</v>
      </c>
      <c r="E218" s="33">
        <f t="shared" ref="E218:Q218" si="49">SUM(E211:E217)</f>
        <v>11</v>
      </c>
      <c r="F218" s="33">
        <f t="shared" si="49"/>
        <v>0</v>
      </c>
      <c r="G218" s="33">
        <f t="shared" si="49"/>
        <v>4958</v>
      </c>
      <c r="H218" s="33">
        <f t="shared" si="49"/>
        <v>0</v>
      </c>
      <c r="I218" s="33">
        <f t="shared" si="49"/>
        <v>4958</v>
      </c>
      <c r="J218" s="33">
        <f t="shared" si="49"/>
        <v>1240</v>
      </c>
      <c r="K218" s="33">
        <f t="shared" si="49"/>
        <v>0</v>
      </c>
      <c r="L218" s="33">
        <f t="shared" si="49"/>
        <v>446</v>
      </c>
      <c r="M218" s="33">
        <f t="shared" si="49"/>
        <v>54</v>
      </c>
      <c r="N218" s="33">
        <f t="shared" si="49"/>
        <v>0</v>
      </c>
      <c r="O218" s="33">
        <f t="shared" si="49"/>
        <v>0</v>
      </c>
      <c r="P218" s="33">
        <f t="shared" si="49"/>
        <v>0</v>
      </c>
      <c r="Q218" s="33">
        <f t="shared" si="49"/>
        <v>6698</v>
      </c>
    </row>
    <row r="219" spans="1:17" ht="13.5" thickTop="1">
      <c r="A219" s="98">
        <v>3</v>
      </c>
      <c r="B219" s="40" t="s">
        <v>31</v>
      </c>
      <c r="C219" s="34" t="s">
        <v>38</v>
      </c>
      <c r="D219" s="35">
        <v>3</v>
      </c>
      <c r="E219" s="35">
        <v>3</v>
      </c>
      <c r="F219" s="35">
        <v>0</v>
      </c>
      <c r="G219" s="36">
        <v>634</v>
      </c>
      <c r="H219" s="36">
        <v>0</v>
      </c>
      <c r="I219" s="16">
        <f>SUM(G219:H219)</f>
        <v>634</v>
      </c>
      <c r="J219" s="17">
        <f>ROUND(I219*0.25, 0)</f>
        <v>159</v>
      </c>
      <c r="K219" s="36">
        <v>0</v>
      </c>
      <c r="L219" s="36">
        <v>57</v>
      </c>
      <c r="M219" s="36">
        <v>14</v>
      </c>
      <c r="N219" s="36">
        <v>2</v>
      </c>
      <c r="O219" s="36">
        <v>0</v>
      </c>
      <c r="P219" s="36">
        <v>0</v>
      </c>
      <c r="Q219" s="16">
        <f>SUM(I219:P219)+F219</f>
        <v>866</v>
      </c>
    </row>
    <row r="220" spans="1:17" ht="13.5" thickBot="1">
      <c r="A220" s="41"/>
      <c r="B220" s="42"/>
      <c r="C220" s="18" t="s">
        <v>50</v>
      </c>
      <c r="D220" s="32">
        <v>0</v>
      </c>
      <c r="E220" s="32">
        <v>0</v>
      </c>
      <c r="F220" s="32">
        <v>0</v>
      </c>
      <c r="G220" s="19">
        <v>0</v>
      </c>
      <c r="H220" s="19">
        <v>0</v>
      </c>
      <c r="I220" s="20">
        <f>SUM(G220:H220)</f>
        <v>0</v>
      </c>
      <c r="J220" s="21">
        <f>ROUND(I220*0.25, 0)</f>
        <v>0</v>
      </c>
      <c r="K220" s="19">
        <v>0</v>
      </c>
      <c r="L220" s="19">
        <v>0</v>
      </c>
      <c r="M220" s="19">
        <v>0</v>
      </c>
      <c r="N220" s="19">
        <v>0</v>
      </c>
      <c r="O220" s="19">
        <v>0</v>
      </c>
      <c r="P220" s="19">
        <v>0</v>
      </c>
      <c r="Q220" s="20">
        <f>SUM(I220:P220)+F220</f>
        <v>0</v>
      </c>
    </row>
    <row r="221" spans="1:17" ht="14.25" thickTop="1" thickBot="1">
      <c r="A221" s="110"/>
      <c r="B221" s="27"/>
      <c r="C221" s="22" t="s">
        <v>39</v>
      </c>
      <c r="D221" s="33">
        <f>SUM(D219:D220)</f>
        <v>3</v>
      </c>
      <c r="E221" s="33">
        <f t="shared" ref="E221:Q221" si="50">SUM(E219:E220)</f>
        <v>3</v>
      </c>
      <c r="F221" s="33">
        <f t="shared" si="50"/>
        <v>0</v>
      </c>
      <c r="G221" s="33">
        <f t="shared" si="50"/>
        <v>634</v>
      </c>
      <c r="H221" s="33">
        <f t="shared" si="50"/>
        <v>0</v>
      </c>
      <c r="I221" s="33">
        <f t="shared" si="50"/>
        <v>634</v>
      </c>
      <c r="J221" s="33">
        <f t="shared" si="50"/>
        <v>159</v>
      </c>
      <c r="K221" s="33">
        <f t="shared" si="50"/>
        <v>0</v>
      </c>
      <c r="L221" s="33">
        <f t="shared" si="50"/>
        <v>57</v>
      </c>
      <c r="M221" s="33">
        <f t="shared" si="50"/>
        <v>14</v>
      </c>
      <c r="N221" s="33">
        <f t="shared" si="50"/>
        <v>2</v>
      </c>
      <c r="O221" s="33">
        <f t="shared" si="50"/>
        <v>0</v>
      </c>
      <c r="P221" s="33">
        <f t="shared" si="50"/>
        <v>0</v>
      </c>
      <c r="Q221" s="33">
        <f t="shared" si="50"/>
        <v>866</v>
      </c>
    </row>
    <row r="222" spans="1:17" ht="14.25" thickTop="1" thickBot="1">
      <c r="A222" s="110"/>
      <c r="B222" s="27"/>
      <c r="C222" s="22" t="s">
        <v>51</v>
      </c>
      <c r="D222" s="33">
        <f>SUM(D221,D218,D210)</f>
        <v>16</v>
      </c>
      <c r="E222" s="33">
        <f t="shared" ref="E222:Q222" si="51">SUM(E221,E218,E210)</f>
        <v>16</v>
      </c>
      <c r="F222" s="33">
        <f t="shared" si="51"/>
        <v>0</v>
      </c>
      <c r="G222" s="33">
        <f t="shared" si="51"/>
        <v>7541</v>
      </c>
      <c r="H222" s="33">
        <f t="shared" si="51"/>
        <v>0</v>
      </c>
      <c r="I222" s="33">
        <f t="shared" si="51"/>
        <v>7541</v>
      </c>
      <c r="J222" s="33">
        <f t="shared" si="51"/>
        <v>1886</v>
      </c>
      <c r="K222" s="33">
        <f t="shared" si="51"/>
        <v>0</v>
      </c>
      <c r="L222" s="33">
        <f t="shared" si="51"/>
        <v>678</v>
      </c>
      <c r="M222" s="33">
        <f t="shared" si="51"/>
        <v>97</v>
      </c>
      <c r="N222" s="33">
        <f t="shared" si="51"/>
        <v>2</v>
      </c>
      <c r="O222" s="33">
        <f t="shared" si="51"/>
        <v>0</v>
      </c>
      <c r="P222" s="33">
        <f t="shared" si="51"/>
        <v>0</v>
      </c>
      <c r="Q222" s="33">
        <f t="shared" si="51"/>
        <v>10204</v>
      </c>
    </row>
    <row r="223" spans="1:17" ht="13.5" thickTop="1">
      <c r="C223" s="44"/>
    </row>
    <row r="224" spans="1:17">
      <c r="A224" s="140" t="str">
        <f>$A$1</f>
        <v>प्रपत्र - ड  -  अर्थसंकल्पीय अंदाजपत्रक सन 2021-2022</v>
      </c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</row>
    <row r="225" spans="1:17">
      <c r="A225" s="140" t="s">
        <v>19</v>
      </c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</row>
    <row r="226" spans="1:17">
      <c r="A226" s="147" t="s">
        <v>27</v>
      </c>
      <c r="B226" s="147"/>
      <c r="C226" s="147"/>
      <c r="D226" s="147"/>
      <c r="E226" s="147"/>
      <c r="F226" s="11"/>
      <c r="G226" s="11"/>
      <c r="H226" s="11"/>
      <c r="I226" s="11"/>
      <c r="J226" s="11"/>
      <c r="K226" s="11"/>
      <c r="L226" s="11"/>
      <c r="M226" s="11"/>
      <c r="N226" s="11"/>
      <c r="O226" s="153" t="s">
        <v>62</v>
      </c>
      <c r="P226" s="153"/>
      <c r="Q226" s="153"/>
    </row>
    <row r="227" spans="1:17" ht="18.75" customHeight="1">
      <c r="A227" s="141" t="s">
        <v>21</v>
      </c>
      <c r="B227" s="141" t="s">
        <v>29</v>
      </c>
      <c r="C227" s="151" t="s">
        <v>33</v>
      </c>
      <c r="D227" s="12" t="str">
        <f t="shared" ref="D227:J228" si="52">D4</f>
        <v>मंजूर पदे</v>
      </c>
      <c r="E227" s="12" t="str">
        <f t="shared" si="52"/>
        <v>मंजूर पदे</v>
      </c>
      <c r="F227" s="138" t="str">
        <f t="shared" si="52"/>
        <v>विशेष वेतन</v>
      </c>
      <c r="G227" s="138" t="str">
        <f t="shared" si="52"/>
        <v>मुळ वेतन</v>
      </c>
      <c r="H227" s="138" t="str">
        <f t="shared" si="52"/>
        <v>ग्रेड वेतन</v>
      </c>
      <c r="I227" s="138" t="str">
        <f t="shared" si="52"/>
        <v>एकूण</v>
      </c>
      <c r="J227" s="138" t="str">
        <f t="shared" si="52"/>
        <v>महागाई भत्ता 25%</v>
      </c>
      <c r="K227" s="138" t="s">
        <v>58</v>
      </c>
      <c r="L227" s="138" t="s">
        <v>59</v>
      </c>
      <c r="M227" s="138" t="s">
        <v>60</v>
      </c>
      <c r="N227" s="138" t="s">
        <v>61</v>
      </c>
      <c r="O227" s="138" t="s">
        <v>63</v>
      </c>
      <c r="P227" s="138" t="s">
        <v>64</v>
      </c>
      <c r="Q227" s="138" t="s">
        <v>57</v>
      </c>
    </row>
    <row r="228" spans="1:17">
      <c r="A228" s="142"/>
      <c r="B228" s="142"/>
      <c r="C228" s="152"/>
      <c r="D228" s="13" t="str">
        <f t="shared" si="52"/>
        <v>2020-2021</v>
      </c>
      <c r="E228" s="13" t="str">
        <f t="shared" si="52"/>
        <v>2021-2022</v>
      </c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</row>
    <row r="229" spans="1:17">
      <c r="A229" s="143"/>
      <c r="B229" s="143"/>
      <c r="C229" s="148" t="s">
        <v>34</v>
      </c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50"/>
    </row>
    <row r="230" spans="1:17">
      <c r="A230" s="132">
        <v>1</v>
      </c>
      <c r="B230" s="134" t="s">
        <v>30</v>
      </c>
      <c r="C230" s="14" t="s">
        <v>35</v>
      </c>
      <c r="D230" s="15"/>
      <c r="E230" s="15"/>
      <c r="F230" s="15"/>
      <c r="G230" s="15"/>
      <c r="H230" s="15"/>
      <c r="I230" s="16">
        <v>0</v>
      </c>
      <c r="J230" s="17">
        <v>0</v>
      </c>
      <c r="K230" s="15"/>
      <c r="L230" s="15"/>
      <c r="M230" s="15"/>
      <c r="N230" s="15"/>
      <c r="O230" s="15"/>
      <c r="P230" s="15"/>
      <c r="Q230" s="16">
        <v>0</v>
      </c>
    </row>
    <row r="231" spans="1:17" ht="13.5" thickBot="1">
      <c r="A231" s="133"/>
      <c r="B231" s="135"/>
      <c r="C231" s="18" t="s">
        <v>36</v>
      </c>
      <c r="D231" s="19"/>
      <c r="E231" s="19"/>
      <c r="F231" s="19"/>
      <c r="G231" s="19"/>
      <c r="H231" s="19"/>
      <c r="I231" s="20">
        <v>0</v>
      </c>
      <c r="J231" s="21">
        <v>0</v>
      </c>
      <c r="K231" s="19"/>
      <c r="L231" s="19"/>
      <c r="M231" s="19"/>
      <c r="N231" s="19"/>
      <c r="O231" s="19"/>
      <c r="P231" s="19"/>
      <c r="Q231" s="20">
        <v>0</v>
      </c>
    </row>
    <row r="232" spans="1:17" ht="14.25" thickTop="1" thickBot="1">
      <c r="A232" s="110"/>
      <c r="B232" s="111"/>
      <c r="C232" s="22" t="s">
        <v>37</v>
      </c>
      <c r="D232" s="23">
        <v>0</v>
      </c>
      <c r="E232" s="23">
        <v>0</v>
      </c>
      <c r="F232" s="23">
        <v>0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  <c r="L232" s="23">
        <v>0</v>
      </c>
      <c r="M232" s="23">
        <v>0</v>
      </c>
      <c r="N232" s="23">
        <v>0</v>
      </c>
      <c r="O232" s="23">
        <v>0</v>
      </c>
      <c r="P232" s="23">
        <v>0</v>
      </c>
      <c r="Q232" s="23">
        <v>0</v>
      </c>
    </row>
    <row r="233" spans="1:17" ht="14.25" thickTop="1" thickBot="1">
      <c r="A233" s="110">
        <v>2</v>
      </c>
      <c r="B233" s="111" t="s">
        <v>31</v>
      </c>
      <c r="C233" s="24" t="s">
        <v>38</v>
      </c>
      <c r="D233" s="23"/>
      <c r="E233" s="23"/>
      <c r="F233" s="23"/>
      <c r="G233" s="23"/>
      <c r="H233" s="23"/>
      <c r="I233" s="25">
        <v>0</v>
      </c>
      <c r="J233" s="26">
        <v>0</v>
      </c>
      <c r="K233" s="23"/>
      <c r="L233" s="23"/>
      <c r="M233" s="23"/>
      <c r="N233" s="23"/>
      <c r="O233" s="23"/>
      <c r="P233" s="23"/>
      <c r="Q233" s="25">
        <v>0</v>
      </c>
    </row>
    <row r="234" spans="1:17" ht="14.25" thickTop="1" thickBot="1">
      <c r="A234" s="110"/>
      <c r="B234" s="111"/>
      <c r="C234" s="22" t="s">
        <v>39</v>
      </c>
      <c r="D234" s="23">
        <v>0</v>
      </c>
      <c r="E234" s="23">
        <v>0</v>
      </c>
      <c r="F234" s="23">
        <v>0</v>
      </c>
      <c r="G234" s="23">
        <v>0</v>
      </c>
      <c r="H234" s="23">
        <v>0</v>
      </c>
      <c r="I234" s="23">
        <v>0</v>
      </c>
      <c r="J234" s="23">
        <v>0</v>
      </c>
      <c r="K234" s="23">
        <v>0</v>
      </c>
      <c r="L234" s="23">
        <v>0</v>
      </c>
      <c r="M234" s="23">
        <v>0</v>
      </c>
      <c r="N234" s="23">
        <v>0</v>
      </c>
      <c r="O234" s="23">
        <v>0</v>
      </c>
      <c r="P234" s="23">
        <v>0</v>
      </c>
      <c r="Q234" s="23">
        <v>0</v>
      </c>
    </row>
    <row r="235" spans="1:17" ht="18.75" customHeight="1" thickTop="1" thickBot="1">
      <c r="A235" s="110"/>
      <c r="B235" s="27"/>
      <c r="C235" s="28" t="s">
        <v>40</v>
      </c>
      <c r="D235" s="25">
        <v>0</v>
      </c>
      <c r="E235" s="25">
        <v>0</v>
      </c>
      <c r="F235" s="25">
        <v>0</v>
      </c>
      <c r="G235" s="25">
        <v>0</v>
      </c>
      <c r="H235" s="25">
        <v>0</v>
      </c>
      <c r="I235" s="25">
        <v>0</v>
      </c>
      <c r="J235" s="25">
        <v>0</v>
      </c>
      <c r="K235" s="25">
        <v>0</v>
      </c>
      <c r="L235" s="25">
        <v>0</v>
      </c>
      <c r="M235" s="25">
        <v>0</v>
      </c>
      <c r="N235" s="25">
        <v>0</v>
      </c>
      <c r="O235" s="25">
        <v>0</v>
      </c>
      <c r="P235" s="25">
        <v>0</v>
      </c>
      <c r="Q235" s="25">
        <v>0</v>
      </c>
    </row>
    <row r="236" spans="1:17" ht="13.5" thickTop="1">
      <c r="A236" s="29"/>
      <c r="B236" s="30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</row>
    <row r="237" spans="1:17" ht="18.75" customHeight="1">
      <c r="A237" s="141" t="s">
        <v>22</v>
      </c>
      <c r="B237" s="141" t="s">
        <v>29</v>
      </c>
      <c r="C237" s="151" t="s">
        <v>33</v>
      </c>
      <c r="D237" s="12" t="str">
        <f t="shared" ref="D237:J238" si="53">D4</f>
        <v>मंजूर पदे</v>
      </c>
      <c r="E237" s="12" t="str">
        <f t="shared" si="53"/>
        <v>मंजूर पदे</v>
      </c>
      <c r="F237" s="138" t="str">
        <f t="shared" si="53"/>
        <v>विशेष वेतन</v>
      </c>
      <c r="G237" s="138" t="str">
        <f t="shared" si="53"/>
        <v>मुळ वेतन</v>
      </c>
      <c r="H237" s="138" t="str">
        <f t="shared" si="53"/>
        <v>ग्रेड वेतन</v>
      </c>
      <c r="I237" s="138" t="str">
        <f t="shared" si="53"/>
        <v>एकूण</v>
      </c>
      <c r="J237" s="138" t="str">
        <f t="shared" si="53"/>
        <v>महागाई भत्ता 25%</v>
      </c>
      <c r="K237" s="138" t="s">
        <v>58</v>
      </c>
      <c r="L237" s="138" t="s">
        <v>59</v>
      </c>
      <c r="M237" s="138" t="s">
        <v>60</v>
      </c>
      <c r="N237" s="138" t="s">
        <v>61</v>
      </c>
      <c r="O237" s="138" t="s">
        <v>63</v>
      </c>
      <c r="P237" s="138" t="s">
        <v>64</v>
      </c>
      <c r="Q237" s="138" t="s">
        <v>57</v>
      </c>
    </row>
    <row r="238" spans="1:17">
      <c r="A238" s="142"/>
      <c r="B238" s="142"/>
      <c r="C238" s="152"/>
      <c r="D238" s="13" t="str">
        <f t="shared" si="53"/>
        <v>2020-2021</v>
      </c>
      <c r="E238" s="13" t="str">
        <f t="shared" si="53"/>
        <v>2021-2022</v>
      </c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</row>
    <row r="239" spans="1:17">
      <c r="A239" s="143"/>
      <c r="B239" s="143"/>
      <c r="C239" s="144" t="s">
        <v>41</v>
      </c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6"/>
    </row>
    <row r="240" spans="1:17">
      <c r="A240" s="132">
        <v>1</v>
      </c>
      <c r="B240" s="134" t="s">
        <v>32</v>
      </c>
      <c r="C240" s="31" t="s">
        <v>42</v>
      </c>
      <c r="D240" s="15"/>
      <c r="E240" s="15"/>
      <c r="F240" s="15"/>
      <c r="G240" s="15"/>
      <c r="H240" s="15"/>
      <c r="I240" s="16">
        <v>0</v>
      </c>
      <c r="J240" s="17">
        <v>0</v>
      </c>
      <c r="K240" s="15"/>
      <c r="L240" s="15"/>
      <c r="M240" s="15"/>
      <c r="N240" s="15"/>
      <c r="O240" s="15"/>
      <c r="P240" s="15"/>
      <c r="Q240" s="16">
        <v>0</v>
      </c>
    </row>
    <row r="241" spans="1:17" ht="13.5" thickBot="1">
      <c r="A241" s="133"/>
      <c r="B241" s="135"/>
      <c r="C241" s="18" t="s">
        <v>43</v>
      </c>
      <c r="D241" s="32"/>
      <c r="E241" s="32"/>
      <c r="F241" s="32"/>
      <c r="G241" s="19"/>
      <c r="H241" s="19"/>
      <c r="I241" s="20">
        <v>0</v>
      </c>
      <c r="J241" s="21">
        <v>0</v>
      </c>
      <c r="K241" s="19"/>
      <c r="L241" s="19"/>
      <c r="M241" s="19"/>
      <c r="N241" s="19"/>
      <c r="O241" s="19"/>
      <c r="P241" s="19"/>
      <c r="Q241" s="20">
        <v>0</v>
      </c>
    </row>
    <row r="242" spans="1:17" ht="14.25" thickTop="1" thickBot="1">
      <c r="A242" s="110"/>
      <c r="B242" s="111"/>
      <c r="C242" s="22" t="s">
        <v>44</v>
      </c>
      <c r="D242" s="33">
        <v>0</v>
      </c>
      <c r="E242" s="33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3">
        <v>0</v>
      </c>
      <c r="O242" s="33">
        <v>0</v>
      </c>
      <c r="P242" s="33">
        <v>0</v>
      </c>
      <c r="Q242" s="33">
        <v>0</v>
      </c>
    </row>
    <row r="243" spans="1:17" ht="13.5" thickTop="1">
      <c r="A243" s="136">
        <v>2</v>
      </c>
      <c r="B243" s="137" t="s">
        <v>30</v>
      </c>
      <c r="C243" s="34" t="s">
        <v>35</v>
      </c>
      <c r="D243" s="35"/>
      <c r="E243" s="35"/>
      <c r="F243" s="35"/>
      <c r="G243" s="36"/>
      <c r="H243" s="36"/>
      <c r="I243" s="37">
        <v>0</v>
      </c>
      <c r="J243" s="38">
        <v>0</v>
      </c>
      <c r="K243" s="36"/>
      <c r="L243" s="36"/>
      <c r="M243" s="36"/>
      <c r="N243" s="36"/>
      <c r="O243" s="36"/>
      <c r="P243" s="36"/>
      <c r="Q243" s="37">
        <v>0</v>
      </c>
    </row>
    <row r="244" spans="1:17">
      <c r="A244" s="136"/>
      <c r="B244" s="137"/>
      <c r="C244" s="14" t="s">
        <v>45</v>
      </c>
      <c r="D244" s="39"/>
      <c r="E244" s="39"/>
      <c r="F244" s="39"/>
      <c r="G244" s="15"/>
      <c r="H244" s="15"/>
      <c r="I244" s="16">
        <v>0</v>
      </c>
      <c r="J244" s="17">
        <v>0</v>
      </c>
      <c r="K244" s="15"/>
      <c r="L244" s="15"/>
      <c r="M244" s="15"/>
      <c r="N244" s="15"/>
      <c r="O244" s="15"/>
      <c r="P244" s="15"/>
      <c r="Q244" s="16">
        <v>0</v>
      </c>
    </row>
    <row r="245" spans="1:17">
      <c r="A245" s="136"/>
      <c r="B245" s="137"/>
      <c r="C245" s="14" t="s">
        <v>46</v>
      </c>
      <c r="D245" s="39"/>
      <c r="E245" s="39"/>
      <c r="F245" s="39"/>
      <c r="G245" s="15"/>
      <c r="H245" s="15"/>
      <c r="I245" s="16">
        <v>0</v>
      </c>
      <c r="J245" s="17">
        <v>0</v>
      </c>
      <c r="K245" s="15"/>
      <c r="L245" s="15"/>
      <c r="M245" s="15"/>
      <c r="N245" s="15"/>
      <c r="O245" s="15"/>
      <c r="P245" s="15"/>
      <c r="Q245" s="16">
        <v>0</v>
      </c>
    </row>
    <row r="246" spans="1:17">
      <c r="A246" s="136"/>
      <c r="B246" s="137"/>
      <c r="C246" s="14" t="s">
        <v>47</v>
      </c>
      <c r="D246" s="39"/>
      <c r="E246" s="39"/>
      <c r="F246" s="39"/>
      <c r="G246" s="15"/>
      <c r="H246" s="15"/>
      <c r="I246" s="16">
        <v>0</v>
      </c>
      <c r="J246" s="17">
        <v>0</v>
      </c>
      <c r="K246" s="15"/>
      <c r="L246" s="15"/>
      <c r="M246" s="15"/>
      <c r="N246" s="15"/>
      <c r="O246" s="15"/>
      <c r="P246" s="15"/>
      <c r="Q246" s="16">
        <v>0</v>
      </c>
    </row>
    <row r="247" spans="1:17">
      <c r="A247" s="136"/>
      <c r="B247" s="137"/>
      <c r="C247" s="14" t="s">
        <v>48</v>
      </c>
      <c r="D247" s="39"/>
      <c r="E247" s="39"/>
      <c r="F247" s="39"/>
      <c r="G247" s="15"/>
      <c r="H247" s="15"/>
      <c r="I247" s="16">
        <v>0</v>
      </c>
      <c r="J247" s="17">
        <v>0</v>
      </c>
      <c r="K247" s="15"/>
      <c r="L247" s="15"/>
      <c r="M247" s="15"/>
      <c r="N247" s="15"/>
      <c r="O247" s="15"/>
      <c r="P247" s="15"/>
      <c r="Q247" s="16">
        <v>0</v>
      </c>
    </row>
    <row r="248" spans="1:17">
      <c r="A248" s="136"/>
      <c r="B248" s="137"/>
      <c r="C248" s="14" t="s">
        <v>36</v>
      </c>
      <c r="D248" s="39"/>
      <c r="E248" s="39"/>
      <c r="F248" s="39"/>
      <c r="G248" s="15"/>
      <c r="H248" s="15"/>
      <c r="I248" s="16">
        <v>0</v>
      </c>
      <c r="J248" s="17">
        <v>0</v>
      </c>
      <c r="K248" s="15"/>
      <c r="L248" s="15"/>
      <c r="M248" s="15"/>
      <c r="N248" s="15"/>
      <c r="O248" s="15"/>
      <c r="P248" s="15"/>
      <c r="Q248" s="16">
        <v>0</v>
      </c>
    </row>
    <row r="249" spans="1:17" ht="13.5" thickBot="1">
      <c r="A249" s="133"/>
      <c r="B249" s="135"/>
      <c r="C249" s="18" t="s">
        <v>49</v>
      </c>
      <c r="D249" s="32"/>
      <c r="E249" s="32"/>
      <c r="F249" s="32"/>
      <c r="G249" s="19"/>
      <c r="H249" s="19"/>
      <c r="I249" s="20">
        <v>0</v>
      </c>
      <c r="J249" s="21">
        <v>0</v>
      </c>
      <c r="K249" s="19"/>
      <c r="L249" s="19"/>
      <c r="M249" s="19"/>
      <c r="N249" s="19"/>
      <c r="O249" s="19"/>
      <c r="P249" s="19"/>
      <c r="Q249" s="20">
        <v>0</v>
      </c>
    </row>
    <row r="250" spans="1:17" ht="14.25" thickTop="1" thickBot="1">
      <c r="A250" s="110"/>
      <c r="B250" s="111"/>
      <c r="C250" s="22" t="s">
        <v>37</v>
      </c>
      <c r="D250" s="33">
        <v>0</v>
      </c>
      <c r="E250" s="33">
        <v>0</v>
      </c>
      <c r="F250" s="33">
        <v>0</v>
      </c>
      <c r="G250" s="33">
        <v>0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</row>
    <row r="251" spans="1:17" ht="13.5" thickTop="1">
      <c r="A251" s="98">
        <v>3</v>
      </c>
      <c r="B251" s="40" t="s">
        <v>31</v>
      </c>
      <c r="C251" s="34" t="s">
        <v>38</v>
      </c>
      <c r="D251" s="35"/>
      <c r="E251" s="35"/>
      <c r="F251" s="35"/>
      <c r="G251" s="36"/>
      <c r="H251" s="36"/>
      <c r="I251" s="37">
        <v>0</v>
      </c>
      <c r="J251" s="38">
        <v>0</v>
      </c>
      <c r="K251" s="36"/>
      <c r="L251" s="36"/>
      <c r="M251" s="36"/>
      <c r="N251" s="36"/>
      <c r="O251" s="36"/>
      <c r="P251" s="36"/>
      <c r="Q251" s="37">
        <v>0</v>
      </c>
    </row>
    <row r="252" spans="1:17" ht="13.5" thickBot="1">
      <c r="A252" s="41"/>
      <c r="B252" s="42"/>
      <c r="C252" s="18" t="s">
        <v>50</v>
      </c>
      <c r="D252" s="32"/>
      <c r="E252" s="32"/>
      <c r="F252" s="32"/>
      <c r="G252" s="19"/>
      <c r="H252" s="19"/>
      <c r="I252" s="20">
        <v>0</v>
      </c>
      <c r="J252" s="21">
        <v>0</v>
      </c>
      <c r="K252" s="19"/>
      <c r="L252" s="19"/>
      <c r="M252" s="19"/>
      <c r="N252" s="19"/>
      <c r="O252" s="19"/>
      <c r="P252" s="19"/>
      <c r="Q252" s="20">
        <v>0</v>
      </c>
    </row>
    <row r="253" spans="1:17" ht="14.25" thickTop="1" thickBot="1">
      <c r="A253" s="110"/>
      <c r="B253" s="27"/>
      <c r="C253" s="22" t="s">
        <v>39</v>
      </c>
      <c r="D253" s="33">
        <v>0</v>
      </c>
      <c r="E253" s="33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</row>
    <row r="254" spans="1:17" ht="14.25" thickTop="1" thickBot="1">
      <c r="A254" s="110"/>
      <c r="B254" s="27"/>
      <c r="C254" s="22" t="s">
        <v>51</v>
      </c>
      <c r="D254" s="33">
        <v>0</v>
      </c>
      <c r="E254" s="33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3">
        <v>0</v>
      </c>
      <c r="O254" s="33">
        <v>0</v>
      </c>
      <c r="P254" s="33">
        <v>0</v>
      </c>
      <c r="Q254" s="33">
        <v>0</v>
      </c>
    </row>
    <row r="255" spans="1:17" ht="13.5" thickTop="1">
      <c r="C255" s="44"/>
    </row>
    <row r="256" spans="1:17">
      <c r="A256" s="140" t="str">
        <f>$A$1</f>
        <v>प्रपत्र - ड  -  अर्थसंकल्पीय अंदाजपत्रक सन 2021-2022</v>
      </c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</row>
    <row r="257" spans="1:17">
      <c r="A257" s="140" t="s">
        <v>19</v>
      </c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</row>
    <row r="258" spans="1:17">
      <c r="A258" s="156" t="s">
        <v>28</v>
      </c>
      <c r="B258" s="156"/>
      <c r="C258" s="156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53" t="s">
        <v>62</v>
      </c>
      <c r="P258" s="153"/>
      <c r="Q258" s="153"/>
    </row>
    <row r="259" spans="1:17" ht="18.75" customHeight="1">
      <c r="A259" s="141" t="s">
        <v>21</v>
      </c>
      <c r="B259" s="141" t="s">
        <v>29</v>
      </c>
      <c r="C259" s="151" t="s">
        <v>33</v>
      </c>
      <c r="D259" s="12" t="str">
        <f t="shared" ref="D259:J260" si="54">D4</f>
        <v>मंजूर पदे</v>
      </c>
      <c r="E259" s="12" t="str">
        <f t="shared" si="54"/>
        <v>मंजूर पदे</v>
      </c>
      <c r="F259" s="138" t="str">
        <f t="shared" si="54"/>
        <v>विशेष वेतन</v>
      </c>
      <c r="G259" s="138" t="str">
        <f t="shared" si="54"/>
        <v>मुळ वेतन</v>
      </c>
      <c r="H259" s="138" t="str">
        <f t="shared" si="54"/>
        <v>ग्रेड वेतन</v>
      </c>
      <c r="I259" s="138" t="str">
        <f t="shared" si="54"/>
        <v>एकूण</v>
      </c>
      <c r="J259" s="138" t="str">
        <f t="shared" si="54"/>
        <v>महागाई भत्ता 25%</v>
      </c>
      <c r="K259" s="138" t="s">
        <v>58</v>
      </c>
      <c r="L259" s="138" t="s">
        <v>59</v>
      </c>
      <c r="M259" s="138" t="s">
        <v>60</v>
      </c>
      <c r="N259" s="138" t="s">
        <v>61</v>
      </c>
      <c r="O259" s="138" t="s">
        <v>63</v>
      </c>
      <c r="P259" s="138" t="s">
        <v>64</v>
      </c>
      <c r="Q259" s="138" t="s">
        <v>57</v>
      </c>
    </row>
    <row r="260" spans="1:17">
      <c r="A260" s="142"/>
      <c r="B260" s="142"/>
      <c r="C260" s="152"/>
      <c r="D260" s="13" t="str">
        <f t="shared" si="54"/>
        <v>2020-2021</v>
      </c>
      <c r="E260" s="13" t="str">
        <f t="shared" si="54"/>
        <v>2021-2022</v>
      </c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</row>
    <row r="261" spans="1:17">
      <c r="A261" s="143"/>
      <c r="B261" s="143"/>
      <c r="C261" s="148" t="s">
        <v>34</v>
      </c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50"/>
    </row>
    <row r="262" spans="1:17">
      <c r="A262" s="132">
        <v>1</v>
      </c>
      <c r="B262" s="134" t="s">
        <v>30</v>
      </c>
      <c r="C262" s="14" t="s">
        <v>35</v>
      </c>
      <c r="D262" s="15">
        <f>SUM(D7+D39+D71+D102+D134+D166+D198+D230)</f>
        <v>1</v>
      </c>
      <c r="E262" s="15">
        <f t="shared" ref="E262:Q265" si="55">SUM(E7+E39+E71+E102+E134+E166+E198+E230)</f>
        <v>1</v>
      </c>
      <c r="F262" s="15">
        <f t="shared" si="55"/>
        <v>0</v>
      </c>
      <c r="G262" s="15">
        <f t="shared" si="55"/>
        <v>460</v>
      </c>
      <c r="H262" s="15">
        <f t="shared" si="55"/>
        <v>0</v>
      </c>
      <c r="I262" s="15">
        <f t="shared" si="55"/>
        <v>460</v>
      </c>
      <c r="J262" s="15">
        <f t="shared" si="55"/>
        <v>115</v>
      </c>
      <c r="K262" s="15">
        <f t="shared" si="55"/>
        <v>5</v>
      </c>
      <c r="L262" s="15">
        <f t="shared" si="55"/>
        <v>37</v>
      </c>
      <c r="M262" s="15">
        <f t="shared" si="55"/>
        <v>0</v>
      </c>
      <c r="N262" s="15">
        <f t="shared" si="55"/>
        <v>0</v>
      </c>
      <c r="O262" s="15">
        <f t="shared" si="55"/>
        <v>0</v>
      </c>
      <c r="P262" s="15">
        <f t="shared" si="55"/>
        <v>0</v>
      </c>
      <c r="Q262" s="15">
        <f t="shared" si="55"/>
        <v>617</v>
      </c>
    </row>
    <row r="263" spans="1:17" ht="13.5" thickBot="1">
      <c r="A263" s="133"/>
      <c r="B263" s="135"/>
      <c r="C263" s="18" t="s">
        <v>36</v>
      </c>
      <c r="D263" s="15">
        <f>SUM(D8+D40+D72+D103+D135+D167+D199+D231)</f>
        <v>2</v>
      </c>
      <c r="E263" s="15">
        <f t="shared" si="55"/>
        <v>2</v>
      </c>
      <c r="F263" s="15">
        <f t="shared" si="55"/>
        <v>0</v>
      </c>
      <c r="G263" s="15">
        <f t="shared" si="55"/>
        <v>806</v>
      </c>
      <c r="H263" s="15">
        <f t="shared" si="55"/>
        <v>0</v>
      </c>
      <c r="I263" s="15">
        <f t="shared" si="55"/>
        <v>806</v>
      </c>
      <c r="J263" s="15">
        <f>SUM(J8+J40+J72+J103+J135+J167+J199+J231)-1</f>
        <v>201</v>
      </c>
      <c r="K263" s="15">
        <f t="shared" si="55"/>
        <v>5</v>
      </c>
      <c r="L263" s="15">
        <f t="shared" si="55"/>
        <v>70</v>
      </c>
      <c r="M263" s="15">
        <f t="shared" si="55"/>
        <v>5</v>
      </c>
      <c r="N263" s="15">
        <f t="shared" si="55"/>
        <v>0</v>
      </c>
      <c r="O263" s="15">
        <f t="shared" si="55"/>
        <v>0</v>
      </c>
      <c r="P263" s="15">
        <f t="shared" si="55"/>
        <v>0</v>
      </c>
      <c r="Q263" s="15">
        <f>SUM(Q8+Q40+Q72+Q103+Q135+Q167+Q199+Q231)-1</f>
        <v>1087</v>
      </c>
    </row>
    <row r="264" spans="1:17" ht="14.25" thickTop="1" thickBot="1">
      <c r="A264" s="110"/>
      <c r="B264" s="111"/>
      <c r="C264" s="22" t="s">
        <v>37</v>
      </c>
      <c r="D264" s="23">
        <f>SUM(D262:D263)</f>
        <v>3</v>
      </c>
      <c r="E264" s="23">
        <f t="shared" ref="E264:P264" si="56">SUM(E262:E263)</f>
        <v>3</v>
      </c>
      <c r="F264" s="23">
        <f t="shared" si="56"/>
        <v>0</v>
      </c>
      <c r="G264" s="23">
        <f t="shared" si="56"/>
        <v>1266</v>
      </c>
      <c r="H264" s="23">
        <f t="shared" si="56"/>
        <v>0</v>
      </c>
      <c r="I264" s="23">
        <f t="shared" si="56"/>
        <v>1266</v>
      </c>
      <c r="J264" s="23">
        <f t="shared" si="56"/>
        <v>316</v>
      </c>
      <c r="K264" s="23">
        <f t="shared" si="56"/>
        <v>10</v>
      </c>
      <c r="L264" s="23">
        <f t="shared" si="56"/>
        <v>107</v>
      </c>
      <c r="M264" s="23">
        <f t="shared" si="56"/>
        <v>5</v>
      </c>
      <c r="N264" s="23">
        <f t="shared" si="56"/>
        <v>0</v>
      </c>
      <c r="O264" s="23">
        <f t="shared" si="56"/>
        <v>0</v>
      </c>
      <c r="P264" s="23">
        <f t="shared" si="56"/>
        <v>0</v>
      </c>
      <c r="Q264" s="23">
        <f>SUM(Q262:Q263)</f>
        <v>1704</v>
      </c>
    </row>
    <row r="265" spans="1:17" ht="14.25" thickTop="1" thickBot="1">
      <c r="A265" s="110">
        <v>2</v>
      </c>
      <c r="B265" s="111" t="s">
        <v>31</v>
      </c>
      <c r="C265" s="24" t="s">
        <v>38</v>
      </c>
      <c r="D265" s="15">
        <f>SUM(D10+D42+D74+D105+D137+D169+D201+D233)</f>
        <v>1</v>
      </c>
      <c r="E265" s="15">
        <f t="shared" si="55"/>
        <v>1</v>
      </c>
      <c r="F265" s="15">
        <f t="shared" si="55"/>
        <v>0</v>
      </c>
      <c r="G265" s="15">
        <f t="shared" si="55"/>
        <v>211</v>
      </c>
      <c r="H265" s="15">
        <f t="shared" si="55"/>
        <v>0</v>
      </c>
      <c r="I265" s="15">
        <f t="shared" si="55"/>
        <v>211</v>
      </c>
      <c r="J265" s="15">
        <f t="shared" si="55"/>
        <v>53</v>
      </c>
      <c r="K265" s="15">
        <f t="shared" si="55"/>
        <v>5</v>
      </c>
      <c r="L265" s="15">
        <f t="shared" si="55"/>
        <v>17</v>
      </c>
      <c r="M265" s="15">
        <f t="shared" si="55"/>
        <v>0</v>
      </c>
      <c r="N265" s="15">
        <f t="shared" si="55"/>
        <v>1</v>
      </c>
      <c r="O265" s="15">
        <f t="shared" si="55"/>
        <v>0</v>
      </c>
      <c r="P265" s="15">
        <f t="shared" si="55"/>
        <v>0</v>
      </c>
      <c r="Q265" s="15">
        <f t="shared" si="55"/>
        <v>287</v>
      </c>
    </row>
    <row r="266" spans="1:17" ht="14.25" thickTop="1" thickBot="1">
      <c r="A266" s="110"/>
      <c r="B266" s="111"/>
      <c r="C266" s="22" t="s">
        <v>39</v>
      </c>
      <c r="D266" s="23">
        <f>SUM(D265)</f>
        <v>1</v>
      </c>
      <c r="E266" s="23">
        <f t="shared" ref="E266:Q266" si="57">SUM(E265)</f>
        <v>1</v>
      </c>
      <c r="F266" s="23">
        <f t="shared" si="57"/>
        <v>0</v>
      </c>
      <c r="G266" s="23">
        <f t="shared" si="57"/>
        <v>211</v>
      </c>
      <c r="H266" s="23">
        <f t="shared" si="57"/>
        <v>0</v>
      </c>
      <c r="I266" s="23">
        <f t="shared" si="57"/>
        <v>211</v>
      </c>
      <c r="J266" s="23">
        <f t="shared" si="57"/>
        <v>53</v>
      </c>
      <c r="K266" s="23">
        <f t="shared" si="57"/>
        <v>5</v>
      </c>
      <c r="L266" s="23">
        <f t="shared" si="57"/>
        <v>17</v>
      </c>
      <c r="M266" s="23">
        <f t="shared" si="57"/>
        <v>0</v>
      </c>
      <c r="N266" s="23">
        <f t="shared" si="57"/>
        <v>1</v>
      </c>
      <c r="O266" s="23">
        <f t="shared" si="57"/>
        <v>0</v>
      </c>
      <c r="P266" s="23">
        <f t="shared" si="57"/>
        <v>0</v>
      </c>
      <c r="Q266" s="23">
        <f t="shared" si="57"/>
        <v>287</v>
      </c>
    </row>
    <row r="267" spans="1:17" ht="18.75" customHeight="1" thickTop="1" thickBot="1">
      <c r="A267" s="110"/>
      <c r="B267" s="27"/>
      <c r="C267" s="28" t="s">
        <v>40</v>
      </c>
      <c r="D267" s="25">
        <f>SUM(D266,D264)</f>
        <v>4</v>
      </c>
      <c r="E267" s="25">
        <f t="shared" ref="E267:Q267" si="58">SUM(E266,E264)</f>
        <v>4</v>
      </c>
      <c r="F267" s="25">
        <f t="shared" si="58"/>
        <v>0</v>
      </c>
      <c r="G267" s="25">
        <f t="shared" si="58"/>
        <v>1477</v>
      </c>
      <c r="H267" s="25">
        <f t="shared" si="58"/>
        <v>0</v>
      </c>
      <c r="I267" s="25">
        <f t="shared" si="58"/>
        <v>1477</v>
      </c>
      <c r="J267" s="25">
        <f t="shared" si="58"/>
        <v>369</v>
      </c>
      <c r="K267" s="25">
        <f t="shared" si="58"/>
        <v>15</v>
      </c>
      <c r="L267" s="25">
        <f t="shared" si="58"/>
        <v>124</v>
      </c>
      <c r="M267" s="25">
        <f t="shared" si="58"/>
        <v>5</v>
      </c>
      <c r="N267" s="25">
        <f t="shared" si="58"/>
        <v>1</v>
      </c>
      <c r="O267" s="25">
        <f t="shared" si="58"/>
        <v>0</v>
      </c>
      <c r="P267" s="25">
        <f t="shared" si="58"/>
        <v>0</v>
      </c>
      <c r="Q267" s="25">
        <f t="shared" si="58"/>
        <v>1991</v>
      </c>
    </row>
    <row r="268" spans="1:17" ht="7.5" customHeight="1" thickTop="1">
      <c r="A268" s="29"/>
      <c r="B268" s="30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</row>
    <row r="269" spans="1:17" ht="18.75" customHeight="1">
      <c r="A269" s="141" t="s">
        <v>22</v>
      </c>
      <c r="B269" s="141" t="s">
        <v>29</v>
      </c>
      <c r="C269" s="151" t="s">
        <v>33</v>
      </c>
      <c r="D269" s="12" t="str">
        <f t="shared" ref="D269:J270" si="59">D4</f>
        <v>मंजूर पदे</v>
      </c>
      <c r="E269" s="12" t="str">
        <f t="shared" si="59"/>
        <v>मंजूर पदे</v>
      </c>
      <c r="F269" s="138" t="str">
        <f t="shared" si="59"/>
        <v>विशेष वेतन</v>
      </c>
      <c r="G269" s="138" t="str">
        <f t="shared" si="59"/>
        <v>मुळ वेतन</v>
      </c>
      <c r="H269" s="138" t="str">
        <f t="shared" si="59"/>
        <v>ग्रेड वेतन</v>
      </c>
      <c r="I269" s="138" t="str">
        <f t="shared" si="59"/>
        <v>एकूण</v>
      </c>
      <c r="J269" s="138" t="str">
        <f t="shared" si="59"/>
        <v>महागाई भत्ता 25%</v>
      </c>
      <c r="K269" s="138" t="s">
        <v>58</v>
      </c>
      <c r="L269" s="138" t="s">
        <v>59</v>
      </c>
      <c r="M269" s="138" t="s">
        <v>60</v>
      </c>
      <c r="N269" s="138" t="s">
        <v>61</v>
      </c>
      <c r="O269" s="138" t="s">
        <v>63</v>
      </c>
      <c r="P269" s="138" t="s">
        <v>64</v>
      </c>
      <c r="Q269" s="138" t="s">
        <v>57</v>
      </c>
    </row>
    <row r="270" spans="1:17">
      <c r="A270" s="142"/>
      <c r="B270" s="142"/>
      <c r="C270" s="152"/>
      <c r="D270" s="13" t="str">
        <f t="shared" si="59"/>
        <v>2020-2021</v>
      </c>
      <c r="E270" s="13" t="str">
        <f t="shared" si="59"/>
        <v>2021-2022</v>
      </c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</row>
    <row r="271" spans="1:17">
      <c r="A271" s="143"/>
      <c r="B271" s="143"/>
      <c r="C271" s="144" t="s">
        <v>41</v>
      </c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6"/>
    </row>
    <row r="272" spans="1:17">
      <c r="A272" s="132">
        <v>1</v>
      </c>
      <c r="B272" s="134" t="s">
        <v>32</v>
      </c>
      <c r="C272" s="31" t="s">
        <v>42</v>
      </c>
      <c r="D272" s="15">
        <f t="shared" ref="D272:P272" si="60">SUM(D17+D49+D81+D112+D144+D176+D208+D240)</f>
        <v>8</v>
      </c>
      <c r="E272" s="15">
        <f t="shared" si="60"/>
        <v>8</v>
      </c>
      <c r="F272" s="15">
        <f t="shared" si="60"/>
        <v>0</v>
      </c>
      <c r="G272" s="15">
        <f t="shared" si="60"/>
        <v>8037</v>
      </c>
      <c r="H272" s="15">
        <f t="shared" si="60"/>
        <v>0</v>
      </c>
      <c r="I272" s="15">
        <f t="shared" si="60"/>
        <v>8037</v>
      </c>
      <c r="J272" s="15">
        <f>SUM(J17+J49+J81+J112+J144+J176+J208+J240)</f>
        <v>2009</v>
      </c>
      <c r="K272" s="15">
        <f t="shared" si="60"/>
        <v>30</v>
      </c>
      <c r="L272" s="15">
        <f t="shared" si="60"/>
        <v>1454</v>
      </c>
      <c r="M272" s="15">
        <f t="shared" si="60"/>
        <v>129</v>
      </c>
      <c r="N272" s="15">
        <f t="shared" si="60"/>
        <v>0</v>
      </c>
      <c r="O272" s="15">
        <f t="shared" si="60"/>
        <v>0</v>
      </c>
      <c r="P272" s="15">
        <f t="shared" si="60"/>
        <v>0</v>
      </c>
      <c r="Q272" s="15">
        <f>SUM(Q17+Q49+Q81+Q112+Q144+Q176+Q208+Q240)</f>
        <v>11659</v>
      </c>
    </row>
    <row r="273" spans="1:17" ht="13.5" thickBot="1">
      <c r="A273" s="133"/>
      <c r="B273" s="135"/>
      <c r="C273" s="18" t="s">
        <v>43</v>
      </c>
      <c r="D273" s="19">
        <f t="shared" ref="D273:P273" si="61">SUM(D18+D50+D82+D113+D145+D177+D209+D241)</f>
        <v>1</v>
      </c>
      <c r="E273" s="19">
        <f t="shared" si="61"/>
        <v>2</v>
      </c>
      <c r="F273" s="19">
        <f t="shared" si="61"/>
        <v>0</v>
      </c>
      <c r="G273" s="19">
        <f t="shared" si="61"/>
        <v>964</v>
      </c>
      <c r="H273" s="19">
        <f t="shared" si="61"/>
        <v>0</v>
      </c>
      <c r="I273" s="19">
        <f t="shared" si="61"/>
        <v>964</v>
      </c>
      <c r="J273" s="19">
        <f>SUM(J18+J50+J82+J113+J145+J177+J209+J241)</f>
        <v>240</v>
      </c>
      <c r="K273" s="19">
        <f t="shared" si="61"/>
        <v>8</v>
      </c>
      <c r="L273" s="19">
        <f t="shared" si="61"/>
        <v>260</v>
      </c>
      <c r="M273" s="19">
        <f t="shared" si="61"/>
        <v>19</v>
      </c>
      <c r="N273" s="19">
        <f t="shared" si="61"/>
        <v>0</v>
      </c>
      <c r="O273" s="19">
        <f t="shared" si="61"/>
        <v>0</v>
      </c>
      <c r="P273" s="19">
        <f t="shared" si="61"/>
        <v>0</v>
      </c>
      <c r="Q273" s="19">
        <f>SUM(Q18+Q50+Q82+Q113+Q145+Q177+Q209+Q241)</f>
        <v>1491</v>
      </c>
    </row>
    <row r="274" spans="1:17" ht="14.25" thickTop="1" thickBot="1">
      <c r="A274" s="110"/>
      <c r="B274" s="111"/>
      <c r="C274" s="22" t="s">
        <v>44</v>
      </c>
      <c r="D274" s="33">
        <f>SUM(D272:D273)</f>
        <v>9</v>
      </c>
      <c r="E274" s="33">
        <f t="shared" ref="E274:Q274" si="62">SUM(E272:E273)</f>
        <v>10</v>
      </c>
      <c r="F274" s="33">
        <f t="shared" si="62"/>
        <v>0</v>
      </c>
      <c r="G274" s="33">
        <f t="shared" si="62"/>
        <v>9001</v>
      </c>
      <c r="H274" s="33">
        <f t="shared" si="62"/>
        <v>0</v>
      </c>
      <c r="I274" s="33">
        <f t="shared" si="62"/>
        <v>9001</v>
      </c>
      <c r="J274" s="33">
        <f t="shared" si="62"/>
        <v>2249</v>
      </c>
      <c r="K274" s="33">
        <f t="shared" si="62"/>
        <v>38</v>
      </c>
      <c r="L274" s="33">
        <f t="shared" si="62"/>
        <v>1714</v>
      </c>
      <c r="M274" s="33">
        <f t="shared" si="62"/>
        <v>148</v>
      </c>
      <c r="N274" s="33">
        <f t="shared" si="62"/>
        <v>0</v>
      </c>
      <c r="O274" s="33">
        <f t="shared" si="62"/>
        <v>0</v>
      </c>
      <c r="P274" s="33">
        <f t="shared" si="62"/>
        <v>0</v>
      </c>
      <c r="Q274" s="33">
        <f t="shared" si="62"/>
        <v>13150</v>
      </c>
    </row>
    <row r="275" spans="1:17" ht="13.5" thickTop="1">
      <c r="A275" s="136">
        <v>2</v>
      </c>
      <c r="B275" s="137" t="s">
        <v>30</v>
      </c>
      <c r="C275" s="34" t="s">
        <v>35</v>
      </c>
      <c r="D275" s="15">
        <f t="shared" ref="D275:P275" si="63">SUM(D20+D52+D84+D115+D147+D179+D211+D243)</f>
        <v>16</v>
      </c>
      <c r="E275" s="15">
        <f t="shared" si="63"/>
        <v>16</v>
      </c>
      <c r="F275" s="15">
        <f t="shared" si="63"/>
        <v>0</v>
      </c>
      <c r="G275" s="15">
        <f t="shared" si="63"/>
        <v>8254</v>
      </c>
      <c r="H275" s="15">
        <f t="shared" si="63"/>
        <v>0</v>
      </c>
      <c r="I275" s="15">
        <f t="shared" si="63"/>
        <v>8254</v>
      </c>
      <c r="J275" s="15">
        <f>SUM(J20+J52+J84+J115+J147+J179+J211+J243)-1</f>
        <v>2063</v>
      </c>
      <c r="K275" s="15">
        <f t="shared" si="63"/>
        <v>43</v>
      </c>
      <c r="L275" s="15">
        <f t="shared" si="63"/>
        <v>1421</v>
      </c>
      <c r="M275" s="15">
        <f t="shared" si="63"/>
        <v>68</v>
      </c>
      <c r="N275" s="15">
        <f t="shared" si="63"/>
        <v>9</v>
      </c>
      <c r="O275" s="15">
        <f t="shared" si="63"/>
        <v>0</v>
      </c>
      <c r="P275" s="15">
        <f t="shared" si="63"/>
        <v>0</v>
      </c>
      <c r="Q275" s="15">
        <f>SUM(Q20+Q52+Q84+Q115+Q147+Q179+Q211+Q243)-1</f>
        <v>11858</v>
      </c>
    </row>
    <row r="276" spans="1:17">
      <c r="A276" s="136"/>
      <c r="B276" s="137"/>
      <c r="C276" s="14" t="s">
        <v>45</v>
      </c>
      <c r="D276" s="15">
        <f t="shared" ref="D276:Q276" si="64">SUM(D21+D53+D85+D116+D148+D180+D212+D244)</f>
        <v>1</v>
      </c>
      <c r="E276" s="15">
        <f t="shared" si="64"/>
        <v>0</v>
      </c>
      <c r="F276" s="15">
        <f t="shared" si="64"/>
        <v>0</v>
      </c>
      <c r="G276" s="15">
        <f t="shared" si="64"/>
        <v>0</v>
      </c>
      <c r="H276" s="15">
        <f t="shared" si="64"/>
        <v>0</v>
      </c>
      <c r="I276" s="15">
        <f t="shared" si="64"/>
        <v>0</v>
      </c>
      <c r="J276" s="15">
        <f t="shared" si="64"/>
        <v>0</v>
      </c>
      <c r="K276" s="15">
        <f t="shared" si="64"/>
        <v>0</v>
      </c>
      <c r="L276" s="15">
        <f t="shared" si="64"/>
        <v>0</v>
      </c>
      <c r="M276" s="15">
        <f t="shared" si="64"/>
        <v>0</v>
      </c>
      <c r="N276" s="15">
        <f t="shared" si="64"/>
        <v>0</v>
      </c>
      <c r="O276" s="15">
        <f t="shared" si="64"/>
        <v>0</v>
      </c>
      <c r="P276" s="15">
        <f t="shared" si="64"/>
        <v>0</v>
      </c>
      <c r="Q276" s="15">
        <f t="shared" si="64"/>
        <v>0</v>
      </c>
    </row>
    <row r="277" spans="1:17">
      <c r="A277" s="136"/>
      <c r="B277" s="137"/>
      <c r="C277" s="14" t="s">
        <v>46</v>
      </c>
      <c r="D277" s="15">
        <f t="shared" ref="D277:P277" si="65">SUM(D22+D54+D86+D117+D149+D181+D213+D245)</f>
        <v>1</v>
      </c>
      <c r="E277" s="15">
        <f t="shared" si="65"/>
        <v>1</v>
      </c>
      <c r="F277" s="15">
        <f t="shared" si="65"/>
        <v>0</v>
      </c>
      <c r="G277" s="15">
        <f t="shared" si="65"/>
        <v>890</v>
      </c>
      <c r="H277" s="15">
        <f t="shared" si="65"/>
        <v>0</v>
      </c>
      <c r="I277" s="15">
        <f t="shared" si="65"/>
        <v>890</v>
      </c>
      <c r="J277" s="15">
        <f>SUM(J22+J54+J86+J117+J149+J181+J213+J245)</f>
        <v>223</v>
      </c>
      <c r="K277" s="15">
        <f t="shared" si="65"/>
        <v>4</v>
      </c>
      <c r="L277" s="15">
        <f t="shared" si="65"/>
        <v>240</v>
      </c>
      <c r="M277" s="15">
        <f t="shared" si="65"/>
        <v>5</v>
      </c>
      <c r="N277" s="15">
        <f t="shared" si="65"/>
        <v>0</v>
      </c>
      <c r="O277" s="15">
        <f t="shared" si="65"/>
        <v>0</v>
      </c>
      <c r="P277" s="15">
        <f t="shared" si="65"/>
        <v>0</v>
      </c>
      <c r="Q277" s="15">
        <f>SUM(Q22+Q54+Q86+Q117+Q149+Q181+Q213+Q245)</f>
        <v>1362</v>
      </c>
    </row>
    <row r="278" spans="1:17">
      <c r="A278" s="136"/>
      <c r="B278" s="137"/>
      <c r="C278" s="14" t="s">
        <v>47</v>
      </c>
      <c r="D278" s="15">
        <f t="shared" ref="D278:P278" si="66">SUM(D23+D55+D87+D118+D150+D182+D214+D246)</f>
        <v>14</v>
      </c>
      <c r="E278" s="15">
        <f t="shared" si="66"/>
        <v>14</v>
      </c>
      <c r="F278" s="15">
        <f t="shared" si="66"/>
        <v>0</v>
      </c>
      <c r="G278" s="15">
        <f t="shared" si="66"/>
        <v>7555</v>
      </c>
      <c r="H278" s="15">
        <f t="shared" si="66"/>
        <v>0</v>
      </c>
      <c r="I278" s="15">
        <f t="shared" si="66"/>
        <v>7555</v>
      </c>
      <c r="J278" s="15">
        <f>SUM(J23+J55+J87+J118+J150+J182+J214+J246)</f>
        <v>1889</v>
      </c>
      <c r="K278" s="15">
        <f t="shared" si="66"/>
        <v>37</v>
      </c>
      <c r="L278" s="15">
        <f t="shared" si="66"/>
        <v>1131</v>
      </c>
      <c r="M278" s="15">
        <f t="shared" si="66"/>
        <v>48</v>
      </c>
      <c r="N278" s="15">
        <f t="shared" si="66"/>
        <v>0</v>
      </c>
      <c r="O278" s="15">
        <f t="shared" si="66"/>
        <v>0</v>
      </c>
      <c r="P278" s="15">
        <f t="shared" si="66"/>
        <v>0</v>
      </c>
      <c r="Q278" s="15">
        <f>SUM(Q23+Q55+Q87+Q118+Q150+Q182+Q214+Q246)</f>
        <v>10660</v>
      </c>
    </row>
    <row r="279" spans="1:17">
      <c r="A279" s="136"/>
      <c r="B279" s="137"/>
      <c r="C279" s="14" t="s">
        <v>48</v>
      </c>
      <c r="D279" s="15">
        <f t="shared" ref="D279:P279" si="67">SUM(D24+D56+D88+D119+D151+D183+D215+D247)</f>
        <v>3</v>
      </c>
      <c r="E279" s="15">
        <f t="shared" si="67"/>
        <v>3</v>
      </c>
      <c r="F279" s="15">
        <f t="shared" si="67"/>
        <v>0</v>
      </c>
      <c r="G279" s="15">
        <f t="shared" si="67"/>
        <v>1474</v>
      </c>
      <c r="H279" s="15">
        <f t="shared" si="67"/>
        <v>0</v>
      </c>
      <c r="I279" s="15">
        <f t="shared" si="67"/>
        <v>1474</v>
      </c>
      <c r="J279" s="15">
        <f>SUM(J24+J56+J88+J119+J151+J183+J215+J247)</f>
        <v>369</v>
      </c>
      <c r="K279" s="15">
        <f t="shared" si="67"/>
        <v>12</v>
      </c>
      <c r="L279" s="15">
        <f t="shared" si="67"/>
        <v>285</v>
      </c>
      <c r="M279" s="15">
        <f t="shared" si="67"/>
        <v>9</v>
      </c>
      <c r="N279" s="15">
        <f t="shared" si="67"/>
        <v>0</v>
      </c>
      <c r="O279" s="15">
        <f t="shared" si="67"/>
        <v>0</v>
      </c>
      <c r="P279" s="15">
        <f t="shared" si="67"/>
        <v>0</v>
      </c>
      <c r="Q279" s="15">
        <f>SUM(Q24+Q56+Q88+Q119+Q151+Q183+Q215+Q247)</f>
        <v>2149</v>
      </c>
    </row>
    <row r="280" spans="1:17">
      <c r="A280" s="136"/>
      <c r="B280" s="137"/>
      <c r="C280" s="14" t="s">
        <v>36</v>
      </c>
      <c r="D280" s="15">
        <f t="shared" ref="D280:P280" si="68">SUM(D25+D57+D89+D120+D152+D184+D216+D248)</f>
        <v>13</v>
      </c>
      <c r="E280" s="15">
        <f t="shared" si="68"/>
        <v>13</v>
      </c>
      <c r="F280" s="15">
        <f t="shared" si="68"/>
        <v>0</v>
      </c>
      <c r="G280" s="15">
        <f t="shared" si="68"/>
        <v>4011</v>
      </c>
      <c r="H280" s="15">
        <f t="shared" si="68"/>
        <v>0</v>
      </c>
      <c r="I280" s="15">
        <f t="shared" si="68"/>
        <v>4011</v>
      </c>
      <c r="J280" s="15">
        <f>SUM(J25+J57+J89+J120+J152+J184+J216+J248)-1</f>
        <v>1002</v>
      </c>
      <c r="K280" s="15">
        <f t="shared" si="68"/>
        <v>34</v>
      </c>
      <c r="L280" s="15">
        <f t="shared" si="68"/>
        <v>613</v>
      </c>
      <c r="M280" s="15">
        <f t="shared" si="68"/>
        <v>54</v>
      </c>
      <c r="N280" s="15">
        <f t="shared" si="68"/>
        <v>6</v>
      </c>
      <c r="O280" s="15">
        <f t="shared" si="68"/>
        <v>0</v>
      </c>
      <c r="P280" s="15">
        <f t="shared" si="68"/>
        <v>0</v>
      </c>
      <c r="Q280" s="15">
        <f>SUM(Q25+Q57+Q89+Q120+Q152+Q184+Q216+Q248)-1</f>
        <v>5720</v>
      </c>
    </row>
    <row r="281" spans="1:17" ht="13.5" thickBot="1">
      <c r="A281" s="133"/>
      <c r="B281" s="135"/>
      <c r="C281" s="18" t="s">
        <v>49</v>
      </c>
      <c r="D281" s="19">
        <f t="shared" ref="D281:Q281" si="69">SUM(D26+D58+D90+D121+D153+D185+D217+D249)</f>
        <v>0</v>
      </c>
      <c r="E281" s="19">
        <f t="shared" si="69"/>
        <v>0</v>
      </c>
      <c r="F281" s="19">
        <f t="shared" si="69"/>
        <v>0</v>
      </c>
      <c r="G281" s="19">
        <f t="shared" si="69"/>
        <v>0</v>
      </c>
      <c r="H281" s="19">
        <f t="shared" si="69"/>
        <v>0</v>
      </c>
      <c r="I281" s="19">
        <f t="shared" si="69"/>
        <v>0</v>
      </c>
      <c r="J281" s="19">
        <f t="shared" si="69"/>
        <v>0</v>
      </c>
      <c r="K281" s="19">
        <f t="shared" si="69"/>
        <v>0</v>
      </c>
      <c r="L281" s="19">
        <f t="shared" si="69"/>
        <v>0</v>
      </c>
      <c r="M281" s="19">
        <f t="shared" si="69"/>
        <v>0</v>
      </c>
      <c r="N281" s="19">
        <f t="shared" si="69"/>
        <v>0</v>
      </c>
      <c r="O281" s="19">
        <f t="shared" si="69"/>
        <v>0</v>
      </c>
      <c r="P281" s="19">
        <f t="shared" si="69"/>
        <v>0</v>
      </c>
      <c r="Q281" s="19">
        <f t="shared" si="69"/>
        <v>0</v>
      </c>
    </row>
    <row r="282" spans="1:17" ht="14.25" thickTop="1" thickBot="1">
      <c r="A282" s="110"/>
      <c r="B282" s="111"/>
      <c r="C282" s="22" t="s">
        <v>37</v>
      </c>
      <c r="D282" s="33">
        <f>SUM(D275:D281)</f>
        <v>48</v>
      </c>
      <c r="E282" s="33">
        <f t="shared" ref="E282:Q282" si="70">SUM(E275:E281)</f>
        <v>47</v>
      </c>
      <c r="F282" s="33">
        <f t="shared" si="70"/>
        <v>0</v>
      </c>
      <c r="G282" s="33">
        <f t="shared" si="70"/>
        <v>22184</v>
      </c>
      <c r="H282" s="33">
        <f t="shared" si="70"/>
        <v>0</v>
      </c>
      <c r="I282" s="33">
        <f t="shared" si="70"/>
        <v>22184</v>
      </c>
      <c r="J282" s="33">
        <f t="shared" si="70"/>
        <v>5546</v>
      </c>
      <c r="K282" s="33">
        <f t="shared" si="70"/>
        <v>130</v>
      </c>
      <c r="L282" s="33">
        <f t="shared" si="70"/>
        <v>3690</v>
      </c>
      <c r="M282" s="33">
        <f t="shared" si="70"/>
        <v>184</v>
      </c>
      <c r="N282" s="33">
        <f t="shared" si="70"/>
        <v>15</v>
      </c>
      <c r="O282" s="33">
        <f t="shared" si="70"/>
        <v>0</v>
      </c>
      <c r="P282" s="33">
        <f t="shared" si="70"/>
        <v>0</v>
      </c>
      <c r="Q282" s="33">
        <f t="shared" si="70"/>
        <v>31749</v>
      </c>
    </row>
    <row r="283" spans="1:17" ht="13.5" thickTop="1">
      <c r="A283" s="98">
        <v>3</v>
      </c>
      <c r="B283" s="40" t="s">
        <v>31</v>
      </c>
      <c r="C283" s="34" t="s">
        <v>38</v>
      </c>
      <c r="D283" s="15">
        <f t="shared" ref="D283:P283" si="71">SUM(D28+D60+D92+D123+D155+D187+D219+D251)</f>
        <v>10</v>
      </c>
      <c r="E283" s="15">
        <f t="shared" si="71"/>
        <v>10</v>
      </c>
      <c r="F283" s="15">
        <f t="shared" si="71"/>
        <v>0</v>
      </c>
      <c r="G283" s="15">
        <f t="shared" si="71"/>
        <v>2685</v>
      </c>
      <c r="H283" s="15">
        <f t="shared" si="71"/>
        <v>0</v>
      </c>
      <c r="I283" s="15">
        <f t="shared" si="71"/>
        <v>2685</v>
      </c>
      <c r="J283" s="15">
        <f>SUM(J28+J60+J92+J123+J155+J187+J219+J251)+1</f>
        <v>674</v>
      </c>
      <c r="K283" s="15">
        <f t="shared" si="71"/>
        <v>24</v>
      </c>
      <c r="L283" s="15">
        <f t="shared" si="71"/>
        <v>435</v>
      </c>
      <c r="M283" s="15">
        <f t="shared" si="71"/>
        <v>33</v>
      </c>
      <c r="N283" s="15">
        <f t="shared" si="71"/>
        <v>5</v>
      </c>
      <c r="O283" s="15">
        <f t="shared" si="71"/>
        <v>0</v>
      </c>
      <c r="P283" s="15">
        <f t="shared" si="71"/>
        <v>1</v>
      </c>
      <c r="Q283" s="15">
        <f>SUM(Q28+Q60+Q92+Q123+Q155+Q187+Q219+Q251)+1</f>
        <v>3857</v>
      </c>
    </row>
    <row r="284" spans="1:17" ht="13.5" thickBot="1">
      <c r="A284" s="41"/>
      <c r="B284" s="42"/>
      <c r="C284" s="18" t="s">
        <v>50</v>
      </c>
      <c r="D284" s="19">
        <f t="shared" ref="D284:Q284" si="72">SUM(D29+D61+D93+D124+D156+D188+D220+D252)</f>
        <v>1</v>
      </c>
      <c r="E284" s="19">
        <f t="shared" si="72"/>
        <v>1</v>
      </c>
      <c r="F284" s="19">
        <f t="shared" si="72"/>
        <v>0</v>
      </c>
      <c r="G284" s="19">
        <f t="shared" si="72"/>
        <v>184</v>
      </c>
      <c r="H284" s="19">
        <f t="shared" si="72"/>
        <v>0</v>
      </c>
      <c r="I284" s="19">
        <f t="shared" si="72"/>
        <v>184</v>
      </c>
      <c r="J284" s="19">
        <f t="shared" si="72"/>
        <v>46</v>
      </c>
      <c r="K284" s="19">
        <f t="shared" si="72"/>
        <v>2</v>
      </c>
      <c r="L284" s="19">
        <f t="shared" si="72"/>
        <v>65</v>
      </c>
      <c r="M284" s="19">
        <f t="shared" si="72"/>
        <v>5</v>
      </c>
      <c r="N284" s="19">
        <f t="shared" si="72"/>
        <v>1</v>
      </c>
      <c r="O284" s="19">
        <f t="shared" si="72"/>
        <v>0</v>
      </c>
      <c r="P284" s="19">
        <f t="shared" si="72"/>
        <v>0</v>
      </c>
      <c r="Q284" s="19">
        <f t="shared" si="72"/>
        <v>303</v>
      </c>
    </row>
    <row r="285" spans="1:17" ht="14.25" thickTop="1" thickBot="1">
      <c r="A285" s="110"/>
      <c r="B285" s="27"/>
      <c r="C285" s="22" t="s">
        <v>39</v>
      </c>
      <c r="D285" s="33">
        <f>SUM(D283:D284)</f>
        <v>11</v>
      </c>
      <c r="E285" s="33">
        <f t="shared" ref="E285:Q285" si="73">SUM(E283:E284)</f>
        <v>11</v>
      </c>
      <c r="F285" s="33">
        <f t="shared" si="73"/>
        <v>0</v>
      </c>
      <c r="G285" s="33">
        <f t="shared" si="73"/>
        <v>2869</v>
      </c>
      <c r="H285" s="33">
        <f t="shared" si="73"/>
        <v>0</v>
      </c>
      <c r="I285" s="33">
        <f t="shared" si="73"/>
        <v>2869</v>
      </c>
      <c r="J285" s="33">
        <f t="shared" si="73"/>
        <v>720</v>
      </c>
      <c r="K285" s="33">
        <f t="shared" si="73"/>
        <v>26</v>
      </c>
      <c r="L285" s="33">
        <f t="shared" si="73"/>
        <v>500</v>
      </c>
      <c r="M285" s="33">
        <f t="shared" si="73"/>
        <v>38</v>
      </c>
      <c r="N285" s="33">
        <f t="shared" si="73"/>
        <v>6</v>
      </c>
      <c r="O285" s="33">
        <f t="shared" si="73"/>
        <v>0</v>
      </c>
      <c r="P285" s="33">
        <f t="shared" si="73"/>
        <v>1</v>
      </c>
      <c r="Q285" s="33">
        <f t="shared" si="73"/>
        <v>4160</v>
      </c>
    </row>
    <row r="286" spans="1:17" ht="14.25" thickTop="1" thickBot="1">
      <c r="A286" s="110"/>
      <c r="B286" s="27"/>
      <c r="C286" s="22" t="s">
        <v>51</v>
      </c>
      <c r="D286" s="33">
        <f>SUM(D285,D282,D274)</f>
        <v>68</v>
      </c>
      <c r="E286" s="33">
        <f t="shared" ref="E286:Q286" si="74">SUM(E285,E282,E274)</f>
        <v>68</v>
      </c>
      <c r="F286" s="33">
        <f t="shared" si="74"/>
        <v>0</v>
      </c>
      <c r="G286" s="33">
        <f t="shared" si="74"/>
        <v>34054</v>
      </c>
      <c r="H286" s="33">
        <f t="shared" si="74"/>
        <v>0</v>
      </c>
      <c r="I286" s="33">
        <f t="shared" si="74"/>
        <v>34054</v>
      </c>
      <c r="J286" s="33">
        <f t="shared" si="74"/>
        <v>8515</v>
      </c>
      <c r="K286" s="33">
        <f t="shared" si="74"/>
        <v>194</v>
      </c>
      <c r="L286" s="33">
        <f t="shared" si="74"/>
        <v>5904</v>
      </c>
      <c r="M286" s="33">
        <f t="shared" si="74"/>
        <v>370</v>
      </c>
      <c r="N286" s="33">
        <f t="shared" si="74"/>
        <v>21</v>
      </c>
      <c r="O286" s="33">
        <f t="shared" si="74"/>
        <v>0</v>
      </c>
      <c r="P286" s="33">
        <f t="shared" si="74"/>
        <v>1</v>
      </c>
      <c r="Q286" s="33">
        <f t="shared" si="74"/>
        <v>49059</v>
      </c>
    </row>
    <row r="287" spans="1:17" ht="8.25" customHeight="1" thickTop="1">
      <c r="C287" s="44"/>
    </row>
    <row r="288" spans="1:17" ht="9.75" customHeight="1"/>
    <row r="289" spans="14:14" ht="15">
      <c r="N289" s="88" t="s">
        <v>159</v>
      </c>
    </row>
    <row r="290" spans="14:14" ht="15.75">
      <c r="N290" s="128" t="s">
        <v>160</v>
      </c>
    </row>
  </sheetData>
  <mergeCells count="378">
    <mergeCell ref="A115:A121"/>
    <mergeCell ref="B115:B121"/>
    <mergeCell ref="O109:O110"/>
    <mergeCell ref="P109:P110"/>
    <mergeCell ref="A109:A111"/>
    <mergeCell ref="B109:B111"/>
    <mergeCell ref="C109:C110"/>
    <mergeCell ref="F109:F110"/>
    <mergeCell ref="C111:Q111"/>
    <mergeCell ref="A112:A113"/>
    <mergeCell ref="B112:B113"/>
    <mergeCell ref="I109:I110"/>
    <mergeCell ref="L99:L100"/>
    <mergeCell ref="K109:K110"/>
    <mergeCell ref="L109:L110"/>
    <mergeCell ref="M109:M110"/>
    <mergeCell ref="C101:Q101"/>
    <mergeCell ref="M99:M100"/>
    <mergeCell ref="N99:N100"/>
    <mergeCell ref="Q109:Q110"/>
    <mergeCell ref="H109:H110"/>
    <mergeCell ref="N109:N110"/>
    <mergeCell ref="J109:J110"/>
    <mergeCell ref="G109:G110"/>
    <mergeCell ref="F99:F100"/>
    <mergeCell ref="O99:O100"/>
    <mergeCell ref="P99:P100"/>
    <mergeCell ref="A102:A103"/>
    <mergeCell ref="B102:B103"/>
    <mergeCell ref="I99:I100"/>
    <mergeCell ref="J99:J100"/>
    <mergeCell ref="K99:K100"/>
    <mergeCell ref="B52:B58"/>
    <mergeCell ref="A96:Q96"/>
    <mergeCell ref="A97:Q97"/>
    <mergeCell ref="A98:C98"/>
    <mergeCell ref="O98:Q98"/>
    <mergeCell ref="B99:B101"/>
    <mergeCell ref="C99:C100"/>
    <mergeCell ref="A99:A101"/>
    <mergeCell ref="N78:N79"/>
    <mergeCell ref="O78:O79"/>
    <mergeCell ref="O46:O47"/>
    <mergeCell ref="G99:G100"/>
    <mergeCell ref="H99:H100"/>
    <mergeCell ref="K78:K79"/>
    <mergeCell ref="C80:Q80"/>
    <mergeCell ref="P78:P79"/>
    <mergeCell ref="Q78:Q79"/>
    <mergeCell ref="Q99:Q100"/>
    <mergeCell ref="J46:J47"/>
    <mergeCell ref="F46:F47"/>
    <mergeCell ref="B39:B40"/>
    <mergeCell ref="N259:N260"/>
    <mergeCell ref="A46:A48"/>
    <mergeCell ref="H46:H47"/>
    <mergeCell ref="G46:G47"/>
    <mergeCell ref="C46:C47"/>
    <mergeCell ref="A52:A58"/>
    <mergeCell ref="F259:F260"/>
    <mergeCell ref="B46:B48"/>
    <mergeCell ref="I46:I47"/>
    <mergeCell ref="A3:C3"/>
    <mergeCell ref="A49:A50"/>
    <mergeCell ref="B49:B50"/>
    <mergeCell ref="C6:Q6"/>
    <mergeCell ref="F36:F37"/>
    <mergeCell ref="C36:C37"/>
    <mergeCell ref="A39:A40"/>
    <mergeCell ref="L36:L37"/>
    <mergeCell ref="G4:G5"/>
    <mergeCell ref="H4:H5"/>
    <mergeCell ref="A262:A263"/>
    <mergeCell ref="B262:B263"/>
    <mergeCell ref="A257:Q257"/>
    <mergeCell ref="O258:Q258"/>
    <mergeCell ref="A259:A261"/>
    <mergeCell ref="B259:B261"/>
    <mergeCell ref="C259:C260"/>
    <mergeCell ref="H259:H260"/>
    <mergeCell ref="I259:I260"/>
    <mergeCell ref="O226:Q226"/>
    <mergeCell ref="C229:Q229"/>
    <mergeCell ref="P227:P228"/>
    <mergeCell ref="Q227:Q228"/>
    <mergeCell ref="A226:E226"/>
    <mergeCell ref="A237:A239"/>
    <mergeCell ref="M227:M228"/>
    <mergeCell ref="B237:B239"/>
    <mergeCell ref="I227:I228"/>
    <mergeCell ref="B230:B231"/>
    <mergeCell ref="G227:G228"/>
    <mergeCell ref="H227:H228"/>
    <mergeCell ref="C227:C228"/>
    <mergeCell ref="F227:F228"/>
    <mergeCell ref="A258:C258"/>
    <mergeCell ref="H237:H238"/>
    <mergeCell ref="G205:G206"/>
    <mergeCell ref="J227:J228"/>
    <mergeCell ref="K227:K228"/>
    <mergeCell ref="A211:A217"/>
    <mergeCell ref="B211:B217"/>
    <mergeCell ref="A224:Q224"/>
    <mergeCell ref="A225:Q225"/>
    <mergeCell ref="A227:A229"/>
    <mergeCell ref="B227:B229"/>
    <mergeCell ref="O227:O228"/>
    <mergeCell ref="J205:J206"/>
    <mergeCell ref="L227:L228"/>
    <mergeCell ref="N227:N228"/>
    <mergeCell ref="A208:A209"/>
    <mergeCell ref="B208:B209"/>
    <mergeCell ref="L205:L206"/>
    <mergeCell ref="M205:M206"/>
    <mergeCell ref="C205:C206"/>
    <mergeCell ref="F205:F206"/>
    <mergeCell ref="C207:Q207"/>
    <mergeCell ref="H195:H196"/>
    <mergeCell ref="I205:I206"/>
    <mergeCell ref="Q205:Q206"/>
    <mergeCell ref="P195:P196"/>
    <mergeCell ref="Q195:Q196"/>
    <mergeCell ref="C197:Q197"/>
    <mergeCell ref="N195:N196"/>
    <mergeCell ref="O195:O196"/>
    <mergeCell ref="N205:N206"/>
    <mergeCell ref="O205:O206"/>
    <mergeCell ref="H205:H206"/>
    <mergeCell ref="P205:P206"/>
    <mergeCell ref="A205:A207"/>
    <mergeCell ref="B205:B207"/>
    <mergeCell ref="K205:K206"/>
    <mergeCell ref="M195:M196"/>
    <mergeCell ref="A198:A199"/>
    <mergeCell ref="B198:B199"/>
    <mergeCell ref="L195:L196"/>
    <mergeCell ref="I195:I196"/>
    <mergeCell ref="A192:Q192"/>
    <mergeCell ref="A193:Q193"/>
    <mergeCell ref="O194:Q194"/>
    <mergeCell ref="A195:A197"/>
    <mergeCell ref="B195:B197"/>
    <mergeCell ref="K195:K196"/>
    <mergeCell ref="J195:J196"/>
    <mergeCell ref="C195:C196"/>
    <mergeCell ref="F195:F196"/>
    <mergeCell ref="G195:G196"/>
    <mergeCell ref="C175:Q175"/>
    <mergeCell ref="P173:P174"/>
    <mergeCell ref="Q173:Q174"/>
    <mergeCell ref="N173:N174"/>
    <mergeCell ref="O173:O174"/>
    <mergeCell ref="L173:L174"/>
    <mergeCell ref="A179:A185"/>
    <mergeCell ref="B179:B185"/>
    <mergeCell ref="A176:A177"/>
    <mergeCell ref="B176:B177"/>
    <mergeCell ref="A173:A175"/>
    <mergeCell ref="B173:B175"/>
    <mergeCell ref="K163:K164"/>
    <mergeCell ref="M173:M174"/>
    <mergeCell ref="C173:C174"/>
    <mergeCell ref="F173:F174"/>
    <mergeCell ref="G173:G174"/>
    <mergeCell ref="H173:H174"/>
    <mergeCell ref="I173:I174"/>
    <mergeCell ref="J173:J174"/>
    <mergeCell ref="K173:K174"/>
    <mergeCell ref="A166:A167"/>
    <mergeCell ref="B166:B167"/>
    <mergeCell ref="L163:L164"/>
    <mergeCell ref="M163:M164"/>
    <mergeCell ref="P163:P164"/>
    <mergeCell ref="Q163:Q164"/>
    <mergeCell ref="C165:Q165"/>
    <mergeCell ref="N163:N164"/>
    <mergeCell ref="O163:O164"/>
    <mergeCell ref="J163:J164"/>
    <mergeCell ref="A160:Q160"/>
    <mergeCell ref="A161:Q161"/>
    <mergeCell ref="O162:Q162"/>
    <mergeCell ref="A163:A165"/>
    <mergeCell ref="B163:B165"/>
    <mergeCell ref="C163:C164"/>
    <mergeCell ref="F163:F164"/>
    <mergeCell ref="G163:G164"/>
    <mergeCell ref="H163:H164"/>
    <mergeCell ref="I163:I164"/>
    <mergeCell ref="C143:Q143"/>
    <mergeCell ref="P141:P142"/>
    <mergeCell ref="Q141:Q142"/>
    <mergeCell ref="N141:N142"/>
    <mergeCell ref="O141:O142"/>
    <mergeCell ref="L141:L142"/>
    <mergeCell ref="A147:A153"/>
    <mergeCell ref="B147:B153"/>
    <mergeCell ref="A144:A145"/>
    <mergeCell ref="B144:B145"/>
    <mergeCell ref="A141:A143"/>
    <mergeCell ref="B141:B143"/>
    <mergeCell ref="K131:K132"/>
    <mergeCell ref="M141:M142"/>
    <mergeCell ref="C141:C142"/>
    <mergeCell ref="F141:F142"/>
    <mergeCell ref="G141:G142"/>
    <mergeCell ref="H141:H142"/>
    <mergeCell ref="I141:I142"/>
    <mergeCell ref="J141:J142"/>
    <mergeCell ref="K141:K142"/>
    <mergeCell ref="A134:A135"/>
    <mergeCell ref="B134:B135"/>
    <mergeCell ref="L131:L132"/>
    <mergeCell ref="M131:M132"/>
    <mergeCell ref="P131:P132"/>
    <mergeCell ref="Q131:Q132"/>
    <mergeCell ref="C133:Q133"/>
    <mergeCell ref="N131:N132"/>
    <mergeCell ref="O131:O132"/>
    <mergeCell ref="J131:J132"/>
    <mergeCell ref="A128:Q128"/>
    <mergeCell ref="A129:Q129"/>
    <mergeCell ref="O130:Q130"/>
    <mergeCell ref="A131:A133"/>
    <mergeCell ref="B131:B133"/>
    <mergeCell ref="C131:C132"/>
    <mergeCell ref="F131:F132"/>
    <mergeCell ref="G131:G132"/>
    <mergeCell ref="H131:H132"/>
    <mergeCell ref="I131:I132"/>
    <mergeCell ref="L78:L79"/>
    <mergeCell ref="A84:A90"/>
    <mergeCell ref="B84:B90"/>
    <mergeCell ref="A81:A82"/>
    <mergeCell ref="B81:B82"/>
    <mergeCell ref="A78:A80"/>
    <mergeCell ref="B78:B80"/>
    <mergeCell ref="Q68:Q69"/>
    <mergeCell ref="N68:N69"/>
    <mergeCell ref="O68:O69"/>
    <mergeCell ref="M78:M79"/>
    <mergeCell ref="C78:C79"/>
    <mergeCell ref="F78:F79"/>
    <mergeCell ref="G78:G79"/>
    <mergeCell ref="H78:H79"/>
    <mergeCell ref="I78:I79"/>
    <mergeCell ref="J78:J79"/>
    <mergeCell ref="I68:I69"/>
    <mergeCell ref="L68:L69"/>
    <mergeCell ref="J68:J69"/>
    <mergeCell ref="K68:K69"/>
    <mergeCell ref="M68:M69"/>
    <mergeCell ref="P68:P69"/>
    <mergeCell ref="A68:A70"/>
    <mergeCell ref="B68:B70"/>
    <mergeCell ref="C68:C69"/>
    <mergeCell ref="F68:F69"/>
    <mergeCell ref="G68:G69"/>
    <mergeCell ref="H68:H69"/>
    <mergeCell ref="A65:Q65"/>
    <mergeCell ref="A66:Q66"/>
    <mergeCell ref="O67:Q67"/>
    <mergeCell ref="Q46:Q47"/>
    <mergeCell ref="C48:Q48"/>
    <mergeCell ref="K46:K47"/>
    <mergeCell ref="L46:L47"/>
    <mergeCell ref="M46:M47"/>
    <mergeCell ref="N46:N47"/>
    <mergeCell ref="P46:P47"/>
    <mergeCell ref="P4:P5"/>
    <mergeCell ref="J4:J5"/>
    <mergeCell ref="O4:O5"/>
    <mergeCell ref="K4:K5"/>
    <mergeCell ref="M36:M37"/>
    <mergeCell ref="A1:Q1"/>
    <mergeCell ref="A2:Q2"/>
    <mergeCell ref="O3:Q3"/>
    <mergeCell ref="A4:A6"/>
    <mergeCell ref="B4:B6"/>
    <mergeCell ref="L4:L5"/>
    <mergeCell ref="M4:M5"/>
    <mergeCell ref="A14:A16"/>
    <mergeCell ref="C14:C15"/>
    <mergeCell ref="M14:M15"/>
    <mergeCell ref="N14:N15"/>
    <mergeCell ref="G14:G15"/>
    <mergeCell ref="N4:N5"/>
    <mergeCell ref="B7:B8"/>
    <mergeCell ref="I4:I5"/>
    <mergeCell ref="A7:A8"/>
    <mergeCell ref="I14:I15"/>
    <mergeCell ref="A33:Q33"/>
    <mergeCell ref="B20:B26"/>
    <mergeCell ref="C4:C5"/>
    <mergeCell ref="F4:F5"/>
    <mergeCell ref="Q4:Q5"/>
    <mergeCell ref="F14:F15"/>
    <mergeCell ref="H14:H15"/>
    <mergeCell ref="B14:B16"/>
    <mergeCell ref="K36:K37"/>
    <mergeCell ref="Q36:Q37"/>
    <mergeCell ref="N36:N37"/>
    <mergeCell ref="O36:O37"/>
    <mergeCell ref="P36:P37"/>
    <mergeCell ref="A17:A18"/>
    <mergeCell ref="B17:B18"/>
    <mergeCell ref="A35:C35"/>
    <mergeCell ref="A36:A38"/>
    <mergeCell ref="B36:B38"/>
    <mergeCell ref="K14:K15"/>
    <mergeCell ref="Q14:Q15"/>
    <mergeCell ref="C38:Q38"/>
    <mergeCell ref="G36:G37"/>
    <mergeCell ref="H36:H37"/>
    <mergeCell ref="I36:I37"/>
    <mergeCell ref="J36:J37"/>
    <mergeCell ref="L14:L15"/>
    <mergeCell ref="C16:Q16"/>
    <mergeCell ref="O35:Q35"/>
    <mergeCell ref="A34:Q34"/>
    <mergeCell ref="A20:A26"/>
    <mergeCell ref="P14:P15"/>
    <mergeCell ref="J14:J15"/>
    <mergeCell ref="O14:O15"/>
    <mergeCell ref="A243:A249"/>
    <mergeCell ref="B243:B249"/>
    <mergeCell ref="A230:A231"/>
    <mergeCell ref="A67:C67"/>
    <mergeCell ref="A130:C130"/>
    <mergeCell ref="C269:C270"/>
    <mergeCell ref="C271:Q271"/>
    <mergeCell ref="L259:L260"/>
    <mergeCell ref="M259:M260"/>
    <mergeCell ref="C261:Q261"/>
    <mergeCell ref="Q259:Q260"/>
    <mergeCell ref="J259:J260"/>
    <mergeCell ref="P269:P270"/>
    <mergeCell ref="K259:K260"/>
    <mergeCell ref="P259:P260"/>
    <mergeCell ref="A162:C162"/>
    <mergeCell ref="A194:C194"/>
    <mergeCell ref="A71:A72"/>
    <mergeCell ref="B71:B72"/>
    <mergeCell ref="C70:Q70"/>
    <mergeCell ref="K237:K238"/>
    <mergeCell ref="L237:L238"/>
    <mergeCell ref="C237:C238"/>
    <mergeCell ref="F237:F238"/>
    <mergeCell ref="G237:G238"/>
    <mergeCell ref="Q237:Q238"/>
    <mergeCell ref="C239:Q239"/>
    <mergeCell ref="A240:A241"/>
    <mergeCell ref="B240:B241"/>
    <mergeCell ref="M237:M238"/>
    <mergeCell ref="N237:N238"/>
    <mergeCell ref="O237:O238"/>
    <mergeCell ref="P237:P238"/>
    <mergeCell ref="I237:I238"/>
    <mergeCell ref="J237:J238"/>
    <mergeCell ref="Q269:Q270"/>
    <mergeCell ref="J269:J270"/>
    <mergeCell ref="K269:K270"/>
    <mergeCell ref="L269:L270"/>
    <mergeCell ref="M269:M270"/>
    <mergeCell ref="A256:Q256"/>
    <mergeCell ref="G259:G260"/>
    <mergeCell ref="O259:O260"/>
    <mergeCell ref="A269:A271"/>
    <mergeCell ref="B269:B271"/>
    <mergeCell ref="A272:A273"/>
    <mergeCell ref="B272:B273"/>
    <mergeCell ref="A275:A281"/>
    <mergeCell ref="B275:B281"/>
    <mergeCell ref="N269:N270"/>
    <mergeCell ref="O269:O270"/>
    <mergeCell ref="F269:F270"/>
    <mergeCell ref="G269:G270"/>
    <mergeCell ref="H269:H270"/>
    <mergeCell ref="I269:I270"/>
  </mergeCells>
  <phoneticPr fontId="0" type="noConversion"/>
  <pageMargins left="0.63" right="0.17" top="0.25" bottom="0.39" header="0.3" footer="0.17"/>
  <pageSetup paperSize="5" orientation="landscape" r:id="rId1"/>
  <headerFooter>
    <oddFooter>&amp;Z&amp;F&amp;RPage &amp;P</oddFooter>
  </headerFooter>
  <rowBreaks count="8" manualBreakCount="8">
    <brk id="32" max="16" man="1"/>
    <brk id="64" max="16" man="1"/>
    <brk id="95" max="16" man="1"/>
    <brk id="127" max="16" man="1"/>
    <brk id="159" max="16" man="1"/>
    <brk id="191" max="16" man="1"/>
    <brk id="223" max="16" man="1"/>
    <brk id="255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0"/>
  <sheetViews>
    <sheetView view="pageBreakPreview" topLeftCell="A275" zoomScale="110" zoomScaleNormal="75" zoomScaleSheetLayoutView="110" workbookViewId="0">
      <selection activeCell="Q290" sqref="Q290"/>
    </sheetView>
  </sheetViews>
  <sheetFormatPr defaultRowHeight="14.25"/>
  <cols>
    <col min="1" max="1" width="8.5703125" style="50" customWidth="1"/>
    <col min="2" max="2" width="14.5703125" style="50" customWidth="1"/>
    <col min="3" max="3" width="11.85546875" style="50" customWidth="1"/>
    <col min="4" max="4" width="10.140625" style="50" customWidth="1"/>
    <col min="5" max="5" width="11.140625" style="50" customWidth="1"/>
    <col min="6" max="6" width="12.140625" style="50" customWidth="1"/>
    <col min="7" max="7" width="11.28515625" style="50" customWidth="1"/>
    <col min="8" max="8" width="9.42578125" style="50" customWidth="1"/>
    <col min="9" max="9" width="9" style="50" customWidth="1"/>
    <col min="10" max="10" width="8.28515625" style="50" customWidth="1"/>
    <col min="11" max="11" width="10" style="50" customWidth="1"/>
    <col min="12" max="12" width="2.7109375" style="50" customWidth="1"/>
    <col min="13" max="13" width="13.140625" style="50" customWidth="1"/>
    <col min="14" max="14" width="10.5703125" style="50" customWidth="1"/>
    <col min="15" max="15" width="12.28515625" style="50" customWidth="1"/>
    <col min="16" max="16" width="11.7109375" style="50" customWidth="1"/>
    <col min="17" max="16384" width="9.140625" style="50"/>
  </cols>
  <sheetData>
    <row r="1" spans="1:17">
      <c r="A1" s="168" t="s">
        <v>154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1:17" ht="24" customHeight="1">
      <c r="A2" s="169" t="s">
        <v>19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51"/>
    </row>
    <row r="3" spans="1:17" ht="21" customHeight="1">
      <c r="A3" s="167" t="s">
        <v>62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</row>
    <row r="4" spans="1:17">
      <c r="A4" s="157" t="s">
        <v>65</v>
      </c>
      <c r="B4" s="158" t="s">
        <v>74</v>
      </c>
      <c r="C4" s="159"/>
      <c r="D4" s="159"/>
      <c r="E4" s="159"/>
      <c r="F4" s="159"/>
      <c r="G4" s="159"/>
      <c r="H4" s="159"/>
      <c r="I4" s="159"/>
      <c r="J4" s="159"/>
      <c r="K4" s="160"/>
    </row>
    <row r="5" spans="1:17">
      <c r="A5" s="157"/>
      <c r="B5" s="52"/>
      <c r="C5" s="157" t="s">
        <v>85</v>
      </c>
      <c r="D5" s="157"/>
      <c r="E5" s="157"/>
      <c r="F5" s="157"/>
      <c r="G5" s="157" t="s">
        <v>86</v>
      </c>
      <c r="H5" s="157"/>
      <c r="I5" s="157"/>
      <c r="J5" s="157"/>
      <c r="K5" s="122" t="s">
        <v>78</v>
      </c>
    </row>
    <row r="6" spans="1:17">
      <c r="A6" s="164" t="s">
        <v>66</v>
      </c>
      <c r="B6" s="52" t="s">
        <v>29</v>
      </c>
      <c r="C6" s="122" t="s">
        <v>32</v>
      </c>
      <c r="D6" s="122" t="s">
        <v>30</v>
      </c>
      <c r="E6" s="122" t="s">
        <v>31</v>
      </c>
      <c r="F6" s="122" t="s">
        <v>78</v>
      </c>
      <c r="G6" s="122" t="s">
        <v>32</v>
      </c>
      <c r="H6" s="122" t="s">
        <v>30</v>
      </c>
      <c r="I6" s="122" t="s">
        <v>31</v>
      </c>
      <c r="J6" s="122" t="s">
        <v>78</v>
      </c>
      <c r="K6" s="122" t="s">
        <v>78</v>
      </c>
    </row>
    <row r="7" spans="1:17">
      <c r="A7" s="165"/>
      <c r="B7" s="54" t="s">
        <v>75</v>
      </c>
      <c r="C7" s="55"/>
      <c r="D7" s="52"/>
      <c r="E7" s="52"/>
      <c r="F7" s="52">
        <v>0</v>
      </c>
      <c r="G7" s="52"/>
      <c r="H7" s="52"/>
      <c r="I7" s="52"/>
      <c r="J7" s="52">
        <v>0</v>
      </c>
      <c r="K7" s="52">
        <v>0</v>
      </c>
    </row>
    <row r="8" spans="1:17">
      <c r="A8" s="165"/>
      <c r="B8" s="52" t="s">
        <v>76</v>
      </c>
      <c r="C8" s="55"/>
      <c r="D8" s="52"/>
      <c r="E8" s="52"/>
      <c r="F8" s="52">
        <v>0</v>
      </c>
      <c r="G8" s="52"/>
      <c r="H8" s="52"/>
      <c r="I8" s="52"/>
      <c r="J8" s="52">
        <v>0</v>
      </c>
      <c r="K8" s="52">
        <v>0</v>
      </c>
    </row>
    <row r="9" spans="1:17">
      <c r="A9" s="165"/>
      <c r="B9" s="52" t="s">
        <v>77</v>
      </c>
      <c r="C9" s="52"/>
      <c r="D9" s="52"/>
      <c r="E9" s="52"/>
      <c r="F9" s="52">
        <v>0</v>
      </c>
      <c r="G9" s="52"/>
      <c r="H9" s="52"/>
      <c r="I9" s="52"/>
      <c r="J9" s="52">
        <v>0</v>
      </c>
      <c r="K9" s="52">
        <v>0</v>
      </c>
    </row>
    <row r="10" spans="1:17" ht="15" thickBot="1">
      <c r="A10" s="165"/>
      <c r="B10" s="56" t="s">
        <v>78</v>
      </c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6">
        <v>0</v>
      </c>
      <c r="I10" s="56">
        <v>0</v>
      </c>
      <c r="J10" s="56">
        <v>0</v>
      </c>
      <c r="K10" s="56">
        <v>0</v>
      </c>
    </row>
    <row r="11" spans="1:17" ht="15" thickTop="1">
      <c r="A11" s="165"/>
      <c r="B11" s="57" t="s">
        <v>54</v>
      </c>
      <c r="C11" s="52"/>
      <c r="D11" s="52"/>
      <c r="E11" s="52"/>
      <c r="F11" s="52">
        <v>0</v>
      </c>
      <c r="G11" s="57"/>
      <c r="H11" s="57"/>
      <c r="I11" s="57"/>
      <c r="J11" s="52">
        <v>0</v>
      </c>
      <c r="K11" s="52">
        <v>0</v>
      </c>
    </row>
    <row r="12" spans="1:17">
      <c r="A12" s="165"/>
      <c r="B12" s="52" t="s">
        <v>79</v>
      </c>
      <c r="C12" s="52"/>
      <c r="D12" s="52"/>
      <c r="E12" s="52"/>
      <c r="F12" s="52">
        <v>0</v>
      </c>
      <c r="G12" s="52"/>
      <c r="H12" s="52"/>
      <c r="I12" s="52"/>
      <c r="J12" s="52">
        <v>0</v>
      </c>
      <c r="K12" s="52">
        <v>0</v>
      </c>
    </row>
    <row r="13" spans="1:17">
      <c r="A13" s="165"/>
      <c r="B13" s="52" t="s">
        <v>80</v>
      </c>
      <c r="C13" s="52"/>
      <c r="D13" s="52"/>
      <c r="E13" s="52"/>
      <c r="F13" s="52">
        <v>0</v>
      </c>
      <c r="G13" s="52"/>
      <c r="H13" s="52"/>
      <c r="I13" s="52"/>
      <c r="J13" s="52">
        <v>0</v>
      </c>
      <c r="K13" s="52">
        <v>0</v>
      </c>
    </row>
    <row r="14" spans="1:17">
      <c r="A14" s="165"/>
      <c r="B14" s="52" t="s">
        <v>81</v>
      </c>
      <c r="C14" s="52"/>
      <c r="D14" s="52"/>
      <c r="E14" s="52"/>
      <c r="F14" s="52">
        <v>0</v>
      </c>
      <c r="G14" s="52"/>
      <c r="H14" s="52"/>
      <c r="I14" s="52"/>
      <c r="J14" s="52">
        <v>0</v>
      </c>
      <c r="K14" s="52">
        <v>0</v>
      </c>
    </row>
    <row r="15" spans="1:17">
      <c r="A15" s="165"/>
      <c r="B15" s="52" t="s">
        <v>82</v>
      </c>
      <c r="C15" s="52"/>
      <c r="D15" s="52"/>
      <c r="E15" s="52"/>
      <c r="F15" s="52">
        <v>0</v>
      </c>
      <c r="G15" s="52"/>
      <c r="H15" s="52"/>
      <c r="I15" s="52"/>
      <c r="J15" s="52">
        <v>0</v>
      </c>
      <c r="K15" s="52">
        <v>0</v>
      </c>
    </row>
    <row r="16" spans="1:17">
      <c r="A16" s="165"/>
      <c r="B16" s="52" t="s">
        <v>83</v>
      </c>
      <c r="C16" s="52"/>
      <c r="D16" s="52"/>
      <c r="E16" s="52"/>
      <c r="F16" s="52">
        <v>0</v>
      </c>
      <c r="G16" s="52"/>
      <c r="H16" s="52"/>
      <c r="I16" s="52"/>
      <c r="J16" s="52">
        <v>0</v>
      </c>
      <c r="K16" s="52">
        <v>0</v>
      </c>
    </row>
    <row r="17" spans="1:16" ht="15" thickBot="1">
      <c r="A17" s="166"/>
      <c r="B17" s="58" t="s">
        <v>78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</row>
    <row r="18" spans="1:16" ht="17.25" customHeight="1" thickTop="1"/>
    <row r="19" spans="1:16">
      <c r="A19" s="157" t="s">
        <v>65</v>
      </c>
      <c r="B19" s="158" t="s">
        <v>84</v>
      </c>
      <c r="C19" s="159"/>
      <c r="D19" s="159"/>
      <c r="E19" s="159"/>
      <c r="F19" s="159"/>
      <c r="G19" s="159"/>
      <c r="H19" s="159"/>
      <c r="I19" s="159"/>
      <c r="J19" s="159"/>
      <c r="K19" s="160"/>
      <c r="M19" s="161" t="s">
        <v>87</v>
      </c>
      <c r="N19" s="162"/>
      <c r="O19" s="162"/>
      <c r="P19" s="163"/>
    </row>
    <row r="20" spans="1:16">
      <c r="A20" s="157"/>
      <c r="B20" s="52"/>
      <c r="C20" s="158" t="s">
        <v>85</v>
      </c>
      <c r="D20" s="159"/>
      <c r="E20" s="159"/>
      <c r="F20" s="160"/>
      <c r="G20" s="157" t="s">
        <v>86</v>
      </c>
      <c r="H20" s="157"/>
      <c r="I20" s="157"/>
      <c r="J20" s="157"/>
      <c r="K20" s="122" t="s">
        <v>78</v>
      </c>
      <c r="M20" s="52" t="s">
        <v>29</v>
      </c>
      <c r="N20" s="59" t="s">
        <v>74</v>
      </c>
      <c r="O20" s="59" t="s">
        <v>84</v>
      </c>
      <c r="P20" s="122" t="s">
        <v>78</v>
      </c>
    </row>
    <row r="21" spans="1:16">
      <c r="A21" s="164" t="s">
        <v>66</v>
      </c>
      <c r="B21" s="52" t="s">
        <v>29</v>
      </c>
      <c r="C21" s="122" t="s">
        <v>32</v>
      </c>
      <c r="D21" s="122" t="s">
        <v>30</v>
      </c>
      <c r="E21" s="122" t="s">
        <v>31</v>
      </c>
      <c r="F21" s="122" t="s">
        <v>78</v>
      </c>
      <c r="G21" s="122" t="s">
        <v>32</v>
      </c>
      <c r="H21" s="122" t="s">
        <v>30</v>
      </c>
      <c r="I21" s="122" t="s">
        <v>31</v>
      </c>
      <c r="J21" s="122" t="s">
        <v>78</v>
      </c>
      <c r="K21" s="122"/>
      <c r="M21" s="54" t="s">
        <v>75</v>
      </c>
      <c r="N21" s="59">
        <v>0</v>
      </c>
      <c r="O21" s="59">
        <v>0</v>
      </c>
      <c r="P21" s="59">
        <v>0</v>
      </c>
    </row>
    <row r="22" spans="1:16">
      <c r="A22" s="165"/>
      <c r="B22" s="54" t="s">
        <v>75</v>
      </c>
      <c r="C22" s="52"/>
      <c r="D22" s="52"/>
      <c r="E22" s="52"/>
      <c r="F22" s="52">
        <v>0</v>
      </c>
      <c r="G22" s="52"/>
      <c r="H22" s="52"/>
      <c r="I22" s="52"/>
      <c r="J22" s="52">
        <v>0</v>
      </c>
      <c r="K22" s="52">
        <v>0</v>
      </c>
      <c r="M22" s="52" t="s">
        <v>76</v>
      </c>
      <c r="N22" s="59">
        <v>0</v>
      </c>
      <c r="O22" s="59">
        <v>0</v>
      </c>
      <c r="P22" s="59">
        <v>0</v>
      </c>
    </row>
    <row r="23" spans="1:16">
      <c r="A23" s="165"/>
      <c r="B23" s="52" t="s">
        <v>76</v>
      </c>
      <c r="C23" s="52"/>
      <c r="D23" s="52"/>
      <c r="E23" s="52"/>
      <c r="F23" s="52">
        <v>0</v>
      </c>
      <c r="G23" s="52"/>
      <c r="H23" s="52"/>
      <c r="I23" s="52"/>
      <c r="J23" s="52">
        <v>0</v>
      </c>
      <c r="K23" s="52">
        <v>0</v>
      </c>
      <c r="M23" s="52" t="s">
        <v>77</v>
      </c>
      <c r="N23" s="59">
        <v>0</v>
      </c>
      <c r="O23" s="59">
        <v>0</v>
      </c>
      <c r="P23" s="59">
        <v>0</v>
      </c>
    </row>
    <row r="24" spans="1:16" ht="15" thickBot="1">
      <c r="A24" s="165"/>
      <c r="B24" s="52" t="s">
        <v>77</v>
      </c>
      <c r="C24" s="52"/>
      <c r="D24" s="52"/>
      <c r="E24" s="52"/>
      <c r="F24" s="52">
        <v>0</v>
      </c>
      <c r="G24" s="52"/>
      <c r="H24" s="52"/>
      <c r="I24" s="52"/>
      <c r="J24" s="52">
        <v>0</v>
      </c>
      <c r="K24" s="52">
        <v>0</v>
      </c>
      <c r="M24" s="56" t="s">
        <v>78</v>
      </c>
      <c r="N24" s="60">
        <v>0</v>
      </c>
      <c r="O24" s="60">
        <v>0</v>
      </c>
      <c r="P24" s="60">
        <v>0</v>
      </c>
    </row>
    <row r="25" spans="1:16" ht="15.75" thickTop="1" thickBot="1">
      <c r="A25" s="165"/>
      <c r="B25" s="56" t="s">
        <v>78</v>
      </c>
      <c r="C25" s="56">
        <v>0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M25" s="57" t="s">
        <v>79</v>
      </c>
      <c r="N25" s="61">
        <v>0</v>
      </c>
      <c r="O25" s="61">
        <v>0</v>
      </c>
      <c r="P25" s="61">
        <v>0</v>
      </c>
    </row>
    <row r="26" spans="1:16" ht="15" thickTop="1">
      <c r="A26" s="165"/>
      <c r="B26" s="57" t="s">
        <v>54</v>
      </c>
      <c r="C26" s="57"/>
      <c r="D26" s="57"/>
      <c r="E26" s="57"/>
      <c r="F26" s="52">
        <v>0</v>
      </c>
      <c r="G26" s="57"/>
      <c r="H26" s="57"/>
      <c r="I26" s="57"/>
      <c r="J26" s="52">
        <v>0</v>
      </c>
      <c r="K26" s="52">
        <v>0</v>
      </c>
      <c r="M26" s="57" t="s">
        <v>54</v>
      </c>
      <c r="N26" s="59">
        <v>0</v>
      </c>
      <c r="O26" s="59">
        <v>0</v>
      </c>
      <c r="P26" s="61">
        <v>0</v>
      </c>
    </row>
    <row r="27" spans="1:16">
      <c r="A27" s="165"/>
      <c r="B27" s="52" t="s">
        <v>79</v>
      </c>
      <c r="C27" s="52"/>
      <c r="D27" s="52"/>
      <c r="E27" s="52"/>
      <c r="F27" s="52">
        <v>0</v>
      </c>
      <c r="G27" s="52"/>
      <c r="H27" s="52"/>
      <c r="I27" s="52"/>
      <c r="J27" s="52">
        <v>0</v>
      </c>
      <c r="K27" s="52">
        <v>0</v>
      </c>
      <c r="M27" s="52" t="s">
        <v>80</v>
      </c>
      <c r="N27" s="59">
        <v>0</v>
      </c>
      <c r="O27" s="59">
        <v>0</v>
      </c>
      <c r="P27" s="59">
        <v>0</v>
      </c>
    </row>
    <row r="28" spans="1:16">
      <c r="A28" s="165"/>
      <c r="B28" s="52" t="s">
        <v>80</v>
      </c>
      <c r="C28" s="52"/>
      <c r="D28" s="52"/>
      <c r="E28" s="52"/>
      <c r="F28" s="52">
        <v>0</v>
      </c>
      <c r="G28" s="52"/>
      <c r="H28" s="52"/>
      <c r="I28" s="52"/>
      <c r="J28" s="52">
        <v>0</v>
      </c>
      <c r="K28" s="52">
        <v>0</v>
      </c>
      <c r="M28" s="52" t="s">
        <v>81</v>
      </c>
      <c r="N28" s="59">
        <v>0</v>
      </c>
      <c r="O28" s="59">
        <v>0</v>
      </c>
      <c r="P28" s="59">
        <v>0</v>
      </c>
    </row>
    <row r="29" spans="1:16">
      <c r="A29" s="165"/>
      <c r="B29" s="52" t="s">
        <v>81</v>
      </c>
      <c r="C29" s="52"/>
      <c r="D29" s="52"/>
      <c r="E29" s="52"/>
      <c r="F29" s="52">
        <v>0</v>
      </c>
      <c r="G29" s="52"/>
      <c r="H29" s="52"/>
      <c r="I29" s="52"/>
      <c r="J29" s="52">
        <v>0</v>
      </c>
      <c r="K29" s="52">
        <v>0</v>
      </c>
      <c r="M29" s="52" t="s">
        <v>82</v>
      </c>
      <c r="N29" s="59">
        <v>0</v>
      </c>
      <c r="O29" s="59">
        <v>0</v>
      </c>
      <c r="P29" s="59">
        <v>0</v>
      </c>
    </row>
    <row r="30" spans="1:16">
      <c r="A30" s="165"/>
      <c r="B30" s="52" t="s">
        <v>82</v>
      </c>
      <c r="C30" s="52"/>
      <c r="D30" s="52"/>
      <c r="E30" s="52"/>
      <c r="F30" s="52">
        <v>0</v>
      </c>
      <c r="G30" s="52"/>
      <c r="H30" s="52"/>
      <c r="I30" s="52"/>
      <c r="J30" s="52">
        <v>0</v>
      </c>
      <c r="K30" s="52">
        <v>0</v>
      </c>
      <c r="M30" s="52" t="s">
        <v>83</v>
      </c>
      <c r="N30" s="59">
        <v>0</v>
      </c>
      <c r="O30" s="59">
        <v>0</v>
      </c>
      <c r="P30" s="59">
        <v>0</v>
      </c>
    </row>
    <row r="31" spans="1:16" ht="15" thickBot="1">
      <c r="A31" s="165"/>
      <c r="B31" s="52" t="s">
        <v>83</v>
      </c>
      <c r="C31" s="52"/>
      <c r="D31" s="52"/>
      <c r="E31" s="52"/>
      <c r="F31" s="52">
        <v>0</v>
      </c>
      <c r="G31" s="52"/>
      <c r="H31" s="52"/>
      <c r="I31" s="52"/>
      <c r="J31" s="52">
        <v>0</v>
      </c>
      <c r="K31" s="52">
        <v>0</v>
      </c>
      <c r="M31" s="58" t="s">
        <v>78</v>
      </c>
      <c r="N31" s="60">
        <v>0</v>
      </c>
      <c r="O31" s="60">
        <v>0</v>
      </c>
      <c r="P31" s="60">
        <v>0</v>
      </c>
    </row>
    <row r="32" spans="1:16" ht="15.75" thickTop="1" thickBot="1">
      <c r="A32" s="166"/>
      <c r="B32" s="58" t="s">
        <v>78</v>
      </c>
      <c r="C32" s="56">
        <v>0</v>
      </c>
      <c r="D32" s="56">
        <v>0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M32" s="62"/>
      <c r="N32" s="62"/>
      <c r="O32" s="62"/>
      <c r="P32" s="62"/>
    </row>
    <row r="33" spans="1:16" ht="15" thickTop="1">
      <c r="A33" s="168" t="str">
        <f>$A$1</f>
        <v>प्रपत्र - क  -  अर्थसंकल्पीय अंदाजपत्रक सन 2021-2022</v>
      </c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</row>
    <row r="34" spans="1:16">
      <c r="A34" s="169" t="s">
        <v>19</v>
      </c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</row>
    <row r="35" spans="1:16">
      <c r="A35" s="167" t="s">
        <v>62</v>
      </c>
      <c r="B35" s="167"/>
      <c r="C35" s="167"/>
      <c r="D35" s="167"/>
      <c r="E35" s="167"/>
      <c r="F35" s="167"/>
      <c r="G35" s="167"/>
      <c r="H35" s="167"/>
      <c r="I35" s="167"/>
      <c r="J35" s="167"/>
      <c r="K35" s="167"/>
    </row>
    <row r="36" spans="1:16">
      <c r="A36" s="157" t="s">
        <v>65</v>
      </c>
      <c r="B36" s="158" t="s">
        <v>74</v>
      </c>
      <c r="C36" s="159"/>
      <c r="D36" s="159"/>
      <c r="E36" s="159"/>
      <c r="F36" s="159"/>
      <c r="G36" s="159"/>
      <c r="H36" s="159"/>
      <c r="I36" s="159"/>
      <c r="J36" s="159"/>
      <c r="K36" s="160"/>
    </row>
    <row r="37" spans="1:16">
      <c r="A37" s="157"/>
      <c r="B37" s="52"/>
      <c r="C37" s="157" t="s">
        <v>85</v>
      </c>
      <c r="D37" s="157"/>
      <c r="E37" s="157"/>
      <c r="F37" s="157"/>
      <c r="G37" s="157" t="s">
        <v>86</v>
      </c>
      <c r="H37" s="157"/>
      <c r="I37" s="157"/>
      <c r="J37" s="157"/>
      <c r="K37" s="122" t="s">
        <v>78</v>
      </c>
    </row>
    <row r="38" spans="1:16" ht="21" customHeight="1">
      <c r="A38" s="164" t="s">
        <v>67</v>
      </c>
      <c r="B38" s="52" t="s">
        <v>29</v>
      </c>
      <c r="C38" s="122" t="s">
        <v>32</v>
      </c>
      <c r="D38" s="122" t="s">
        <v>30</v>
      </c>
      <c r="E38" s="122" t="s">
        <v>31</v>
      </c>
      <c r="F38" s="122" t="s">
        <v>78</v>
      </c>
      <c r="G38" s="122" t="s">
        <v>32</v>
      </c>
      <c r="H38" s="122" t="s">
        <v>30</v>
      </c>
      <c r="I38" s="122" t="s">
        <v>31</v>
      </c>
      <c r="J38" s="122" t="s">
        <v>78</v>
      </c>
      <c r="K38" s="122" t="s">
        <v>78</v>
      </c>
    </row>
    <row r="39" spans="1:16">
      <c r="A39" s="165"/>
      <c r="B39" s="54" t="s">
        <v>75</v>
      </c>
      <c r="C39" s="55"/>
      <c r="D39" s="52"/>
      <c r="E39" s="52"/>
      <c r="F39" s="52">
        <v>0</v>
      </c>
      <c r="G39" s="52"/>
      <c r="H39" s="52"/>
      <c r="I39" s="52"/>
      <c r="J39" s="52">
        <v>0</v>
      </c>
      <c r="K39" s="52">
        <v>0</v>
      </c>
    </row>
    <row r="40" spans="1:16">
      <c r="A40" s="165"/>
      <c r="B40" s="52" t="s">
        <v>76</v>
      </c>
      <c r="C40" s="55"/>
      <c r="D40" s="52"/>
      <c r="E40" s="52"/>
      <c r="F40" s="52">
        <v>0</v>
      </c>
      <c r="G40" s="52"/>
      <c r="H40" s="52"/>
      <c r="I40" s="52"/>
      <c r="J40" s="52">
        <v>0</v>
      </c>
      <c r="K40" s="52">
        <v>0</v>
      </c>
    </row>
    <row r="41" spans="1:16">
      <c r="A41" s="165"/>
      <c r="B41" s="52" t="s">
        <v>77</v>
      </c>
      <c r="C41" s="52"/>
      <c r="D41" s="52"/>
      <c r="E41" s="52"/>
      <c r="F41" s="52">
        <v>0</v>
      </c>
      <c r="G41" s="52"/>
      <c r="H41" s="52"/>
      <c r="I41" s="52"/>
      <c r="J41" s="52">
        <v>0</v>
      </c>
      <c r="K41" s="52">
        <v>0</v>
      </c>
    </row>
    <row r="42" spans="1:16" ht="15" thickBot="1">
      <c r="A42" s="165"/>
      <c r="B42" s="56" t="s">
        <v>78</v>
      </c>
      <c r="C42" s="56">
        <v>0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</row>
    <row r="43" spans="1:16" ht="15" thickTop="1">
      <c r="A43" s="165"/>
      <c r="B43" s="57" t="s">
        <v>54</v>
      </c>
      <c r="C43" s="57"/>
      <c r="D43" s="57"/>
      <c r="E43" s="57"/>
      <c r="F43" s="52">
        <v>0</v>
      </c>
      <c r="G43" s="57"/>
      <c r="H43" s="57"/>
      <c r="I43" s="57"/>
      <c r="J43" s="52">
        <v>0</v>
      </c>
      <c r="K43" s="52">
        <v>0</v>
      </c>
    </row>
    <row r="44" spans="1:16">
      <c r="A44" s="165"/>
      <c r="B44" s="52" t="s">
        <v>79</v>
      </c>
      <c r="C44" s="52"/>
      <c r="D44" s="52"/>
      <c r="E44" s="52"/>
      <c r="F44" s="52">
        <v>0</v>
      </c>
      <c r="G44" s="52"/>
      <c r="H44" s="52"/>
      <c r="I44" s="52"/>
      <c r="J44" s="52">
        <v>0</v>
      </c>
      <c r="K44" s="52">
        <v>0</v>
      </c>
    </row>
    <row r="45" spans="1:16">
      <c r="A45" s="165"/>
      <c r="B45" s="52" t="s">
        <v>80</v>
      </c>
      <c r="C45" s="52"/>
      <c r="D45" s="52"/>
      <c r="E45" s="52"/>
      <c r="F45" s="52">
        <v>0</v>
      </c>
      <c r="G45" s="52"/>
      <c r="H45" s="52"/>
      <c r="I45" s="52"/>
      <c r="J45" s="52">
        <v>0</v>
      </c>
      <c r="K45" s="52">
        <v>0</v>
      </c>
    </row>
    <row r="46" spans="1:16">
      <c r="A46" s="165"/>
      <c r="B46" s="52" t="s">
        <v>81</v>
      </c>
      <c r="C46" s="52"/>
      <c r="D46" s="52"/>
      <c r="E46" s="52"/>
      <c r="F46" s="52">
        <v>0</v>
      </c>
      <c r="G46" s="52"/>
      <c r="H46" s="52"/>
      <c r="I46" s="52"/>
      <c r="J46" s="52">
        <v>0</v>
      </c>
      <c r="K46" s="52">
        <v>0</v>
      </c>
    </row>
    <row r="47" spans="1:16">
      <c r="A47" s="165"/>
      <c r="B47" s="52" t="s">
        <v>82</v>
      </c>
      <c r="C47" s="52"/>
      <c r="D47" s="52"/>
      <c r="E47" s="52"/>
      <c r="F47" s="52">
        <v>0</v>
      </c>
      <c r="G47" s="52"/>
      <c r="H47" s="52"/>
      <c r="I47" s="52"/>
      <c r="J47" s="52">
        <v>0</v>
      </c>
      <c r="K47" s="52">
        <v>0</v>
      </c>
    </row>
    <row r="48" spans="1:16">
      <c r="A48" s="165"/>
      <c r="B48" s="52" t="s">
        <v>83</v>
      </c>
      <c r="C48" s="52"/>
      <c r="D48" s="52"/>
      <c r="E48" s="52"/>
      <c r="F48" s="52">
        <v>0</v>
      </c>
      <c r="G48" s="52"/>
      <c r="H48" s="52"/>
      <c r="I48" s="52"/>
      <c r="J48" s="52">
        <v>0</v>
      </c>
      <c r="K48" s="52">
        <v>0</v>
      </c>
    </row>
    <row r="49" spans="1:16" ht="15" thickBot="1">
      <c r="A49" s="166"/>
      <c r="B49" s="58" t="s">
        <v>78</v>
      </c>
      <c r="C49" s="56">
        <v>0</v>
      </c>
      <c r="D49" s="56">
        <v>0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6">
        <v>0</v>
      </c>
      <c r="K49" s="56">
        <v>0</v>
      </c>
    </row>
    <row r="50" spans="1:16" ht="15" thickTop="1"/>
    <row r="51" spans="1:16">
      <c r="A51" s="157" t="s">
        <v>65</v>
      </c>
      <c r="B51" s="158" t="s">
        <v>84</v>
      </c>
      <c r="C51" s="159"/>
      <c r="D51" s="159"/>
      <c r="E51" s="159"/>
      <c r="F51" s="159"/>
      <c r="G51" s="159"/>
      <c r="H51" s="159"/>
      <c r="I51" s="159"/>
      <c r="J51" s="159"/>
      <c r="K51" s="160"/>
      <c r="M51" s="161" t="s">
        <v>87</v>
      </c>
      <c r="N51" s="162"/>
      <c r="O51" s="162"/>
      <c r="P51" s="163"/>
    </row>
    <row r="52" spans="1:16">
      <c r="A52" s="157"/>
      <c r="B52" s="52"/>
      <c r="C52" s="158" t="s">
        <v>85</v>
      </c>
      <c r="D52" s="159"/>
      <c r="E52" s="159"/>
      <c r="F52" s="160"/>
      <c r="G52" s="157" t="s">
        <v>86</v>
      </c>
      <c r="H52" s="157"/>
      <c r="I52" s="157"/>
      <c r="J52" s="157"/>
      <c r="K52" s="122" t="s">
        <v>78</v>
      </c>
      <c r="M52" s="52" t="s">
        <v>29</v>
      </c>
      <c r="N52" s="59" t="s">
        <v>74</v>
      </c>
      <c r="O52" s="59" t="s">
        <v>84</v>
      </c>
      <c r="P52" s="122" t="s">
        <v>78</v>
      </c>
    </row>
    <row r="53" spans="1:16" ht="21" customHeight="1">
      <c r="A53" s="164" t="s">
        <v>67</v>
      </c>
      <c r="B53" s="52" t="s">
        <v>29</v>
      </c>
      <c r="C53" s="122" t="s">
        <v>32</v>
      </c>
      <c r="D53" s="122" t="s">
        <v>30</v>
      </c>
      <c r="E53" s="122" t="s">
        <v>31</v>
      </c>
      <c r="F53" s="122" t="s">
        <v>78</v>
      </c>
      <c r="G53" s="122" t="s">
        <v>32</v>
      </c>
      <c r="H53" s="122" t="s">
        <v>30</v>
      </c>
      <c r="I53" s="122" t="s">
        <v>31</v>
      </c>
      <c r="J53" s="122" t="s">
        <v>78</v>
      </c>
      <c r="K53" s="122"/>
      <c r="M53" s="54" t="s">
        <v>75</v>
      </c>
      <c r="N53" s="59">
        <v>0</v>
      </c>
      <c r="O53" s="59">
        <v>0</v>
      </c>
      <c r="P53" s="59">
        <v>0</v>
      </c>
    </row>
    <row r="54" spans="1:16">
      <c r="A54" s="165"/>
      <c r="B54" s="54" t="s">
        <v>75</v>
      </c>
      <c r="C54" s="52"/>
      <c r="D54" s="52"/>
      <c r="E54" s="52"/>
      <c r="F54" s="52">
        <v>0</v>
      </c>
      <c r="G54" s="52"/>
      <c r="H54" s="52"/>
      <c r="I54" s="52"/>
      <c r="J54" s="52">
        <v>0</v>
      </c>
      <c r="K54" s="52">
        <v>0</v>
      </c>
      <c r="M54" s="52" t="s">
        <v>76</v>
      </c>
      <c r="N54" s="59">
        <v>0</v>
      </c>
      <c r="O54" s="59">
        <v>0</v>
      </c>
      <c r="P54" s="59">
        <v>0</v>
      </c>
    </row>
    <row r="55" spans="1:16">
      <c r="A55" s="165"/>
      <c r="B55" s="52" t="s">
        <v>76</v>
      </c>
      <c r="C55" s="52"/>
      <c r="D55" s="52"/>
      <c r="E55" s="52"/>
      <c r="F55" s="52">
        <v>0</v>
      </c>
      <c r="G55" s="52"/>
      <c r="H55" s="52"/>
      <c r="I55" s="52"/>
      <c r="J55" s="52">
        <v>0</v>
      </c>
      <c r="K55" s="52">
        <v>0</v>
      </c>
      <c r="M55" s="52" t="s">
        <v>77</v>
      </c>
      <c r="N55" s="59">
        <v>0</v>
      </c>
      <c r="O55" s="59">
        <v>0</v>
      </c>
      <c r="P55" s="59">
        <v>0</v>
      </c>
    </row>
    <row r="56" spans="1:16" ht="15" thickBot="1">
      <c r="A56" s="165"/>
      <c r="B56" s="52" t="s">
        <v>77</v>
      </c>
      <c r="C56" s="52"/>
      <c r="D56" s="52"/>
      <c r="E56" s="52"/>
      <c r="F56" s="52">
        <v>0</v>
      </c>
      <c r="G56" s="52"/>
      <c r="H56" s="52"/>
      <c r="I56" s="52"/>
      <c r="J56" s="52">
        <v>0</v>
      </c>
      <c r="K56" s="52">
        <v>0</v>
      </c>
      <c r="M56" s="56" t="s">
        <v>78</v>
      </c>
      <c r="N56" s="60">
        <v>0</v>
      </c>
      <c r="O56" s="60">
        <v>0</v>
      </c>
      <c r="P56" s="60">
        <v>0</v>
      </c>
    </row>
    <row r="57" spans="1:16" ht="15.75" thickTop="1" thickBot="1">
      <c r="A57" s="165"/>
      <c r="B57" s="56" t="s">
        <v>78</v>
      </c>
      <c r="C57" s="56">
        <v>0</v>
      </c>
      <c r="D57" s="56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0</v>
      </c>
      <c r="K57" s="56">
        <v>0</v>
      </c>
      <c r="M57" s="57" t="s">
        <v>79</v>
      </c>
      <c r="N57" s="61">
        <v>0</v>
      </c>
      <c r="O57" s="61">
        <v>0</v>
      </c>
      <c r="P57" s="61">
        <v>0</v>
      </c>
    </row>
    <row r="58" spans="1:16" ht="15" thickTop="1">
      <c r="A58" s="165"/>
      <c r="B58" s="57" t="s">
        <v>54</v>
      </c>
      <c r="C58" s="57"/>
      <c r="D58" s="57"/>
      <c r="E58" s="57"/>
      <c r="F58" s="52">
        <v>0</v>
      </c>
      <c r="G58" s="57"/>
      <c r="H58" s="57"/>
      <c r="I58" s="57"/>
      <c r="J58" s="52">
        <v>0</v>
      </c>
      <c r="K58" s="52">
        <v>0</v>
      </c>
      <c r="M58" s="57" t="s">
        <v>54</v>
      </c>
      <c r="N58" s="59">
        <v>0</v>
      </c>
      <c r="O58" s="59">
        <v>0</v>
      </c>
      <c r="P58" s="61">
        <v>0</v>
      </c>
    </row>
    <row r="59" spans="1:16">
      <c r="A59" s="165"/>
      <c r="B59" s="52" t="s">
        <v>79</v>
      </c>
      <c r="C59" s="52"/>
      <c r="D59" s="52"/>
      <c r="E59" s="52"/>
      <c r="F59" s="52">
        <v>0</v>
      </c>
      <c r="G59" s="52"/>
      <c r="H59" s="52"/>
      <c r="I59" s="52"/>
      <c r="J59" s="52">
        <v>0</v>
      </c>
      <c r="K59" s="52">
        <v>0</v>
      </c>
      <c r="M59" s="52" t="s">
        <v>80</v>
      </c>
      <c r="N59" s="59">
        <v>0</v>
      </c>
      <c r="O59" s="59">
        <v>0</v>
      </c>
      <c r="P59" s="59">
        <v>0</v>
      </c>
    </row>
    <row r="60" spans="1:16">
      <c r="A60" s="165"/>
      <c r="B60" s="52" t="s">
        <v>80</v>
      </c>
      <c r="C60" s="52"/>
      <c r="D60" s="52"/>
      <c r="E60" s="52"/>
      <c r="F60" s="52">
        <v>0</v>
      </c>
      <c r="G60" s="52"/>
      <c r="H60" s="52"/>
      <c r="I60" s="52"/>
      <c r="J60" s="52">
        <v>0</v>
      </c>
      <c r="K60" s="52">
        <v>0</v>
      </c>
      <c r="M60" s="52" t="s">
        <v>81</v>
      </c>
      <c r="N60" s="59">
        <v>0</v>
      </c>
      <c r="O60" s="59">
        <v>0</v>
      </c>
      <c r="P60" s="59">
        <v>0</v>
      </c>
    </row>
    <row r="61" spans="1:16">
      <c r="A61" s="165"/>
      <c r="B61" s="52" t="s">
        <v>81</v>
      </c>
      <c r="C61" s="52"/>
      <c r="D61" s="52"/>
      <c r="E61" s="52"/>
      <c r="F61" s="52">
        <v>0</v>
      </c>
      <c r="G61" s="52"/>
      <c r="H61" s="52"/>
      <c r="I61" s="52"/>
      <c r="J61" s="52">
        <v>0</v>
      </c>
      <c r="K61" s="52">
        <v>0</v>
      </c>
      <c r="M61" s="52" t="s">
        <v>82</v>
      </c>
      <c r="N61" s="59">
        <v>0</v>
      </c>
      <c r="O61" s="59">
        <v>0</v>
      </c>
      <c r="P61" s="59">
        <v>0</v>
      </c>
    </row>
    <row r="62" spans="1:16">
      <c r="A62" s="165"/>
      <c r="B62" s="52" t="s">
        <v>82</v>
      </c>
      <c r="C62" s="52"/>
      <c r="D62" s="52"/>
      <c r="E62" s="52"/>
      <c r="F62" s="52">
        <v>0</v>
      </c>
      <c r="G62" s="52"/>
      <c r="H62" s="52"/>
      <c r="I62" s="52"/>
      <c r="J62" s="52">
        <v>0</v>
      </c>
      <c r="K62" s="52">
        <v>0</v>
      </c>
      <c r="M62" s="52" t="s">
        <v>83</v>
      </c>
      <c r="N62" s="59">
        <v>0</v>
      </c>
      <c r="O62" s="59">
        <v>0</v>
      </c>
      <c r="P62" s="59">
        <v>0</v>
      </c>
    </row>
    <row r="63" spans="1:16" ht="15" thickBot="1">
      <c r="A63" s="165"/>
      <c r="B63" s="52" t="s">
        <v>83</v>
      </c>
      <c r="C63" s="52"/>
      <c r="D63" s="52"/>
      <c r="E63" s="52"/>
      <c r="F63" s="52">
        <v>0</v>
      </c>
      <c r="G63" s="52"/>
      <c r="H63" s="52"/>
      <c r="I63" s="52"/>
      <c r="J63" s="52">
        <v>0</v>
      </c>
      <c r="K63" s="52">
        <v>0</v>
      </c>
      <c r="M63" s="58" t="s">
        <v>78</v>
      </c>
      <c r="N63" s="60">
        <v>0</v>
      </c>
      <c r="O63" s="60">
        <v>0</v>
      </c>
      <c r="P63" s="60">
        <v>0</v>
      </c>
    </row>
    <row r="64" spans="1:16" ht="15.75" thickTop="1" thickBot="1">
      <c r="A64" s="166"/>
      <c r="B64" s="58" t="s">
        <v>78</v>
      </c>
      <c r="C64" s="56">
        <v>0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M64" s="62"/>
      <c r="N64" s="62"/>
      <c r="O64" s="62"/>
      <c r="P64" s="62"/>
    </row>
    <row r="65" spans="1:16" ht="15" thickTop="1">
      <c r="A65" s="168" t="str">
        <f>$A$1</f>
        <v>प्रपत्र - क  -  अर्थसंकल्पीय अंदाजपत्रक सन 2021-2022</v>
      </c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</row>
    <row r="66" spans="1:16">
      <c r="A66" s="169" t="s">
        <v>19</v>
      </c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</row>
    <row r="67" spans="1:16">
      <c r="A67" s="167" t="s">
        <v>62</v>
      </c>
      <c r="B67" s="167"/>
      <c r="C67" s="167"/>
      <c r="D67" s="167"/>
      <c r="E67" s="167"/>
      <c r="F67" s="167"/>
      <c r="G67" s="167"/>
      <c r="H67" s="167"/>
      <c r="I67" s="167"/>
      <c r="J67" s="167"/>
      <c r="K67" s="167"/>
    </row>
    <row r="68" spans="1:16">
      <c r="A68" s="157" t="s">
        <v>65</v>
      </c>
      <c r="B68" s="158" t="s">
        <v>74</v>
      </c>
      <c r="C68" s="159"/>
      <c r="D68" s="159"/>
      <c r="E68" s="159"/>
      <c r="F68" s="159"/>
      <c r="G68" s="159"/>
      <c r="H68" s="159"/>
      <c r="I68" s="159"/>
      <c r="J68" s="159"/>
      <c r="K68" s="160"/>
    </row>
    <row r="69" spans="1:16">
      <c r="A69" s="157"/>
      <c r="B69" s="52"/>
      <c r="C69" s="157" t="s">
        <v>85</v>
      </c>
      <c r="D69" s="157"/>
      <c r="E69" s="157"/>
      <c r="F69" s="157"/>
      <c r="G69" s="157" t="s">
        <v>86</v>
      </c>
      <c r="H69" s="157"/>
      <c r="I69" s="157"/>
      <c r="J69" s="157"/>
      <c r="K69" s="122" t="s">
        <v>78</v>
      </c>
    </row>
    <row r="70" spans="1:16">
      <c r="A70" s="164" t="s">
        <v>68</v>
      </c>
      <c r="B70" s="52" t="s">
        <v>29</v>
      </c>
      <c r="C70" s="122" t="s">
        <v>32</v>
      </c>
      <c r="D70" s="122" t="s">
        <v>30</v>
      </c>
      <c r="E70" s="122" t="s">
        <v>31</v>
      </c>
      <c r="F70" s="122" t="s">
        <v>78</v>
      </c>
      <c r="G70" s="122" t="s">
        <v>32</v>
      </c>
      <c r="H70" s="122" t="s">
        <v>30</v>
      </c>
      <c r="I70" s="122" t="s">
        <v>31</v>
      </c>
      <c r="J70" s="122" t="s">
        <v>78</v>
      </c>
      <c r="K70" s="122" t="s">
        <v>78</v>
      </c>
    </row>
    <row r="71" spans="1:16">
      <c r="A71" s="165"/>
      <c r="B71" s="54" t="s">
        <v>75</v>
      </c>
      <c r="C71" s="57">
        <v>0</v>
      </c>
      <c r="D71" s="57">
        <v>0</v>
      </c>
      <c r="E71" s="57">
        <v>0</v>
      </c>
      <c r="F71" s="52">
        <v>0</v>
      </c>
      <c r="G71" s="57">
        <v>0</v>
      </c>
      <c r="H71" s="57">
        <v>0</v>
      </c>
      <c r="I71" s="57">
        <v>0</v>
      </c>
      <c r="J71" s="52">
        <v>0</v>
      </c>
      <c r="K71" s="52">
        <v>0</v>
      </c>
    </row>
    <row r="72" spans="1:16">
      <c r="A72" s="165"/>
      <c r="B72" s="52" t="s">
        <v>76</v>
      </c>
      <c r="C72" s="57">
        <v>0</v>
      </c>
      <c r="D72" s="57">
        <v>0</v>
      </c>
      <c r="E72" s="57">
        <v>0</v>
      </c>
      <c r="F72" s="52">
        <v>0</v>
      </c>
      <c r="G72" s="57">
        <v>0</v>
      </c>
      <c r="H72" s="57">
        <v>0</v>
      </c>
      <c r="I72" s="57">
        <v>0</v>
      </c>
      <c r="J72" s="52">
        <v>0</v>
      </c>
      <c r="K72" s="52">
        <v>0</v>
      </c>
    </row>
    <row r="73" spans="1:16">
      <c r="A73" s="165"/>
      <c r="B73" s="52" t="s">
        <v>77</v>
      </c>
      <c r="C73" s="57">
        <v>0</v>
      </c>
      <c r="D73" s="57">
        <v>0</v>
      </c>
      <c r="E73" s="57">
        <v>0</v>
      </c>
      <c r="F73" s="52">
        <v>0</v>
      </c>
      <c r="G73" s="57">
        <v>0</v>
      </c>
      <c r="H73" s="57">
        <v>0</v>
      </c>
      <c r="I73" s="57">
        <v>0</v>
      </c>
      <c r="J73" s="52">
        <v>0</v>
      </c>
      <c r="K73" s="52">
        <v>0</v>
      </c>
    </row>
    <row r="74" spans="1:16" ht="15" thickBot="1">
      <c r="A74" s="165"/>
      <c r="B74" s="56" t="s">
        <v>78</v>
      </c>
      <c r="C74" s="56">
        <v>0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</row>
    <row r="75" spans="1:16" ht="15" thickTop="1">
      <c r="A75" s="165"/>
      <c r="B75" s="57" t="s">
        <v>54</v>
      </c>
      <c r="C75" s="57">
        <v>0</v>
      </c>
      <c r="D75" s="57">
        <v>0</v>
      </c>
      <c r="E75" s="57">
        <v>0</v>
      </c>
      <c r="F75" s="52">
        <v>0</v>
      </c>
      <c r="G75" s="57">
        <v>0</v>
      </c>
      <c r="H75" s="57">
        <v>0</v>
      </c>
      <c r="I75" s="57">
        <v>0</v>
      </c>
      <c r="J75" s="52">
        <v>0</v>
      </c>
      <c r="K75" s="52">
        <v>0</v>
      </c>
    </row>
    <row r="76" spans="1:16">
      <c r="A76" s="165"/>
      <c r="B76" s="52" t="s">
        <v>79</v>
      </c>
      <c r="C76" s="57">
        <v>0</v>
      </c>
      <c r="D76" s="57">
        <v>0</v>
      </c>
      <c r="E76" s="57">
        <v>0</v>
      </c>
      <c r="F76" s="52">
        <v>0</v>
      </c>
      <c r="G76" s="57">
        <v>0</v>
      </c>
      <c r="H76" s="57">
        <v>0</v>
      </c>
      <c r="I76" s="57">
        <v>0</v>
      </c>
      <c r="J76" s="52">
        <v>0</v>
      </c>
      <c r="K76" s="52">
        <v>0</v>
      </c>
    </row>
    <row r="77" spans="1:16">
      <c r="A77" s="165"/>
      <c r="B77" s="52" t="s">
        <v>80</v>
      </c>
      <c r="C77" s="57">
        <v>0</v>
      </c>
      <c r="D77" s="57">
        <v>0</v>
      </c>
      <c r="E77" s="57">
        <v>0</v>
      </c>
      <c r="F77" s="52">
        <v>0</v>
      </c>
      <c r="G77" s="57">
        <v>0</v>
      </c>
      <c r="H77" s="57">
        <v>0</v>
      </c>
      <c r="I77" s="57">
        <v>0</v>
      </c>
      <c r="J77" s="52">
        <v>0</v>
      </c>
      <c r="K77" s="52">
        <v>0</v>
      </c>
    </row>
    <row r="78" spans="1:16">
      <c r="A78" s="165"/>
      <c r="B78" s="52" t="s">
        <v>81</v>
      </c>
      <c r="C78" s="57">
        <v>0</v>
      </c>
      <c r="D78" s="57">
        <v>0</v>
      </c>
      <c r="E78" s="57">
        <v>0</v>
      </c>
      <c r="F78" s="52">
        <v>0</v>
      </c>
      <c r="G78" s="57">
        <v>0</v>
      </c>
      <c r="H78" s="57">
        <v>0</v>
      </c>
      <c r="I78" s="57">
        <v>0</v>
      </c>
      <c r="J78" s="52">
        <v>0</v>
      </c>
      <c r="K78" s="52">
        <v>0</v>
      </c>
    </row>
    <row r="79" spans="1:16">
      <c r="A79" s="165"/>
      <c r="B79" s="52" t="s">
        <v>82</v>
      </c>
      <c r="C79" s="57">
        <v>0</v>
      </c>
      <c r="D79" s="57">
        <v>0</v>
      </c>
      <c r="E79" s="57">
        <v>0</v>
      </c>
      <c r="F79" s="52">
        <v>0</v>
      </c>
      <c r="G79" s="57">
        <v>0</v>
      </c>
      <c r="H79" s="57">
        <v>0</v>
      </c>
      <c r="I79" s="57">
        <v>0</v>
      </c>
      <c r="J79" s="52">
        <v>0</v>
      </c>
      <c r="K79" s="52">
        <v>0</v>
      </c>
    </row>
    <row r="80" spans="1:16">
      <c r="A80" s="165"/>
      <c r="B80" s="52" t="s">
        <v>83</v>
      </c>
      <c r="C80" s="57">
        <v>0</v>
      </c>
      <c r="D80" s="57">
        <v>0</v>
      </c>
      <c r="E80" s="57">
        <v>0</v>
      </c>
      <c r="F80" s="52">
        <v>0</v>
      </c>
      <c r="G80" s="57">
        <v>0</v>
      </c>
      <c r="H80" s="57">
        <v>0</v>
      </c>
      <c r="I80" s="57">
        <v>0</v>
      </c>
      <c r="J80" s="52">
        <v>0</v>
      </c>
      <c r="K80" s="52">
        <v>0</v>
      </c>
    </row>
    <row r="81" spans="1:16" ht="15" thickBot="1">
      <c r="A81" s="166"/>
      <c r="B81" s="58" t="s">
        <v>78</v>
      </c>
      <c r="C81" s="56">
        <v>0</v>
      </c>
      <c r="D81" s="56">
        <v>0</v>
      </c>
      <c r="E81" s="56">
        <v>0</v>
      </c>
      <c r="F81" s="56">
        <v>0</v>
      </c>
      <c r="G81" s="56">
        <v>0</v>
      </c>
      <c r="H81" s="56">
        <v>0</v>
      </c>
      <c r="I81" s="56">
        <v>0</v>
      </c>
      <c r="J81" s="56">
        <v>0</v>
      </c>
      <c r="K81" s="56">
        <v>0</v>
      </c>
    </row>
    <row r="82" spans="1:16" ht="15" thickTop="1"/>
    <row r="83" spans="1:16">
      <c r="A83" s="157" t="s">
        <v>65</v>
      </c>
      <c r="B83" s="158" t="s">
        <v>84</v>
      </c>
      <c r="C83" s="159"/>
      <c r="D83" s="159"/>
      <c r="E83" s="159"/>
      <c r="F83" s="159"/>
      <c r="G83" s="159"/>
      <c r="H83" s="159"/>
      <c r="I83" s="159"/>
      <c r="J83" s="159"/>
      <c r="K83" s="160"/>
      <c r="M83" s="161" t="s">
        <v>87</v>
      </c>
      <c r="N83" s="162"/>
      <c r="O83" s="162"/>
      <c r="P83" s="163"/>
    </row>
    <row r="84" spans="1:16">
      <c r="A84" s="157"/>
      <c r="B84" s="52"/>
      <c r="C84" s="158" t="s">
        <v>85</v>
      </c>
      <c r="D84" s="159"/>
      <c r="E84" s="159"/>
      <c r="F84" s="160"/>
      <c r="G84" s="157" t="s">
        <v>86</v>
      </c>
      <c r="H84" s="157"/>
      <c r="I84" s="157"/>
      <c r="J84" s="157"/>
      <c r="K84" s="122" t="s">
        <v>78</v>
      </c>
      <c r="M84" s="52" t="s">
        <v>29</v>
      </c>
      <c r="N84" s="59" t="s">
        <v>74</v>
      </c>
      <c r="O84" s="59" t="s">
        <v>84</v>
      </c>
      <c r="P84" s="122" t="s">
        <v>78</v>
      </c>
    </row>
    <row r="85" spans="1:16">
      <c r="A85" s="164" t="s">
        <v>68</v>
      </c>
      <c r="B85" s="52" t="s">
        <v>29</v>
      </c>
      <c r="C85" s="122" t="s">
        <v>32</v>
      </c>
      <c r="D85" s="122" t="s">
        <v>30</v>
      </c>
      <c r="E85" s="122" t="s">
        <v>31</v>
      </c>
      <c r="F85" s="122" t="s">
        <v>78</v>
      </c>
      <c r="G85" s="122" t="s">
        <v>32</v>
      </c>
      <c r="H85" s="122" t="s">
        <v>30</v>
      </c>
      <c r="I85" s="122" t="s">
        <v>31</v>
      </c>
      <c r="J85" s="122" t="s">
        <v>78</v>
      </c>
      <c r="K85" s="122"/>
      <c r="M85" s="54" t="s">
        <v>75</v>
      </c>
      <c r="N85" s="59">
        <v>0</v>
      </c>
      <c r="O85" s="59">
        <f>K86</f>
        <v>10</v>
      </c>
      <c r="P85" s="59">
        <f>SUM(N85:O85)</f>
        <v>10</v>
      </c>
    </row>
    <row r="86" spans="1:16">
      <c r="A86" s="165"/>
      <c r="B86" s="54" t="s">
        <v>75</v>
      </c>
      <c r="C86" s="52">
        <v>2</v>
      </c>
      <c r="D86" s="52">
        <v>7</v>
      </c>
      <c r="E86" s="52">
        <v>1</v>
      </c>
      <c r="F86" s="52">
        <f>SUM(C86:E86)</f>
        <v>10</v>
      </c>
      <c r="G86" s="52">
        <v>0</v>
      </c>
      <c r="H86" s="52">
        <v>0</v>
      </c>
      <c r="I86" s="52">
        <v>0</v>
      </c>
      <c r="J86" s="52">
        <f>SUM(G86:I86)</f>
        <v>0</v>
      </c>
      <c r="K86" s="52">
        <f>SUM(F86+J86)</f>
        <v>10</v>
      </c>
      <c r="M86" s="52" t="s">
        <v>76</v>
      </c>
      <c r="N86" s="59">
        <v>0</v>
      </c>
      <c r="O86" s="59">
        <f>K87</f>
        <v>5835</v>
      </c>
      <c r="P86" s="59">
        <f t="shared" ref="P86:P94" si="0">SUM(N86:O86)</f>
        <v>5835</v>
      </c>
    </row>
    <row r="87" spans="1:16">
      <c r="A87" s="165"/>
      <c r="B87" s="52" t="s">
        <v>76</v>
      </c>
      <c r="C87" s="52">
        <v>1497</v>
      </c>
      <c r="D87" s="52">
        <v>4140</v>
      </c>
      <c r="E87" s="52">
        <v>198</v>
      </c>
      <c r="F87" s="52">
        <f t="shared" ref="F87:F95" si="1">SUM(C87:E87)</f>
        <v>5835</v>
      </c>
      <c r="G87" s="52">
        <v>0</v>
      </c>
      <c r="H87" s="52">
        <v>0</v>
      </c>
      <c r="I87" s="52">
        <v>0</v>
      </c>
      <c r="J87" s="52">
        <f t="shared" ref="J87:J95" si="2">SUM(G87:I87)</f>
        <v>0</v>
      </c>
      <c r="K87" s="52">
        <f t="shared" ref="K87:K95" si="3">SUM(F87+J87)</f>
        <v>5835</v>
      </c>
      <c r="M87" s="52" t="s">
        <v>77</v>
      </c>
      <c r="N87" s="59">
        <v>0</v>
      </c>
      <c r="O87" s="59">
        <f>K88</f>
        <v>0</v>
      </c>
      <c r="P87" s="59">
        <f t="shared" si="0"/>
        <v>0</v>
      </c>
    </row>
    <row r="88" spans="1:16" ht="15" thickBot="1">
      <c r="A88" s="165"/>
      <c r="B88" s="52" t="s">
        <v>77</v>
      </c>
      <c r="C88" s="52">
        <v>0</v>
      </c>
      <c r="D88" s="52">
        <v>0</v>
      </c>
      <c r="E88" s="52">
        <v>0</v>
      </c>
      <c r="F88" s="52">
        <f t="shared" si="1"/>
        <v>0</v>
      </c>
      <c r="G88" s="52">
        <v>0</v>
      </c>
      <c r="H88" s="52">
        <v>0</v>
      </c>
      <c r="I88" s="52">
        <v>0</v>
      </c>
      <c r="J88" s="52">
        <f t="shared" si="2"/>
        <v>0</v>
      </c>
      <c r="K88" s="52">
        <f t="shared" si="3"/>
        <v>0</v>
      </c>
      <c r="M88" s="56" t="s">
        <v>78</v>
      </c>
      <c r="N88" s="60">
        <f>SUM(N86:N87)</f>
        <v>0</v>
      </c>
      <c r="O88" s="60">
        <f>SUM(O86:O87)</f>
        <v>5835</v>
      </c>
      <c r="P88" s="60">
        <f>SUM(P86:P87)</f>
        <v>5835</v>
      </c>
    </row>
    <row r="89" spans="1:16" ht="15.75" thickTop="1" thickBot="1">
      <c r="A89" s="165"/>
      <c r="B89" s="56" t="s">
        <v>78</v>
      </c>
      <c r="C89" s="56">
        <f>SUM(C87:C88)</f>
        <v>1497</v>
      </c>
      <c r="D89" s="56">
        <f t="shared" ref="D89:K89" si="4">SUM(D87:D88)</f>
        <v>4140</v>
      </c>
      <c r="E89" s="56">
        <f t="shared" si="4"/>
        <v>198</v>
      </c>
      <c r="F89" s="56">
        <f t="shared" si="4"/>
        <v>5835</v>
      </c>
      <c r="G89" s="56">
        <f t="shared" si="4"/>
        <v>0</v>
      </c>
      <c r="H89" s="56">
        <f t="shared" si="4"/>
        <v>0</v>
      </c>
      <c r="I89" s="56">
        <f t="shared" si="4"/>
        <v>0</v>
      </c>
      <c r="J89" s="56">
        <f t="shared" si="4"/>
        <v>0</v>
      </c>
      <c r="K89" s="56">
        <f t="shared" si="4"/>
        <v>5835</v>
      </c>
      <c r="M89" s="57" t="s">
        <v>79</v>
      </c>
      <c r="N89" s="61">
        <v>0</v>
      </c>
      <c r="O89" s="61">
        <f>SUM(K91)</f>
        <v>1459</v>
      </c>
      <c r="P89" s="59">
        <f t="shared" si="0"/>
        <v>1459</v>
      </c>
    </row>
    <row r="90" spans="1:16" ht="15" thickTop="1">
      <c r="A90" s="165"/>
      <c r="B90" s="57" t="s">
        <v>54</v>
      </c>
      <c r="C90" s="57">
        <v>0</v>
      </c>
      <c r="D90" s="57">
        <v>0</v>
      </c>
      <c r="E90" s="57">
        <v>0</v>
      </c>
      <c r="F90" s="52">
        <f t="shared" si="1"/>
        <v>0</v>
      </c>
      <c r="G90" s="57">
        <v>0</v>
      </c>
      <c r="H90" s="57">
        <v>0</v>
      </c>
      <c r="I90" s="57">
        <v>0</v>
      </c>
      <c r="J90" s="52">
        <f t="shared" si="2"/>
        <v>0</v>
      </c>
      <c r="K90" s="52">
        <f t="shared" si="3"/>
        <v>0</v>
      </c>
      <c r="M90" s="57" t="s">
        <v>54</v>
      </c>
      <c r="N90" s="59">
        <v>0</v>
      </c>
      <c r="O90" s="59">
        <f>SUM(K90)</f>
        <v>0</v>
      </c>
      <c r="P90" s="59">
        <f t="shared" si="0"/>
        <v>0</v>
      </c>
    </row>
    <row r="91" spans="1:16">
      <c r="A91" s="165"/>
      <c r="B91" s="52" t="s">
        <v>79</v>
      </c>
      <c r="C91" s="52">
        <v>373</v>
      </c>
      <c r="D91" s="52">
        <v>1036</v>
      </c>
      <c r="E91" s="52">
        <v>50</v>
      </c>
      <c r="F91" s="52">
        <f t="shared" si="1"/>
        <v>1459</v>
      </c>
      <c r="G91" s="52">
        <v>0</v>
      </c>
      <c r="H91" s="52">
        <v>0</v>
      </c>
      <c r="I91" s="52">
        <v>0</v>
      </c>
      <c r="J91" s="52">
        <f t="shared" si="2"/>
        <v>0</v>
      </c>
      <c r="K91" s="52">
        <f t="shared" si="3"/>
        <v>1459</v>
      </c>
      <c r="M91" s="52" t="s">
        <v>80</v>
      </c>
      <c r="N91" s="59">
        <v>0</v>
      </c>
      <c r="O91" s="59">
        <f>SUM(K92)</f>
        <v>36</v>
      </c>
      <c r="P91" s="59">
        <f t="shared" si="0"/>
        <v>36</v>
      </c>
    </row>
    <row r="92" spans="1:16">
      <c r="A92" s="165"/>
      <c r="B92" s="52" t="s">
        <v>80</v>
      </c>
      <c r="C92" s="52">
        <v>8</v>
      </c>
      <c r="D92" s="52">
        <v>25</v>
      </c>
      <c r="E92" s="52">
        <v>3</v>
      </c>
      <c r="F92" s="52">
        <f t="shared" si="1"/>
        <v>36</v>
      </c>
      <c r="G92" s="52">
        <v>0</v>
      </c>
      <c r="H92" s="52">
        <v>0</v>
      </c>
      <c r="I92" s="52">
        <v>0</v>
      </c>
      <c r="J92" s="52">
        <f t="shared" si="2"/>
        <v>0</v>
      </c>
      <c r="K92" s="52">
        <f t="shared" si="3"/>
        <v>36</v>
      </c>
      <c r="M92" s="52" t="s">
        <v>81</v>
      </c>
      <c r="N92" s="59">
        <v>0</v>
      </c>
      <c r="O92" s="59">
        <f>SUM(K93)</f>
        <v>1575</v>
      </c>
      <c r="P92" s="59">
        <f t="shared" si="0"/>
        <v>1575</v>
      </c>
    </row>
    <row r="93" spans="1:16">
      <c r="A93" s="165"/>
      <c r="B93" s="52" t="s">
        <v>81</v>
      </c>
      <c r="C93" s="52">
        <v>404</v>
      </c>
      <c r="D93" s="52">
        <v>1118</v>
      </c>
      <c r="E93" s="52">
        <v>53</v>
      </c>
      <c r="F93" s="52">
        <f t="shared" si="1"/>
        <v>1575</v>
      </c>
      <c r="G93" s="52">
        <v>0</v>
      </c>
      <c r="H93" s="52">
        <v>0</v>
      </c>
      <c r="I93" s="52">
        <v>0</v>
      </c>
      <c r="J93" s="52">
        <f t="shared" si="2"/>
        <v>0</v>
      </c>
      <c r="K93" s="52">
        <f t="shared" si="3"/>
        <v>1575</v>
      </c>
      <c r="M93" s="52" t="s">
        <v>82</v>
      </c>
      <c r="N93" s="59">
        <v>0</v>
      </c>
      <c r="O93" s="59">
        <f>SUM(K94)</f>
        <v>67</v>
      </c>
      <c r="P93" s="59">
        <f t="shared" si="0"/>
        <v>67</v>
      </c>
    </row>
    <row r="94" spans="1:16">
      <c r="A94" s="165"/>
      <c r="B94" s="52" t="s">
        <v>82</v>
      </c>
      <c r="C94" s="52">
        <v>28</v>
      </c>
      <c r="D94" s="52">
        <v>34</v>
      </c>
      <c r="E94" s="52">
        <v>5</v>
      </c>
      <c r="F94" s="52">
        <f t="shared" si="1"/>
        <v>67</v>
      </c>
      <c r="G94" s="52">
        <v>0</v>
      </c>
      <c r="H94" s="52">
        <v>0</v>
      </c>
      <c r="I94" s="52">
        <v>0</v>
      </c>
      <c r="J94" s="52">
        <f t="shared" si="2"/>
        <v>0</v>
      </c>
      <c r="K94" s="52">
        <f t="shared" si="3"/>
        <v>67</v>
      </c>
      <c r="M94" s="52" t="s">
        <v>83</v>
      </c>
      <c r="N94" s="59">
        <v>0</v>
      </c>
      <c r="O94" s="59">
        <f>SUM(K95)</f>
        <v>2</v>
      </c>
      <c r="P94" s="59">
        <f t="shared" si="0"/>
        <v>2</v>
      </c>
    </row>
    <row r="95" spans="1:16" ht="15" thickBot="1">
      <c r="A95" s="165"/>
      <c r="B95" s="52" t="s">
        <v>83</v>
      </c>
      <c r="C95" s="52">
        <v>0</v>
      </c>
      <c r="D95" s="52">
        <v>0</v>
      </c>
      <c r="E95" s="52">
        <v>2</v>
      </c>
      <c r="F95" s="52">
        <f t="shared" si="1"/>
        <v>2</v>
      </c>
      <c r="G95" s="52">
        <v>0</v>
      </c>
      <c r="H95" s="52">
        <v>0</v>
      </c>
      <c r="I95" s="52">
        <v>0</v>
      </c>
      <c r="J95" s="52">
        <f t="shared" si="2"/>
        <v>0</v>
      </c>
      <c r="K95" s="52">
        <f t="shared" si="3"/>
        <v>2</v>
      </c>
      <c r="M95" s="58" t="s">
        <v>78</v>
      </c>
      <c r="N95" s="60">
        <f>SUM(N88:N94)</f>
        <v>0</v>
      </c>
      <c r="O95" s="60">
        <f>SUM(O88:O94)</f>
        <v>8974</v>
      </c>
      <c r="P95" s="60">
        <f>SUM(P88:P94)</f>
        <v>8974</v>
      </c>
    </row>
    <row r="96" spans="1:16" ht="15.75" thickTop="1" thickBot="1">
      <c r="A96" s="166"/>
      <c r="B96" s="58" t="s">
        <v>78</v>
      </c>
      <c r="C96" s="56">
        <f>SUM(C89:C95)</f>
        <v>2310</v>
      </c>
      <c r="D96" s="56">
        <f t="shared" ref="D96:K96" si="5">SUM(D89:D95)</f>
        <v>6353</v>
      </c>
      <c r="E96" s="56">
        <f t="shared" si="5"/>
        <v>311</v>
      </c>
      <c r="F96" s="56">
        <f t="shared" si="5"/>
        <v>8974</v>
      </c>
      <c r="G96" s="56">
        <f t="shared" si="5"/>
        <v>0</v>
      </c>
      <c r="H96" s="56">
        <f t="shared" si="5"/>
        <v>0</v>
      </c>
      <c r="I96" s="56">
        <f t="shared" si="5"/>
        <v>0</v>
      </c>
      <c r="J96" s="56">
        <f t="shared" si="5"/>
        <v>0</v>
      </c>
      <c r="K96" s="56">
        <f t="shared" si="5"/>
        <v>8974</v>
      </c>
      <c r="M96" s="62"/>
      <c r="N96" s="62"/>
      <c r="O96" s="62"/>
      <c r="P96" s="62"/>
    </row>
    <row r="97" spans="1:16" ht="15" thickTop="1">
      <c r="A97" s="168" t="str">
        <f>$A$1</f>
        <v>प्रपत्र - क  -  अर्थसंकल्पीय अंदाजपत्रक सन 2021-2022</v>
      </c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</row>
    <row r="98" spans="1:16">
      <c r="A98" s="169" t="s">
        <v>19</v>
      </c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</row>
    <row r="99" spans="1:16">
      <c r="A99" s="167" t="s">
        <v>62</v>
      </c>
      <c r="B99" s="167"/>
      <c r="C99" s="167"/>
      <c r="D99" s="167"/>
      <c r="E99" s="167"/>
      <c r="F99" s="167"/>
      <c r="G99" s="167"/>
      <c r="H99" s="167"/>
      <c r="I99" s="167"/>
      <c r="J99" s="167"/>
      <c r="K99" s="167"/>
    </row>
    <row r="100" spans="1:16">
      <c r="A100" s="157" t="s">
        <v>65</v>
      </c>
      <c r="B100" s="158" t="s">
        <v>74</v>
      </c>
      <c r="C100" s="159"/>
      <c r="D100" s="159"/>
      <c r="E100" s="159"/>
      <c r="F100" s="159"/>
      <c r="G100" s="159"/>
      <c r="H100" s="159"/>
      <c r="I100" s="159"/>
      <c r="J100" s="159"/>
      <c r="K100" s="160"/>
    </row>
    <row r="101" spans="1:16">
      <c r="A101" s="157"/>
      <c r="B101" s="52"/>
      <c r="C101" s="157" t="s">
        <v>85</v>
      </c>
      <c r="D101" s="157"/>
      <c r="E101" s="157"/>
      <c r="F101" s="157"/>
      <c r="G101" s="157" t="s">
        <v>86</v>
      </c>
      <c r="H101" s="157"/>
      <c r="I101" s="157"/>
      <c r="J101" s="157"/>
      <c r="K101" s="122" t="s">
        <v>78</v>
      </c>
    </row>
    <row r="102" spans="1:16" ht="21" customHeight="1">
      <c r="A102" s="164" t="s">
        <v>117</v>
      </c>
      <c r="B102" s="52" t="s">
        <v>29</v>
      </c>
      <c r="C102" s="122" t="s">
        <v>32</v>
      </c>
      <c r="D102" s="122" t="s">
        <v>30</v>
      </c>
      <c r="E102" s="122" t="s">
        <v>31</v>
      </c>
      <c r="F102" s="122" t="s">
        <v>78</v>
      </c>
      <c r="G102" s="122" t="s">
        <v>32</v>
      </c>
      <c r="H102" s="122" t="s">
        <v>30</v>
      </c>
      <c r="I102" s="122" t="s">
        <v>31</v>
      </c>
      <c r="J102" s="122" t="s">
        <v>78</v>
      </c>
      <c r="K102" s="122" t="s">
        <v>78</v>
      </c>
    </row>
    <row r="103" spans="1:16">
      <c r="A103" s="165"/>
      <c r="B103" s="54" t="s">
        <v>75</v>
      </c>
      <c r="C103" s="55"/>
      <c r="D103" s="52"/>
      <c r="E103" s="52"/>
      <c r="F103" s="52">
        <v>0</v>
      </c>
      <c r="G103" s="52"/>
      <c r="H103" s="52"/>
      <c r="I103" s="52"/>
      <c r="J103" s="52">
        <v>0</v>
      </c>
      <c r="K103" s="52">
        <v>0</v>
      </c>
    </row>
    <row r="104" spans="1:16">
      <c r="A104" s="165"/>
      <c r="B104" s="52" t="s">
        <v>76</v>
      </c>
      <c r="C104" s="55"/>
      <c r="D104" s="52"/>
      <c r="E104" s="52"/>
      <c r="F104" s="52">
        <v>0</v>
      </c>
      <c r="G104" s="52"/>
      <c r="H104" s="52"/>
      <c r="I104" s="52"/>
      <c r="J104" s="52">
        <v>0</v>
      </c>
      <c r="K104" s="52">
        <v>0</v>
      </c>
    </row>
    <row r="105" spans="1:16">
      <c r="A105" s="165"/>
      <c r="B105" s="52" t="s">
        <v>77</v>
      </c>
      <c r="C105" s="52"/>
      <c r="D105" s="52"/>
      <c r="E105" s="52"/>
      <c r="F105" s="52">
        <v>0</v>
      </c>
      <c r="G105" s="52"/>
      <c r="H105" s="52"/>
      <c r="I105" s="52"/>
      <c r="J105" s="52">
        <v>0</v>
      </c>
      <c r="K105" s="52">
        <v>0</v>
      </c>
    </row>
    <row r="106" spans="1:16" ht="15" thickBot="1">
      <c r="A106" s="165"/>
      <c r="B106" s="56" t="s">
        <v>78</v>
      </c>
      <c r="C106" s="56">
        <v>0</v>
      </c>
      <c r="D106" s="56">
        <v>0</v>
      </c>
      <c r="E106" s="56">
        <v>0</v>
      </c>
      <c r="F106" s="56">
        <v>0</v>
      </c>
      <c r="G106" s="56">
        <v>0</v>
      </c>
      <c r="H106" s="56">
        <v>0</v>
      </c>
      <c r="I106" s="56">
        <v>0</v>
      </c>
      <c r="J106" s="56">
        <v>0</v>
      </c>
      <c r="K106" s="56">
        <v>0</v>
      </c>
    </row>
    <row r="107" spans="1:16" ht="15" thickTop="1">
      <c r="A107" s="165"/>
      <c r="B107" s="57" t="s">
        <v>54</v>
      </c>
      <c r="C107" s="57"/>
      <c r="D107" s="57"/>
      <c r="E107" s="57"/>
      <c r="F107" s="52">
        <v>0</v>
      </c>
      <c r="G107" s="57"/>
      <c r="H107" s="57"/>
      <c r="I107" s="57"/>
      <c r="J107" s="52">
        <v>0</v>
      </c>
      <c r="K107" s="52">
        <v>0</v>
      </c>
    </row>
    <row r="108" spans="1:16">
      <c r="A108" s="165"/>
      <c r="B108" s="52" t="s">
        <v>79</v>
      </c>
      <c r="C108" s="52"/>
      <c r="D108" s="52"/>
      <c r="E108" s="52"/>
      <c r="F108" s="52">
        <v>0</v>
      </c>
      <c r="G108" s="52"/>
      <c r="H108" s="52"/>
      <c r="I108" s="52"/>
      <c r="J108" s="52">
        <v>0</v>
      </c>
      <c r="K108" s="52">
        <v>0</v>
      </c>
    </row>
    <row r="109" spans="1:16">
      <c r="A109" s="165"/>
      <c r="B109" s="52" t="s">
        <v>80</v>
      </c>
      <c r="C109" s="52"/>
      <c r="D109" s="52"/>
      <c r="E109" s="52"/>
      <c r="F109" s="52">
        <v>0</v>
      </c>
      <c r="G109" s="52"/>
      <c r="H109" s="52"/>
      <c r="I109" s="52"/>
      <c r="J109" s="52">
        <v>0</v>
      </c>
      <c r="K109" s="52">
        <v>0</v>
      </c>
    </row>
    <row r="110" spans="1:16">
      <c r="A110" s="165"/>
      <c r="B110" s="52" t="s">
        <v>81</v>
      </c>
      <c r="C110" s="52"/>
      <c r="D110" s="52"/>
      <c r="E110" s="52"/>
      <c r="F110" s="52">
        <v>0</v>
      </c>
      <c r="G110" s="52"/>
      <c r="H110" s="52"/>
      <c r="I110" s="52"/>
      <c r="J110" s="52">
        <v>0</v>
      </c>
      <c r="K110" s="52">
        <v>0</v>
      </c>
    </row>
    <row r="111" spans="1:16">
      <c r="A111" s="165"/>
      <c r="B111" s="52" t="s">
        <v>82</v>
      </c>
      <c r="C111" s="52"/>
      <c r="D111" s="52"/>
      <c r="E111" s="52"/>
      <c r="F111" s="52">
        <v>0</v>
      </c>
      <c r="G111" s="52"/>
      <c r="H111" s="52"/>
      <c r="I111" s="52"/>
      <c r="J111" s="52">
        <v>0</v>
      </c>
      <c r="K111" s="52">
        <v>0</v>
      </c>
    </row>
    <row r="112" spans="1:16">
      <c r="A112" s="165"/>
      <c r="B112" s="52" t="s">
        <v>83</v>
      </c>
      <c r="C112" s="52"/>
      <c r="D112" s="52"/>
      <c r="E112" s="52"/>
      <c r="F112" s="52">
        <v>0</v>
      </c>
      <c r="G112" s="52"/>
      <c r="H112" s="52"/>
      <c r="I112" s="52"/>
      <c r="J112" s="52">
        <v>0</v>
      </c>
      <c r="K112" s="52">
        <v>0</v>
      </c>
    </row>
    <row r="113" spans="1:16" ht="15" thickBot="1">
      <c r="A113" s="166"/>
      <c r="B113" s="58" t="s">
        <v>78</v>
      </c>
      <c r="C113" s="56">
        <v>0</v>
      </c>
      <c r="D113" s="56">
        <v>0</v>
      </c>
      <c r="E113" s="56">
        <v>0</v>
      </c>
      <c r="F113" s="56">
        <v>0</v>
      </c>
      <c r="G113" s="56">
        <v>0</v>
      </c>
      <c r="H113" s="56">
        <v>0</v>
      </c>
      <c r="I113" s="56">
        <v>0</v>
      </c>
      <c r="J113" s="56">
        <v>0</v>
      </c>
      <c r="K113" s="56">
        <v>0</v>
      </c>
    </row>
    <row r="114" spans="1:16" ht="15" thickTop="1"/>
    <row r="115" spans="1:16">
      <c r="A115" s="157" t="s">
        <v>65</v>
      </c>
      <c r="B115" s="158" t="s">
        <v>84</v>
      </c>
      <c r="C115" s="159"/>
      <c r="D115" s="159"/>
      <c r="E115" s="159"/>
      <c r="F115" s="159"/>
      <c r="G115" s="159"/>
      <c r="H115" s="159"/>
      <c r="I115" s="159"/>
      <c r="J115" s="159"/>
      <c r="K115" s="160"/>
      <c r="M115" s="161" t="s">
        <v>87</v>
      </c>
      <c r="N115" s="162"/>
      <c r="O115" s="162"/>
      <c r="P115" s="163"/>
    </row>
    <row r="116" spans="1:16">
      <c r="A116" s="157"/>
      <c r="B116" s="52"/>
      <c r="C116" s="158" t="s">
        <v>85</v>
      </c>
      <c r="D116" s="159"/>
      <c r="E116" s="159"/>
      <c r="F116" s="160"/>
      <c r="G116" s="157" t="s">
        <v>86</v>
      </c>
      <c r="H116" s="157"/>
      <c r="I116" s="157"/>
      <c r="J116" s="157"/>
      <c r="K116" s="122" t="s">
        <v>78</v>
      </c>
      <c r="M116" s="52" t="s">
        <v>29</v>
      </c>
      <c r="N116" s="59" t="s">
        <v>74</v>
      </c>
      <c r="O116" s="59" t="s">
        <v>84</v>
      </c>
      <c r="P116" s="122" t="s">
        <v>78</v>
      </c>
    </row>
    <row r="117" spans="1:16" ht="21" customHeight="1">
      <c r="A117" s="164" t="s">
        <v>117</v>
      </c>
      <c r="B117" s="52" t="s">
        <v>29</v>
      </c>
      <c r="C117" s="122" t="s">
        <v>32</v>
      </c>
      <c r="D117" s="122" t="s">
        <v>30</v>
      </c>
      <c r="E117" s="122" t="s">
        <v>31</v>
      </c>
      <c r="F117" s="122" t="s">
        <v>78</v>
      </c>
      <c r="G117" s="122" t="s">
        <v>32</v>
      </c>
      <c r="H117" s="122" t="s">
        <v>30</v>
      </c>
      <c r="I117" s="122" t="s">
        <v>31</v>
      </c>
      <c r="J117" s="122" t="s">
        <v>78</v>
      </c>
      <c r="K117" s="122"/>
      <c r="M117" s="54" t="s">
        <v>75</v>
      </c>
      <c r="N117" s="59">
        <v>0</v>
      </c>
      <c r="O117" s="52">
        <f>K118</f>
        <v>2</v>
      </c>
      <c r="P117" s="59">
        <f>SUM(N117:O117)</f>
        <v>2</v>
      </c>
    </row>
    <row r="118" spans="1:16">
      <c r="A118" s="165"/>
      <c r="B118" s="54" t="s">
        <v>75</v>
      </c>
      <c r="C118" s="52"/>
      <c r="D118" s="59">
        <v>2</v>
      </c>
      <c r="E118" s="52"/>
      <c r="F118" s="52">
        <f>SUM(C118:E118)</f>
        <v>2</v>
      </c>
      <c r="G118" s="52"/>
      <c r="H118" s="59"/>
      <c r="I118" s="52"/>
      <c r="J118" s="52">
        <f>SUM(G118:I118)</f>
        <v>0</v>
      </c>
      <c r="K118" s="52">
        <f>SUM(F118+J118)</f>
        <v>2</v>
      </c>
      <c r="M118" s="52" t="s">
        <v>76</v>
      </c>
      <c r="N118" s="59">
        <v>0</v>
      </c>
      <c r="O118" s="52">
        <f>K119</f>
        <v>965</v>
      </c>
      <c r="P118" s="59">
        <f>SUM(N118:O118)</f>
        <v>965</v>
      </c>
    </row>
    <row r="119" spans="1:16">
      <c r="A119" s="165"/>
      <c r="B119" s="52" t="s">
        <v>76</v>
      </c>
      <c r="C119" s="52"/>
      <c r="D119" s="59">
        <v>965</v>
      </c>
      <c r="E119" s="52"/>
      <c r="F119" s="52">
        <f>SUM(C119:E119)</f>
        <v>965</v>
      </c>
      <c r="G119" s="52"/>
      <c r="H119" s="59"/>
      <c r="I119" s="52"/>
      <c r="J119" s="52">
        <f>SUM(G119:I119)</f>
        <v>0</v>
      </c>
      <c r="K119" s="52">
        <f>SUM(F119+J119)</f>
        <v>965</v>
      </c>
      <c r="M119" s="52" t="s">
        <v>77</v>
      </c>
      <c r="N119" s="59">
        <v>0</v>
      </c>
      <c r="O119" s="52">
        <f>K120</f>
        <v>0</v>
      </c>
      <c r="P119" s="59">
        <f>SUM(N119:O119)</f>
        <v>0</v>
      </c>
    </row>
    <row r="120" spans="1:16" ht="15" thickBot="1">
      <c r="A120" s="165"/>
      <c r="B120" s="52" t="s">
        <v>77</v>
      </c>
      <c r="C120" s="52"/>
      <c r="D120" s="59">
        <v>0</v>
      </c>
      <c r="E120" s="52"/>
      <c r="F120" s="52">
        <f>SUM(C120:E120)</f>
        <v>0</v>
      </c>
      <c r="G120" s="52"/>
      <c r="H120" s="59"/>
      <c r="I120" s="52"/>
      <c r="J120" s="52">
        <f>SUM(G120:I120)</f>
        <v>0</v>
      </c>
      <c r="K120" s="52">
        <f>SUM(F120+J120)</f>
        <v>0</v>
      </c>
      <c r="M120" s="56" t="s">
        <v>78</v>
      </c>
      <c r="N120" s="60">
        <f>SUM(N118:N119)</f>
        <v>0</v>
      </c>
      <c r="O120" s="60">
        <f>SUM(O118:O119)</f>
        <v>965</v>
      </c>
      <c r="P120" s="60">
        <f>SUM(P118:P119)</f>
        <v>965</v>
      </c>
    </row>
    <row r="121" spans="1:16" ht="15.75" thickTop="1" thickBot="1">
      <c r="A121" s="165"/>
      <c r="B121" s="56" t="s">
        <v>78</v>
      </c>
      <c r="C121" s="60">
        <f t="shared" ref="C121:K121" si="6">SUM(C119:C120)</f>
        <v>0</v>
      </c>
      <c r="D121" s="60">
        <f t="shared" si="6"/>
        <v>965</v>
      </c>
      <c r="E121" s="60">
        <f t="shared" si="6"/>
        <v>0</v>
      </c>
      <c r="F121" s="60">
        <f t="shared" si="6"/>
        <v>965</v>
      </c>
      <c r="G121" s="60">
        <f t="shared" si="6"/>
        <v>0</v>
      </c>
      <c r="H121" s="60">
        <f t="shared" si="6"/>
        <v>0</v>
      </c>
      <c r="I121" s="60">
        <f t="shared" si="6"/>
        <v>0</v>
      </c>
      <c r="J121" s="60">
        <f t="shared" si="6"/>
        <v>0</v>
      </c>
      <c r="K121" s="60">
        <f t="shared" si="6"/>
        <v>965</v>
      </c>
      <c r="M121" s="57" t="s">
        <v>79</v>
      </c>
      <c r="N121" s="61">
        <v>0</v>
      </c>
      <c r="O121" s="61">
        <f>SUM(K123)</f>
        <v>241</v>
      </c>
      <c r="P121" s="59">
        <f t="shared" ref="P121:P126" si="7">SUM(N121:O121)</f>
        <v>241</v>
      </c>
    </row>
    <row r="122" spans="1:16" ht="15" thickTop="1">
      <c r="A122" s="165"/>
      <c r="B122" s="57" t="s">
        <v>54</v>
      </c>
      <c r="C122" s="57"/>
      <c r="D122" s="59">
        <v>0</v>
      </c>
      <c r="E122" s="57"/>
      <c r="F122" s="52">
        <f t="shared" ref="F122:F127" si="8">SUM(C122:E122)</f>
        <v>0</v>
      </c>
      <c r="G122" s="57"/>
      <c r="H122" s="61"/>
      <c r="I122" s="57"/>
      <c r="J122" s="52">
        <f t="shared" ref="J122:J127" si="9">SUM(G122:I122)</f>
        <v>0</v>
      </c>
      <c r="K122" s="52">
        <f t="shared" ref="K122:K127" si="10">SUM(F122+J122)</f>
        <v>0</v>
      </c>
      <c r="M122" s="57" t="s">
        <v>54</v>
      </c>
      <c r="N122" s="59">
        <v>0</v>
      </c>
      <c r="O122" s="59">
        <f>SUM(K122)</f>
        <v>0</v>
      </c>
      <c r="P122" s="59">
        <f t="shared" si="7"/>
        <v>0</v>
      </c>
    </row>
    <row r="123" spans="1:16">
      <c r="A123" s="165"/>
      <c r="B123" s="52" t="s">
        <v>79</v>
      </c>
      <c r="C123" s="52"/>
      <c r="D123" s="59">
        <v>241</v>
      </c>
      <c r="E123" s="52"/>
      <c r="F123" s="52">
        <f t="shared" si="8"/>
        <v>241</v>
      </c>
      <c r="G123" s="52"/>
      <c r="H123" s="59"/>
      <c r="I123" s="52"/>
      <c r="J123" s="52">
        <f t="shared" si="9"/>
        <v>0</v>
      </c>
      <c r="K123" s="52">
        <f t="shared" si="10"/>
        <v>241</v>
      </c>
      <c r="M123" s="52" t="s">
        <v>80</v>
      </c>
      <c r="N123" s="59">
        <v>0</v>
      </c>
      <c r="O123" s="59">
        <f>SUM(K124)</f>
        <v>18</v>
      </c>
      <c r="P123" s="59">
        <f t="shared" si="7"/>
        <v>18</v>
      </c>
    </row>
    <row r="124" spans="1:16">
      <c r="A124" s="165"/>
      <c r="B124" s="52" t="s">
        <v>80</v>
      </c>
      <c r="C124" s="52"/>
      <c r="D124" s="59">
        <v>18</v>
      </c>
      <c r="E124" s="52"/>
      <c r="F124" s="52">
        <f t="shared" si="8"/>
        <v>18</v>
      </c>
      <c r="G124" s="52"/>
      <c r="H124" s="59"/>
      <c r="I124" s="52"/>
      <c r="J124" s="52">
        <f t="shared" si="9"/>
        <v>0</v>
      </c>
      <c r="K124" s="52">
        <f t="shared" si="10"/>
        <v>18</v>
      </c>
      <c r="M124" s="52" t="s">
        <v>81</v>
      </c>
      <c r="N124" s="59">
        <v>0</v>
      </c>
      <c r="O124" s="59">
        <f>SUM(K125)</f>
        <v>87</v>
      </c>
      <c r="P124" s="59">
        <f t="shared" si="7"/>
        <v>87</v>
      </c>
    </row>
    <row r="125" spans="1:16">
      <c r="A125" s="165"/>
      <c r="B125" s="52" t="s">
        <v>81</v>
      </c>
      <c r="C125" s="52"/>
      <c r="D125" s="59">
        <v>87</v>
      </c>
      <c r="E125" s="52"/>
      <c r="F125" s="52">
        <f t="shared" si="8"/>
        <v>87</v>
      </c>
      <c r="G125" s="52"/>
      <c r="H125" s="59"/>
      <c r="I125" s="52"/>
      <c r="J125" s="52">
        <f t="shared" si="9"/>
        <v>0</v>
      </c>
      <c r="K125" s="52">
        <f t="shared" si="10"/>
        <v>87</v>
      </c>
      <c r="M125" s="52" t="s">
        <v>82</v>
      </c>
      <c r="N125" s="59">
        <v>0</v>
      </c>
      <c r="O125" s="59">
        <f>SUM(K126)</f>
        <v>10</v>
      </c>
      <c r="P125" s="59">
        <f t="shared" si="7"/>
        <v>10</v>
      </c>
    </row>
    <row r="126" spans="1:16">
      <c r="A126" s="165"/>
      <c r="B126" s="52" t="s">
        <v>82</v>
      </c>
      <c r="C126" s="52"/>
      <c r="D126" s="59">
        <v>10</v>
      </c>
      <c r="E126" s="52"/>
      <c r="F126" s="52">
        <f t="shared" si="8"/>
        <v>10</v>
      </c>
      <c r="G126" s="52"/>
      <c r="H126" s="59"/>
      <c r="I126" s="52"/>
      <c r="J126" s="52">
        <f t="shared" si="9"/>
        <v>0</v>
      </c>
      <c r="K126" s="52">
        <f t="shared" si="10"/>
        <v>10</v>
      </c>
      <c r="M126" s="52" t="s">
        <v>83</v>
      </c>
      <c r="N126" s="59">
        <v>0</v>
      </c>
      <c r="O126" s="59">
        <f>SUM(K127)</f>
        <v>15</v>
      </c>
      <c r="P126" s="59">
        <f t="shared" si="7"/>
        <v>15</v>
      </c>
    </row>
    <row r="127" spans="1:16" ht="15" thickBot="1">
      <c r="A127" s="165"/>
      <c r="B127" s="52" t="s">
        <v>83</v>
      </c>
      <c r="C127" s="52"/>
      <c r="D127" s="59">
        <v>15</v>
      </c>
      <c r="E127" s="52"/>
      <c r="F127" s="52">
        <f t="shared" si="8"/>
        <v>15</v>
      </c>
      <c r="G127" s="52"/>
      <c r="H127" s="59"/>
      <c r="I127" s="52"/>
      <c r="J127" s="52">
        <f t="shared" si="9"/>
        <v>0</v>
      </c>
      <c r="K127" s="52">
        <f t="shared" si="10"/>
        <v>15</v>
      </c>
      <c r="M127" s="58" t="s">
        <v>78</v>
      </c>
      <c r="N127" s="60">
        <f>SUM(N120:N126)</f>
        <v>0</v>
      </c>
      <c r="O127" s="60">
        <f>SUM(O120:O126)</f>
        <v>1336</v>
      </c>
      <c r="P127" s="60">
        <f>SUM(P120:P126)</f>
        <v>1336</v>
      </c>
    </row>
    <row r="128" spans="1:16" ht="15.75" thickTop="1" thickBot="1">
      <c r="A128" s="166"/>
      <c r="B128" s="58" t="s">
        <v>78</v>
      </c>
      <c r="C128" s="60">
        <f>SUM(C121:C127)</f>
        <v>0</v>
      </c>
      <c r="D128" s="60">
        <f t="shared" ref="D128:K128" si="11">SUM(D121:D127)</f>
        <v>1336</v>
      </c>
      <c r="E128" s="60">
        <f t="shared" si="11"/>
        <v>0</v>
      </c>
      <c r="F128" s="60">
        <f t="shared" si="11"/>
        <v>1336</v>
      </c>
      <c r="G128" s="60">
        <f t="shared" si="11"/>
        <v>0</v>
      </c>
      <c r="H128" s="60">
        <f t="shared" si="11"/>
        <v>0</v>
      </c>
      <c r="I128" s="60">
        <f t="shared" si="11"/>
        <v>0</v>
      </c>
      <c r="J128" s="60">
        <f t="shared" si="11"/>
        <v>0</v>
      </c>
      <c r="K128" s="60">
        <f t="shared" si="11"/>
        <v>1336</v>
      </c>
      <c r="M128" s="62"/>
      <c r="N128" s="62"/>
      <c r="O128" s="62"/>
      <c r="P128" s="62"/>
    </row>
    <row r="129" spans="1:16" ht="15" thickTop="1">
      <c r="A129" s="168" t="str">
        <f>$A$1</f>
        <v>प्रपत्र - क  -  अर्थसंकल्पीय अंदाजपत्रक सन 2021-2022</v>
      </c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</row>
    <row r="130" spans="1:16">
      <c r="A130" s="169" t="s">
        <v>19</v>
      </c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</row>
    <row r="131" spans="1:16">
      <c r="A131" s="167" t="s">
        <v>62</v>
      </c>
      <c r="B131" s="167"/>
      <c r="C131" s="167"/>
      <c r="D131" s="167"/>
      <c r="E131" s="167"/>
      <c r="F131" s="167"/>
      <c r="G131" s="167"/>
      <c r="H131" s="167"/>
      <c r="I131" s="167"/>
      <c r="J131" s="167"/>
      <c r="K131" s="167"/>
    </row>
    <row r="132" spans="1:16">
      <c r="A132" s="157" t="s">
        <v>65</v>
      </c>
      <c r="B132" s="158" t="s">
        <v>74</v>
      </c>
      <c r="C132" s="159"/>
      <c r="D132" s="159"/>
      <c r="E132" s="159"/>
      <c r="F132" s="159"/>
      <c r="G132" s="159"/>
      <c r="H132" s="159"/>
      <c r="I132" s="159"/>
      <c r="J132" s="159"/>
      <c r="K132" s="160"/>
    </row>
    <row r="133" spans="1:16">
      <c r="A133" s="157"/>
      <c r="B133" s="52"/>
      <c r="C133" s="157" t="s">
        <v>85</v>
      </c>
      <c r="D133" s="157"/>
      <c r="E133" s="157"/>
      <c r="F133" s="157"/>
      <c r="G133" s="157" t="s">
        <v>86</v>
      </c>
      <c r="H133" s="157"/>
      <c r="I133" s="157"/>
      <c r="J133" s="157"/>
      <c r="K133" s="122" t="s">
        <v>78</v>
      </c>
    </row>
    <row r="134" spans="1:16">
      <c r="A134" s="164" t="s">
        <v>69</v>
      </c>
      <c r="B134" s="52" t="s">
        <v>29</v>
      </c>
      <c r="C134" s="122" t="s">
        <v>32</v>
      </c>
      <c r="D134" s="122" t="s">
        <v>30</v>
      </c>
      <c r="E134" s="122" t="s">
        <v>31</v>
      </c>
      <c r="F134" s="122" t="s">
        <v>78</v>
      </c>
      <c r="G134" s="122" t="s">
        <v>32</v>
      </c>
      <c r="H134" s="122" t="s">
        <v>30</v>
      </c>
      <c r="I134" s="122" t="s">
        <v>31</v>
      </c>
      <c r="J134" s="122" t="s">
        <v>78</v>
      </c>
      <c r="K134" s="122" t="s">
        <v>78</v>
      </c>
    </row>
    <row r="135" spans="1:16">
      <c r="A135" s="165"/>
      <c r="B135" s="54" t="s">
        <v>75</v>
      </c>
      <c r="C135" s="52">
        <v>0</v>
      </c>
      <c r="D135" s="52">
        <v>1</v>
      </c>
      <c r="E135" s="52">
        <v>0</v>
      </c>
      <c r="F135" s="52">
        <f>SUM(C135:E135)</f>
        <v>1</v>
      </c>
      <c r="G135" s="52">
        <v>0</v>
      </c>
      <c r="H135" s="52">
        <v>0</v>
      </c>
      <c r="I135" s="52">
        <v>0</v>
      </c>
      <c r="J135" s="52">
        <f>SUM(G135:I135)</f>
        <v>0</v>
      </c>
      <c r="K135" s="52">
        <f>SUM(J135,F135)</f>
        <v>1</v>
      </c>
    </row>
    <row r="136" spans="1:16">
      <c r="A136" s="165"/>
      <c r="B136" s="52" t="s">
        <v>76</v>
      </c>
      <c r="C136" s="55">
        <v>0</v>
      </c>
      <c r="D136" s="52">
        <v>512</v>
      </c>
      <c r="E136" s="52">
        <v>0</v>
      </c>
      <c r="F136" s="52">
        <f t="shared" ref="F136:F144" si="12">SUM(C136:E136)</f>
        <v>512</v>
      </c>
      <c r="G136" s="52">
        <v>0</v>
      </c>
      <c r="H136" s="52">
        <v>0</v>
      </c>
      <c r="I136" s="52">
        <v>0</v>
      </c>
      <c r="J136" s="52">
        <f>SUM(G136:I136)</f>
        <v>0</v>
      </c>
      <c r="K136" s="52">
        <f>SUM(J136,F136)</f>
        <v>512</v>
      </c>
    </row>
    <row r="137" spans="1:16">
      <c r="A137" s="165"/>
      <c r="B137" s="52" t="s">
        <v>77</v>
      </c>
      <c r="C137" s="55">
        <v>0</v>
      </c>
      <c r="D137" s="52">
        <v>0</v>
      </c>
      <c r="E137" s="52">
        <v>0</v>
      </c>
      <c r="F137" s="52">
        <f t="shared" si="12"/>
        <v>0</v>
      </c>
      <c r="G137" s="52">
        <v>0</v>
      </c>
      <c r="H137" s="52">
        <v>0</v>
      </c>
      <c r="I137" s="52">
        <v>0</v>
      </c>
      <c r="J137" s="52">
        <f>SUM(G137:I137)</f>
        <v>0</v>
      </c>
      <c r="K137" s="52">
        <f>SUM(J137,F137)</f>
        <v>0</v>
      </c>
    </row>
    <row r="138" spans="1:16" ht="15" thickBot="1">
      <c r="A138" s="165"/>
      <c r="B138" s="56" t="s">
        <v>78</v>
      </c>
      <c r="C138" s="56">
        <f>SUM(C136:C137)</f>
        <v>0</v>
      </c>
      <c r="D138" s="56">
        <f t="shared" ref="D138:K138" si="13">SUM(D136:D137)</f>
        <v>512</v>
      </c>
      <c r="E138" s="56">
        <f t="shared" si="13"/>
        <v>0</v>
      </c>
      <c r="F138" s="56">
        <f t="shared" si="13"/>
        <v>512</v>
      </c>
      <c r="G138" s="56">
        <f t="shared" si="13"/>
        <v>0</v>
      </c>
      <c r="H138" s="56">
        <f t="shared" si="13"/>
        <v>0</v>
      </c>
      <c r="I138" s="56">
        <f t="shared" si="13"/>
        <v>0</v>
      </c>
      <c r="J138" s="56">
        <f t="shared" si="13"/>
        <v>0</v>
      </c>
      <c r="K138" s="56">
        <f t="shared" si="13"/>
        <v>512</v>
      </c>
    </row>
    <row r="139" spans="1:16" ht="15" thickTop="1">
      <c r="A139" s="165"/>
      <c r="B139" s="57" t="s">
        <v>54</v>
      </c>
      <c r="C139" s="57">
        <v>0</v>
      </c>
      <c r="D139" s="57">
        <v>0</v>
      </c>
      <c r="E139" s="57">
        <v>0</v>
      </c>
      <c r="F139" s="52">
        <f t="shared" si="12"/>
        <v>0</v>
      </c>
      <c r="G139" s="57">
        <v>0</v>
      </c>
      <c r="H139" s="57">
        <v>0</v>
      </c>
      <c r="I139" s="57">
        <v>0</v>
      </c>
      <c r="J139" s="52">
        <f t="shared" ref="J139:J144" si="14">SUM(G139:I139)</f>
        <v>0</v>
      </c>
      <c r="K139" s="52">
        <f t="shared" ref="K139:K144" si="15">SUM(J139,F139)</f>
        <v>0</v>
      </c>
    </row>
    <row r="140" spans="1:16">
      <c r="A140" s="165"/>
      <c r="B140" s="52" t="s">
        <v>79</v>
      </c>
      <c r="C140" s="57">
        <v>0</v>
      </c>
      <c r="D140" s="52">
        <v>128</v>
      </c>
      <c r="E140" s="57">
        <v>0</v>
      </c>
      <c r="F140" s="52">
        <f t="shared" si="12"/>
        <v>128</v>
      </c>
      <c r="G140" s="57">
        <v>0</v>
      </c>
      <c r="H140" s="57">
        <v>0</v>
      </c>
      <c r="I140" s="57">
        <v>0</v>
      </c>
      <c r="J140" s="52">
        <f t="shared" si="14"/>
        <v>0</v>
      </c>
      <c r="K140" s="52">
        <f t="shared" si="15"/>
        <v>128</v>
      </c>
    </row>
    <row r="141" spans="1:16">
      <c r="A141" s="165"/>
      <c r="B141" s="52" t="s">
        <v>80</v>
      </c>
      <c r="C141" s="57">
        <v>0</v>
      </c>
      <c r="D141" s="52">
        <v>0</v>
      </c>
      <c r="E141" s="57">
        <v>0</v>
      </c>
      <c r="F141" s="52">
        <f t="shared" si="12"/>
        <v>0</v>
      </c>
      <c r="G141" s="57">
        <v>0</v>
      </c>
      <c r="H141" s="57">
        <v>0</v>
      </c>
      <c r="I141" s="57">
        <v>0</v>
      </c>
      <c r="J141" s="52">
        <f t="shared" si="14"/>
        <v>0</v>
      </c>
      <c r="K141" s="52">
        <f t="shared" si="15"/>
        <v>0</v>
      </c>
    </row>
    <row r="142" spans="1:16">
      <c r="A142" s="165"/>
      <c r="B142" s="52" t="s">
        <v>81</v>
      </c>
      <c r="C142" s="57">
        <v>0</v>
      </c>
      <c r="D142" s="52">
        <v>46</v>
      </c>
      <c r="E142" s="57">
        <v>0</v>
      </c>
      <c r="F142" s="52">
        <f t="shared" si="12"/>
        <v>46</v>
      </c>
      <c r="G142" s="57">
        <v>0</v>
      </c>
      <c r="H142" s="57">
        <v>0</v>
      </c>
      <c r="I142" s="57">
        <v>0</v>
      </c>
      <c r="J142" s="52">
        <f t="shared" si="14"/>
        <v>0</v>
      </c>
      <c r="K142" s="52">
        <f t="shared" si="15"/>
        <v>46</v>
      </c>
    </row>
    <row r="143" spans="1:16">
      <c r="A143" s="165"/>
      <c r="B143" s="52" t="s">
        <v>82</v>
      </c>
      <c r="C143" s="57">
        <v>0</v>
      </c>
      <c r="D143" s="52">
        <v>5</v>
      </c>
      <c r="E143" s="57">
        <v>0</v>
      </c>
      <c r="F143" s="52">
        <f t="shared" si="12"/>
        <v>5</v>
      </c>
      <c r="G143" s="57">
        <v>0</v>
      </c>
      <c r="H143" s="57">
        <v>0</v>
      </c>
      <c r="I143" s="57">
        <v>0</v>
      </c>
      <c r="J143" s="52">
        <f t="shared" si="14"/>
        <v>0</v>
      </c>
      <c r="K143" s="52">
        <f t="shared" si="15"/>
        <v>5</v>
      </c>
    </row>
    <row r="144" spans="1:16">
      <c r="A144" s="165"/>
      <c r="B144" s="52" t="s">
        <v>83</v>
      </c>
      <c r="C144" s="57">
        <v>0</v>
      </c>
      <c r="D144" s="52">
        <v>0</v>
      </c>
      <c r="E144" s="57">
        <v>0</v>
      </c>
      <c r="F144" s="52">
        <f t="shared" si="12"/>
        <v>0</v>
      </c>
      <c r="G144" s="57">
        <v>0</v>
      </c>
      <c r="H144" s="57">
        <v>0</v>
      </c>
      <c r="I144" s="57">
        <v>0</v>
      </c>
      <c r="J144" s="52">
        <f t="shared" si="14"/>
        <v>0</v>
      </c>
      <c r="K144" s="52">
        <f t="shared" si="15"/>
        <v>0</v>
      </c>
    </row>
    <row r="145" spans="1:16" ht="15" thickBot="1">
      <c r="A145" s="166"/>
      <c r="B145" s="58" t="s">
        <v>78</v>
      </c>
      <c r="C145" s="56">
        <f>SUM(C138:C144)</f>
        <v>0</v>
      </c>
      <c r="D145" s="56">
        <f t="shared" ref="D145:K145" si="16">SUM(D138:D144)</f>
        <v>691</v>
      </c>
      <c r="E145" s="56">
        <f t="shared" si="16"/>
        <v>0</v>
      </c>
      <c r="F145" s="56">
        <f t="shared" si="16"/>
        <v>691</v>
      </c>
      <c r="G145" s="56">
        <f t="shared" si="16"/>
        <v>0</v>
      </c>
      <c r="H145" s="56">
        <f t="shared" si="16"/>
        <v>0</v>
      </c>
      <c r="I145" s="56">
        <f t="shared" si="16"/>
        <v>0</v>
      </c>
      <c r="J145" s="56">
        <f t="shared" si="16"/>
        <v>0</v>
      </c>
      <c r="K145" s="56">
        <f t="shared" si="16"/>
        <v>691</v>
      </c>
    </row>
    <row r="146" spans="1:16" ht="15" thickTop="1"/>
    <row r="147" spans="1:16">
      <c r="A147" s="157" t="s">
        <v>65</v>
      </c>
      <c r="B147" s="158" t="s">
        <v>84</v>
      </c>
      <c r="C147" s="159"/>
      <c r="D147" s="159"/>
      <c r="E147" s="159"/>
      <c r="F147" s="159"/>
      <c r="G147" s="159"/>
      <c r="H147" s="159"/>
      <c r="I147" s="159"/>
      <c r="J147" s="159"/>
      <c r="K147" s="160"/>
      <c r="M147" s="161" t="s">
        <v>87</v>
      </c>
      <c r="N147" s="162"/>
      <c r="O147" s="162"/>
      <c r="P147" s="163"/>
    </row>
    <row r="148" spans="1:16">
      <c r="A148" s="157"/>
      <c r="B148" s="52"/>
      <c r="C148" s="158" t="s">
        <v>85</v>
      </c>
      <c r="D148" s="159"/>
      <c r="E148" s="159"/>
      <c r="F148" s="160"/>
      <c r="G148" s="157" t="s">
        <v>86</v>
      </c>
      <c r="H148" s="157"/>
      <c r="I148" s="157"/>
      <c r="J148" s="157"/>
      <c r="K148" s="122" t="s">
        <v>78</v>
      </c>
      <c r="M148" s="52" t="s">
        <v>29</v>
      </c>
      <c r="N148" s="59" t="s">
        <v>74</v>
      </c>
      <c r="O148" s="59" t="s">
        <v>84</v>
      </c>
      <c r="P148" s="122" t="s">
        <v>78</v>
      </c>
    </row>
    <row r="149" spans="1:16">
      <c r="A149" s="164" t="s">
        <v>69</v>
      </c>
      <c r="B149" s="52" t="s">
        <v>29</v>
      </c>
      <c r="C149" s="122" t="s">
        <v>32</v>
      </c>
      <c r="D149" s="122" t="s">
        <v>30</v>
      </c>
      <c r="E149" s="122" t="s">
        <v>31</v>
      </c>
      <c r="F149" s="122" t="s">
        <v>78</v>
      </c>
      <c r="G149" s="122" t="s">
        <v>32</v>
      </c>
      <c r="H149" s="122" t="s">
        <v>30</v>
      </c>
      <c r="I149" s="122" t="s">
        <v>31</v>
      </c>
      <c r="J149" s="122" t="s">
        <v>78</v>
      </c>
      <c r="K149" s="122"/>
      <c r="M149" s="54" t="s">
        <v>75</v>
      </c>
      <c r="N149" s="52">
        <f>K135</f>
        <v>1</v>
      </c>
      <c r="O149" s="52">
        <f>K150</f>
        <v>26</v>
      </c>
      <c r="P149" s="52">
        <f>SUM(N149:O149)</f>
        <v>27</v>
      </c>
    </row>
    <row r="150" spans="1:16">
      <c r="A150" s="165"/>
      <c r="B150" s="54" t="s">
        <v>75</v>
      </c>
      <c r="C150" s="52">
        <v>4</v>
      </c>
      <c r="D150" s="52">
        <v>14</v>
      </c>
      <c r="E150" s="52">
        <v>3</v>
      </c>
      <c r="F150" s="52">
        <f>SUM(C150:E150)</f>
        <v>21</v>
      </c>
      <c r="G150" s="52">
        <v>0</v>
      </c>
      <c r="H150" s="52">
        <v>4</v>
      </c>
      <c r="I150" s="52">
        <v>1</v>
      </c>
      <c r="J150" s="52">
        <f>SUM(G150:I150)</f>
        <v>5</v>
      </c>
      <c r="K150" s="52">
        <f>SUM(F150+J150)</f>
        <v>26</v>
      </c>
      <c r="M150" s="52" t="s">
        <v>76</v>
      </c>
      <c r="N150" s="59">
        <f>K136</f>
        <v>512</v>
      </c>
      <c r="O150" s="59">
        <f>K151</f>
        <v>12592</v>
      </c>
      <c r="P150" s="52">
        <f t="shared" ref="P150:P158" si="17">SUM(N150:O150)</f>
        <v>13104</v>
      </c>
    </row>
    <row r="151" spans="1:16">
      <c r="A151" s="165"/>
      <c r="B151" s="52" t="s">
        <v>76</v>
      </c>
      <c r="C151" s="52">
        <v>3635</v>
      </c>
      <c r="D151" s="52">
        <v>6612</v>
      </c>
      <c r="E151" s="52">
        <v>890</v>
      </c>
      <c r="F151" s="52">
        <f>SUM(C151:E151)</f>
        <v>11137</v>
      </c>
      <c r="G151" s="52">
        <v>0</v>
      </c>
      <c r="H151" s="52">
        <v>1271</v>
      </c>
      <c r="I151" s="52">
        <v>184</v>
      </c>
      <c r="J151" s="52">
        <f>SUM(G151:I151)</f>
        <v>1455</v>
      </c>
      <c r="K151" s="52">
        <f>SUM(F151+J151)</f>
        <v>12592</v>
      </c>
      <c r="M151" s="52" t="s">
        <v>77</v>
      </c>
      <c r="N151" s="59">
        <f>K137</f>
        <v>0</v>
      </c>
      <c r="O151" s="59">
        <f>K152</f>
        <v>0</v>
      </c>
      <c r="P151" s="52">
        <f t="shared" si="17"/>
        <v>0</v>
      </c>
    </row>
    <row r="152" spans="1:16" ht="15" thickBot="1">
      <c r="A152" s="165"/>
      <c r="B152" s="52" t="s">
        <v>77</v>
      </c>
      <c r="C152" s="52">
        <v>0</v>
      </c>
      <c r="D152" s="52">
        <v>0</v>
      </c>
      <c r="E152" s="52">
        <v>0</v>
      </c>
      <c r="F152" s="52">
        <f>SUM(C152:E152)</f>
        <v>0</v>
      </c>
      <c r="G152" s="52">
        <v>0</v>
      </c>
      <c r="H152" s="52">
        <v>0</v>
      </c>
      <c r="I152" s="52">
        <v>0</v>
      </c>
      <c r="J152" s="52">
        <f>SUM(G152:I152)</f>
        <v>0</v>
      </c>
      <c r="K152" s="52">
        <f>SUM(F152+J152)</f>
        <v>0</v>
      </c>
      <c r="M152" s="56" t="s">
        <v>78</v>
      </c>
      <c r="N152" s="60">
        <f>K138</f>
        <v>512</v>
      </c>
      <c r="O152" s="60">
        <f>K153</f>
        <v>12592</v>
      </c>
      <c r="P152" s="60">
        <f>SUM(P150:P151)</f>
        <v>13104</v>
      </c>
    </row>
    <row r="153" spans="1:16" ht="15.75" thickTop="1" thickBot="1">
      <c r="A153" s="165"/>
      <c r="B153" s="56" t="s">
        <v>78</v>
      </c>
      <c r="C153" s="56">
        <f>SUM(C151:C152)</f>
        <v>3635</v>
      </c>
      <c r="D153" s="56">
        <f t="shared" ref="D153:K153" si="18">SUM(D151:D152)</f>
        <v>6612</v>
      </c>
      <c r="E153" s="56">
        <f t="shared" si="18"/>
        <v>890</v>
      </c>
      <c r="F153" s="56">
        <f t="shared" si="18"/>
        <v>11137</v>
      </c>
      <c r="G153" s="56">
        <f t="shared" si="18"/>
        <v>0</v>
      </c>
      <c r="H153" s="56">
        <f t="shared" si="18"/>
        <v>1271</v>
      </c>
      <c r="I153" s="56">
        <f t="shared" si="18"/>
        <v>184</v>
      </c>
      <c r="J153" s="56">
        <f t="shared" si="18"/>
        <v>1455</v>
      </c>
      <c r="K153" s="56">
        <f t="shared" si="18"/>
        <v>12592</v>
      </c>
      <c r="M153" s="57" t="s">
        <v>79</v>
      </c>
      <c r="N153" s="61">
        <f>SUM(K140)</f>
        <v>128</v>
      </c>
      <c r="O153" s="61">
        <f>SUM(K155)</f>
        <v>3149</v>
      </c>
      <c r="P153" s="52">
        <f t="shared" si="17"/>
        <v>3277</v>
      </c>
    </row>
    <row r="154" spans="1:16" ht="15" thickTop="1">
      <c r="A154" s="165"/>
      <c r="B154" s="57" t="s">
        <v>54</v>
      </c>
      <c r="C154" s="57">
        <v>0</v>
      </c>
      <c r="D154" s="57">
        <v>0</v>
      </c>
      <c r="E154" s="57">
        <v>0</v>
      </c>
      <c r="F154" s="52">
        <f t="shared" ref="F154:F159" si="19">SUM(C154:E154)</f>
        <v>0</v>
      </c>
      <c r="G154" s="57">
        <v>0</v>
      </c>
      <c r="H154" s="57">
        <v>0</v>
      </c>
      <c r="I154" s="57">
        <v>0</v>
      </c>
      <c r="J154" s="52">
        <f t="shared" ref="J154:J159" si="20">SUM(G154:I154)</f>
        <v>0</v>
      </c>
      <c r="K154" s="52">
        <f t="shared" ref="K154:K159" si="21">SUM(F154+J154)</f>
        <v>0</v>
      </c>
      <c r="M154" s="57" t="s">
        <v>54</v>
      </c>
      <c r="N154" s="59">
        <f>SUM(K139)</f>
        <v>0</v>
      </c>
      <c r="O154" s="59">
        <f>SUM(K154)</f>
        <v>0</v>
      </c>
      <c r="P154" s="52">
        <f t="shared" si="17"/>
        <v>0</v>
      </c>
    </row>
    <row r="155" spans="1:16">
      <c r="A155" s="165"/>
      <c r="B155" s="52" t="s">
        <v>79</v>
      </c>
      <c r="C155" s="52">
        <v>909</v>
      </c>
      <c r="D155" s="52">
        <v>1653</v>
      </c>
      <c r="E155" s="52">
        <v>223</v>
      </c>
      <c r="F155" s="52">
        <f t="shared" si="19"/>
        <v>2785</v>
      </c>
      <c r="G155" s="57">
        <v>0</v>
      </c>
      <c r="H155" s="52">
        <v>318</v>
      </c>
      <c r="I155" s="57">
        <v>46</v>
      </c>
      <c r="J155" s="52">
        <f t="shared" si="20"/>
        <v>364</v>
      </c>
      <c r="K155" s="52">
        <f t="shared" si="21"/>
        <v>3149</v>
      </c>
      <c r="M155" s="52" t="s">
        <v>80</v>
      </c>
      <c r="N155" s="59">
        <f>SUM(K141)</f>
        <v>0</v>
      </c>
      <c r="O155" s="59">
        <f>SUM(K156)</f>
        <v>66</v>
      </c>
      <c r="P155" s="52">
        <f t="shared" si="17"/>
        <v>66</v>
      </c>
    </row>
    <row r="156" spans="1:16">
      <c r="A156" s="165"/>
      <c r="B156" s="52" t="s">
        <v>80</v>
      </c>
      <c r="C156" s="52">
        <v>15</v>
      </c>
      <c r="D156" s="52">
        <v>31</v>
      </c>
      <c r="E156" s="52">
        <v>8</v>
      </c>
      <c r="F156" s="52">
        <f t="shared" si="19"/>
        <v>54</v>
      </c>
      <c r="G156" s="57">
        <v>0</v>
      </c>
      <c r="H156" s="52">
        <v>12</v>
      </c>
      <c r="I156" s="57">
        <v>0</v>
      </c>
      <c r="J156" s="52">
        <f t="shared" si="20"/>
        <v>12</v>
      </c>
      <c r="K156" s="52">
        <f t="shared" si="21"/>
        <v>66</v>
      </c>
      <c r="M156" s="52" t="s">
        <v>81</v>
      </c>
      <c r="N156" s="59">
        <f>SUM(K142)</f>
        <v>46</v>
      </c>
      <c r="O156" s="59">
        <f>SUM(K157)</f>
        <v>2994</v>
      </c>
      <c r="P156" s="52">
        <f t="shared" si="17"/>
        <v>3040</v>
      </c>
    </row>
    <row r="157" spans="1:16">
      <c r="A157" s="165"/>
      <c r="B157" s="52" t="s">
        <v>81</v>
      </c>
      <c r="C157" s="52">
        <v>981</v>
      </c>
      <c r="D157" s="52">
        <v>1357</v>
      </c>
      <c r="E157" s="52">
        <v>248</v>
      </c>
      <c r="F157" s="52">
        <f t="shared" si="19"/>
        <v>2586</v>
      </c>
      <c r="G157" s="57">
        <v>0</v>
      </c>
      <c r="H157" s="52">
        <v>343</v>
      </c>
      <c r="I157" s="57">
        <v>65</v>
      </c>
      <c r="J157" s="52">
        <f t="shared" si="20"/>
        <v>408</v>
      </c>
      <c r="K157" s="52">
        <f t="shared" si="21"/>
        <v>2994</v>
      </c>
      <c r="M157" s="52" t="s">
        <v>82</v>
      </c>
      <c r="N157" s="59">
        <f>SUM(K143)</f>
        <v>5</v>
      </c>
      <c r="O157" s="59">
        <f>SUM(K158)</f>
        <v>196</v>
      </c>
      <c r="P157" s="52">
        <f t="shared" si="17"/>
        <v>201</v>
      </c>
    </row>
    <row r="158" spans="1:16">
      <c r="A158" s="165"/>
      <c r="B158" s="52" t="s">
        <v>82</v>
      </c>
      <c r="C158" s="52">
        <v>91</v>
      </c>
      <c r="D158" s="52">
        <v>67</v>
      </c>
      <c r="E158" s="52">
        <v>14</v>
      </c>
      <c r="F158" s="52">
        <f t="shared" si="19"/>
        <v>172</v>
      </c>
      <c r="G158" s="57">
        <v>0</v>
      </c>
      <c r="H158" s="52">
        <v>19</v>
      </c>
      <c r="I158" s="57">
        <v>5</v>
      </c>
      <c r="J158" s="52">
        <f t="shared" si="20"/>
        <v>24</v>
      </c>
      <c r="K158" s="52">
        <f t="shared" si="21"/>
        <v>196</v>
      </c>
      <c r="M158" s="52" t="s">
        <v>83</v>
      </c>
      <c r="N158" s="59">
        <f>SUM(K144)</f>
        <v>0</v>
      </c>
      <c r="O158" s="59">
        <f>SUM(K159)</f>
        <v>3</v>
      </c>
      <c r="P158" s="52">
        <f t="shared" si="17"/>
        <v>3</v>
      </c>
    </row>
    <row r="159" spans="1:16" ht="15" thickBot="1">
      <c r="A159" s="165"/>
      <c r="B159" s="52" t="s">
        <v>83</v>
      </c>
      <c r="C159" s="52">
        <v>0</v>
      </c>
      <c r="D159" s="52">
        <v>0</v>
      </c>
      <c r="E159" s="52">
        <v>2</v>
      </c>
      <c r="F159" s="52">
        <f t="shared" si="19"/>
        <v>2</v>
      </c>
      <c r="G159" s="57">
        <v>0</v>
      </c>
      <c r="H159" s="52">
        <v>0</v>
      </c>
      <c r="I159" s="57">
        <v>1</v>
      </c>
      <c r="J159" s="52">
        <f t="shared" si="20"/>
        <v>1</v>
      </c>
      <c r="K159" s="52">
        <f t="shared" si="21"/>
        <v>3</v>
      </c>
      <c r="M159" s="58" t="s">
        <v>78</v>
      </c>
      <c r="N159" s="60">
        <f>SUM(K145)</f>
        <v>691</v>
      </c>
      <c r="O159" s="60">
        <f>SUM(K160)</f>
        <v>19000</v>
      </c>
      <c r="P159" s="60">
        <f>SUM(P152:P158)</f>
        <v>19691</v>
      </c>
    </row>
    <row r="160" spans="1:16" ht="15.75" thickTop="1" thickBot="1">
      <c r="A160" s="166"/>
      <c r="B160" s="58" t="s">
        <v>78</v>
      </c>
      <c r="C160" s="56">
        <f>SUM(C153:C159)</f>
        <v>5631</v>
      </c>
      <c r="D160" s="56">
        <f t="shared" ref="D160:K160" si="22">SUM(D153:D159)</f>
        <v>9720</v>
      </c>
      <c r="E160" s="56">
        <f t="shared" si="22"/>
        <v>1385</v>
      </c>
      <c r="F160" s="56">
        <f t="shared" si="22"/>
        <v>16736</v>
      </c>
      <c r="G160" s="56">
        <f t="shared" si="22"/>
        <v>0</v>
      </c>
      <c r="H160" s="56">
        <f t="shared" si="22"/>
        <v>1963</v>
      </c>
      <c r="I160" s="56">
        <f t="shared" si="22"/>
        <v>301</v>
      </c>
      <c r="J160" s="56">
        <f t="shared" si="22"/>
        <v>2264</v>
      </c>
      <c r="K160" s="56">
        <f t="shared" si="22"/>
        <v>19000</v>
      </c>
      <c r="M160" s="62"/>
      <c r="N160" s="62"/>
      <c r="O160" s="62"/>
      <c r="P160" s="62"/>
    </row>
    <row r="161" spans="1:16" ht="15" thickTop="1">
      <c r="A161" s="168" t="str">
        <f>$A$1</f>
        <v>प्रपत्र - क  -  अर्थसंकल्पीय अंदाजपत्रक सन 2021-2022</v>
      </c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</row>
    <row r="162" spans="1:16">
      <c r="A162" s="169" t="s">
        <v>19</v>
      </c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</row>
    <row r="163" spans="1:16">
      <c r="A163" s="167" t="s">
        <v>62</v>
      </c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</row>
    <row r="164" spans="1:16">
      <c r="A164" s="157" t="s">
        <v>65</v>
      </c>
      <c r="B164" s="158" t="s">
        <v>74</v>
      </c>
      <c r="C164" s="159"/>
      <c r="D164" s="159"/>
      <c r="E164" s="159"/>
      <c r="F164" s="159"/>
      <c r="G164" s="159"/>
      <c r="H164" s="159"/>
      <c r="I164" s="159"/>
      <c r="J164" s="159"/>
      <c r="K164" s="160"/>
    </row>
    <row r="165" spans="1:16">
      <c r="A165" s="157"/>
      <c r="B165" s="52"/>
      <c r="C165" s="157" t="s">
        <v>85</v>
      </c>
      <c r="D165" s="157"/>
      <c r="E165" s="157"/>
      <c r="F165" s="157"/>
      <c r="G165" s="157" t="s">
        <v>86</v>
      </c>
      <c r="H165" s="157"/>
      <c r="I165" s="157"/>
      <c r="J165" s="157"/>
      <c r="K165" s="122" t="s">
        <v>78</v>
      </c>
    </row>
    <row r="166" spans="1:16">
      <c r="A166" s="164" t="s">
        <v>70</v>
      </c>
      <c r="B166" s="52" t="s">
        <v>29</v>
      </c>
      <c r="C166" s="122" t="s">
        <v>32</v>
      </c>
      <c r="D166" s="122" t="s">
        <v>30</v>
      </c>
      <c r="E166" s="122" t="s">
        <v>31</v>
      </c>
      <c r="F166" s="122" t="s">
        <v>78</v>
      </c>
      <c r="G166" s="122" t="s">
        <v>32</v>
      </c>
      <c r="H166" s="122" t="s">
        <v>30</v>
      </c>
      <c r="I166" s="122" t="s">
        <v>31</v>
      </c>
      <c r="J166" s="122" t="s">
        <v>78</v>
      </c>
      <c r="K166" s="122" t="s">
        <v>78</v>
      </c>
    </row>
    <row r="167" spans="1:16">
      <c r="A167" s="165"/>
      <c r="B167" s="54" t="s">
        <v>75</v>
      </c>
      <c r="C167" s="55">
        <v>0</v>
      </c>
      <c r="D167" s="52">
        <v>2</v>
      </c>
      <c r="E167" s="52">
        <v>0</v>
      </c>
      <c r="F167" s="52">
        <f>SUM(C167:E167)</f>
        <v>2</v>
      </c>
      <c r="G167" s="52">
        <v>0</v>
      </c>
      <c r="H167" s="52">
        <v>0</v>
      </c>
      <c r="I167" s="52">
        <v>1</v>
      </c>
      <c r="J167" s="52">
        <f>SUM(G167:I167)</f>
        <v>1</v>
      </c>
      <c r="K167" s="52">
        <f>SUM(J167,F167)</f>
        <v>3</v>
      </c>
    </row>
    <row r="168" spans="1:16">
      <c r="A168" s="165"/>
      <c r="B168" s="52" t="s">
        <v>76</v>
      </c>
      <c r="C168" s="55">
        <v>0</v>
      </c>
      <c r="D168" s="52">
        <v>754</v>
      </c>
      <c r="E168" s="52">
        <v>0</v>
      </c>
      <c r="F168" s="52">
        <f>SUM(C168:E168)</f>
        <v>754</v>
      </c>
      <c r="G168" s="52">
        <v>0</v>
      </c>
      <c r="H168" s="52">
        <v>0</v>
      </c>
      <c r="I168" s="52">
        <v>211</v>
      </c>
      <c r="J168" s="52">
        <f>SUM(G168:I168)</f>
        <v>211</v>
      </c>
      <c r="K168" s="52">
        <f>SUM(J168,F168)</f>
        <v>965</v>
      </c>
    </row>
    <row r="169" spans="1:16">
      <c r="A169" s="165"/>
      <c r="B169" s="52" t="s">
        <v>77</v>
      </c>
      <c r="C169" s="52">
        <v>0</v>
      </c>
      <c r="D169" s="52">
        <v>0</v>
      </c>
      <c r="E169" s="52">
        <v>0</v>
      </c>
      <c r="F169" s="52">
        <f>SUM(C169:E169)</f>
        <v>0</v>
      </c>
      <c r="G169" s="52">
        <v>0</v>
      </c>
      <c r="H169" s="52">
        <v>0</v>
      </c>
      <c r="I169" s="52">
        <v>0</v>
      </c>
      <c r="J169" s="52">
        <f>SUM(G169:I169)</f>
        <v>0</v>
      </c>
      <c r="K169" s="52">
        <f>SUM(J169,F169)</f>
        <v>0</v>
      </c>
    </row>
    <row r="170" spans="1:16" ht="15" thickBot="1">
      <c r="A170" s="165"/>
      <c r="B170" s="56" t="s">
        <v>78</v>
      </c>
      <c r="C170" s="56">
        <f>SUM(C168:C169)</f>
        <v>0</v>
      </c>
      <c r="D170" s="56">
        <f>SUM(D168:D169)</f>
        <v>754</v>
      </c>
      <c r="E170" s="56">
        <f t="shared" ref="E170:K170" si="23">SUM(E168:E169)</f>
        <v>0</v>
      </c>
      <c r="F170" s="56">
        <f t="shared" si="23"/>
        <v>754</v>
      </c>
      <c r="G170" s="56">
        <f t="shared" si="23"/>
        <v>0</v>
      </c>
      <c r="H170" s="56">
        <f t="shared" si="23"/>
        <v>0</v>
      </c>
      <c r="I170" s="56">
        <f t="shared" si="23"/>
        <v>211</v>
      </c>
      <c r="J170" s="56">
        <f t="shared" si="23"/>
        <v>211</v>
      </c>
      <c r="K170" s="56">
        <f t="shared" si="23"/>
        <v>965</v>
      </c>
    </row>
    <row r="171" spans="1:16" ht="15" thickTop="1">
      <c r="A171" s="165"/>
      <c r="B171" s="57" t="s">
        <v>54</v>
      </c>
      <c r="C171" s="57">
        <v>0</v>
      </c>
      <c r="D171" s="57">
        <v>0</v>
      </c>
      <c r="E171" s="57">
        <v>0</v>
      </c>
      <c r="F171" s="52">
        <f t="shared" ref="F171:F176" si="24">SUM(C171:E171)</f>
        <v>0</v>
      </c>
      <c r="G171" s="57">
        <v>0</v>
      </c>
      <c r="H171" s="57">
        <v>0</v>
      </c>
      <c r="I171" s="57">
        <v>0</v>
      </c>
      <c r="J171" s="52">
        <f t="shared" ref="J171:J176" si="25">SUM(G171:I171)</f>
        <v>0</v>
      </c>
      <c r="K171" s="52">
        <f t="shared" ref="K171:K176" si="26">SUM(F171+J171)</f>
        <v>0</v>
      </c>
    </row>
    <row r="172" spans="1:16">
      <c r="A172" s="165"/>
      <c r="B172" s="52" t="s">
        <v>79</v>
      </c>
      <c r="C172" s="52">
        <v>0</v>
      </c>
      <c r="D172" s="52">
        <v>189</v>
      </c>
      <c r="E172" s="52">
        <v>0</v>
      </c>
      <c r="F172" s="52">
        <f t="shared" si="24"/>
        <v>189</v>
      </c>
      <c r="G172" s="52">
        <v>0</v>
      </c>
      <c r="H172" s="52">
        <v>0</v>
      </c>
      <c r="I172" s="52">
        <v>53</v>
      </c>
      <c r="J172" s="52">
        <f t="shared" si="25"/>
        <v>53</v>
      </c>
      <c r="K172" s="52">
        <f t="shared" si="26"/>
        <v>242</v>
      </c>
    </row>
    <row r="173" spans="1:16">
      <c r="A173" s="165"/>
      <c r="B173" s="52" t="s">
        <v>80</v>
      </c>
      <c r="C173" s="52">
        <v>0</v>
      </c>
      <c r="D173" s="52">
        <v>10</v>
      </c>
      <c r="E173" s="52">
        <v>0</v>
      </c>
      <c r="F173" s="52">
        <f t="shared" si="24"/>
        <v>10</v>
      </c>
      <c r="G173" s="52">
        <v>0</v>
      </c>
      <c r="H173" s="52">
        <v>0</v>
      </c>
      <c r="I173" s="52">
        <v>5</v>
      </c>
      <c r="J173" s="52">
        <f t="shared" si="25"/>
        <v>5</v>
      </c>
      <c r="K173" s="52">
        <f t="shared" si="26"/>
        <v>15</v>
      </c>
    </row>
    <row r="174" spans="1:16">
      <c r="A174" s="165"/>
      <c r="B174" s="52" t="s">
        <v>81</v>
      </c>
      <c r="C174" s="52">
        <v>0</v>
      </c>
      <c r="D174" s="52">
        <v>61</v>
      </c>
      <c r="E174" s="52">
        <v>0</v>
      </c>
      <c r="F174" s="52">
        <f t="shared" si="24"/>
        <v>61</v>
      </c>
      <c r="G174" s="52">
        <v>0</v>
      </c>
      <c r="H174" s="52">
        <v>0</v>
      </c>
      <c r="I174" s="52">
        <v>17</v>
      </c>
      <c r="J174" s="52">
        <f t="shared" si="25"/>
        <v>17</v>
      </c>
      <c r="K174" s="52">
        <f t="shared" si="26"/>
        <v>78</v>
      </c>
    </row>
    <row r="175" spans="1:16">
      <c r="A175" s="165"/>
      <c r="B175" s="52" t="s">
        <v>82</v>
      </c>
      <c r="C175" s="52">
        <v>0</v>
      </c>
      <c r="D175" s="52">
        <v>0</v>
      </c>
      <c r="E175" s="52">
        <v>0</v>
      </c>
      <c r="F175" s="52">
        <f t="shared" si="24"/>
        <v>0</v>
      </c>
      <c r="G175" s="52">
        <v>0</v>
      </c>
      <c r="H175" s="52">
        <v>0</v>
      </c>
      <c r="I175" s="52">
        <v>0</v>
      </c>
      <c r="J175" s="52">
        <f t="shared" si="25"/>
        <v>0</v>
      </c>
      <c r="K175" s="52">
        <f t="shared" si="26"/>
        <v>0</v>
      </c>
    </row>
    <row r="176" spans="1:16">
      <c r="A176" s="165"/>
      <c r="B176" s="52" t="s">
        <v>83</v>
      </c>
      <c r="C176" s="52">
        <v>0</v>
      </c>
      <c r="D176" s="52">
        <v>0</v>
      </c>
      <c r="E176" s="52">
        <v>0</v>
      </c>
      <c r="F176" s="52">
        <f t="shared" si="24"/>
        <v>0</v>
      </c>
      <c r="G176" s="52">
        <v>0</v>
      </c>
      <c r="H176" s="52">
        <v>0</v>
      </c>
      <c r="I176" s="52">
        <v>1</v>
      </c>
      <c r="J176" s="52">
        <f t="shared" si="25"/>
        <v>1</v>
      </c>
      <c r="K176" s="52">
        <f t="shared" si="26"/>
        <v>1</v>
      </c>
    </row>
    <row r="177" spans="1:16" ht="15" thickBot="1">
      <c r="A177" s="166"/>
      <c r="B177" s="58" t="s">
        <v>78</v>
      </c>
      <c r="C177" s="56">
        <f>SUM(C170:C176)</f>
        <v>0</v>
      </c>
      <c r="D177" s="56">
        <f t="shared" ref="D177:K177" si="27">SUM(D170:D176)</f>
        <v>1014</v>
      </c>
      <c r="E177" s="56">
        <f t="shared" si="27"/>
        <v>0</v>
      </c>
      <c r="F177" s="56">
        <f t="shared" si="27"/>
        <v>1014</v>
      </c>
      <c r="G177" s="56">
        <f t="shared" si="27"/>
        <v>0</v>
      </c>
      <c r="H177" s="56">
        <f t="shared" si="27"/>
        <v>0</v>
      </c>
      <c r="I177" s="56">
        <f t="shared" si="27"/>
        <v>287</v>
      </c>
      <c r="J177" s="56">
        <f t="shared" si="27"/>
        <v>287</v>
      </c>
      <c r="K177" s="56">
        <f t="shared" si="27"/>
        <v>1301</v>
      </c>
    </row>
    <row r="178" spans="1:16" ht="15" thickTop="1"/>
    <row r="179" spans="1:16">
      <c r="A179" s="157" t="s">
        <v>65</v>
      </c>
      <c r="B179" s="158" t="s">
        <v>84</v>
      </c>
      <c r="C179" s="159"/>
      <c r="D179" s="159"/>
      <c r="E179" s="159"/>
      <c r="F179" s="159"/>
      <c r="G179" s="159"/>
      <c r="H179" s="159"/>
      <c r="I179" s="159"/>
      <c r="J179" s="159"/>
      <c r="K179" s="160"/>
      <c r="M179" s="161" t="s">
        <v>87</v>
      </c>
      <c r="N179" s="162"/>
      <c r="O179" s="162"/>
      <c r="P179" s="163"/>
    </row>
    <row r="180" spans="1:16">
      <c r="A180" s="157"/>
      <c r="B180" s="52"/>
      <c r="C180" s="158" t="s">
        <v>85</v>
      </c>
      <c r="D180" s="159"/>
      <c r="E180" s="159"/>
      <c r="F180" s="160"/>
      <c r="G180" s="157" t="s">
        <v>86</v>
      </c>
      <c r="H180" s="157"/>
      <c r="I180" s="157"/>
      <c r="J180" s="157"/>
      <c r="K180" s="122" t="s">
        <v>78</v>
      </c>
      <c r="M180" s="52" t="s">
        <v>29</v>
      </c>
      <c r="N180" s="59" t="s">
        <v>74</v>
      </c>
      <c r="O180" s="59" t="s">
        <v>84</v>
      </c>
      <c r="P180" s="122" t="s">
        <v>78</v>
      </c>
    </row>
    <row r="181" spans="1:16">
      <c r="A181" s="164" t="s">
        <v>70</v>
      </c>
      <c r="B181" s="52" t="s">
        <v>29</v>
      </c>
      <c r="C181" s="122" t="s">
        <v>32</v>
      </c>
      <c r="D181" s="122" t="s">
        <v>30</v>
      </c>
      <c r="E181" s="122" t="s">
        <v>31</v>
      </c>
      <c r="F181" s="122" t="s">
        <v>78</v>
      </c>
      <c r="G181" s="122" t="s">
        <v>32</v>
      </c>
      <c r="H181" s="122" t="s">
        <v>30</v>
      </c>
      <c r="I181" s="122" t="s">
        <v>31</v>
      </c>
      <c r="J181" s="122" t="s">
        <v>78</v>
      </c>
      <c r="K181" s="122"/>
      <c r="M181" s="54" t="s">
        <v>75</v>
      </c>
      <c r="N181" s="59">
        <f>SUM(K167)</f>
        <v>3</v>
      </c>
      <c r="O181" s="59">
        <f>SUM(K182)</f>
        <v>14</v>
      </c>
      <c r="P181" s="59">
        <f>SUM(N181:O181)</f>
        <v>17</v>
      </c>
    </row>
    <row r="182" spans="1:16">
      <c r="A182" s="165"/>
      <c r="B182" s="54" t="s">
        <v>75</v>
      </c>
      <c r="C182" s="52">
        <v>2</v>
      </c>
      <c r="D182" s="52">
        <v>6</v>
      </c>
      <c r="E182" s="52">
        <v>1</v>
      </c>
      <c r="F182" s="52">
        <f>SUM(C182:E182)</f>
        <v>9</v>
      </c>
      <c r="G182" s="52">
        <v>0</v>
      </c>
      <c r="H182" s="52">
        <v>3</v>
      </c>
      <c r="I182" s="52">
        <v>2</v>
      </c>
      <c r="J182" s="52">
        <f t="shared" ref="J182:J191" si="28">SUM(G182:I182)</f>
        <v>5</v>
      </c>
      <c r="K182" s="52">
        <f t="shared" ref="K182:K191" si="29">SUM(F182+J182)</f>
        <v>14</v>
      </c>
      <c r="M182" s="52" t="s">
        <v>76</v>
      </c>
      <c r="N182" s="59">
        <f>SUM(K168)</f>
        <v>965</v>
      </c>
      <c r="O182" s="59">
        <f>SUM(K183)</f>
        <v>7121</v>
      </c>
      <c r="P182" s="59">
        <f>SUM(N182:O182)</f>
        <v>8086</v>
      </c>
    </row>
    <row r="183" spans="1:16">
      <c r="A183" s="165"/>
      <c r="B183" s="52" t="s">
        <v>76</v>
      </c>
      <c r="C183" s="52">
        <v>1920</v>
      </c>
      <c r="D183" s="52">
        <v>3302</v>
      </c>
      <c r="E183" s="52">
        <v>357</v>
      </c>
      <c r="F183" s="52">
        <f>SUM(C183:E183)</f>
        <v>5579</v>
      </c>
      <c r="G183" s="52">
        <v>0</v>
      </c>
      <c r="H183" s="52">
        <v>936</v>
      </c>
      <c r="I183" s="52">
        <v>606</v>
      </c>
      <c r="J183" s="52">
        <f t="shared" si="28"/>
        <v>1542</v>
      </c>
      <c r="K183" s="52">
        <f t="shared" si="29"/>
        <v>7121</v>
      </c>
      <c r="M183" s="52" t="s">
        <v>77</v>
      </c>
      <c r="N183" s="59">
        <f>SUM(K169)</f>
        <v>0</v>
      </c>
      <c r="O183" s="59">
        <f>SUM(K184)</f>
        <v>0</v>
      </c>
      <c r="P183" s="59">
        <f>SUM(N183:O183)</f>
        <v>0</v>
      </c>
    </row>
    <row r="184" spans="1:16" ht="15" thickBot="1">
      <c r="A184" s="165"/>
      <c r="B184" s="52" t="s">
        <v>77</v>
      </c>
      <c r="C184" s="52">
        <v>0</v>
      </c>
      <c r="D184" s="52">
        <v>0</v>
      </c>
      <c r="E184" s="52">
        <v>0</v>
      </c>
      <c r="F184" s="52">
        <f>SUM(C184:E184)</f>
        <v>0</v>
      </c>
      <c r="G184" s="52">
        <v>0</v>
      </c>
      <c r="H184" s="52">
        <v>0</v>
      </c>
      <c r="I184" s="52">
        <v>0</v>
      </c>
      <c r="J184" s="52">
        <f t="shared" si="28"/>
        <v>0</v>
      </c>
      <c r="K184" s="52">
        <f t="shared" si="29"/>
        <v>0</v>
      </c>
      <c r="M184" s="56" t="s">
        <v>78</v>
      </c>
      <c r="N184" s="60">
        <f>SUM(N182:N183)</f>
        <v>965</v>
      </c>
      <c r="O184" s="60">
        <f>SUM(O182:O183)</f>
        <v>7121</v>
      </c>
      <c r="P184" s="60">
        <f>SUM(P182:P183)</f>
        <v>8086</v>
      </c>
    </row>
    <row r="185" spans="1:16" ht="15.75" thickTop="1" thickBot="1">
      <c r="A185" s="165"/>
      <c r="B185" s="56" t="s">
        <v>78</v>
      </c>
      <c r="C185" s="56">
        <f>SUM(C183:C184)</f>
        <v>1920</v>
      </c>
      <c r="D185" s="56">
        <f t="shared" ref="D185:K185" si="30">SUM(D183:D184)</f>
        <v>3302</v>
      </c>
      <c r="E185" s="56">
        <f t="shared" si="30"/>
        <v>357</v>
      </c>
      <c r="F185" s="56">
        <f t="shared" si="30"/>
        <v>5579</v>
      </c>
      <c r="G185" s="56">
        <f t="shared" si="30"/>
        <v>0</v>
      </c>
      <c r="H185" s="56">
        <f t="shared" si="30"/>
        <v>936</v>
      </c>
      <c r="I185" s="56">
        <f t="shared" si="30"/>
        <v>606</v>
      </c>
      <c r="J185" s="56">
        <f t="shared" si="30"/>
        <v>1542</v>
      </c>
      <c r="K185" s="56">
        <f t="shared" si="30"/>
        <v>7121</v>
      </c>
      <c r="M185" s="57" t="s">
        <v>79</v>
      </c>
      <c r="N185" s="61">
        <f>SUM(K172)</f>
        <v>242</v>
      </c>
      <c r="O185" s="61">
        <f>SUM(K187)</f>
        <v>1781</v>
      </c>
      <c r="P185" s="59">
        <f t="shared" ref="P185:P190" si="31">SUM(N185:O185)</f>
        <v>2023</v>
      </c>
    </row>
    <row r="186" spans="1:16" ht="15" thickTop="1">
      <c r="A186" s="165"/>
      <c r="B186" s="57" t="s">
        <v>54</v>
      </c>
      <c r="C186" s="57">
        <v>0</v>
      </c>
      <c r="D186" s="57">
        <v>0</v>
      </c>
      <c r="E186" s="57">
        <v>0</v>
      </c>
      <c r="F186" s="52">
        <f t="shared" ref="F186:F191" si="32">SUM(C186:E186)</f>
        <v>0</v>
      </c>
      <c r="G186" s="57">
        <v>0</v>
      </c>
      <c r="H186" s="57">
        <v>0</v>
      </c>
      <c r="I186" s="57">
        <v>0</v>
      </c>
      <c r="J186" s="52">
        <f t="shared" si="28"/>
        <v>0</v>
      </c>
      <c r="K186" s="52">
        <f t="shared" si="29"/>
        <v>0</v>
      </c>
      <c r="M186" s="57" t="s">
        <v>54</v>
      </c>
      <c r="N186" s="59">
        <f>SUM(K171)</f>
        <v>0</v>
      </c>
      <c r="O186" s="59">
        <f>SUM(K186)</f>
        <v>0</v>
      </c>
      <c r="P186" s="59">
        <f t="shared" si="31"/>
        <v>0</v>
      </c>
    </row>
    <row r="187" spans="1:16">
      <c r="A187" s="165"/>
      <c r="B187" s="52" t="s">
        <v>79</v>
      </c>
      <c r="C187" s="52">
        <v>480</v>
      </c>
      <c r="D187" s="52">
        <v>826</v>
      </c>
      <c r="E187" s="52">
        <v>89</v>
      </c>
      <c r="F187" s="52">
        <f t="shared" si="32"/>
        <v>1395</v>
      </c>
      <c r="G187" s="52">
        <v>0</v>
      </c>
      <c r="H187" s="52">
        <v>234</v>
      </c>
      <c r="I187" s="52">
        <v>152</v>
      </c>
      <c r="J187" s="52">
        <f t="shared" si="28"/>
        <v>386</v>
      </c>
      <c r="K187" s="52">
        <f t="shared" si="29"/>
        <v>1781</v>
      </c>
      <c r="M187" s="52" t="s">
        <v>80</v>
      </c>
      <c r="N187" s="59">
        <f>SUM(K173)</f>
        <v>15</v>
      </c>
      <c r="O187" s="59">
        <f>SUM(K188)</f>
        <v>74</v>
      </c>
      <c r="P187" s="59">
        <f t="shared" si="31"/>
        <v>89</v>
      </c>
    </row>
    <row r="188" spans="1:16">
      <c r="A188" s="165"/>
      <c r="B188" s="52" t="s">
        <v>80</v>
      </c>
      <c r="C188" s="52">
        <v>15</v>
      </c>
      <c r="D188" s="52">
        <v>29</v>
      </c>
      <c r="E188" s="52">
        <v>5</v>
      </c>
      <c r="F188" s="52">
        <f t="shared" si="32"/>
        <v>49</v>
      </c>
      <c r="G188" s="52">
        <v>0</v>
      </c>
      <c r="H188" s="52">
        <v>15</v>
      </c>
      <c r="I188" s="52">
        <v>10</v>
      </c>
      <c r="J188" s="52">
        <f t="shared" si="28"/>
        <v>25</v>
      </c>
      <c r="K188" s="52">
        <f t="shared" si="29"/>
        <v>74</v>
      </c>
      <c r="M188" s="52" t="s">
        <v>81</v>
      </c>
      <c r="N188" s="59">
        <f>SUM(K174)</f>
        <v>78</v>
      </c>
      <c r="O188" s="59">
        <f>SUM(K189)</f>
        <v>570</v>
      </c>
      <c r="P188" s="59">
        <f t="shared" si="31"/>
        <v>648</v>
      </c>
    </row>
    <row r="189" spans="1:16">
      <c r="A189" s="165"/>
      <c r="B189" s="52" t="s">
        <v>81</v>
      </c>
      <c r="C189" s="52">
        <v>154</v>
      </c>
      <c r="D189" s="52">
        <v>264</v>
      </c>
      <c r="E189" s="52">
        <v>29</v>
      </c>
      <c r="F189" s="52">
        <f t="shared" si="32"/>
        <v>447</v>
      </c>
      <c r="G189" s="52">
        <v>0</v>
      </c>
      <c r="H189" s="52">
        <v>75</v>
      </c>
      <c r="I189" s="52">
        <v>48</v>
      </c>
      <c r="J189" s="52">
        <f t="shared" si="28"/>
        <v>123</v>
      </c>
      <c r="K189" s="52">
        <f t="shared" si="29"/>
        <v>570</v>
      </c>
      <c r="M189" s="52" t="s">
        <v>82</v>
      </c>
      <c r="N189" s="59">
        <f>SUM(K175)</f>
        <v>0</v>
      </c>
      <c r="O189" s="59">
        <f>SUM(K190)</f>
        <v>0</v>
      </c>
      <c r="P189" s="59">
        <f t="shared" si="31"/>
        <v>0</v>
      </c>
    </row>
    <row r="190" spans="1:16">
      <c r="A190" s="165"/>
      <c r="B190" s="52" t="s">
        <v>82</v>
      </c>
      <c r="C190" s="52">
        <v>0</v>
      </c>
      <c r="D190" s="52">
        <v>0</v>
      </c>
      <c r="E190" s="52">
        <v>0</v>
      </c>
      <c r="F190" s="52">
        <f t="shared" si="32"/>
        <v>0</v>
      </c>
      <c r="G190" s="52">
        <v>0</v>
      </c>
      <c r="H190" s="52">
        <v>0</v>
      </c>
      <c r="I190" s="52">
        <v>0</v>
      </c>
      <c r="J190" s="52">
        <f t="shared" si="28"/>
        <v>0</v>
      </c>
      <c r="K190" s="52">
        <f t="shared" si="29"/>
        <v>0</v>
      </c>
      <c r="M190" s="52" t="s">
        <v>83</v>
      </c>
      <c r="N190" s="59">
        <f>SUM(K176)</f>
        <v>1</v>
      </c>
      <c r="O190" s="59">
        <f>SUM(K191)</f>
        <v>0</v>
      </c>
      <c r="P190" s="59">
        <f t="shared" si="31"/>
        <v>1</v>
      </c>
    </row>
    <row r="191" spans="1:16" ht="15" thickBot="1">
      <c r="A191" s="165"/>
      <c r="B191" s="52" t="s">
        <v>83</v>
      </c>
      <c r="C191" s="52">
        <v>0</v>
      </c>
      <c r="D191" s="52">
        <v>0</v>
      </c>
      <c r="E191" s="52">
        <v>0</v>
      </c>
      <c r="F191" s="52">
        <f t="shared" si="32"/>
        <v>0</v>
      </c>
      <c r="G191" s="52">
        <v>0</v>
      </c>
      <c r="H191" s="52">
        <v>0</v>
      </c>
      <c r="I191" s="52">
        <v>0</v>
      </c>
      <c r="J191" s="52">
        <f t="shared" si="28"/>
        <v>0</v>
      </c>
      <c r="K191" s="52">
        <f t="shared" si="29"/>
        <v>0</v>
      </c>
      <c r="M191" s="58" t="s">
        <v>78</v>
      </c>
      <c r="N191" s="60">
        <f>SUM(N184:N190)</f>
        <v>1301</v>
      </c>
      <c r="O191" s="60">
        <f>SUM(O184:O190)</f>
        <v>9546</v>
      </c>
      <c r="P191" s="60">
        <f>SUM(P184:P190)</f>
        <v>10847</v>
      </c>
    </row>
    <row r="192" spans="1:16" ht="15.75" thickTop="1" thickBot="1">
      <c r="A192" s="166"/>
      <c r="B192" s="58" t="s">
        <v>78</v>
      </c>
      <c r="C192" s="56">
        <f>SUM(C185:C191)</f>
        <v>2569</v>
      </c>
      <c r="D192" s="56">
        <f t="shared" ref="D192:K192" si="33">SUM(D185:D191)</f>
        <v>4421</v>
      </c>
      <c r="E192" s="56">
        <f t="shared" si="33"/>
        <v>480</v>
      </c>
      <c r="F192" s="56">
        <f t="shared" si="33"/>
        <v>7470</v>
      </c>
      <c r="G192" s="56">
        <f t="shared" si="33"/>
        <v>0</v>
      </c>
      <c r="H192" s="56">
        <f t="shared" si="33"/>
        <v>1260</v>
      </c>
      <c r="I192" s="56">
        <f t="shared" si="33"/>
        <v>816</v>
      </c>
      <c r="J192" s="56">
        <f t="shared" si="33"/>
        <v>2076</v>
      </c>
      <c r="K192" s="56">
        <f t="shared" si="33"/>
        <v>9546</v>
      </c>
      <c r="M192" s="62"/>
      <c r="N192" s="62"/>
      <c r="O192" s="62"/>
      <c r="P192" s="62"/>
    </row>
    <row r="193" spans="1:16" ht="15" thickTop="1">
      <c r="A193" s="168" t="str">
        <f>$A$1</f>
        <v>प्रपत्र - क  -  अर्थसंकल्पीय अंदाजपत्रक सन 2021-2022</v>
      </c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</row>
    <row r="194" spans="1:16">
      <c r="A194" s="169" t="s">
        <v>19</v>
      </c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</row>
    <row r="195" spans="1:16">
      <c r="A195" s="167" t="s">
        <v>62</v>
      </c>
      <c r="B195" s="167"/>
      <c r="C195" s="167"/>
      <c r="D195" s="167"/>
      <c r="E195" s="167"/>
      <c r="F195" s="167"/>
      <c r="G195" s="167"/>
      <c r="H195" s="167"/>
      <c r="I195" s="167"/>
      <c r="J195" s="167"/>
      <c r="K195" s="167"/>
    </row>
    <row r="196" spans="1:16">
      <c r="A196" s="157" t="s">
        <v>65</v>
      </c>
      <c r="B196" s="158" t="s">
        <v>74</v>
      </c>
      <c r="C196" s="159"/>
      <c r="D196" s="159"/>
      <c r="E196" s="159"/>
      <c r="F196" s="159"/>
      <c r="G196" s="159"/>
      <c r="H196" s="159"/>
      <c r="I196" s="159"/>
      <c r="J196" s="159"/>
      <c r="K196" s="160"/>
    </row>
    <row r="197" spans="1:16">
      <c r="A197" s="157"/>
      <c r="B197" s="52"/>
      <c r="C197" s="157" t="s">
        <v>85</v>
      </c>
      <c r="D197" s="157"/>
      <c r="E197" s="157"/>
      <c r="F197" s="157"/>
      <c r="G197" s="157" t="s">
        <v>86</v>
      </c>
      <c r="H197" s="157"/>
      <c r="I197" s="157"/>
      <c r="J197" s="157"/>
      <c r="K197" s="122" t="s">
        <v>78</v>
      </c>
    </row>
    <row r="198" spans="1:16">
      <c r="A198" s="164" t="s">
        <v>71</v>
      </c>
      <c r="B198" s="52" t="s">
        <v>29</v>
      </c>
      <c r="C198" s="122" t="s">
        <v>32</v>
      </c>
      <c r="D198" s="122" t="s">
        <v>30</v>
      </c>
      <c r="E198" s="122" t="s">
        <v>31</v>
      </c>
      <c r="F198" s="122" t="s">
        <v>78</v>
      </c>
      <c r="G198" s="122" t="s">
        <v>32</v>
      </c>
      <c r="H198" s="122" t="s">
        <v>30</v>
      </c>
      <c r="I198" s="122" t="s">
        <v>31</v>
      </c>
      <c r="J198" s="122" t="s">
        <v>78</v>
      </c>
      <c r="K198" s="122" t="s">
        <v>78</v>
      </c>
    </row>
    <row r="199" spans="1:16">
      <c r="A199" s="165"/>
      <c r="B199" s="54" t="s">
        <v>75</v>
      </c>
      <c r="C199" s="55">
        <v>0</v>
      </c>
      <c r="D199" s="55">
        <v>0</v>
      </c>
      <c r="E199" s="55">
        <v>0</v>
      </c>
      <c r="F199" s="52">
        <v>0</v>
      </c>
      <c r="G199" s="55">
        <v>0</v>
      </c>
      <c r="H199" s="55">
        <v>0</v>
      </c>
      <c r="I199" s="55">
        <v>0</v>
      </c>
      <c r="J199" s="52">
        <v>0</v>
      </c>
      <c r="K199" s="52">
        <v>0</v>
      </c>
    </row>
    <row r="200" spans="1:16">
      <c r="A200" s="165"/>
      <c r="B200" s="52" t="s">
        <v>76</v>
      </c>
      <c r="C200" s="55">
        <v>0</v>
      </c>
      <c r="D200" s="55">
        <v>0</v>
      </c>
      <c r="E200" s="55">
        <v>0</v>
      </c>
      <c r="F200" s="52">
        <v>0</v>
      </c>
      <c r="G200" s="55">
        <v>0</v>
      </c>
      <c r="H200" s="55">
        <v>0</v>
      </c>
      <c r="I200" s="55">
        <v>0</v>
      </c>
      <c r="J200" s="52">
        <v>0</v>
      </c>
      <c r="K200" s="52">
        <v>0</v>
      </c>
    </row>
    <row r="201" spans="1:16">
      <c r="A201" s="165"/>
      <c r="B201" s="52" t="s">
        <v>77</v>
      </c>
      <c r="C201" s="55">
        <v>0</v>
      </c>
      <c r="D201" s="55">
        <v>0</v>
      </c>
      <c r="E201" s="55">
        <v>0</v>
      </c>
      <c r="F201" s="52">
        <v>0</v>
      </c>
      <c r="G201" s="55">
        <v>0</v>
      </c>
      <c r="H201" s="55">
        <v>0</v>
      </c>
      <c r="I201" s="55">
        <v>0</v>
      </c>
      <c r="J201" s="52">
        <v>0</v>
      </c>
      <c r="K201" s="52">
        <v>0</v>
      </c>
    </row>
    <row r="202" spans="1:16" ht="15" thickBot="1">
      <c r="A202" s="165"/>
      <c r="B202" s="56" t="s">
        <v>78</v>
      </c>
      <c r="C202" s="56">
        <v>0</v>
      </c>
      <c r="D202" s="56">
        <v>0</v>
      </c>
      <c r="E202" s="56">
        <v>0</v>
      </c>
      <c r="F202" s="56">
        <v>0</v>
      </c>
      <c r="G202" s="56">
        <v>0</v>
      </c>
      <c r="H202" s="56">
        <v>0</v>
      </c>
      <c r="I202" s="56">
        <v>0</v>
      </c>
      <c r="J202" s="56">
        <v>0</v>
      </c>
      <c r="K202" s="56">
        <v>0</v>
      </c>
    </row>
    <row r="203" spans="1:16" ht="15" thickTop="1">
      <c r="A203" s="165"/>
      <c r="B203" s="57" t="s">
        <v>54</v>
      </c>
      <c r="C203" s="55">
        <v>0</v>
      </c>
      <c r="D203" s="55">
        <v>0</v>
      </c>
      <c r="E203" s="55">
        <v>0</v>
      </c>
      <c r="F203" s="52">
        <v>0</v>
      </c>
      <c r="G203" s="55">
        <v>0</v>
      </c>
      <c r="H203" s="55">
        <v>0</v>
      </c>
      <c r="I203" s="55">
        <v>0</v>
      </c>
      <c r="J203" s="52">
        <v>0</v>
      </c>
      <c r="K203" s="52">
        <v>0</v>
      </c>
    </row>
    <row r="204" spans="1:16">
      <c r="A204" s="165"/>
      <c r="B204" s="52" t="s">
        <v>79</v>
      </c>
      <c r="C204" s="55">
        <v>0</v>
      </c>
      <c r="D204" s="55">
        <v>0</v>
      </c>
      <c r="E204" s="55">
        <v>0</v>
      </c>
      <c r="F204" s="52">
        <v>0</v>
      </c>
      <c r="G204" s="55">
        <v>0</v>
      </c>
      <c r="H204" s="55">
        <v>0</v>
      </c>
      <c r="I204" s="55">
        <v>0</v>
      </c>
      <c r="J204" s="52">
        <v>0</v>
      </c>
      <c r="K204" s="52">
        <v>0</v>
      </c>
    </row>
    <row r="205" spans="1:16">
      <c r="A205" s="165"/>
      <c r="B205" s="52" t="s">
        <v>80</v>
      </c>
      <c r="C205" s="55">
        <v>0</v>
      </c>
      <c r="D205" s="55">
        <v>0</v>
      </c>
      <c r="E205" s="55">
        <v>0</v>
      </c>
      <c r="F205" s="52">
        <v>0</v>
      </c>
      <c r="G205" s="55">
        <v>0</v>
      </c>
      <c r="H205" s="55">
        <v>0</v>
      </c>
      <c r="I205" s="55">
        <v>0</v>
      </c>
      <c r="J205" s="52">
        <v>0</v>
      </c>
      <c r="K205" s="52">
        <v>0</v>
      </c>
    </row>
    <row r="206" spans="1:16">
      <c r="A206" s="165"/>
      <c r="B206" s="52" t="s">
        <v>81</v>
      </c>
      <c r="C206" s="55">
        <v>0</v>
      </c>
      <c r="D206" s="55">
        <v>0</v>
      </c>
      <c r="E206" s="55">
        <v>0</v>
      </c>
      <c r="F206" s="52">
        <v>0</v>
      </c>
      <c r="G206" s="55">
        <v>0</v>
      </c>
      <c r="H206" s="55">
        <v>0</v>
      </c>
      <c r="I206" s="55">
        <v>0</v>
      </c>
      <c r="J206" s="52">
        <v>0</v>
      </c>
      <c r="K206" s="52">
        <v>0</v>
      </c>
    </row>
    <row r="207" spans="1:16">
      <c r="A207" s="165"/>
      <c r="B207" s="52" t="s">
        <v>82</v>
      </c>
      <c r="C207" s="55">
        <v>0</v>
      </c>
      <c r="D207" s="55">
        <v>0</v>
      </c>
      <c r="E207" s="55">
        <v>0</v>
      </c>
      <c r="F207" s="52">
        <v>0</v>
      </c>
      <c r="G207" s="55">
        <v>0</v>
      </c>
      <c r="H207" s="55">
        <v>0</v>
      </c>
      <c r="I207" s="55">
        <v>0</v>
      </c>
      <c r="J207" s="52">
        <v>0</v>
      </c>
      <c r="K207" s="52">
        <v>0</v>
      </c>
    </row>
    <row r="208" spans="1:16">
      <c r="A208" s="165"/>
      <c r="B208" s="52" t="s">
        <v>83</v>
      </c>
      <c r="C208" s="55">
        <v>0</v>
      </c>
      <c r="D208" s="55">
        <v>0</v>
      </c>
      <c r="E208" s="55">
        <v>0</v>
      </c>
      <c r="F208" s="52">
        <v>0</v>
      </c>
      <c r="G208" s="55">
        <v>0</v>
      </c>
      <c r="H208" s="55">
        <v>0</v>
      </c>
      <c r="I208" s="55">
        <v>0</v>
      </c>
      <c r="J208" s="52">
        <v>0</v>
      </c>
      <c r="K208" s="52">
        <v>0</v>
      </c>
    </row>
    <row r="209" spans="1:16" ht="15" thickBot="1">
      <c r="A209" s="166"/>
      <c r="B209" s="58" t="s">
        <v>78</v>
      </c>
      <c r="C209" s="56">
        <v>0</v>
      </c>
      <c r="D209" s="56">
        <v>0</v>
      </c>
      <c r="E209" s="56">
        <v>0</v>
      </c>
      <c r="F209" s="56">
        <v>0</v>
      </c>
      <c r="G209" s="56">
        <v>0</v>
      </c>
      <c r="H209" s="56">
        <v>0</v>
      </c>
      <c r="I209" s="56">
        <v>0</v>
      </c>
      <c r="J209" s="56">
        <v>0</v>
      </c>
      <c r="K209" s="56">
        <v>0</v>
      </c>
    </row>
    <row r="210" spans="1:16" ht="15" thickTop="1"/>
    <row r="211" spans="1:16">
      <c r="A211" s="157" t="s">
        <v>65</v>
      </c>
      <c r="B211" s="158" t="s">
        <v>84</v>
      </c>
      <c r="C211" s="159"/>
      <c r="D211" s="159"/>
      <c r="E211" s="159"/>
      <c r="F211" s="159"/>
      <c r="G211" s="159"/>
      <c r="H211" s="159"/>
      <c r="I211" s="159"/>
      <c r="J211" s="159"/>
      <c r="K211" s="160"/>
      <c r="M211" s="161" t="s">
        <v>87</v>
      </c>
      <c r="N211" s="162"/>
      <c r="O211" s="162"/>
      <c r="P211" s="163"/>
    </row>
    <row r="212" spans="1:16">
      <c r="A212" s="157"/>
      <c r="B212" s="52"/>
      <c r="C212" s="158" t="s">
        <v>85</v>
      </c>
      <c r="D212" s="159"/>
      <c r="E212" s="159"/>
      <c r="F212" s="160"/>
      <c r="G212" s="157" t="s">
        <v>86</v>
      </c>
      <c r="H212" s="157"/>
      <c r="I212" s="157"/>
      <c r="J212" s="157"/>
      <c r="K212" s="122" t="s">
        <v>78</v>
      </c>
      <c r="M212" s="52" t="s">
        <v>29</v>
      </c>
      <c r="N212" s="59" t="s">
        <v>74</v>
      </c>
      <c r="O212" s="59" t="s">
        <v>84</v>
      </c>
      <c r="P212" s="122" t="s">
        <v>78</v>
      </c>
    </row>
    <row r="213" spans="1:16">
      <c r="A213" s="164" t="s">
        <v>71</v>
      </c>
      <c r="B213" s="52" t="s">
        <v>29</v>
      </c>
      <c r="C213" s="122" t="s">
        <v>32</v>
      </c>
      <c r="D213" s="122" t="s">
        <v>30</v>
      </c>
      <c r="E213" s="122" t="s">
        <v>31</v>
      </c>
      <c r="F213" s="122" t="s">
        <v>78</v>
      </c>
      <c r="G213" s="122" t="s">
        <v>32</v>
      </c>
      <c r="H213" s="122" t="s">
        <v>30</v>
      </c>
      <c r="I213" s="122" t="s">
        <v>31</v>
      </c>
      <c r="J213" s="122" t="s">
        <v>78</v>
      </c>
      <c r="K213" s="122"/>
      <c r="M213" s="54" t="s">
        <v>75</v>
      </c>
      <c r="N213" s="59">
        <v>0</v>
      </c>
      <c r="O213" s="59">
        <f>K214</f>
        <v>16</v>
      </c>
      <c r="P213" s="59">
        <f>SUM(N213:O213)</f>
        <v>16</v>
      </c>
    </row>
    <row r="214" spans="1:16">
      <c r="A214" s="165"/>
      <c r="B214" s="54" t="s">
        <v>75</v>
      </c>
      <c r="C214" s="52">
        <v>2</v>
      </c>
      <c r="D214" s="52">
        <v>10</v>
      </c>
      <c r="E214" s="52">
        <v>1</v>
      </c>
      <c r="F214" s="52">
        <f>SUM(C214:E214)</f>
        <v>13</v>
      </c>
      <c r="G214" s="52">
        <v>0</v>
      </c>
      <c r="H214" s="52">
        <v>1</v>
      </c>
      <c r="I214" s="52">
        <v>2</v>
      </c>
      <c r="J214" s="52">
        <f>SUM(G214:I214)</f>
        <v>3</v>
      </c>
      <c r="K214" s="52">
        <f>SUM(F214+J214)</f>
        <v>16</v>
      </c>
      <c r="M214" s="52" t="s">
        <v>76</v>
      </c>
      <c r="N214" s="59">
        <v>0</v>
      </c>
      <c r="O214" s="59">
        <f>K215</f>
        <v>7541</v>
      </c>
      <c r="P214" s="59">
        <f t="shared" ref="P214:P222" si="34">SUM(N214:O214)</f>
        <v>7541</v>
      </c>
    </row>
    <row r="215" spans="1:16">
      <c r="A215" s="165"/>
      <c r="B215" s="52" t="s">
        <v>76</v>
      </c>
      <c r="C215" s="52">
        <v>1949</v>
      </c>
      <c r="D215" s="52">
        <v>4720</v>
      </c>
      <c r="E215" s="52">
        <v>274</v>
      </c>
      <c r="F215" s="52">
        <f t="shared" ref="F215:F223" si="35">SUM(C215:E215)</f>
        <v>6943</v>
      </c>
      <c r="G215" s="52">
        <v>0</v>
      </c>
      <c r="H215" s="52">
        <v>238</v>
      </c>
      <c r="I215" s="52">
        <v>360</v>
      </c>
      <c r="J215" s="52">
        <f>SUM(G215:I215)</f>
        <v>598</v>
      </c>
      <c r="K215" s="52">
        <f>SUM(F215+J215)</f>
        <v>7541</v>
      </c>
      <c r="M215" s="52" t="s">
        <v>77</v>
      </c>
      <c r="N215" s="59">
        <v>0</v>
      </c>
      <c r="O215" s="59">
        <f>K216</f>
        <v>0</v>
      </c>
      <c r="P215" s="59">
        <f t="shared" si="34"/>
        <v>0</v>
      </c>
    </row>
    <row r="216" spans="1:16" ht="15" thickBot="1">
      <c r="A216" s="165"/>
      <c r="B216" s="52" t="s">
        <v>77</v>
      </c>
      <c r="C216" s="52">
        <v>0</v>
      </c>
      <c r="D216" s="52">
        <v>0</v>
      </c>
      <c r="E216" s="52">
        <v>0</v>
      </c>
      <c r="F216" s="52">
        <f t="shared" si="35"/>
        <v>0</v>
      </c>
      <c r="G216" s="52">
        <v>0</v>
      </c>
      <c r="H216" s="52">
        <v>0</v>
      </c>
      <c r="I216" s="52">
        <v>0</v>
      </c>
      <c r="J216" s="52">
        <f>SUM(G216:I216)</f>
        <v>0</v>
      </c>
      <c r="K216" s="52">
        <f>SUM(F216+J216)</f>
        <v>0</v>
      </c>
      <c r="M216" s="56" t="s">
        <v>78</v>
      </c>
      <c r="N216" s="60">
        <v>0</v>
      </c>
      <c r="O216" s="60">
        <f>K217</f>
        <v>7541</v>
      </c>
      <c r="P216" s="60">
        <f t="shared" si="34"/>
        <v>7541</v>
      </c>
    </row>
    <row r="217" spans="1:16" ht="15.75" thickTop="1" thickBot="1">
      <c r="A217" s="165"/>
      <c r="B217" s="56" t="s">
        <v>78</v>
      </c>
      <c r="C217" s="56">
        <f>SUM(C215:C216)</f>
        <v>1949</v>
      </c>
      <c r="D217" s="56">
        <f t="shared" ref="D217:K217" si="36">SUM(D215:D216)</f>
        <v>4720</v>
      </c>
      <c r="E217" s="56">
        <f t="shared" si="36"/>
        <v>274</v>
      </c>
      <c r="F217" s="56">
        <f t="shared" si="36"/>
        <v>6943</v>
      </c>
      <c r="G217" s="56">
        <f t="shared" si="36"/>
        <v>0</v>
      </c>
      <c r="H217" s="56">
        <f t="shared" si="36"/>
        <v>238</v>
      </c>
      <c r="I217" s="56">
        <f t="shared" si="36"/>
        <v>360</v>
      </c>
      <c r="J217" s="56">
        <f t="shared" si="36"/>
        <v>598</v>
      </c>
      <c r="K217" s="56">
        <f t="shared" si="36"/>
        <v>7541</v>
      </c>
      <c r="M217" s="57" t="s">
        <v>79</v>
      </c>
      <c r="N217" s="61">
        <v>0</v>
      </c>
      <c r="O217" s="61">
        <f>SUM(K219)</f>
        <v>1886</v>
      </c>
      <c r="P217" s="59">
        <f t="shared" si="34"/>
        <v>1886</v>
      </c>
    </row>
    <row r="218" spans="1:16" ht="15" thickTop="1">
      <c r="A218" s="165"/>
      <c r="B218" s="57" t="s">
        <v>54</v>
      </c>
      <c r="C218" s="57">
        <v>0</v>
      </c>
      <c r="D218" s="57">
        <v>0</v>
      </c>
      <c r="E218" s="57">
        <v>0</v>
      </c>
      <c r="F218" s="52">
        <f t="shared" si="35"/>
        <v>0</v>
      </c>
      <c r="G218" s="57">
        <v>0</v>
      </c>
      <c r="H218" s="57">
        <v>0</v>
      </c>
      <c r="I218" s="57">
        <v>0</v>
      </c>
      <c r="J218" s="52">
        <f t="shared" ref="J218:J223" si="37">SUM(G218:I218)</f>
        <v>0</v>
      </c>
      <c r="K218" s="52">
        <f t="shared" ref="K218:K223" si="38">SUM(F218+J218)</f>
        <v>0</v>
      </c>
      <c r="M218" s="57" t="s">
        <v>54</v>
      </c>
      <c r="N218" s="59">
        <v>0</v>
      </c>
      <c r="O218" s="59">
        <f>SUM(K218)</f>
        <v>0</v>
      </c>
      <c r="P218" s="59">
        <f t="shared" si="34"/>
        <v>0</v>
      </c>
    </row>
    <row r="219" spans="1:16">
      <c r="A219" s="165"/>
      <c r="B219" s="52" t="s">
        <v>79</v>
      </c>
      <c r="C219" s="52">
        <v>487</v>
      </c>
      <c r="D219" s="52">
        <v>1180</v>
      </c>
      <c r="E219" s="52">
        <v>68</v>
      </c>
      <c r="F219" s="52">
        <f t="shared" si="35"/>
        <v>1735</v>
      </c>
      <c r="G219" s="52">
        <v>0</v>
      </c>
      <c r="H219" s="52">
        <v>60</v>
      </c>
      <c r="I219" s="52">
        <v>91</v>
      </c>
      <c r="J219" s="52">
        <f t="shared" si="37"/>
        <v>151</v>
      </c>
      <c r="K219" s="52">
        <f t="shared" si="38"/>
        <v>1886</v>
      </c>
      <c r="M219" s="52" t="s">
        <v>80</v>
      </c>
      <c r="N219" s="59">
        <v>0</v>
      </c>
      <c r="O219" s="59">
        <f>SUM(K220)</f>
        <v>0</v>
      </c>
      <c r="P219" s="59">
        <f t="shared" si="34"/>
        <v>0</v>
      </c>
    </row>
    <row r="220" spans="1:16">
      <c r="A220" s="165"/>
      <c r="B220" s="52" t="s">
        <v>80</v>
      </c>
      <c r="C220" s="52">
        <v>0</v>
      </c>
      <c r="D220" s="52">
        <v>0</v>
      </c>
      <c r="E220" s="52">
        <v>0</v>
      </c>
      <c r="F220" s="52">
        <f t="shared" si="35"/>
        <v>0</v>
      </c>
      <c r="G220" s="52">
        <v>0</v>
      </c>
      <c r="H220" s="52">
        <v>0</v>
      </c>
      <c r="I220" s="52">
        <v>0</v>
      </c>
      <c r="J220" s="52">
        <f t="shared" si="37"/>
        <v>0</v>
      </c>
      <c r="K220" s="52">
        <f t="shared" si="38"/>
        <v>0</v>
      </c>
      <c r="M220" s="52" t="s">
        <v>81</v>
      </c>
      <c r="N220" s="59">
        <v>0</v>
      </c>
      <c r="O220" s="59">
        <f>SUM(K221)</f>
        <v>678</v>
      </c>
      <c r="P220" s="59">
        <f t="shared" si="34"/>
        <v>678</v>
      </c>
    </row>
    <row r="221" spans="1:16">
      <c r="A221" s="165"/>
      <c r="B221" s="52" t="s">
        <v>81</v>
      </c>
      <c r="C221" s="52">
        <v>175</v>
      </c>
      <c r="D221" s="52">
        <v>425</v>
      </c>
      <c r="E221" s="52">
        <v>25</v>
      </c>
      <c r="F221" s="52">
        <f t="shared" si="35"/>
        <v>625</v>
      </c>
      <c r="G221" s="52">
        <v>0</v>
      </c>
      <c r="H221" s="52">
        <v>21</v>
      </c>
      <c r="I221" s="52">
        <v>32</v>
      </c>
      <c r="J221" s="52">
        <f t="shared" si="37"/>
        <v>53</v>
      </c>
      <c r="K221" s="52">
        <f t="shared" si="38"/>
        <v>678</v>
      </c>
      <c r="M221" s="52" t="s">
        <v>82</v>
      </c>
      <c r="N221" s="59">
        <v>0</v>
      </c>
      <c r="O221" s="59">
        <f>SUM(K222)</f>
        <v>97</v>
      </c>
      <c r="P221" s="59">
        <f t="shared" si="34"/>
        <v>97</v>
      </c>
    </row>
    <row r="222" spans="1:16">
      <c r="A222" s="165"/>
      <c r="B222" s="52" t="s">
        <v>82</v>
      </c>
      <c r="C222" s="52">
        <v>29</v>
      </c>
      <c r="D222" s="52">
        <v>48</v>
      </c>
      <c r="E222" s="52">
        <v>5</v>
      </c>
      <c r="F222" s="52">
        <f t="shared" si="35"/>
        <v>82</v>
      </c>
      <c r="G222" s="52">
        <v>0</v>
      </c>
      <c r="H222" s="52">
        <v>6</v>
      </c>
      <c r="I222" s="52">
        <v>9</v>
      </c>
      <c r="J222" s="52">
        <f t="shared" si="37"/>
        <v>15</v>
      </c>
      <c r="K222" s="52">
        <f t="shared" si="38"/>
        <v>97</v>
      </c>
      <c r="M222" s="52" t="s">
        <v>83</v>
      </c>
      <c r="N222" s="59">
        <v>0</v>
      </c>
      <c r="O222" s="59">
        <f>SUM(K223)</f>
        <v>2</v>
      </c>
      <c r="P222" s="59">
        <f t="shared" si="34"/>
        <v>2</v>
      </c>
    </row>
    <row r="223" spans="1:16" ht="15" thickBot="1">
      <c r="A223" s="165"/>
      <c r="B223" s="52" t="s">
        <v>83</v>
      </c>
      <c r="C223" s="52">
        <v>0</v>
      </c>
      <c r="D223" s="52">
        <v>0</v>
      </c>
      <c r="E223" s="52">
        <v>1</v>
      </c>
      <c r="F223" s="52">
        <f t="shared" si="35"/>
        <v>1</v>
      </c>
      <c r="G223" s="52">
        <v>0</v>
      </c>
      <c r="H223" s="52">
        <v>0</v>
      </c>
      <c r="I223" s="52">
        <v>1</v>
      </c>
      <c r="J223" s="52">
        <f t="shared" si="37"/>
        <v>1</v>
      </c>
      <c r="K223" s="52">
        <f t="shared" si="38"/>
        <v>2</v>
      </c>
      <c r="M223" s="58" t="s">
        <v>78</v>
      </c>
      <c r="N223" s="60">
        <v>0</v>
      </c>
      <c r="O223" s="60">
        <f>SUM(K224)</f>
        <v>10204</v>
      </c>
      <c r="P223" s="60">
        <f>SUM(P216:P222)</f>
        <v>10204</v>
      </c>
    </row>
    <row r="224" spans="1:16" ht="15.75" thickTop="1" thickBot="1">
      <c r="A224" s="166"/>
      <c r="B224" s="58" t="s">
        <v>78</v>
      </c>
      <c r="C224" s="56">
        <f>SUM(C217:C223)</f>
        <v>2640</v>
      </c>
      <c r="D224" s="56">
        <f t="shared" ref="D224:K224" si="39">SUM(D217:D223)</f>
        <v>6373</v>
      </c>
      <c r="E224" s="56">
        <f t="shared" si="39"/>
        <v>373</v>
      </c>
      <c r="F224" s="56">
        <f t="shared" si="39"/>
        <v>9386</v>
      </c>
      <c r="G224" s="56">
        <f t="shared" si="39"/>
        <v>0</v>
      </c>
      <c r="H224" s="56">
        <f t="shared" si="39"/>
        <v>325</v>
      </c>
      <c r="I224" s="56">
        <f t="shared" si="39"/>
        <v>493</v>
      </c>
      <c r="J224" s="56">
        <f t="shared" si="39"/>
        <v>818</v>
      </c>
      <c r="K224" s="56">
        <f t="shared" si="39"/>
        <v>10204</v>
      </c>
      <c r="M224" s="62"/>
      <c r="N224" s="62"/>
      <c r="O224" s="62"/>
      <c r="P224" s="62"/>
    </row>
    <row r="225" spans="1:16" ht="15" thickTop="1">
      <c r="A225" s="168" t="str">
        <f>$A$1</f>
        <v>प्रपत्र - क  -  अर्थसंकल्पीय अंदाजपत्रक सन 2021-2022</v>
      </c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</row>
    <row r="226" spans="1:16">
      <c r="A226" s="169" t="s">
        <v>19</v>
      </c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</row>
    <row r="227" spans="1:16">
      <c r="A227" s="167" t="s">
        <v>62</v>
      </c>
      <c r="B227" s="167"/>
      <c r="C227" s="167"/>
      <c r="D227" s="167"/>
      <c r="E227" s="167"/>
      <c r="F227" s="167"/>
      <c r="G227" s="167"/>
      <c r="H227" s="167"/>
      <c r="I227" s="167"/>
      <c r="J227" s="167"/>
      <c r="K227" s="167"/>
    </row>
    <row r="228" spans="1:16">
      <c r="A228" s="157" t="s">
        <v>72</v>
      </c>
      <c r="B228" s="158" t="s">
        <v>74</v>
      </c>
      <c r="C228" s="159"/>
      <c r="D228" s="159"/>
      <c r="E228" s="159"/>
      <c r="F228" s="159"/>
      <c r="G228" s="159"/>
      <c r="H228" s="159"/>
      <c r="I228" s="159"/>
      <c r="J228" s="159"/>
      <c r="K228" s="160"/>
    </row>
    <row r="229" spans="1:16">
      <c r="A229" s="157"/>
      <c r="B229" s="52"/>
      <c r="C229" s="157" t="s">
        <v>85</v>
      </c>
      <c r="D229" s="157"/>
      <c r="E229" s="157"/>
      <c r="F229" s="157"/>
      <c r="G229" s="157" t="s">
        <v>86</v>
      </c>
      <c r="H229" s="157"/>
      <c r="I229" s="157"/>
      <c r="J229" s="157"/>
      <c r="K229" s="122" t="s">
        <v>78</v>
      </c>
    </row>
    <row r="230" spans="1:16">
      <c r="A230" s="164" t="s">
        <v>73</v>
      </c>
      <c r="B230" s="52" t="s">
        <v>29</v>
      </c>
      <c r="C230" s="122" t="s">
        <v>32</v>
      </c>
      <c r="D230" s="122" t="s">
        <v>30</v>
      </c>
      <c r="E230" s="122" t="s">
        <v>31</v>
      </c>
      <c r="F230" s="122" t="s">
        <v>78</v>
      </c>
      <c r="G230" s="122" t="s">
        <v>32</v>
      </c>
      <c r="H230" s="122" t="s">
        <v>30</v>
      </c>
      <c r="I230" s="122" t="s">
        <v>31</v>
      </c>
      <c r="J230" s="122" t="s">
        <v>78</v>
      </c>
      <c r="K230" s="122" t="s">
        <v>78</v>
      </c>
    </row>
    <row r="231" spans="1:16">
      <c r="A231" s="165"/>
      <c r="B231" s="54" t="s">
        <v>75</v>
      </c>
      <c r="C231" s="55"/>
      <c r="D231" s="55"/>
      <c r="E231" s="55"/>
      <c r="F231" s="52">
        <v>0</v>
      </c>
      <c r="G231" s="55"/>
      <c r="H231" s="55"/>
      <c r="I231" s="55"/>
      <c r="J231" s="52">
        <v>0</v>
      </c>
      <c r="K231" s="52">
        <v>0</v>
      </c>
    </row>
    <row r="232" spans="1:16">
      <c r="A232" s="165"/>
      <c r="B232" s="52" t="s">
        <v>76</v>
      </c>
      <c r="C232" s="55"/>
      <c r="D232" s="55"/>
      <c r="E232" s="55"/>
      <c r="F232" s="52">
        <v>0</v>
      </c>
      <c r="G232" s="55"/>
      <c r="H232" s="55"/>
      <c r="I232" s="55"/>
      <c r="J232" s="52">
        <v>0</v>
      </c>
      <c r="K232" s="52">
        <v>0</v>
      </c>
    </row>
    <row r="233" spans="1:16">
      <c r="A233" s="165"/>
      <c r="B233" s="52" t="s">
        <v>77</v>
      </c>
      <c r="C233" s="55"/>
      <c r="D233" s="55"/>
      <c r="E233" s="55"/>
      <c r="F233" s="52">
        <v>0</v>
      </c>
      <c r="G233" s="55"/>
      <c r="H233" s="55"/>
      <c r="I233" s="55"/>
      <c r="J233" s="52">
        <v>0</v>
      </c>
      <c r="K233" s="52">
        <v>0</v>
      </c>
    </row>
    <row r="234" spans="1:16" ht="15" thickBot="1">
      <c r="A234" s="165"/>
      <c r="B234" s="56" t="s">
        <v>78</v>
      </c>
      <c r="C234" s="56">
        <v>0</v>
      </c>
      <c r="D234" s="56">
        <v>0</v>
      </c>
      <c r="E234" s="56">
        <v>0</v>
      </c>
      <c r="F234" s="56">
        <v>0</v>
      </c>
      <c r="G234" s="56">
        <v>0</v>
      </c>
      <c r="H234" s="56">
        <v>0</v>
      </c>
      <c r="I234" s="56">
        <v>0</v>
      </c>
      <c r="J234" s="56">
        <v>0</v>
      </c>
      <c r="K234" s="56">
        <v>0</v>
      </c>
    </row>
    <row r="235" spans="1:16" ht="15" thickTop="1">
      <c r="A235" s="165"/>
      <c r="B235" s="57" t="s">
        <v>54</v>
      </c>
      <c r="C235" s="55"/>
      <c r="D235" s="55"/>
      <c r="E235" s="55"/>
      <c r="F235" s="52">
        <v>0</v>
      </c>
      <c r="G235" s="55"/>
      <c r="H235" s="55"/>
      <c r="I235" s="55"/>
      <c r="J235" s="52">
        <v>0</v>
      </c>
      <c r="K235" s="52">
        <v>0</v>
      </c>
    </row>
    <row r="236" spans="1:16">
      <c r="A236" s="165"/>
      <c r="B236" s="52" t="s">
        <v>79</v>
      </c>
      <c r="C236" s="55"/>
      <c r="D236" s="55"/>
      <c r="E236" s="55"/>
      <c r="F236" s="52">
        <v>0</v>
      </c>
      <c r="G236" s="55"/>
      <c r="H236" s="55"/>
      <c r="I236" s="55"/>
      <c r="J236" s="52">
        <v>0</v>
      </c>
      <c r="K236" s="52">
        <v>0</v>
      </c>
    </row>
    <row r="237" spans="1:16">
      <c r="A237" s="165"/>
      <c r="B237" s="52" t="s">
        <v>80</v>
      </c>
      <c r="C237" s="55"/>
      <c r="D237" s="55"/>
      <c r="E237" s="55"/>
      <c r="F237" s="52">
        <v>0</v>
      </c>
      <c r="G237" s="55"/>
      <c r="H237" s="55"/>
      <c r="I237" s="55"/>
      <c r="J237" s="52">
        <v>0</v>
      </c>
      <c r="K237" s="52">
        <v>0</v>
      </c>
    </row>
    <row r="238" spans="1:16">
      <c r="A238" s="165"/>
      <c r="B238" s="52" t="s">
        <v>81</v>
      </c>
      <c r="C238" s="55"/>
      <c r="D238" s="55"/>
      <c r="E238" s="55"/>
      <c r="F238" s="52">
        <v>0</v>
      </c>
      <c r="G238" s="55"/>
      <c r="H238" s="55"/>
      <c r="I238" s="55"/>
      <c r="J238" s="52">
        <v>0</v>
      </c>
      <c r="K238" s="52">
        <v>0</v>
      </c>
    </row>
    <row r="239" spans="1:16">
      <c r="A239" s="165"/>
      <c r="B239" s="52" t="s">
        <v>82</v>
      </c>
      <c r="C239" s="55"/>
      <c r="D239" s="55"/>
      <c r="E239" s="55"/>
      <c r="F239" s="52">
        <v>0</v>
      </c>
      <c r="G239" s="55"/>
      <c r="H239" s="55"/>
      <c r="I239" s="55"/>
      <c r="J239" s="52">
        <v>0</v>
      </c>
      <c r="K239" s="52">
        <v>0</v>
      </c>
    </row>
    <row r="240" spans="1:16">
      <c r="A240" s="165"/>
      <c r="B240" s="52" t="s">
        <v>83</v>
      </c>
      <c r="C240" s="55"/>
      <c r="D240" s="55"/>
      <c r="E240" s="55"/>
      <c r="F240" s="52">
        <v>0</v>
      </c>
      <c r="G240" s="55"/>
      <c r="H240" s="55"/>
      <c r="I240" s="55"/>
      <c r="J240" s="52">
        <v>0</v>
      </c>
      <c r="K240" s="52">
        <v>0</v>
      </c>
    </row>
    <row r="241" spans="1:16" ht="15" thickBot="1">
      <c r="A241" s="166"/>
      <c r="B241" s="58" t="s">
        <v>78</v>
      </c>
      <c r="C241" s="56">
        <v>0</v>
      </c>
      <c r="D241" s="56">
        <v>0</v>
      </c>
      <c r="E241" s="56">
        <v>0</v>
      </c>
      <c r="F241" s="56">
        <v>0</v>
      </c>
      <c r="G241" s="56">
        <v>0</v>
      </c>
      <c r="H241" s="56">
        <v>0</v>
      </c>
      <c r="I241" s="56">
        <v>0</v>
      </c>
      <c r="J241" s="56">
        <v>0</v>
      </c>
      <c r="K241" s="56">
        <v>0</v>
      </c>
    </row>
    <row r="242" spans="1:16" ht="15" thickTop="1"/>
    <row r="243" spans="1:16">
      <c r="A243" s="157" t="s">
        <v>72</v>
      </c>
      <c r="B243" s="158" t="s">
        <v>84</v>
      </c>
      <c r="C243" s="159"/>
      <c r="D243" s="159"/>
      <c r="E243" s="159"/>
      <c r="F243" s="159"/>
      <c r="G243" s="159"/>
      <c r="H243" s="159"/>
      <c r="I243" s="159"/>
      <c r="J243" s="159"/>
      <c r="K243" s="160"/>
      <c r="M243" s="161" t="s">
        <v>87</v>
      </c>
      <c r="N243" s="162"/>
      <c r="O243" s="162"/>
      <c r="P243" s="163"/>
    </row>
    <row r="244" spans="1:16">
      <c r="A244" s="157"/>
      <c r="B244" s="52"/>
      <c r="C244" s="158" t="s">
        <v>85</v>
      </c>
      <c r="D244" s="159"/>
      <c r="E244" s="159"/>
      <c r="F244" s="160"/>
      <c r="G244" s="157" t="s">
        <v>86</v>
      </c>
      <c r="H244" s="157"/>
      <c r="I244" s="157"/>
      <c r="J244" s="157"/>
      <c r="K244" s="122" t="s">
        <v>78</v>
      </c>
      <c r="M244" s="52" t="s">
        <v>29</v>
      </c>
      <c r="N244" s="59" t="s">
        <v>74</v>
      </c>
      <c r="O244" s="59" t="s">
        <v>84</v>
      </c>
      <c r="P244" s="122" t="s">
        <v>78</v>
      </c>
    </row>
    <row r="245" spans="1:16" ht="21" customHeight="1">
      <c r="A245" s="164" t="s">
        <v>73</v>
      </c>
      <c r="B245" s="52" t="s">
        <v>29</v>
      </c>
      <c r="C245" s="122" t="s">
        <v>32</v>
      </c>
      <c r="D245" s="122" t="s">
        <v>30</v>
      </c>
      <c r="E245" s="122" t="s">
        <v>31</v>
      </c>
      <c r="F245" s="122" t="s">
        <v>78</v>
      </c>
      <c r="G245" s="122" t="s">
        <v>32</v>
      </c>
      <c r="H245" s="122" t="s">
        <v>30</v>
      </c>
      <c r="I245" s="122" t="s">
        <v>31</v>
      </c>
      <c r="J245" s="122" t="s">
        <v>78</v>
      </c>
      <c r="K245" s="122"/>
      <c r="M245" s="54" t="s">
        <v>75</v>
      </c>
      <c r="N245" s="59">
        <v>0</v>
      </c>
      <c r="O245" s="59">
        <v>0</v>
      </c>
      <c r="P245" s="59">
        <v>0</v>
      </c>
    </row>
    <row r="246" spans="1:16">
      <c r="A246" s="165"/>
      <c r="B246" s="54" t="s">
        <v>75</v>
      </c>
      <c r="C246" s="55"/>
      <c r="D246" s="55"/>
      <c r="E246" s="55"/>
      <c r="F246" s="52">
        <v>0</v>
      </c>
      <c r="G246" s="55"/>
      <c r="H246" s="55"/>
      <c r="I246" s="55"/>
      <c r="J246" s="52">
        <v>0</v>
      </c>
      <c r="K246" s="52">
        <v>0</v>
      </c>
      <c r="M246" s="52" t="s">
        <v>76</v>
      </c>
      <c r="N246" s="59">
        <v>0</v>
      </c>
      <c r="O246" s="59">
        <v>0</v>
      </c>
      <c r="P246" s="59">
        <v>0</v>
      </c>
    </row>
    <row r="247" spans="1:16">
      <c r="A247" s="165"/>
      <c r="B247" s="52" t="s">
        <v>76</v>
      </c>
      <c r="C247" s="55"/>
      <c r="D247" s="55"/>
      <c r="E247" s="55"/>
      <c r="F247" s="52">
        <v>0</v>
      </c>
      <c r="G247" s="55"/>
      <c r="H247" s="55"/>
      <c r="I247" s="55"/>
      <c r="J247" s="52">
        <v>0</v>
      </c>
      <c r="K247" s="52">
        <v>0</v>
      </c>
      <c r="M247" s="52" t="s">
        <v>77</v>
      </c>
      <c r="N247" s="59">
        <v>0</v>
      </c>
      <c r="O247" s="59">
        <v>0</v>
      </c>
      <c r="P247" s="59">
        <v>0</v>
      </c>
    </row>
    <row r="248" spans="1:16" ht="15" thickBot="1">
      <c r="A248" s="165"/>
      <c r="B248" s="52" t="s">
        <v>77</v>
      </c>
      <c r="C248" s="55"/>
      <c r="D248" s="55"/>
      <c r="E248" s="55"/>
      <c r="F248" s="52">
        <v>0</v>
      </c>
      <c r="G248" s="55"/>
      <c r="H248" s="55"/>
      <c r="I248" s="55"/>
      <c r="J248" s="52">
        <v>0</v>
      </c>
      <c r="K248" s="52">
        <v>0</v>
      </c>
      <c r="M248" s="56" t="s">
        <v>78</v>
      </c>
      <c r="N248" s="60">
        <v>0</v>
      </c>
      <c r="O248" s="60">
        <v>0</v>
      </c>
      <c r="P248" s="60">
        <v>0</v>
      </c>
    </row>
    <row r="249" spans="1:16" ht="15.75" thickTop="1" thickBot="1">
      <c r="A249" s="165"/>
      <c r="B249" s="56" t="s">
        <v>78</v>
      </c>
      <c r="C249" s="56">
        <v>0</v>
      </c>
      <c r="D249" s="56">
        <v>0</v>
      </c>
      <c r="E249" s="56">
        <v>0</v>
      </c>
      <c r="F249" s="56">
        <v>0</v>
      </c>
      <c r="G249" s="56">
        <v>0</v>
      </c>
      <c r="H249" s="56">
        <v>0</v>
      </c>
      <c r="I249" s="56">
        <v>0</v>
      </c>
      <c r="J249" s="56">
        <v>0</v>
      </c>
      <c r="K249" s="56">
        <v>0</v>
      </c>
      <c r="M249" s="57" t="s">
        <v>79</v>
      </c>
      <c r="N249" s="61">
        <v>0</v>
      </c>
      <c r="O249" s="61">
        <v>0</v>
      </c>
      <c r="P249" s="61">
        <v>0</v>
      </c>
    </row>
    <row r="250" spans="1:16" ht="15" thickTop="1">
      <c r="A250" s="165"/>
      <c r="B250" s="57" t="s">
        <v>54</v>
      </c>
      <c r="C250" s="55"/>
      <c r="D250" s="55"/>
      <c r="E250" s="55"/>
      <c r="F250" s="52">
        <v>0</v>
      </c>
      <c r="G250" s="55"/>
      <c r="H250" s="55"/>
      <c r="I250" s="55"/>
      <c r="J250" s="52">
        <v>0</v>
      </c>
      <c r="K250" s="52">
        <v>0</v>
      </c>
      <c r="M250" s="57" t="s">
        <v>54</v>
      </c>
      <c r="N250" s="59">
        <v>0</v>
      </c>
      <c r="O250" s="59">
        <v>0</v>
      </c>
      <c r="P250" s="61">
        <v>0</v>
      </c>
    </row>
    <row r="251" spans="1:16">
      <c r="A251" s="165"/>
      <c r="B251" s="52" t="s">
        <v>79</v>
      </c>
      <c r="C251" s="55"/>
      <c r="D251" s="55"/>
      <c r="E251" s="55"/>
      <c r="F251" s="52">
        <v>0</v>
      </c>
      <c r="G251" s="55"/>
      <c r="H251" s="55"/>
      <c r="I251" s="55"/>
      <c r="J251" s="52">
        <v>0</v>
      </c>
      <c r="K251" s="52">
        <v>0</v>
      </c>
      <c r="M251" s="52" t="s">
        <v>80</v>
      </c>
      <c r="N251" s="59">
        <v>0</v>
      </c>
      <c r="O251" s="59">
        <v>0</v>
      </c>
      <c r="P251" s="59">
        <v>0</v>
      </c>
    </row>
    <row r="252" spans="1:16">
      <c r="A252" s="165"/>
      <c r="B252" s="52" t="s">
        <v>80</v>
      </c>
      <c r="C252" s="55"/>
      <c r="D252" s="55"/>
      <c r="E252" s="55"/>
      <c r="F252" s="52">
        <v>0</v>
      </c>
      <c r="G252" s="55"/>
      <c r="H252" s="55"/>
      <c r="I252" s="55"/>
      <c r="J252" s="52">
        <v>0</v>
      </c>
      <c r="K252" s="52">
        <v>0</v>
      </c>
      <c r="M252" s="52" t="s">
        <v>81</v>
      </c>
      <c r="N252" s="59">
        <v>0</v>
      </c>
      <c r="O252" s="59">
        <v>0</v>
      </c>
      <c r="P252" s="59">
        <v>0</v>
      </c>
    </row>
    <row r="253" spans="1:16">
      <c r="A253" s="165"/>
      <c r="B253" s="52" t="s">
        <v>81</v>
      </c>
      <c r="C253" s="55"/>
      <c r="D253" s="55"/>
      <c r="E253" s="55"/>
      <c r="F253" s="52">
        <v>0</v>
      </c>
      <c r="G253" s="55"/>
      <c r="H253" s="55"/>
      <c r="I253" s="55"/>
      <c r="J253" s="52">
        <v>0</v>
      </c>
      <c r="K253" s="52">
        <v>0</v>
      </c>
      <c r="M253" s="52" t="s">
        <v>82</v>
      </c>
      <c r="N253" s="59">
        <v>0</v>
      </c>
      <c r="O253" s="59">
        <v>0</v>
      </c>
      <c r="P253" s="59">
        <v>0</v>
      </c>
    </row>
    <row r="254" spans="1:16">
      <c r="A254" s="165"/>
      <c r="B254" s="52" t="s">
        <v>82</v>
      </c>
      <c r="C254" s="55"/>
      <c r="D254" s="55"/>
      <c r="E254" s="55"/>
      <c r="F254" s="52">
        <v>0</v>
      </c>
      <c r="G254" s="55"/>
      <c r="H254" s="55"/>
      <c r="I254" s="55"/>
      <c r="J254" s="52">
        <v>0</v>
      </c>
      <c r="K254" s="52">
        <v>0</v>
      </c>
      <c r="M254" s="52" t="s">
        <v>83</v>
      </c>
      <c r="N254" s="59">
        <v>0</v>
      </c>
      <c r="O254" s="59">
        <v>0</v>
      </c>
      <c r="P254" s="59">
        <v>0</v>
      </c>
    </row>
    <row r="255" spans="1:16" ht="15" thickBot="1">
      <c r="A255" s="165"/>
      <c r="B255" s="52" t="s">
        <v>83</v>
      </c>
      <c r="C255" s="55"/>
      <c r="D255" s="55"/>
      <c r="E255" s="55"/>
      <c r="F255" s="52">
        <v>0</v>
      </c>
      <c r="G255" s="55"/>
      <c r="H255" s="55"/>
      <c r="I255" s="55"/>
      <c r="J255" s="52">
        <v>0</v>
      </c>
      <c r="K255" s="52">
        <v>0</v>
      </c>
      <c r="M255" s="58" t="s">
        <v>78</v>
      </c>
      <c r="N255" s="60">
        <v>0</v>
      </c>
      <c r="O255" s="60">
        <v>0</v>
      </c>
      <c r="P255" s="60">
        <v>0</v>
      </c>
    </row>
    <row r="256" spans="1:16" ht="15.75" thickTop="1" thickBot="1">
      <c r="A256" s="166"/>
      <c r="B256" s="58" t="s">
        <v>78</v>
      </c>
      <c r="C256" s="56">
        <v>0</v>
      </c>
      <c r="D256" s="56">
        <v>0</v>
      </c>
      <c r="E256" s="56">
        <v>0</v>
      </c>
      <c r="F256" s="56">
        <v>0</v>
      </c>
      <c r="G256" s="56">
        <v>0</v>
      </c>
      <c r="H256" s="56">
        <v>0</v>
      </c>
      <c r="I256" s="56">
        <v>0</v>
      </c>
      <c r="J256" s="56">
        <v>0</v>
      </c>
      <c r="K256" s="56">
        <v>0</v>
      </c>
      <c r="M256" s="62"/>
      <c r="N256" s="62"/>
      <c r="O256" s="62"/>
      <c r="P256" s="62"/>
    </row>
    <row r="257" spans="1:16" ht="15" thickTop="1">
      <c r="A257" s="168" t="str">
        <f>$A$1</f>
        <v>प्रपत्र - क  -  अर्थसंकल्पीय अंदाजपत्रक सन 2021-2022</v>
      </c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</row>
    <row r="258" spans="1:16" ht="16.5" customHeight="1">
      <c r="A258" s="169" t="s">
        <v>19</v>
      </c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</row>
    <row r="259" spans="1:16" ht="18.75" customHeight="1">
      <c r="A259" s="167" t="s">
        <v>62</v>
      </c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</row>
    <row r="260" spans="1:16">
      <c r="A260" s="157" t="s">
        <v>72</v>
      </c>
      <c r="B260" s="158" t="s">
        <v>74</v>
      </c>
      <c r="C260" s="159"/>
      <c r="D260" s="159"/>
      <c r="E260" s="159"/>
      <c r="F260" s="159"/>
      <c r="G260" s="159"/>
      <c r="H260" s="159"/>
      <c r="I260" s="159"/>
      <c r="J260" s="159"/>
      <c r="K260" s="160"/>
    </row>
    <row r="261" spans="1:16">
      <c r="A261" s="157"/>
      <c r="B261" s="52"/>
      <c r="C261" s="157" t="s">
        <v>85</v>
      </c>
      <c r="D261" s="157"/>
      <c r="E261" s="157"/>
      <c r="F261" s="157"/>
      <c r="G261" s="157" t="s">
        <v>86</v>
      </c>
      <c r="H261" s="157"/>
      <c r="I261" s="157"/>
      <c r="J261" s="157"/>
      <c r="K261" s="122" t="s">
        <v>78</v>
      </c>
    </row>
    <row r="262" spans="1:16">
      <c r="A262" s="170" t="s">
        <v>28</v>
      </c>
      <c r="B262" s="52" t="s">
        <v>29</v>
      </c>
      <c r="C262" s="122" t="s">
        <v>32</v>
      </c>
      <c r="D262" s="122" t="s">
        <v>30</v>
      </c>
      <c r="E262" s="122" t="s">
        <v>31</v>
      </c>
      <c r="F262" s="122" t="s">
        <v>78</v>
      </c>
      <c r="G262" s="122" t="s">
        <v>32</v>
      </c>
      <c r="H262" s="122" t="s">
        <v>30</v>
      </c>
      <c r="I262" s="122" t="s">
        <v>31</v>
      </c>
      <c r="J262" s="122" t="s">
        <v>78</v>
      </c>
      <c r="K262" s="122" t="s">
        <v>78</v>
      </c>
    </row>
    <row r="263" spans="1:16">
      <c r="A263" s="171"/>
      <c r="B263" s="54" t="s">
        <v>75</v>
      </c>
      <c r="C263" s="55">
        <f>SUM(C7+C39+C71+C103+C135+C167+C199+C231)</f>
        <v>0</v>
      </c>
      <c r="D263" s="55">
        <f t="shared" ref="D263:K263" si="40">SUM(D7+D39+D71+D103+D135+D167+D199+D231)</f>
        <v>3</v>
      </c>
      <c r="E263" s="55">
        <f t="shared" si="40"/>
        <v>0</v>
      </c>
      <c r="F263" s="55">
        <f t="shared" si="40"/>
        <v>3</v>
      </c>
      <c r="G263" s="55">
        <f t="shared" si="40"/>
        <v>0</v>
      </c>
      <c r="H263" s="55">
        <f t="shared" si="40"/>
        <v>0</v>
      </c>
      <c r="I263" s="55">
        <f t="shared" si="40"/>
        <v>1</v>
      </c>
      <c r="J263" s="55">
        <f t="shared" si="40"/>
        <v>1</v>
      </c>
      <c r="K263" s="55">
        <f t="shared" si="40"/>
        <v>4</v>
      </c>
    </row>
    <row r="264" spans="1:16">
      <c r="A264" s="171"/>
      <c r="B264" s="52" t="s">
        <v>76</v>
      </c>
      <c r="C264" s="55">
        <f t="shared" ref="C264:K264" si="41">SUM(C8+C40+C72+C104+C136+C168+C200+C232)</f>
        <v>0</v>
      </c>
      <c r="D264" s="55">
        <f t="shared" si="41"/>
        <v>1266</v>
      </c>
      <c r="E264" s="55">
        <f t="shared" si="41"/>
        <v>0</v>
      </c>
      <c r="F264" s="55">
        <f t="shared" si="41"/>
        <v>1266</v>
      </c>
      <c r="G264" s="55">
        <f t="shared" si="41"/>
        <v>0</v>
      </c>
      <c r="H264" s="55">
        <f t="shared" si="41"/>
        <v>0</v>
      </c>
      <c r="I264" s="55">
        <f t="shared" si="41"/>
        <v>211</v>
      </c>
      <c r="J264" s="55">
        <f t="shared" si="41"/>
        <v>211</v>
      </c>
      <c r="K264" s="55">
        <f t="shared" si="41"/>
        <v>1477</v>
      </c>
    </row>
    <row r="265" spans="1:16">
      <c r="A265" s="171"/>
      <c r="B265" s="52" t="s">
        <v>77</v>
      </c>
      <c r="C265" s="55">
        <f t="shared" ref="C265:K266" si="42">SUM(C9+C41+C73+C105+C137+C169+C201+C233)</f>
        <v>0</v>
      </c>
      <c r="D265" s="55">
        <f t="shared" si="42"/>
        <v>0</v>
      </c>
      <c r="E265" s="55">
        <f t="shared" si="42"/>
        <v>0</v>
      </c>
      <c r="F265" s="55">
        <f t="shared" si="42"/>
        <v>0</v>
      </c>
      <c r="G265" s="55">
        <f t="shared" si="42"/>
        <v>0</v>
      </c>
      <c r="H265" s="55">
        <f t="shared" si="42"/>
        <v>0</v>
      </c>
      <c r="I265" s="55">
        <f t="shared" si="42"/>
        <v>0</v>
      </c>
      <c r="J265" s="55">
        <f t="shared" si="42"/>
        <v>0</v>
      </c>
      <c r="K265" s="55">
        <f t="shared" si="42"/>
        <v>0</v>
      </c>
    </row>
    <row r="266" spans="1:16" ht="15" thickBot="1">
      <c r="A266" s="171"/>
      <c r="B266" s="56" t="s">
        <v>78</v>
      </c>
      <c r="C266" s="63">
        <f>SUM(C10+C42+C74+C106+C138+C170+C202+C234)</f>
        <v>0</v>
      </c>
      <c r="D266" s="63">
        <f t="shared" si="42"/>
        <v>1266</v>
      </c>
      <c r="E266" s="63">
        <f t="shared" si="42"/>
        <v>0</v>
      </c>
      <c r="F266" s="63">
        <f t="shared" si="42"/>
        <v>1266</v>
      </c>
      <c r="G266" s="63">
        <f t="shared" si="42"/>
        <v>0</v>
      </c>
      <c r="H266" s="63">
        <f t="shared" si="42"/>
        <v>0</v>
      </c>
      <c r="I266" s="63">
        <f t="shared" si="42"/>
        <v>211</v>
      </c>
      <c r="J266" s="63">
        <f t="shared" si="42"/>
        <v>211</v>
      </c>
      <c r="K266" s="63">
        <f t="shared" si="42"/>
        <v>1477</v>
      </c>
    </row>
    <row r="267" spans="1:16" ht="15" thickTop="1">
      <c r="A267" s="171"/>
      <c r="B267" s="57" t="s">
        <v>54</v>
      </c>
      <c r="C267" s="64">
        <f t="shared" ref="C267:K267" si="43">SUM(C11+C43+C75+C107+C139+C171+C203+C235)</f>
        <v>0</v>
      </c>
      <c r="D267" s="64">
        <f t="shared" si="43"/>
        <v>0</v>
      </c>
      <c r="E267" s="64">
        <f t="shared" si="43"/>
        <v>0</v>
      </c>
      <c r="F267" s="64">
        <f t="shared" si="43"/>
        <v>0</v>
      </c>
      <c r="G267" s="64">
        <f t="shared" si="43"/>
        <v>0</v>
      </c>
      <c r="H267" s="64">
        <f t="shared" si="43"/>
        <v>0</v>
      </c>
      <c r="I267" s="64">
        <f t="shared" si="43"/>
        <v>0</v>
      </c>
      <c r="J267" s="64">
        <f t="shared" si="43"/>
        <v>0</v>
      </c>
      <c r="K267" s="64">
        <f t="shared" si="43"/>
        <v>0</v>
      </c>
    </row>
    <row r="268" spans="1:16">
      <c r="A268" s="171"/>
      <c r="B268" s="52" t="s">
        <v>79</v>
      </c>
      <c r="C268" s="55">
        <f t="shared" ref="C268:J268" si="44">SUM(C12+C44+C76+C108+C140+C172+C204+C236)</f>
        <v>0</v>
      </c>
      <c r="D268" s="55">
        <f>SUM(D12+D44+D76+D108+D140+D172+D204+D236)-1</f>
        <v>316</v>
      </c>
      <c r="E268" s="55">
        <f t="shared" si="44"/>
        <v>0</v>
      </c>
      <c r="F268" s="55">
        <f>SUM(F12+F44+F76+F108+F140+F172+F204+F236)-1</f>
        <v>316</v>
      </c>
      <c r="G268" s="55">
        <f t="shared" si="44"/>
        <v>0</v>
      </c>
      <c r="H268" s="55">
        <f t="shared" si="44"/>
        <v>0</v>
      </c>
      <c r="I268" s="55">
        <f t="shared" si="44"/>
        <v>53</v>
      </c>
      <c r="J268" s="55">
        <f t="shared" si="44"/>
        <v>53</v>
      </c>
      <c r="K268" s="55">
        <f>SUM(K12+K44+K76+K108+K140+K172+K204+K236)-1</f>
        <v>369</v>
      </c>
    </row>
    <row r="269" spans="1:16">
      <c r="A269" s="171"/>
      <c r="B269" s="52" t="s">
        <v>80</v>
      </c>
      <c r="C269" s="55">
        <f t="shared" ref="C269:K269" si="45">SUM(C13+C45+C77+C109+C141+C173+C205+C237)</f>
        <v>0</v>
      </c>
      <c r="D269" s="55">
        <f t="shared" si="45"/>
        <v>10</v>
      </c>
      <c r="E269" s="55">
        <f t="shared" si="45"/>
        <v>0</v>
      </c>
      <c r="F269" s="55">
        <f t="shared" si="45"/>
        <v>10</v>
      </c>
      <c r="G269" s="55">
        <f t="shared" si="45"/>
        <v>0</v>
      </c>
      <c r="H269" s="55">
        <f t="shared" si="45"/>
        <v>0</v>
      </c>
      <c r="I269" s="55">
        <f t="shared" si="45"/>
        <v>5</v>
      </c>
      <c r="J269" s="55">
        <f t="shared" si="45"/>
        <v>5</v>
      </c>
      <c r="K269" s="55">
        <f t="shared" si="45"/>
        <v>15</v>
      </c>
    </row>
    <row r="270" spans="1:16">
      <c r="A270" s="171"/>
      <c r="B270" s="52" t="s">
        <v>81</v>
      </c>
      <c r="C270" s="55">
        <f t="shared" ref="C270:K270" si="46">SUM(C14+C46+C78+C110+C142+C174+C206+C238)</f>
        <v>0</v>
      </c>
      <c r="D270" s="55">
        <f t="shared" si="46"/>
        <v>107</v>
      </c>
      <c r="E270" s="55">
        <f t="shared" si="46"/>
        <v>0</v>
      </c>
      <c r="F270" s="55">
        <f t="shared" si="46"/>
        <v>107</v>
      </c>
      <c r="G270" s="55">
        <f t="shared" si="46"/>
        <v>0</v>
      </c>
      <c r="H270" s="55">
        <f t="shared" si="46"/>
        <v>0</v>
      </c>
      <c r="I270" s="55">
        <f t="shared" si="46"/>
        <v>17</v>
      </c>
      <c r="J270" s="55">
        <f t="shared" si="46"/>
        <v>17</v>
      </c>
      <c r="K270" s="55">
        <f t="shared" si="46"/>
        <v>124</v>
      </c>
    </row>
    <row r="271" spans="1:16">
      <c r="A271" s="171"/>
      <c r="B271" s="52" t="s">
        <v>82</v>
      </c>
      <c r="C271" s="55">
        <f t="shared" ref="C271:K271" si="47">SUM(C15+C47+C79+C111+C143+C175+C207+C239)</f>
        <v>0</v>
      </c>
      <c r="D271" s="55">
        <f t="shared" si="47"/>
        <v>5</v>
      </c>
      <c r="E271" s="55">
        <f t="shared" si="47"/>
        <v>0</v>
      </c>
      <c r="F271" s="55">
        <f t="shared" si="47"/>
        <v>5</v>
      </c>
      <c r="G271" s="55">
        <f t="shared" si="47"/>
        <v>0</v>
      </c>
      <c r="H271" s="55">
        <f t="shared" si="47"/>
        <v>0</v>
      </c>
      <c r="I271" s="55">
        <f t="shared" si="47"/>
        <v>0</v>
      </c>
      <c r="J271" s="55">
        <f t="shared" si="47"/>
        <v>0</v>
      </c>
      <c r="K271" s="55">
        <f t="shared" si="47"/>
        <v>5</v>
      </c>
    </row>
    <row r="272" spans="1:16">
      <c r="A272" s="171"/>
      <c r="B272" s="52" t="s">
        <v>83</v>
      </c>
      <c r="C272" s="55">
        <f t="shared" ref="C272:K273" si="48">SUM(C16+C48+C80+C112+C144+C176+C208+C240)</f>
        <v>0</v>
      </c>
      <c r="D272" s="55">
        <f t="shared" si="48"/>
        <v>0</v>
      </c>
      <c r="E272" s="55">
        <f t="shared" si="48"/>
        <v>0</v>
      </c>
      <c r="F272" s="55">
        <f t="shared" si="48"/>
        <v>0</v>
      </c>
      <c r="G272" s="55">
        <f t="shared" si="48"/>
        <v>0</v>
      </c>
      <c r="H272" s="55">
        <f t="shared" si="48"/>
        <v>0</v>
      </c>
      <c r="I272" s="55">
        <f t="shared" si="48"/>
        <v>1</v>
      </c>
      <c r="J272" s="55">
        <f t="shared" si="48"/>
        <v>1</v>
      </c>
      <c r="K272" s="55">
        <f t="shared" si="48"/>
        <v>1</v>
      </c>
    </row>
    <row r="273" spans="1:16" ht="15" thickBot="1">
      <c r="A273" s="172"/>
      <c r="B273" s="58" t="s">
        <v>78</v>
      </c>
      <c r="C273" s="63">
        <f>SUM(C17+C49+C81+C113+C145+C177+C209+C241)</f>
        <v>0</v>
      </c>
      <c r="D273" s="63">
        <f>SUM(D17+D49+D81+D113+D145+D177+D209+D241)-1</f>
        <v>1704</v>
      </c>
      <c r="E273" s="63">
        <f t="shared" si="48"/>
        <v>0</v>
      </c>
      <c r="F273" s="63">
        <f>SUM(F17+F49+F81+F113+F145+F177+F209+F241)-1</f>
        <v>1704</v>
      </c>
      <c r="G273" s="63">
        <f t="shared" si="48"/>
        <v>0</v>
      </c>
      <c r="H273" s="63">
        <f t="shared" si="48"/>
        <v>0</v>
      </c>
      <c r="I273" s="63">
        <f t="shared" si="48"/>
        <v>287</v>
      </c>
      <c r="J273" s="63">
        <f t="shared" si="48"/>
        <v>287</v>
      </c>
      <c r="K273" s="63">
        <f>SUM(K17+K49+K81+K113+K145+K177+K209+K241)-1</f>
        <v>1991</v>
      </c>
    </row>
    <row r="274" spans="1:16" ht="9.75" customHeight="1" thickTop="1"/>
    <row r="275" spans="1:16">
      <c r="A275" s="157" t="s">
        <v>72</v>
      </c>
      <c r="B275" s="158" t="s">
        <v>84</v>
      </c>
      <c r="C275" s="159"/>
      <c r="D275" s="159"/>
      <c r="E275" s="159"/>
      <c r="F275" s="159"/>
      <c r="G275" s="159"/>
      <c r="H275" s="159"/>
      <c r="I275" s="159"/>
      <c r="J275" s="159"/>
      <c r="K275" s="160"/>
      <c r="M275" s="161" t="s">
        <v>87</v>
      </c>
      <c r="N275" s="162"/>
      <c r="O275" s="162"/>
      <c r="P275" s="163"/>
    </row>
    <row r="276" spans="1:16">
      <c r="A276" s="157"/>
      <c r="B276" s="52"/>
      <c r="C276" s="158" t="s">
        <v>85</v>
      </c>
      <c r="D276" s="159"/>
      <c r="E276" s="159"/>
      <c r="F276" s="160"/>
      <c r="G276" s="157" t="s">
        <v>86</v>
      </c>
      <c r="H276" s="157"/>
      <c r="I276" s="157"/>
      <c r="J276" s="157"/>
      <c r="K276" s="122" t="s">
        <v>78</v>
      </c>
      <c r="M276" s="52" t="s">
        <v>29</v>
      </c>
      <c r="N276" s="59" t="s">
        <v>74</v>
      </c>
      <c r="O276" s="59" t="s">
        <v>84</v>
      </c>
      <c r="P276" s="122" t="s">
        <v>78</v>
      </c>
    </row>
    <row r="277" spans="1:16">
      <c r="A277" s="170" t="s">
        <v>28</v>
      </c>
      <c r="B277" s="52" t="s">
        <v>29</v>
      </c>
      <c r="C277" s="122" t="s">
        <v>32</v>
      </c>
      <c r="D277" s="122" t="s">
        <v>30</v>
      </c>
      <c r="E277" s="122" t="s">
        <v>31</v>
      </c>
      <c r="F277" s="122" t="s">
        <v>78</v>
      </c>
      <c r="G277" s="122" t="s">
        <v>32</v>
      </c>
      <c r="H277" s="122" t="s">
        <v>30</v>
      </c>
      <c r="I277" s="122" t="s">
        <v>31</v>
      </c>
      <c r="J277" s="122" t="s">
        <v>78</v>
      </c>
      <c r="K277" s="122"/>
      <c r="M277" s="54" t="s">
        <v>75</v>
      </c>
      <c r="N277" s="55">
        <f t="shared" ref="N277:P279" si="49">SUM(N21+N53+N85+N117+N149+N181+N213+N245)</f>
        <v>4</v>
      </c>
      <c r="O277" s="55">
        <f t="shared" si="49"/>
        <v>68</v>
      </c>
      <c r="P277" s="55">
        <f t="shared" si="49"/>
        <v>72</v>
      </c>
    </row>
    <row r="278" spans="1:16">
      <c r="A278" s="171"/>
      <c r="B278" s="54" t="s">
        <v>75</v>
      </c>
      <c r="C278" s="55">
        <f t="shared" ref="C278:I278" si="50">SUM(C22+C54+C86+C118+C150+C182+C214+C246)</f>
        <v>10</v>
      </c>
      <c r="D278" s="55">
        <f t="shared" si="50"/>
        <v>39</v>
      </c>
      <c r="E278" s="55">
        <f t="shared" si="50"/>
        <v>6</v>
      </c>
      <c r="F278" s="55">
        <f>SUM(C278:E278)</f>
        <v>55</v>
      </c>
      <c r="G278" s="55">
        <f t="shared" si="50"/>
        <v>0</v>
      </c>
      <c r="H278" s="55">
        <f t="shared" si="50"/>
        <v>8</v>
      </c>
      <c r="I278" s="55">
        <f t="shared" si="50"/>
        <v>5</v>
      </c>
      <c r="J278" s="55">
        <f>SUM(G278:I278)</f>
        <v>13</v>
      </c>
      <c r="K278" s="55">
        <f>SUM(J278+F278)</f>
        <v>68</v>
      </c>
      <c r="M278" s="52" t="s">
        <v>76</v>
      </c>
      <c r="N278" s="55">
        <f t="shared" si="49"/>
        <v>1477</v>
      </c>
      <c r="O278" s="55">
        <f t="shared" si="49"/>
        <v>34054</v>
      </c>
      <c r="P278" s="55">
        <f t="shared" si="49"/>
        <v>35531</v>
      </c>
    </row>
    <row r="279" spans="1:16">
      <c r="A279" s="171"/>
      <c r="B279" s="52" t="s">
        <v>76</v>
      </c>
      <c r="C279" s="55">
        <f t="shared" ref="C279:I279" si="51">SUM(C23+C55+C87+C119+C151+C183+C215+C247)</f>
        <v>9001</v>
      </c>
      <c r="D279" s="55">
        <f t="shared" si="51"/>
        <v>19739</v>
      </c>
      <c r="E279" s="55">
        <f t="shared" si="51"/>
        <v>1719</v>
      </c>
      <c r="F279" s="55">
        <f>SUM(C279:E279)</f>
        <v>30459</v>
      </c>
      <c r="G279" s="55">
        <f t="shared" si="51"/>
        <v>0</v>
      </c>
      <c r="H279" s="55">
        <f t="shared" si="51"/>
        <v>2445</v>
      </c>
      <c r="I279" s="55">
        <f t="shared" si="51"/>
        <v>1150</v>
      </c>
      <c r="J279" s="55">
        <f>SUM(G279:I279)</f>
        <v>3595</v>
      </c>
      <c r="K279" s="55">
        <f>SUM(J279+F279)</f>
        <v>34054</v>
      </c>
      <c r="M279" s="52" t="s">
        <v>77</v>
      </c>
      <c r="N279" s="55">
        <f t="shared" si="49"/>
        <v>0</v>
      </c>
      <c r="O279" s="55">
        <f t="shared" si="49"/>
        <v>0</v>
      </c>
      <c r="P279" s="55">
        <f t="shared" si="49"/>
        <v>0</v>
      </c>
    </row>
    <row r="280" spans="1:16" ht="15" thickBot="1">
      <c r="A280" s="171"/>
      <c r="B280" s="52" t="s">
        <v>77</v>
      </c>
      <c r="C280" s="55">
        <f t="shared" ref="C280:K281" si="52">SUM(C24+C56+C88+C120+C152+C184+C216+C248)</f>
        <v>0</v>
      </c>
      <c r="D280" s="55">
        <f t="shared" si="52"/>
        <v>0</v>
      </c>
      <c r="E280" s="55">
        <f t="shared" si="52"/>
        <v>0</v>
      </c>
      <c r="F280" s="55">
        <f>SUM(C280:E280)</f>
        <v>0</v>
      </c>
      <c r="G280" s="55">
        <f t="shared" si="52"/>
        <v>0</v>
      </c>
      <c r="H280" s="55">
        <f t="shared" si="52"/>
        <v>0</v>
      </c>
      <c r="I280" s="55">
        <f t="shared" si="52"/>
        <v>0</v>
      </c>
      <c r="J280" s="55">
        <f>SUM(G280:I280)</f>
        <v>0</v>
      </c>
      <c r="K280" s="55">
        <f>SUM(J280+F280)</f>
        <v>0</v>
      </c>
      <c r="M280" s="56" t="s">
        <v>78</v>
      </c>
      <c r="N280" s="63">
        <f>SUM(N278:N279)</f>
        <v>1477</v>
      </c>
      <c r="O280" s="63">
        <f>SUM(O278:O279)</f>
        <v>34054</v>
      </c>
      <c r="P280" s="63">
        <f>SUM(P278:P279)</f>
        <v>35531</v>
      </c>
    </row>
    <row r="281" spans="1:16" ht="15.75" thickTop="1" thickBot="1">
      <c r="A281" s="171"/>
      <c r="B281" s="56" t="s">
        <v>78</v>
      </c>
      <c r="C281" s="63">
        <f>SUM(C25+C57+C89+C121+C153+C185+C217+C249)</f>
        <v>9001</v>
      </c>
      <c r="D281" s="63">
        <f t="shared" si="52"/>
        <v>19739</v>
      </c>
      <c r="E281" s="63">
        <f t="shared" si="52"/>
        <v>1719</v>
      </c>
      <c r="F281" s="63">
        <f t="shared" si="52"/>
        <v>30459</v>
      </c>
      <c r="G281" s="63">
        <f t="shared" si="52"/>
        <v>0</v>
      </c>
      <c r="H281" s="63">
        <f t="shared" si="52"/>
        <v>2445</v>
      </c>
      <c r="I281" s="63">
        <f t="shared" si="52"/>
        <v>1150</v>
      </c>
      <c r="J281" s="63">
        <f t="shared" si="52"/>
        <v>3595</v>
      </c>
      <c r="K281" s="63">
        <f t="shared" si="52"/>
        <v>34054</v>
      </c>
      <c r="M281" s="57" t="s">
        <v>79</v>
      </c>
      <c r="N281" s="64">
        <f>SUM(N25+N57+N89+N121+N153+N185+N217+N249)-1</f>
        <v>369</v>
      </c>
      <c r="O281" s="64">
        <f>SUM(O25+O57+O89+O121+O153+O185+O217+O249)-1</f>
        <v>8515</v>
      </c>
      <c r="P281" s="64">
        <f>SUM(P25+P57+P89+P121+P153+P185+P217+P249)-2</f>
        <v>8884</v>
      </c>
    </row>
    <row r="282" spans="1:16" ht="15" thickTop="1">
      <c r="A282" s="171"/>
      <c r="B282" s="57" t="s">
        <v>54</v>
      </c>
      <c r="C282" s="64">
        <f t="shared" ref="C282:I282" si="53">SUM(C26+C58+C90+C122+C154+C186+C218+C250)</f>
        <v>0</v>
      </c>
      <c r="D282" s="64">
        <f t="shared" si="53"/>
        <v>0</v>
      </c>
      <c r="E282" s="64">
        <f t="shared" si="53"/>
        <v>0</v>
      </c>
      <c r="F282" s="55">
        <f t="shared" ref="F282:F287" si="54">SUM(C282:E282)</f>
        <v>0</v>
      </c>
      <c r="G282" s="64">
        <f t="shared" si="53"/>
        <v>0</v>
      </c>
      <c r="H282" s="64">
        <f t="shared" si="53"/>
        <v>0</v>
      </c>
      <c r="I282" s="64">
        <f t="shared" si="53"/>
        <v>0</v>
      </c>
      <c r="J282" s="55">
        <f t="shared" ref="J282:J287" si="55">SUM(G282:I282)</f>
        <v>0</v>
      </c>
      <c r="K282" s="55">
        <f t="shared" ref="K282:K287" si="56">SUM(J282+F282)</f>
        <v>0</v>
      </c>
      <c r="M282" s="57" t="s">
        <v>54</v>
      </c>
      <c r="N282" s="55">
        <f>SUM(N26+N58+N90+N122+N154+N186+N218+N250)</f>
        <v>0</v>
      </c>
      <c r="O282" s="55">
        <f t="shared" ref="O282:P286" si="57">SUM(O26+O58+O90+O122+O154+O186+O218+O250)</f>
        <v>0</v>
      </c>
      <c r="P282" s="55">
        <f t="shared" si="57"/>
        <v>0</v>
      </c>
    </row>
    <row r="283" spans="1:16">
      <c r="A283" s="171"/>
      <c r="B283" s="52" t="s">
        <v>79</v>
      </c>
      <c r="C283" s="55">
        <f>SUM(C27+C59+C91+C123+C155+C187+C219+C251)</f>
        <v>2249</v>
      </c>
      <c r="D283" s="55">
        <f>SUM(D27+D59+D91+D123+D155+D187+D219+D251)-2</f>
        <v>4934</v>
      </c>
      <c r="E283" s="55">
        <f>SUM(E27+E59+E91+E123+E155+E187+E219+E251)+1</f>
        <v>431</v>
      </c>
      <c r="F283" s="55">
        <f t="shared" si="54"/>
        <v>7614</v>
      </c>
      <c r="G283" s="55">
        <f>SUM(G27+G59+G91+G123+G155+G187+G219+G251)</f>
        <v>0</v>
      </c>
      <c r="H283" s="55">
        <f>SUM(H27+H59+H91+H123+H155+H187+H219+H251)</f>
        <v>612</v>
      </c>
      <c r="I283" s="55">
        <f>SUM(I27+I59+I91+I123+I155+I187+I219+I251)</f>
        <v>289</v>
      </c>
      <c r="J283" s="55">
        <f t="shared" si="55"/>
        <v>901</v>
      </c>
      <c r="K283" s="55">
        <f t="shared" si="56"/>
        <v>8515</v>
      </c>
      <c r="M283" s="52" t="s">
        <v>80</v>
      </c>
      <c r="N283" s="55">
        <f>SUM(N27+N59+N91+N123+N155+N187+N219+N251)</f>
        <v>15</v>
      </c>
      <c r="O283" s="55">
        <f t="shared" si="57"/>
        <v>194</v>
      </c>
      <c r="P283" s="55">
        <f t="shared" si="57"/>
        <v>209</v>
      </c>
    </row>
    <row r="284" spans="1:16">
      <c r="A284" s="171"/>
      <c r="B284" s="52" t="s">
        <v>80</v>
      </c>
      <c r="C284" s="55">
        <f t="shared" ref="C284:I284" si="58">SUM(C28+C60+C92+C124+C156+C188+C220+C252)</f>
        <v>38</v>
      </c>
      <c r="D284" s="55">
        <f t="shared" si="58"/>
        <v>103</v>
      </c>
      <c r="E284" s="55">
        <f t="shared" si="58"/>
        <v>16</v>
      </c>
      <c r="F284" s="55">
        <f t="shared" si="54"/>
        <v>157</v>
      </c>
      <c r="G284" s="55">
        <f t="shared" si="58"/>
        <v>0</v>
      </c>
      <c r="H284" s="55">
        <f t="shared" si="58"/>
        <v>27</v>
      </c>
      <c r="I284" s="55">
        <f t="shared" si="58"/>
        <v>10</v>
      </c>
      <c r="J284" s="55">
        <f t="shared" si="55"/>
        <v>37</v>
      </c>
      <c r="K284" s="55">
        <f t="shared" si="56"/>
        <v>194</v>
      </c>
      <c r="M284" s="52" t="s">
        <v>81</v>
      </c>
      <c r="N284" s="55">
        <f>SUM(N28+N60+N92+N124+N156+N188+N220+N252)</f>
        <v>124</v>
      </c>
      <c r="O284" s="55">
        <f t="shared" si="57"/>
        <v>5904</v>
      </c>
      <c r="P284" s="55">
        <f t="shared" si="57"/>
        <v>6028</v>
      </c>
    </row>
    <row r="285" spans="1:16">
      <c r="A285" s="171"/>
      <c r="B285" s="52" t="s">
        <v>81</v>
      </c>
      <c r="C285" s="55">
        <f t="shared" ref="C285:I285" si="59">SUM(C29+C61+C93+C125+C157+C189+C221+C253)</f>
        <v>1714</v>
      </c>
      <c r="D285" s="55">
        <f t="shared" si="59"/>
        <v>3251</v>
      </c>
      <c r="E285" s="55">
        <f t="shared" si="59"/>
        <v>355</v>
      </c>
      <c r="F285" s="55">
        <f t="shared" si="54"/>
        <v>5320</v>
      </c>
      <c r="G285" s="55">
        <f t="shared" si="59"/>
        <v>0</v>
      </c>
      <c r="H285" s="55">
        <f t="shared" si="59"/>
        <v>439</v>
      </c>
      <c r="I285" s="55">
        <f t="shared" si="59"/>
        <v>145</v>
      </c>
      <c r="J285" s="55">
        <f t="shared" si="55"/>
        <v>584</v>
      </c>
      <c r="K285" s="55">
        <f t="shared" si="56"/>
        <v>5904</v>
      </c>
      <c r="M285" s="52" t="s">
        <v>82</v>
      </c>
      <c r="N285" s="55">
        <f>SUM(N29+N61+N93+N125+N157+N189+N221+N253)</f>
        <v>5</v>
      </c>
      <c r="O285" s="55">
        <f t="shared" si="57"/>
        <v>370</v>
      </c>
      <c r="P285" s="55">
        <f t="shared" si="57"/>
        <v>375</v>
      </c>
    </row>
    <row r="286" spans="1:16">
      <c r="A286" s="171"/>
      <c r="B286" s="52" t="s">
        <v>82</v>
      </c>
      <c r="C286" s="55">
        <f>SUM(C30+C62+C94+C126+C158+C190+C222+C254)</f>
        <v>148</v>
      </c>
      <c r="D286" s="55">
        <f>SUM(D30+D62+D94+D126+D158+D190+D222+D254)</f>
        <v>159</v>
      </c>
      <c r="E286" s="55">
        <f>SUM(E30+E62+E94+E126+E158+E190+E222+E254)</f>
        <v>24</v>
      </c>
      <c r="F286" s="55">
        <f t="shared" si="54"/>
        <v>331</v>
      </c>
      <c r="G286" s="55">
        <f>SUM(G30+G62+G94+G126+G158+G190+G222+G254)</f>
        <v>0</v>
      </c>
      <c r="H286" s="55">
        <f>SUM(H30+H62+H94+H126+H158+H190+H222+H254)</f>
        <v>25</v>
      </c>
      <c r="I286" s="55">
        <f>SUM(I30+I62+I94+I126+I158+I190+I222+I254)</f>
        <v>14</v>
      </c>
      <c r="J286" s="55">
        <f t="shared" si="55"/>
        <v>39</v>
      </c>
      <c r="K286" s="55">
        <f t="shared" si="56"/>
        <v>370</v>
      </c>
      <c r="M286" s="52" t="s">
        <v>83</v>
      </c>
      <c r="N286" s="55">
        <f>SUM(N30+N62+N94+N126+N158+N190+N222+N254)</f>
        <v>1</v>
      </c>
      <c r="O286" s="55">
        <f t="shared" si="57"/>
        <v>22</v>
      </c>
      <c r="P286" s="55">
        <f t="shared" si="57"/>
        <v>23</v>
      </c>
    </row>
    <row r="287" spans="1:16" ht="15" thickBot="1">
      <c r="A287" s="171"/>
      <c r="B287" s="52" t="s">
        <v>83</v>
      </c>
      <c r="C287" s="55">
        <f t="shared" ref="C287:I287" si="60">SUM(C31+C63+C95+C127+C159+C191+C223+C255)</f>
        <v>0</v>
      </c>
      <c r="D287" s="55">
        <f t="shared" si="60"/>
        <v>15</v>
      </c>
      <c r="E287" s="55">
        <f t="shared" si="60"/>
        <v>5</v>
      </c>
      <c r="F287" s="55">
        <f t="shared" si="54"/>
        <v>20</v>
      </c>
      <c r="G287" s="55">
        <f t="shared" si="60"/>
        <v>0</v>
      </c>
      <c r="H287" s="55">
        <f t="shared" si="60"/>
        <v>0</v>
      </c>
      <c r="I287" s="55">
        <f t="shared" si="60"/>
        <v>2</v>
      </c>
      <c r="J287" s="55">
        <f t="shared" si="55"/>
        <v>2</v>
      </c>
      <c r="K287" s="55">
        <f t="shared" si="56"/>
        <v>22</v>
      </c>
      <c r="M287" s="58" t="s">
        <v>78</v>
      </c>
      <c r="N287" s="63">
        <f>SUM(N280:N286)</f>
        <v>1991</v>
      </c>
      <c r="O287" s="63">
        <f>SUM(O280:O286)</f>
        <v>49059</v>
      </c>
      <c r="P287" s="63">
        <f>SUM(P280:P286)</f>
        <v>51050</v>
      </c>
    </row>
    <row r="288" spans="1:16" ht="15.75" thickTop="1" thickBot="1">
      <c r="A288" s="172"/>
      <c r="B288" s="58" t="s">
        <v>78</v>
      </c>
      <c r="C288" s="63">
        <f>SUM(C281:C287)</f>
        <v>13150</v>
      </c>
      <c r="D288" s="63">
        <f t="shared" ref="D288:K288" si="61">SUM(D281:D287)</f>
        <v>28201</v>
      </c>
      <c r="E288" s="63">
        <f t="shared" si="61"/>
        <v>2550</v>
      </c>
      <c r="F288" s="63">
        <f t="shared" si="61"/>
        <v>43901</v>
      </c>
      <c r="G288" s="63">
        <f t="shared" si="61"/>
        <v>0</v>
      </c>
      <c r="H288" s="63">
        <f t="shared" si="61"/>
        <v>3548</v>
      </c>
      <c r="I288" s="63">
        <f t="shared" si="61"/>
        <v>1610</v>
      </c>
      <c r="J288" s="63">
        <f t="shared" si="61"/>
        <v>5158</v>
      </c>
      <c r="K288" s="63">
        <f t="shared" si="61"/>
        <v>49059</v>
      </c>
      <c r="M288" s="62"/>
      <c r="N288" s="62"/>
      <c r="O288" s="62"/>
      <c r="P288" s="62"/>
    </row>
    <row r="289" spans="1:16" ht="15.75" thickTop="1">
      <c r="A289" s="65"/>
      <c r="B289" s="66"/>
      <c r="C289" s="67"/>
      <c r="D289" s="67"/>
      <c r="E289" s="67"/>
      <c r="F289" s="67"/>
      <c r="G289" s="67"/>
      <c r="H289" s="67"/>
      <c r="I289" s="67"/>
      <c r="J289" s="67"/>
      <c r="K289" s="67"/>
      <c r="M289" s="62"/>
      <c r="N289" s="88" t="s">
        <v>159</v>
      </c>
      <c r="O289" s="62"/>
      <c r="P289" s="62"/>
    </row>
    <row r="290" spans="1:16" ht="15.75">
      <c r="M290" s="49"/>
      <c r="N290" s="128" t="s">
        <v>160</v>
      </c>
      <c r="O290" s="49"/>
      <c r="P290" s="49"/>
    </row>
  </sheetData>
  <mergeCells count="126">
    <mergeCell ref="A277:A288"/>
    <mergeCell ref="A262:A273"/>
    <mergeCell ref="A275:A276"/>
    <mergeCell ref="B275:K275"/>
    <mergeCell ref="M275:P275"/>
    <mergeCell ref="C276:F276"/>
    <mergeCell ref="G276:J276"/>
    <mergeCell ref="A257:P257"/>
    <mergeCell ref="A258:P258"/>
    <mergeCell ref="A259:K259"/>
    <mergeCell ref="A260:A261"/>
    <mergeCell ref="B260:K260"/>
    <mergeCell ref="C261:F261"/>
    <mergeCell ref="G261:J261"/>
    <mergeCell ref="A1:P1"/>
    <mergeCell ref="A2:P2"/>
    <mergeCell ref="A4:A5"/>
    <mergeCell ref="C5:F5"/>
    <mergeCell ref="G5:J5"/>
    <mergeCell ref="B4:K4"/>
    <mergeCell ref="A3:K3"/>
    <mergeCell ref="A6:A17"/>
    <mergeCell ref="A19:A20"/>
    <mergeCell ref="B19:K19"/>
    <mergeCell ref="A33:P33"/>
    <mergeCell ref="M19:P19"/>
    <mergeCell ref="C20:F20"/>
    <mergeCell ref="G20:J20"/>
    <mergeCell ref="A21:A32"/>
    <mergeCell ref="A34:P34"/>
    <mergeCell ref="A35:K35"/>
    <mergeCell ref="A36:A37"/>
    <mergeCell ref="B36:K36"/>
    <mergeCell ref="C37:F37"/>
    <mergeCell ref="G37:J37"/>
    <mergeCell ref="A38:A49"/>
    <mergeCell ref="A51:A52"/>
    <mergeCell ref="B51:K51"/>
    <mergeCell ref="A65:P65"/>
    <mergeCell ref="M51:P51"/>
    <mergeCell ref="C52:F52"/>
    <mergeCell ref="G52:J52"/>
    <mergeCell ref="A53:A64"/>
    <mergeCell ref="A66:P66"/>
    <mergeCell ref="A67:K67"/>
    <mergeCell ref="A68:A69"/>
    <mergeCell ref="B68:K68"/>
    <mergeCell ref="C69:F69"/>
    <mergeCell ref="G69:J69"/>
    <mergeCell ref="A134:A145"/>
    <mergeCell ref="A70:A81"/>
    <mergeCell ref="A83:A84"/>
    <mergeCell ref="B83:K83"/>
    <mergeCell ref="A147:A148"/>
    <mergeCell ref="B147:K147"/>
    <mergeCell ref="G148:J148"/>
    <mergeCell ref="A129:P129"/>
    <mergeCell ref="A130:P130"/>
    <mergeCell ref="A131:K131"/>
    <mergeCell ref="M83:P83"/>
    <mergeCell ref="C84:F84"/>
    <mergeCell ref="G84:J84"/>
    <mergeCell ref="A85:A96"/>
    <mergeCell ref="B132:K132"/>
    <mergeCell ref="C133:F133"/>
    <mergeCell ref="G133:J133"/>
    <mergeCell ref="A132:A133"/>
    <mergeCell ref="A97:P97"/>
    <mergeCell ref="A98:P98"/>
    <mergeCell ref="M147:P147"/>
    <mergeCell ref="C148:F148"/>
    <mergeCell ref="A164:A165"/>
    <mergeCell ref="B164:K164"/>
    <mergeCell ref="C165:F165"/>
    <mergeCell ref="G165:J165"/>
    <mergeCell ref="A149:A160"/>
    <mergeCell ref="A161:P161"/>
    <mergeCell ref="A162:P162"/>
    <mergeCell ref="A163:K163"/>
    <mergeCell ref="A166:A177"/>
    <mergeCell ref="A179:A180"/>
    <mergeCell ref="B179:K179"/>
    <mergeCell ref="A193:P193"/>
    <mergeCell ref="M179:P179"/>
    <mergeCell ref="C180:F180"/>
    <mergeCell ref="G180:J180"/>
    <mergeCell ref="A181:A192"/>
    <mergeCell ref="A213:A224"/>
    <mergeCell ref="A225:P225"/>
    <mergeCell ref="A226:P226"/>
    <mergeCell ref="A194:P194"/>
    <mergeCell ref="A195:K195"/>
    <mergeCell ref="A196:A197"/>
    <mergeCell ref="B196:K196"/>
    <mergeCell ref="C197:F197"/>
    <mergeCell ref="G197:J197"/>
    <mergeCell ref="A198:A209"/>
    <mergeCell ref="A211:A212"/>
    <mergeCell ref="B211:K211"/>
    <mergeCell ref="M211:P211"/>
    <mergeCell ref="C212:F212"/>
    <mergeCell ref="G212:J212"/>
    <mergeCell ref="A245:A256"/>
    <mergeCell ref="A227:K227"/>
    <mergeCell ref="A228:A229"/>
    <mergeCell ref="B228:K228"/>
    <mergeCell ref="C229:F229"/>
    <mergeCell ref="A99:K99"/>
    <mergeCell ref="A100:A101"/>
    <mergeCell ref="B100:K100"/>
    <mergeCell ref="C101:F101"/>
    <mergeCell ref="G101:J101"/>
    <mergeCell ref="A102:A113"/>
    <mergeCell ref="M243:P243"/>
    <mergeCell ref="C244:F244"/>
    <mergeCell ref="G244:J244"/>
    <mergeCell ref="G229:J229"/>
    <mergeCell ref="A243:A244"/>
    <mergeCell ref="B243:K243"/>
    <mergeCell ref="A230:A241"/>
    <mergeCell ref="A115:A116"/>
    <mergeCell ref="B115:K115"/>
    <mergeCell ref="M115:P115"/>
    <mergeCell ref="C116:F116"/>
    <mergeCell ref="G116:J116"/>
    <mergeCell ref="A117:A128"/>
  </mergeCells>
  <phoneticPr fontId="0" type="noConversion"/>
  <pageMargins left="0.75" right="0.38" top="0.21" bottom="0.32" header="0.17" footer="0.17"/>
  <pageSetup paperSize="5" scale="93" orientation="landscape" r:id="rId1"/>
  <headerFooter>
    <oddFooter>&amp;Z&amp;F&amp;RPage &amp;P</oddFooter>
  </headerFooter>
  <rowBreaks count="8" manualBreakCount="8">
    <brk id="32" max="15" man="1"/>
    <brk id="64" max="15" man="1"/>
    <brk id="96" max="15" man="1"/>
    <brk id="128" max="15" man="1"/>
    <brk id="160" max="15" man="1"/>
    <brk id="192" max="15" man="1"/>
    <brk id="224" max="15" man="1"/>
    <brk id="256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"/>
  <sheetViews>
    <sheetView view="pageBreakPreview" topLeftCell="A127" zoomScale="120" zoomScaleNormal="75" zoomScaleSheetLayoutView="120" workbookViewId="0">
      <selection activeCell="I146" sqref="I146"/>
    </sheetView>
  </sheetViews>
  <sheetFormatPr defaultRowHeight="14.25"/>
  <cols>
    <col min="1" max="1" width="7.5703125" style="50" customWidth="1"/>
    <col min="2" max="2" width="33" style="50" customWidth="1"/>
    <col min="3" max="3" width="16.42578125" style="50" customWidth="1"/>
    <col min="4" max="4" width="18.85546875" style="50" customWidth="1"/>
    <col min="5" max="5" width="20" style="50" customWidth="1"/>
    <col min="6" max="6" width="17.5703125" style="50" customWidth="1"/>
    <col min="7" max="7" width="14" style="50" customWidth="1"/>
    <col min="8" max="8" width="11" style="50" customWidth="1"/>
    <col min="9" max="16384" width="9.140625" style="50"/>
  </cols>
  <sheetData>
    <row r="1" spans="1:9" ht="15">
      <c r="A1" s="175" t="s">
        <v>156</v>
      </c>
      <c r="B1" s="175"/>
      <c r="C1" s="175"/>
      <c r="D1" s="175"/>
      <c r="E1" s="175"/>
      <c r="F1" s="175"/>
      <c r="G1" s="175"/>
      <c r="H1" s="175"/>
    </row>
    <row r="2" spans="1:9" ht="15">
      <c r="A2" s="175" t="s">
        <v>19</v>
      </c>
      <c r="B2" s="175"/>
      <c r="C2" s="175"/>
      <c r="D2" s="175"/>
      <c r="E2" s="175"/>
      <c r="F2" s="175"/>
      <c r="G2" s="175"/>
      <c r="H2" s="175"/>
    </row>
    <row r="3" spans="1:9" ht="15">
      <c r="A3" s="68" t="s">
        <v>88</v>
      </c>
      <c r="B3" s="124"/>
    </row>
    <row r="4" spans="1:9" ht="15">
      <c r="A4" s="176" t="s">
        <v>22</v>
      </c>
      <c r="B4" s="176" t="s">
        <v>29</v>
      </c>
      <c r="C4" s="178" t="s">
        <v>34</v>
      </c>
      <c r="D4" s="179"/>
      <c r="E4" s="178" t="s">
        <v>41</v>
      </c>
      <c r="F4" s="179"/>
      <c r="G4" s="180" t="s">
        <v>78</v>
      </c>
    </row>
    <row r="5" spans="1:9" ht="15">
      <c r="A5" s="177"/>
      <c r="B5" s="177"/>
      <c r="C5" s="69" t="s">
        <v>85</v>
      </c>
      <c r="D5" s="69" t="s">
        <v>86</v>
      </c>
      <c r="E5" s="69" t="s">
        <v>85</v>
      </c>
      <c r="F5" s="69" t="s">
        <v>86</v>
      </c>
      <c r="G5" s="180"/>
    </row>
    <row r="6" spans="1:9" ht="15">
      <c r="A6" s="70">
        <v>1</v>
      </c>
      <c r="B6" s="71">
        <v>1</v>
      </c>
      <c r="C6" s="72"/>
      <c r="D6" s="72"/>
      <c r="E6" s="72"/>
      <c r="F6" s="72"/>
      <c r="G6" s="73">
        <v>0</v>
      </c>
    </row>
    <row r="7" spans="1:9" ht="15">
      <c r="A7" s="70">
        <v>2</v>
      </c>
      <c r="B7" s="71">
        <v>2</v>
      </c>
      <c r="C7" s="72"/>
      <c r="D7" s="72"/>
      <c r="E7" s="72"/>
      <c r="F7" s="72"/>
      <c r="G7" s="73">
        <v>0</v>
      </c>
    </row>
    <row r="8" spans="1:9" ht="15">
      <c r="A8" s="70">
        <v>3</v>
      </c>
      <c r="B8" s="71">
        <v>3</v>
      </c>
      <c r="C8" s="72"/>
      <c r="D8" s="72"/>
      <c r="E8" s="72"/>
      <c r="F8" s="72"/>
      <c r="G8" s="73">
        <v>0</v>
      </c>
    </row>
    <row r="9" spans="1:9" ht="15">
      <c r="A9" s="70">
        <v>4</v>
      </c>
      <c r="B9" s="71">
        <v>4</v>
      </c>
      <c r="C9" s="72"/>
      <c r="D9" s="72"/>
      <c r="E9" s="72"/>
      <c r="F9" s="72"/>
      <c r="G9" s="73">
        <v>0</v>
      </c>
    </row>
    <row r="10" spans="1:9" ht="15.75" thickBot="1">
      <c r="A10" s="74" t="s">
        <v>78</v>
      </c>
      <c r="B10" s="74"/>
      <c r="C10" s="75">
        <v>0</v>
      </c>
      <c r="D10" s="75">
        <v>0</v>
      </c>
      <c r="E10" s="75">
        <v>0</v>
      </c>
      <c r="F10" s="75">
        <v>0</v>
      </c>
      <c r="G10" s="75">
        <v>0</v>
      </c>
    </row>
    <row r="11" spans="1:9" ht="15.75" thickTop="1">
      <c r="A11" s="76"/>
      <c r="B11" s="76"/>
      <c r="C11" s="76"/>
      <c r="D11" s="76"/>
      <c r="E11" s="76"/>
      <c r="F11" s="76"/>
    </row>
    <row r="13" spans="1:9" ht="22.5" customHeight="1">
      <c r="A13" s="173"/>
      <c r="B13" s="173"/>
      <c r="C13" s="173"/>
      <c r="D13" s="173"/>
      <c r="E13" s="173"/>
      <c r="F13" s="174" t="s">
        <v>94</v>
      </c>
      <c r="G13" s="174"/>
    </row>
    <row r="14" spans="1:9" ht="30">
      <c r="A14" s="123" t="s">
        <v>22</v>
      </c>
      <c r="B14" s="123" t="s">
        <v>89</v>
      </c>
      <c r="C14" s="123" t="s">
        <v>91</v>
      </c>
      <c r="D14" s="123" t="s">
        <v>92</v>
      </c>
      <c r="E14" s="123" t="s">
        <v>93</v>
      </c>
      <c r="F14" s="123" t="s">
        <v>149</v>
      </c>
      <c r="G14" s="123" t="s">
        <v>150</v>
      </c>
      <c r="H14" s="123" t="s">
        <v>83</v>
      </c>
      <c r="I14" s="123" t="s">
        <v>78</v>
      </c>
    </row>
    <row r="15" spans="1:9" ht="23.25" customHeight="1">
      <c r="A15" s="77">
        <v>1</v>
      </c>
      <c r="B15" s="97" t="s">
        <v>66</v>
      </c>
      <c r="C15" s="125"/>
      <c r="D15" s="125"/>
      <c r="E15" s="125"/>
      <c r="F15" s="125"/>
      <c r="G15" s="125"/>
      <c r="H15" s="125"/>
      <c r="I15" s="55">
        <f>SUM(C15:H15)</f>
        <v>0</v>
      </c>
    </row>
    <row r="17" spans="1:9" ht="15">
      <c r="A17" s="175" t="str">
        <f>$A$1</f>
        <v>प्रपत्र - ब  -  अर्थसंकल्पीय अंदाजपत्रक सन 2021-2022</v>
      </c>
      <c r="B17" s="175"/>
      <c r="C17" s="175"/>
      <c r="D17" s="175"/>
      <c r="E17" s="175"/>
      <c r="F17" s="175"/>
      <c r="G17" s="175"/>
      <c r="H17" s="175"/>
    </row>
    <row r="18" spans="1:9" ht="15">
      <c r="A18" s="175" t="s">
        <v>19</v>
      </c>
      <c r="B18" s="175"/>
      <c r="C18" s="175"/>
      <c r="D18" s="175"/>
      <c r="E18" s="175"/>
      <c r="F18" s="175"/>
      <c r="G18" s="175"/>
      <c r="H18" s="175"/>
    </row>
    <row r="19" spans="1:9" ht="15">
      <c r="A19" s="68" t="s">
        <v>88</v>
      </c>
      <c r="B19" s="124"/>
    </row>
    <row r="20" spans="1:9" ht="15">
      <c r="A20" s="176" t="s">
        <v>22</v>
      </c>
      <c r="B20" s="176" t="s">
        <v>29</v>
      </c>
      <c r="C20" s="178" t="s">
        <v>34</v>
      </c>
      <c r="D20" s="179"/>
      <c r="E20" s="178" t="s">
        <v>41</v>
      </c>
      <c r="F20" s="179"/>
      <c r="G20" s="180" t="s">
        <v>78</v>
      </c>
    </row>
    <row r="21" spans="1:9" ht="15">
      <c r="A21" s="177"/>
      <c r="B21" s="177"/>
      <c r="C21" s="69" t="s">
        <v>85</v>
      </c>
      <c r="D21" s="69" t="s">
        <v>86</v>
      </c>
      <c r="E21" s="69" t="s">
        <v>85</v>
      </c>
      <c r="F21" s="69" t="s">
        <v>86</v>
      </c>
      <c r="G21" s="180"/>
    </row>
    <row r="22" spans="1:9" ht="15">
      <c r="A22" s="70">
        <v>1</v>
      </c>
      <c r="B22" s="71">
        <v>1</v>
      </c>
      <c r="C22" s="72"/>
      <c r="D22" s="72"/>
      <c r="E22" s="72"/>
      <c r="F22" s="72"/>
      <c r="G22" s="73">
        <v>0</v>
      </c>
    </row>
    <row r="23" spans="1:9" ht="15">
      <c r="A23" s="70">
        <v>2</v>
      </c>
      <c r="B23" s="71">
        <v>2</v>
      </c>
      <c r="C23" s="72"/>
      <c r="D23" s="72"/>
      <c r="E23" s="72"/>
      <c r="F23" s="72"/>
      <c r="G23" s="73">
        <v>0</v>
      </c>
    </row>
    <row r="24" spans="1:9" ht="15">
      <c r="A24" s="70">
        <v>3</v>
      </c>
      <c r="B24" s="71">
        <v>3</v>
      </c>
      <c r="C24" s="72"/>
      <c r="D24" s="72"/>
      <c r="E24" s="72"/>
      <c r="F24" s="72"/>
      <c r="G24" s="73">
        <v>0</v>
      </c>
    </row>
    <row r="25" spans="1:9" ht="15">
      <c r="A25" s="70">
        <v>4</v>
      </c>
      <c r="B25" s="71">
        <v>4</v>
      </c>
      <c r="C25" s="72"/>
      <c r="D25" s="72"/>
      <c r="E25" s="72"/>
      <c r="F25" s="72"/>
      <c r="G25" s="73">
        <v>0</v>
      </c>
    </row>
    <row r="26" spans="1:9" ht="15.75" thickBot="1">
      <c r="A26" s="74" t="s">
        <v>78</v>
      </c>
      <c r="B26" s="74"/>
      <c r="C26" s="75">
        <v>0</v>
      </c>
      <c r="D26" s="75">
        <v>0</v>
      </c>
      <c r="E26" s="75">
        <v>0</v>
      </c>
      <c r="F26" s="75">
        <v>0</v>
      </c>
      <c r="G26" s="75">
        <v>0</v>
      </c>
    </row>
    <row r="27" spans="1:9" ht="15.75" thickTop="1">
      <c r="A27" s="76"/>
      <c r="B27" s="76"/>
      <c r="C27" s="76"/>
      <c r="D27" s="76"/>
      <c r="E27" s="76"/>
      <c r="F27" s="76"/>
    </row>
    <row r="29" spans="1:9" ht="15">
      <c r="A29" s="173"/>
      <c r="B29" s="173"/>
      <c r="C29" s="173"/>
      <c r="D29" s="173"/>
      <c r="E29" s="173"/>
      <c r="F29" s="174" t="s">
        <v>94</v>
      </c>
      <c r="G29" s="174"/>
    </row>
    <row r="30" spans="1:9" ht="30">
      <c r="A30" s="123" t="s">
        <v>22</v>
      </c>
      <c r="B30" s="123" t="s">
        <v>89</v>
      </c>
      <c r="C30" s="123" t="s">
        <v>91</v>
      </c>
      <c r="D30" s="123" t="s">
        <v>92</v>
      </c>
      <c r="E30" s="123" t="s">
        <v>93</v>
      </c>
      <c r="F30" s="123" t="s">
        <v>149</v>
      </c>
      <c r="G30" s="123" t="s">
        <v>150</v>
      </c>
      <c r="H30" s="123" t="s">
        <v>83</v>
      </c>
      <c r="I30" s="123" t="s">
        <v>78</v>
      </c>
    </row>
    <row r="31" spans="1:9" ht="15">
      <c r="A31" s="77">
        <v>1</v>
      </c>
      <c r="B31" s="97" t="s">
        <v>67</v>
      </c>
      <c r="C31" s="125"/>
      <c r="D31" s="125"/>
      <c r="E31" s="125"/>
      <c r="F31" s="125"/>
      <c r="G31" s="125"/>
      <c r="H31" s="125"/>
      <c r="I31" s="55">
        <f>SUM(C31:H31)</f>
        <v>0</v>
      </c>
    </row>
    <row r="33" spans="1:9" ht="15">
      <c r="A33" s="175" t="str">
        <f>$A$1</f>
        <v>प्रपत्र - ब  -  अर्थसंकल्पीय अंदाजपत्रक सन 2021-2022</v>
      </c>
      <c r="B33" s="175"/>
      <c r="C33" s="175"/>
      <c r="D33" s="175"/>
      <c r="E33" s="175"/>
      <c r="F33" s="175"/>
      <c r="G33" s="175"/>
      <c r="H33" s="175"/>
    </row>
    <row r="34" spans="1:9" ht="15">
      <c r="A34" s="175" t="s">
        <v>19</v>
      </c>
      <c r="B34" s="175"/>
      <c r="C34" s="175"/>
      <c r="D34" s="175"/>
      <c r="E34" s="175"/>
      <c r="F34" s="175"/>
      <c r="G34" s="175"/>
      <c r="H34" s="175"/>
    </row>
    <row r="35" spans="1:9" ht="15">
      <c r="A35" s="68" t="s">
        <v>88</v>
      </c>
      <c r="B35" s="124"/>
    </row>
    <row r="36" spans="1:9" ht="15">
      <c r="A36" s="176" t="s">
        <v>22</v>
      </c>
      <c r="B36" s="176" t="s">
        <v>29</v>
      </c>
      <c r="C36" s="178" t="s">
        <v>34</v>
      </c>
      <c r="D36" s="179"/>
      <c r="E36" s="178" t="s">
        <v>41</v>
      </c>
      <c r="F36" s="179"/>
      <c r="G36" s="180" t="s">
        <v>78</v>
      </c>
    </row>
    <row r="37" spans="1:9" ht="15">
      <c r="A37" s="177"/>
      <c r="B37" s="177"/>
      <c r="C37" s="69" t="s">
        <v>85</v>
      </c>
      <c r="D37" s="69" t="s">
        <v>86</v>
      </c>
      <c r="E37" s="69" t="s">
        <v>85</v>
      </c>
      <c r="F37" s="69" t="s">
        <v>86</v>
      </c>
      <c r="G37" s="180"/>
    </row>
    <row r="38" spans="1:9" ht="15">
      <c r="A38" s="70">
        <v>1</v>
      </c>
      <c r="B38" s="71">
        <v>1</v>
      </c>
      <c r="C38" s="72">
        <v>0</v>
      </c>
      <c r="D38" s="72">
        <v>0</v>
      </c>
      <c r="E38" s="72">
        <v>2</v>
      </c>
      <c r="F38" s="72">
        <v>0</v>
      </c>
      <c r="G38" s="73">
        <f>SUM(C38:F38)</f>
        <v>2</v>
      </c>
    </row>
    <row r="39" spans="1:9" ht="15">
      <c r="A39" s="70">
        <v>2</v>
      </c>
      <c r="B39" s="71">
        <v>2</v>
      </c>
      <c r="C39" s="72">
        <v>0</v>
      </c>
      <c r="D39" s="72">
        <v>0</v>
      </c>
      <c r="E39" s="72">
        <v>0</v>
      </c>
      <c r="F39" s="72">
        <v>0</v>
      </c>
      <c r="G39" s="73">
        <f>SUM(C39:F39)</f>
        <v>0</v>
      </c>
    </row>
    <row r="40" spans="1:9" ht="15">
      <c r="A40" s="70">
        <v>3</v>
      </c>
      <c r="B40" s="71">
        <v>3</v>
      </c>
      <c r="C40" s="72">
        <v>0</v>
      </c>
      <c r="D40" s="72">
        <v>0</v>
      </c>
      <c r="E40" s="72">
        <v>7</v>
      </c>
      <c r="F40" s="72">
        <v>0</v>
      </c>
      <c r="G40" s="73">
        <f>SUM(C40:F40)</f>
        <v>7</v>
      </c>
    </row>
    <row r="41" spans="1:9" ht="15">
      <c r="A41" s="70">
        <v>4</v>
      </c>
      <c r="B41" s="71">
        <v>4</v>
      </c>
      <c r="C41" s="72">
        <v>0</v>
      </c>
      <c r="D41" s="72">
        <v>0</v>
      </c>
      <c r="E41" s="72">
        <v>1</v>
      </c>
      <c r="F41" s="72">
        <v>0</v>
      </c>
      <c r="G41" s="73">
        <f>SUM(C41:F41)</f>
        <v>1</v>
      </c>
    </row>
    <row r="42" spans="1:9" ht="15.75" thickBot="1">
      <c r="A42" s="74" t="s">
        <v>78</v>
      </c>
      <c r="B42" s="74"/>
      <c r="C42" s="75">
        <f>SUM(C38:C41)</f>
        <v>0</v>
      </c>
      <c r="D42" s="75">
        <f>SUM(D38:D41)</f>
        <v>0</v>
      </c>
      <c r="E42" s="75">
        <f>SUM(E38:E41)</f>
        <v>10</v>
      </c>
      <c r="F42" s="75">
        <f>SUM(F38:F41)</f>
        <v>0</v>
      </c>
      <c r="G42" s="75">
        <f>SUM(G38:G41)</f>
        <v>10</v>
      </c>
    </row>
    <row r="43" spans="1:9" ht="15.75" thickTop="1">
      <c r="A43" s="76"/>
      <c r="B43" s="76"/>
      <c r="C43" s="76"/>
      <c r="D43" s="76"/>
      <c r="E43" s="76"/>
      <c r="F43" s="76"/>
    </row>
    <row r="45" spans="1:9" ht="15">
      <c r="A45" s="173"/>
      <c r="B45" s="173"/>
      <c r="C45" s="173"/>
      <c r="D45" s="173"/>
      <c r="E45" s="173"/>
      <c r="F45" s="174" t="s">
        <v>94</v>
      </c>
      <c r="G45" s="174"/>
    </row>
    <row r="46" spans="1:9" ht="30">
      <c r="A46" s="123" t="s">
        <v>22</v>
      </c>
      <c r="B46" s="123" t="s">
        <v>89</v>
      </c>
      <c r="C46" s="123" t="s">
        <v>91</v>
      </c>
      <c r="D46" s="123" t="s">
        <v>92</v>
      </c>
      <c r="E46" s="123" t="s">
        <v>93</v>
      </c>
      <c r="F46" s="123" t="s">
        <v>149</v>
      </c>
      <c r="G46" s="123" t="s">
        <v>150</v>
      </c>
      <c r="H46" s="123" t="s">
        <v>83</v>
      </c>
      <c r="I46" s="123" t="s">
        <v>78</v>
      </c>
    </row>
    <row r="47" spans="1:9" ht="15">
      <c r="A47" s="77">
        <v>1</v>
      </c>
      <c r="B47" s="97" t="s">
        <v>68</v>
      </c>
      <c r="C47" s="125">
        <v>400</v>
      </c>
      <c r="D47" s="125">
        <v>50</v>
      </c>
      <c r="E47" s="125">
        <v>40</v>
      </c>
      <c r="F47" s="125">
        <v>150</v>
      </c>
      <c r="G47" s="125">
        <v>100</v>
      </c>
      <c r="H47" s="125">
        <v>0</v>
      </c>
      <c r="I47" s="55">
        <f>SUM(C47:H47)</f>
        <v>740</v>
      </c>
    </row>
    <row r="48" spans="1:9" ht="15">
      <c r="A48" s="175" t="str">
        <f>$A$1</f>
        <v>प्रपत्र - ब  -  अर्थसंकल्पीय अंदाजपत्रक सन 2021-2022</v>
      </c>
      <c r="B48" s="175"/>
      <c r="C48" s="175"/>
      <c r="D48" s="175"/>
      <c r="E48" s="175"/>
      <c r="F48" s="175"/>
      <c r="G48" s="175"/>
      <c r="H48" s="175"/>
    </row>
    <row r="49" spans="1:9" ht="15">
      <c r="A49" s="175" t="s">
        <v>19</v>
      </c>
      <c r="B49" s="175"/>
      <c r="C49" s="175"/>
      <c r="D49" s="175"/>
      <c r="E49" s="175"/>
      <c r="F49" s="175"/>
      <c r="G49" s="175"/>
      <c r="H49" s="175"/>
    </row>
    <row r="50" spans="1:9" ht="15">
      <c r="A50" s="68" t="s">
        <v>88</v>
      </c>
      <c r="B50" s="124"/>
    </row>
    <row r="51" spans="1:9" ht="15">
      <c r="A51" s="176" t="s">
        <v>22</v>
      </c>
      <c r="B51" s="176" t="s">
        <v>29</v>
      </c>
      <c r="C51" s="178" t="s">
        <v>34</v>
      </c>
      <c r="D51" s="179"/>
      <c r="E51" s="178" t="s">
        <v>41</v>
      </c>
      <c r="F51" s="179"/>
      <c r="G51" s="180" t="s">
        <v>78</v>
      </c>
    </row>
    <row r="52" spans="1:9" ht="15">
      <c r="A52" s="177"/>
      <c r="B52" s="177"/>
      <c r="C52" s="69" t="s">
        <v>85</v>
      </c>
      <c r="D52" s="69" t="s">
        <v>86</v>
      </c>
      <c r="E52" s="69" t="s">
        <v>85</v>
      </c>
      <c r="F52" s="69" t="s">
        <v>86</v>
      </c>
      <c r="G52" s="180"/>
    </row>
    <row r="53" spans="1:9" ht="15">
      <c r="A53" s="70">
        <v>1</v>
      </c>
      <c r="B53" s="71">
        <v>1</v>
      </c>
      <c r="C53" s="72">
        <v>0</v>
      </c>
      <c r="D53" s="72">
        <v>0</v>
      </c>
      <c r="E53" s="72">
        <v>0</v>
      </c>
      <c r="F53" s="72">
        <v>0</v>
      </c>
      <c r="G53" s="73">
        <f>SUM(C53:F53)</f>
        <v>0</v>
      </c>
    </row>
    <row r="54" spans="1:9" ht="15">
      <c r="A54" s="70">
        <v>2</v>
      </c>
      <c r="B54" s="71">
        <v>2</v>
      </c>
      <c r="C54" s="72">
        <v>0</v>
      </c>
      <c r="D54" s="72">
        <v>0</v>
      </c>
      <c r="E54" s="72">
        <v>0</v>
      </c>
      <c r="F54" s="72">
        <v>0</v>
      </c>
      <c r="G54" s="73">
        <f>SUM(C54:F54)</f>
        <v>0</v>
      </c>
    </row>
    <row r="55" spans="1:9" ht="15">
      <c r="A55" s="70">
        <v>3</v>
      </c>
      <c r="B55" s="71">
        <v>3</v>
      </c>
      <c r="C55" s="72">
        <v>0</v>
      </c>
      <c r="D55" s="72">
        <v>0</v>
      </c>
      <c r="E55" s="72">
        <v>2</v>
      </c>
      <c r="F55" s="72">
        <v>0</v>
      </c>
      <c r="G55" s="73">
        <f>SUM(C55:F55)</f>
        <v>2</v>
      </c>
    </row>
    <row r="56" spans="1:9" ht="15">
      <c r="A56" s="70">
        <v>4</v>
      </c>
      <c r="B56" s="71">
        <v>4</v>
      </c>
      <c r="C56" s="72">
        <v>0</v>
      </c>
      <c r="D56" s="72">
        <v>0</v>
      </c>
      <c r="E56" s="72">
        <v>0</v>
      </c>
      <c r="F56" s="72">
        <v>0</v>
      </c>
      <c r="G56" s="73">
        <f>SUM(C56:F56)</f>
        <v>0</v>
      </c>
    </row>
    <row r="57" spans="1:9" ht="15.75" thickBot="1">
      <c r="A57" s="74" t="s">
        <v>78</v>
      </c>
      <c r="B57" s="74"/>
      <c r="C57" s="75">
        <f>SUM(C53:C56)</f>
        <v>0</v>
      </c>
      <c r="D57" s="75">
        <f>SUM(D53:D56)</f>
        <v>0</v>
      </c>
      <c r="E57" s="75">
        <f>SUM(E53:E56)</f>
        <v>2</v>
      </c>
      <c r="F57" s="75">
        <f>SUM(F53:F56)</f>
        <v>0</v>
      </c>
      <c r="G57" s="75">
        <f>SUM(G53:G56)</f>
        <v>2</v>
      </c>
    </row>
    <row r="58" spans="1:9" ht="15.75" thickTop="1">
      <c r="A58" s="76"/>
      <c r="B58" s="76"/>
      <c r="C58" s="76"/>
      <c r="D58" s="76"/>
      <c r="E58" s="76"/>
      <c r="F58" s="76"/>
    </row>
    <row r="60" spans="1:9" ht="15">
      <c r="A60" s="173"/>
      <c r="B60" s="173"/>
      <c r="C60" s="173"/>
      <c r="D60" s="173"/>
      <c r="E60" s="173"/>
      <c r="F60" s="174" t="s">
        <v>94</v>
      </c>
      <c r="G60" s="174"/>
    </row>
    <row r="61" spans="1:9" ht="30">
      <c r="A61" s="123" t="s">
        <v>22</v>
      </c>
      <c r="B61" s="123" t="s">
        <v>89</v>
      </c>
      <c r="C61" s="123" t="s">
        <v>91</v>
      </c>
      <c r="D61" s="123" t="s">
        <v>92</v>
      </c>
      <c r="E61" s="123" t="s">
        <v>93</v>
      </c>
      <c r="F61" s="123" t="s">
        <v>149</v>
      </c>
      <c r="G61" s="123" t="s">
        <v>150</v>
      </c>
      <c r="H61" s="123" t="s">
        <v>83</v>
      </c>
      <c r="I61" s="123" t="s">
        <v>78</v>
      </c>
    </row>
    <row r="62" spans="1:9" ht="15">
      <c r="A62" s="77">
        <v>1</v>
      </c>
      <c r="B62" s="97" t="s">
        <v>117</v>
      </c>
      <c r="C62" s="125">
        <v>250</v>
      </c>
      <c r="D62" s="125">
        <v>25</v>
      </c>
      <c r="E62" s="125">
        <v>20</v>
      </c>
      <c r="F62" s="125">
        <v>140</v>
      </c>
      <c r="G62" s="125">
        <v>0</v>
      </c>
      <c r="H62" s="125">
        <v>20</v>
      </c>
      <c r="I62" s="55">
        <f>SUM(C62:H62)</f>
        <v>455</v>
      </c>
    </row>
    <row r="64" spans="1:9" ht="15">
      <c r="A64" s="175" t="str">
        <f>$A$1</f>
        <v>प्रपत्र - ब  -  अर्थसंकल्पीय अंदाजपत्रक सन 2021-2022</v>
      </c>
      <c r="B64" s="175"/>
      <c r="C64" s="175"/>
      <c r="D64" s="175"/>
      <c r="E64" s="175"/>
      <c r="F64" s="175"/>
      <c r="G64" s="175"/>
      <c r="H64" s="175"/>
    </row>
    <row r="65" spans="1:9" ht="15">
      <c r="A65" s="175" t="s">
        <v>19</v>
      </c>
      <c r="B65" s="175"/>
      <c r="C65" s="175"/>
      <c r="D65" s="175"/>
      <c r="E65" s="175"/>
      <c r="F65" s="175"/>
      <c r="G65" s="175"/>
      <c r="H65" s="175"/>
    </row>
    <row r="66" spans="1:9" ht="15">
      <c r="A66" s="68" t="s">
        <v>88</v>
      </c>
      <c r="B66" s="124"/>
    </row>
    <row r="67" spans="1:9" ht="15">
      <c r="A67" s="176" t="s">
        <v>22</v>
      </c>
      <c r="B67" s="176" t="s">
        <v>29</v>
      </c>
      <c r="C67" s="178" t="s">
        <v>34</v>
      </c>
      <c r="D67" s="179"/>
      <c r="E67" s="178" t="s">
        <v>41</v>
      </c>
      <c r="F67" s="179"/>
      <c r="G67" s="180" t="s">
        <v>78</v>
      </c>
    </row>
    <row r="68" spans="1:9" ht="15">
      <c r="A68" s="177"/>
      <c r="B68" s="177"/>
      <c r="C68" s="69" t="s">
        <v>85</v>
      </c>
      <c r="D68" s="69" t="s">
        <v>86</v>
      </c>
      <c r="E68" s="69" t="s">
        <v>85</v>
      </c>
      <c r="F68" s="69" t="s">
        <v>86</v>
      </c>
      <c r="G68" s="180"/>
    </row>
    <row r="69" spans="1:9" ht="15">
      <c r="A69" s="70">
        <v>1</v>
      </c>
      <c r="B69" s="71">
        <v>1</v>
      </c>
      <c r="C69" s="72">
        <v>0</v>
      </c>
      <c r="D69" s="72">
        <v>0</v>
      </c>
      <c r="E69" s="72">
        <v>3</v>
      </c>
      <c r="F69" s="72">
        <v>0</v>
      </c>
      <c r="G69" s="73">
        <f>SUM(C69:F69)</f>
        <v>3</v>
      </c>
    </row>
    <row r="70" spans="1:9" ht="15">
      <c r="A70" s="70">
        <v>2</v>
      </c>
      <c r="B70" s="71">
        <v>2</v>
      </c>
      <c r="C70" s="72">
        <v>0</v>
      </c>
      <c r="D70" s="72">
        <v>0</v>
      </c>
      <c r="E70" s="72">
        <v>1</v>
      </c>
      <c r="F70" s="72">
        <v>0</v>
      </c>
      <c r="G70" s="73">
        <f>SUM(C70:F70)</f>
        <v>1</v>
      </c>
    </row>
    <row r="71" spans="1:9" ht="15">
      <c r="A71" s="70">
        <v>3</v>
      </c>
      <c r="B71" s="71">
        <v>3</v>
      </c>
      <c r="C71" s="72">
        <v>1</v>
      </c>
      <c r="D71" s="72">
        <v>0</v>
      </c>
      <c r="E71" s="72">
        <v>14</v>
      </c>
      <c r="F71" s="72">
        <v>4</v>
      </c>
      <c r="G71" s="73">
        <f>SUM(C71:F71)</f>
        <v>19</v>
      </c>
    </row>
    <row r="72" spans="1:9" ht="15">
      <c r="A72" s="70">
        <v>4</v>
      </c>
      <c r="B72" s="71">
        <v>4</v>
      </c>
      <c r="C72" s="72">
        <v>0</v>
      </c>
      <c r="D72" s="72">
        <v>0</v>
      </c>
      <c r="E72" s="72">
        <v>3</v>
      </c>
      <c r="F72" s="72">
        <v>1</v>
      </c>
      <c r="G72" s="73">
        <f>SUM(C72:F72)</f>
        <v>4</v>
      </c>
    </row>
    <row r="73" spans="1:9" ht="15.75" thickBot="1">
      <c r="A73" s="74" t="s">
        <v>78</v>
      </c>
      <c r="B73" s="74"/>
      <c r="C73" s="75">
        <f>SUM(C69:C72)</f>
        <v>1</v>
      </c>
      <c r="D73" s="75">
        <f>SUM(D69:D72)</f>
        <v>0</v>
      </c>
      <c r="E73" s="75">
        <f>SUM(E69:E72)</f>
        <v>21</v>
      </c>
      <c r="F73" s="75">
        <f>SUM(F69:F72)</f>
        <v>5</v>
      </c>
      <c r="G73" s="75">
        <f>SUM(G69:G72)</f>
        <v>27</v>
      </c>
    </row>
    <row r="74" spans="1:9" ht="15.75" thickTop="1">
      <c r="A74" s="76"/>
      <c r="B74" s="76"/>
      <c r="C74" s="76"/>
      <c r="D74" s="76"/>
      <c r="E74" s="76"/>
      <c r="F74" s="76"/>
    </row>
    <row r="76" spans="1:9" ht="15">
      <c r="A76" s="173"/>
      <c r="B76" s="173"/>
      <c r="C76" s="173"/>
      <c r="D76" s="173"/>
      <c r="E76" s="173"/>
      <c r="F76" s="174" t="s">
        <v>94</v>
      </c>
      <c r="G76" s="174"/>
    </row>
    <row r="77" spans="1:9" ht="30">
      <c r="A77" s="123" t="s">
        <v>22</v>
      </c>
      <c r="B77" s="123" t="s">
        <v>89</v>
      </c>
      <c r="C77" s="123" t="s">
        <v>91</v>
      </c>
      <c r="D77" s="123" t="s">
        <v>92</v>
      </c>
      <c r="E77" s="123" t="s">
        <v>93</v>
      </c>
      <c r="F77" s="123" t="s">
        <v>149</v>
      </c>
      <c r="G77" s="123" t="s">
        <v>150</v>
      </c>
      <c r="H77" s="123" t="s">
        <v>83</v>
      </c>
      <c r="I77" s="123" t="s">
        <v>78</v>
      </c>
    </row>
    <row r="78" spans="1:9" ht="15">
      <c r="A78" s="77">
        <v>1</v>
      </c>
      <c r="B78" s="97" t="s">
        <v>69</v>
      </c>
      <c r="C78" s="125">
        <v>1000</v>
      </c>
      <c r="D78" s="125">
        <v>338</v>
      </c>
      <c r="E78" s="125">
        <v>500</v>
      </c>
      <c r="F78" s="125">
        <v>988</v>
      </c>
      <c r="G78" s="125">
        <v>1109</v>
      </c>
      <c r="H78" s="125">
        <v>0</v>
      </c>
      <c r="I78" s="55">
        <f>SUM(C78:H78)</f>
        <v>3935</v>
      </c>
    </row>
    <row r="80" spans="1:9" ht="15">
      <c r="A80" s="175" t="str">
        <f>$A$1</f>
        <v>प्रपत्र - ब  -  अर्थसंकल्पीय अंदाजपत्रक सन 2021-2022</v>
      </c>
      <c r="B80" s="175"/>
      <c r="C80" s="175"/>
      <c r="D80" s="175"/>
      <c r="E80" s="175"/>
      <c r="F80" s="175"/>
      <c r="G80" s="175"/>
      <c r="H80" s="175"/>
    </row>
    <row r="81" spans="1:9" ht="15">
      <c r="A81" s="175" t="s">
        <v>19</v>
      </c>
      <c r="B81" s="175"/>
      <c r="C81" s="175"/>
      <c r="D81" s="175"/>
      <c r="E81" s="175"/>
      <c r="F81" s="175"/>
      <c r="G81" s="175"/>
      <c r="H81" s="175"/>
    </row>
    <row r="82" spans="1:9" ht="15">
      <c r="A82" s="68" t="s">
        <v>88</v>
      </c>
      <c r="B82" s="124"/>
    </row>
    <row r="83" spans="1:9" ht="15">
      <c r="A83" s="176" t="s">
        <v>22</v>
      </c>
      <c r="B83" s="176" t="s">
        <v>29</v>
      </c>
      <c r="C83" s="178" t="s">
        <v>34</v>
      </c>
      <c r="D83" s="179"/>
      <c r="E83" s="178" t="s">
        <v>41</v>
      </c>
      <c r="F83" s="179"/>
      <c r="G83" s="180" t="s">
        <v>78</v>
      </c>
    </row>
    <row r="84" spans="1:9" ht="15">
      <c r="A84" s="177"/>
      <c r="B84" s="177"/>
      <c r="C84" s="69" t="s">
        <v>85</v>
      </c>
      <c r="D84" s="69" t="s">
        <v>86</v>
      </c>
      <c r="E84" s="69" t="s">
        <v>85</v>
      </c>
      <c r="F84" s="69" t="s">
        <v>86</v>
      </c>
      <c r="G84" s="180"/>
    </row>
    <row r="85" spans="1:9" ht="15">
      <c r="A85" s="70">
        <v>1</v>
      </c>
      <c r="B85" s="71">
        <v>1</v>
      </c>
      <c r="C85" s="72">
        <v>0</v>
      </c>
      <c r="D85" s="72">
        <v>0</v>
      </c>
      <c r="E85" s="72">
        <v>2</v>
      </c>
      <c r="F85" s="72">
        <v>0</v>
      </c>
      <c r="G85" s="73">
        <f>SUM(C85:F85)</f>
        <v>2</v>
      </c>
    </row>
    <row r="86" spans="1:9" ht="15">
      <c r="A86" s="70">
        <v>2</v>
      </c>
      <c r="B86" s="71">
        <v>2</v>
      </c>
      <c r="C86" s="72">
        <v>0</v>
      </c>
      <c r="D86" s="72">
        <v>0</v>
      </c>
      <c r="E86" s="72">
        <v>0</v>
      </c>
      <c r="F86" s="72">
        <v>0</v>
      </c>
      <c r="G86" s="73">
        <f>SUM(C86:F86)</f>
        <v>0</v>
      </c>
    </row>
    <row r="87" spans="1:9" ht="15">
      <c r="A87" s="70">
        <v>3</v>
      </c>
      <c r="B87" s="71">
        <v>3</v>
      </c>
      <c r="C87" s="72">
        <v>2</v>
      </c>
      <c r="D87" s="72">
        <v>0</v>
      </c>
      <c r="E87" s="72">
        <v>6</v>
      </c>
      <c r="F87" s="72">
        <v>3</v>
      </c>
      <c r="G87" s="73">
        <f>SUM(C87:F87)</f>
        <v>11</v>
      </c>
    </row>
    <row r="88" spans="1:9" ht="15">
      <c r="A88" s="70">
        <v>4</v>
      </c>
      <c r="B88" s="71">
        <v>4</v>
      </c>
      <c r="C88" s="72">
        <v>0</v>
      </c>
      <c r="D88" s="72">
        <v>1</v>
      </c>
      <c r="E88" s="72">
        <v>1</v>
      </c>
      <c r="F88" s="72">
        <v>2</v>
      </c>
      <c r="G88" s="73">
        <f>SUM(C88:F88)</f>
        <v>4</v>
      </c>
    </row>
    <row r="89" spans="1:9" ht="15.75" thickBot="1">
      <c r="A89" s="74" t="s">
        <v>78</v>
      </c>
      <c r="B89" s="74"/>
      <c r="C89" s="75">
        <f>SUM(C85:C88)</f>
        <v>2</v>
      </c>
      <c r="D89" s="75">
        <f>SUM(D85:D88)</f>
        <v>1</v>
      </c>
      <c r="E89" s="75">
        <f>SUM(E85:E88)</f>
        <v>9</v>
      </c>
      <c r="F89" s="75">
        <f>SUM(F85:F88)</f>
        <v>5</v>
      </c>
      <c r="G89" s="75">
        <f>SUM(G85:G88)</f>
        <v>17</v>
      </c>
    </row>
    <row r="90" spans="1:9" ht="15.75" thickTop="1">
      <c r="A90" s="76"/>
      <c r="B90" s="76"/>
      <c r="C90" s="76"/>
      <c r="D90" s="76"/>
      <c r="E90" s="76"/>
      <c r="F90" s="76"/>
    </row>
    <row r="92" spans="1:9" ht="15">
      <c r="A92" s="173"/>
      <c r="B92" s="173"/>
      <c r="C92" s="173"/>
      <c r="D92" s="173"/>
      <c r="E92" s="173"/>
      <c r="F92" s="174" t="s">
        <v>94</v>
      </c>
      <c r="G92" s="174"/>
    </row>
    <row r="93" spans="1:9" ht="30">
      <c r="A93" s="123" t="s">
        <v>22</v>
      </c>
      <c r="B93" s="123" t="s">
        <v>89</v>
      </c>
      <c r="C93" s="123" t="s">
        <v>91</v>
      </c>
      <c r="D93" s="123" t="s">
        <v>92</v>
      </c>
      <c r="E93" s="123" t="s">
        <v>93</v>
      </c>
      <c r="F93" s="123" t="s">
        <v>149</v>
      </c>
      <c r="G93" s="123" t="s">
        <v>150</v>
      </c>
      <c r="H93" s="123" t="s">
        <v>83</v>
      </c>
      <c r="I93" s="123" t="s">
        <v>78</v>
      </c>
    </row>
    <row r="94" spans="1:9" ht="15">
      <c r="A94" s="77">
        <v>1</v>
      </c>
      <c r="B94" s="97" t="s">
        <v>70</v>
      </c>
      <c r="C94" s="125">
        <v>450</v>
      </c>
      <c r="D94" s="125">
        <v>175</v>
      </c>
      <c r="E94" s="125">
        <v>150</v>
      </c>
      <c r="F94" s="125">
        <v>292</v>
      </c>
      <c r="G94" s="125">
        <v>0</v>
      </c>
      <c r="H94" s="125">
        <v>0</v>
      </c>
      <c r="I94" s="55">
        <f>SUM(C94:H94)</f>
        <v>1067</v>
      </c>
    </row>
    <row r="96" spans="1:9" ht="15">
      <c r="A96" s="175" t="str">
        <f>$A$1</f>
        <v>प्रपत्र - ब  -  अर्थसंकल्पीय अंदाजपत्रक सन 2021-2022</v>
      </c>
      <c r="B96" s="175"/>
      <c r="C96" s="175"/>
      <c r="D96" s="175"/>
      <c r="E96" s="175"/>
      <c r="F96" s="175"/>
      <c r="G96" s="175"/>
      <c r="H96" s="175"/>
    </row>
    <row r="97" spans="1:9" ht="15">
      <c r="A97" s="175" t="s">
        <v>19</v>
      </c>
      <c r="B97" s="175"/>
      <c r="C97" s="175"/>
      <c r="D97" s="175"/>
      <c r="E97" s="175"/>
      <c r="F97" s="175"/>
      <c r="G97" s="175"/>
      <c r="H97" s="175"/>
    </row>
    <row r="98" spans="1:9" ht="15">
      <c r="A98" s="68" t="s">
        <v>88</v>
      </c>
      <c r="B98" s="124"/>
    </row>
    <row r="99" spans="1:9" ht="15">
      <c r="A99" s="176" t="s">
        <v>22</v>
      </c>
      <c r="B99" s="176" t="s">
        <v>29</v>
      </c>
      <c r="C99" s="178" t="s">
        <v>34</v>
      </c>
      <c r="D99" s="179"/>
      <c r="E99" s="178" t="s">
        <v>41</v>
      </c>
      <c r="F99" s="179"/>
      <c r="G99" s="180" t="s">
        <v>78</v>
      </c>
    </row>
    <row r="100" spans="1:9" ht="15">
      <c r="A100" s="177"/>
      <c r="B100" s="177"/>
      <c r="C100" s="69" t="s">
        <v>85</v>
      </c>
      <c r="D100" s="69" t="s">
        <v>86</v>
      </c>
      <c r="E100" s="69" t="s">
        <v>85</v>
      </c>
      <c r="F100" s="69" t="s">
        <v>86</v>
      </c>
      <c r="G100" s="180"/>
    </row>
    <row r="101" spans="1:9" ht="15">
      <c r="A101" s="70">
        <v>1</v>
      </c>
      <c r="B101" s="71">
        <v>1</v>
      </c>
      <c r="C101" s="72">
        <v>0</v>
      </c>
      <c r="D101" s="72">
        <v>0</v>
      </c>
      <c r="E101" s="72">
        <v>2</v>
      </c>
      <c r="F101" s="72">
        <v>0</v>
      </c>
      <c r="G101" s="73">
        <f>SUM(C101:F101)</f>
        <v>2</v>
      </c>
    </row>
    <row r="102" spans="1:9" ht="15">
      <c r="A102" s="70">
        <v>2</v>
      </c>
      <c r="B102" s="71">
        <v>2</v>
      </c>
      <c r="C102" s="72">
        <v>0</v>
      </c>
      <c r="D102" s="72">
        <v>0</v>
      </c>
      <c r="E102" s="72">
        <v>0</v>
      </c>
      <c r="F102" s="72">
        <v>0</v>
      </c>
      <c r="G102" s="73">
        <f>SUM(C102:F102)</f>
        <v>0</v>
      </c>
    </row>
    <row r="103" spans="1:9" ht="15">
      <c r="A103" s="70">
        <v>3</v>
      </c>
      <c r="B103" s="71">
        <v>3</v>
      </c>
      <c r="C103" s="72">
        <v>0</v>
      </c>
      <c r="D103" s="72">
        <v>0</v>
      </c>
      <c r="E103" s="72">
        <v>10</v>
      </c>
      <c r="F103" s="72">
        <v>1</v>
      </c>
      <c r="G103" s="73">
        <f>SUM(C103:F103)</f>
        <v>11</v>
      </c>
    </row>
    <row r="104" spans="1:9" ht="15">
      <c r="A104" s="70">
        <v>4</v>
      </c>
      <c r="B104" s="71">
        <v>4</v>
      </c>
      <c r="C104" s="72">
        <v>0</v>
      </c>
      <c r="D104" s="72">
        <v>0</v>
      </c>
      <c r="E104" s="72">
        <v>1</v>
      </c>
      <c r="F104" s="72">
        <v>2</v>
      </c>
      <c r="G104" s="73">
        <f>SUM(C104:F104)</f>
        <v>3</v>
      </c>
    </row>
    <row r="105" spans="1:9" ht="15.75" thickBot="1">
      <c r="A105" s="74" t="s">
        <v>78</v>
      </c>
      <c r="B105" s="74"/>
      <c r="C105" s="75">
        <f>SUM(C101:C104)</f>
        <v>0</v>
      </c>
      <c r="D105" s="75">
        <f>SUM(D101:D104)</f>
        <v>0</v>
      </c>
      <c r="E105" s="75">
        <f>SUM(E101:E104)</f>
        <v>13</v>
      </c>
      <c r="F105" s="75">
        <f>SUM(F101:F104)</f>
        <v>3</v>
      </c>
      <c r="G105" s="75">
        <f>SUM(G101:G104)</f>
        <v>16</v>
      </c>
    </row>
    <row r="106" spans="1:9" ht="15.75" thickTop="1">
      <c r="A106" s="76"/>
      <c r="B106" s="76"/>
      <c r="C106" s="76"/>
      <c r="D106" s="76"/>
      <c r="E106" s="76"/>
      <c r="F106" s="76"/>
    </row>
    <row r="108" spans="1:9" ht="15">
      <c r="A108" s="173"/>
      <c r="B108" s="173"/>
      <c r="C108" s="173"/>
      <c r="D108" s="173"/>
      <c r="E108" s="173"/>
      <c r="F108" s="174" t="s">
        <v>94</v>
      </c>
      <c r="G108" s="174"/>
    </row>
    <row r="109" spans="1:9" ht="30">
      <c r="A109" s="123" t="s">
        <v>22</v>
      </c>
      <c r="B109" s="123" t="s">
        <v>89</v>
      </c>
      <c r="C109" s="123" t="s">
        <v>91</v>
      </c>
      <c r="D109" s="123" t="s">
        <v>92</v>
      </c>
      <c r="E109" s="123" t="s">
        <v>93</v>
      </c>
      <c r="F109" s="123" t="s">
        <v>149</v>
      </c>
      <c r="G109" s="123" t="s">
        <v>150</v>
      </c>
      <c r="H109" s="123" t="s">
        <v>83</v>
      </c>
      <c r="I109" s="123" t="s">
        <v>78</v>
      </c>
    </row>
    <row r="110" spans="1:9" ht="15">
      <c r="A110" s="77">
        <v>1</v>
      </c>
      <c r="B110" s="97" t="s">
        <v>71</v>
      </c>
      <c r="C110" s="125">
        <v>1000</v>
      </c>
      <c r="D110" s="125">
        <v>174</v>
      </c>
      <c r="E110" s="125">
        <v>240</v>
      </c>
      <c r="F110" s="125">
        <v>478</v>
      </c>
      <c r="G110" s="125">
        <v>501</v>
      </c>
      <c r="H110" s="125">
        <v>0</v>
      </c>
      <c r="I110" s="55">
        <f>SUM(C110:H110)</f>
        <v>2393</v>
      </c>
    </row>
    <row r="112" spans="1:9" ht="15">
      <c r="A112" s="175" t="str">
        <f>$A$1</f>
        <v>प्रपत्र - ब  -  अर्थसंकल्पीय अंदाजपत्रक सन 2021-2022</v>
      </c>
      <c r="B112" s="175"/>
      <c r="C112" s="175"/>
      <c r="D112" s="175"/>
      <c r="E112" s="175"/>
      <c r="F112" s="175"/>
      <c r="G112" s="175"/>
      <c r="H112" s="175"/>
    </row>
    <row r="113" spans="1:9" ht="15">
      <c r="A113" s="175" t="s">
        <v>19</v>
      </c>
      <c r="B113" s="175"/>
      <c r="C113" s="175"/>
      <c r="D113" s="175"/>
      <c r="E113" s="175"/>
      <c r="F113" s="175"/>
      <c r="G113" s="175"/>
      <c r="H113" s="175"/>
    </row>
    <row r="114" spans="1:9" ht="15">
      <c r="A114" s="68" t="s">
        <v>88</v>
      </c>
      <c r="B114" s="124"/>
    </row>
    <row r="115" spans="1:9" ht="15">
      <c r="A115" s="176" t="s">
        <v>22</v>
      </c>
      <c r="B115" s="176" t="s">
        <v>29</v>
      </c>
      <c r="C115" s="178" t="s">
        <v>34</v>
      </c>
      <c r="D115" s="179"/>
      <c r="E115" s="178" t="s">
        <v>41</v>
      </c>
      <c r="F115" s="179"/>
      <c r="G115" s="180" t="s">
        <v>78</v>
      </c>
    </row>
    <row r="116" spans="1:9" ht="15">
      <c r="A116" s="177"/>
      <c r="B116" s="177"/>
      <c r="C116" s="69" t="s">
        <v>85</v>
      </c>
      <c r="D116" s="69" t="s">
        <v>86</v>
      </c>
      <c r="E116" s="69" t="s">
        <v>85</v>
      </c>
      <c r="F116" s="69" t="s">
        <v>86</v>
      </c>
      <c r="G116" s="180"/>
    </row>
    <row r="117" spans="1:9" ht="15">
      <c r="A117" s="70">
        <v>1</v>
      </c>
      <c r="B117" s="71">
        <v>1</v>
      </c>
      <c r="C117" s="72"/>
      <c r="D117" s="72"/>
      <c r="E117" s="72"/>
      <c r="F117" s="72"/>
      <c r="G117" s="73">
        <v>0</v>
      </c>
    </row>
    <row r="118" spans="1:9" ht="15">
      <c r="A118" s="70">
        <v>2</v>
      </c>
      <c r="B118" s="71">
        <v>2</v>
      </c>
      <c r="C118" s="72"/>
      <c r="D118" s="72"/>
      <c r="E118" s="72"/>
      <c r="F118" s="72"/>
      <c r="G118" s="73">
        <v>0</v>
      </c>
    </row>
    <row r="119" spans="1:9" ht="15">
      <c r="A119" s="70">
        <v>3</v>
      </c>
      <c r="B119" s="71">
        <v>3</v>
      </c>
      <c r="C119" s="72"/>
      <c r="D119" s="72"/>
      <c r="E119" s="72"/>
      <c r="F119" s="72"/>
      <c r="G119" s="73">
        <v>0</v>
      </c>
    </row>
    <row r="120" spans="1:9" ht="15">
      <c r="A120" s="70">
        <v>4</v>
      </c>
      <c r="B120" s="71">
        <v>4</v>
      </c>
      <c r="C120" s="72"/>
      <c r="D120" s="72"/>
      <c r="E120" s="72"/>
      <c r="F120" s="72"/>
      <c r="G120" s="73">
        <v>0</v>
      </c>
    </row>
    <row r="121" spans="1:9" ht="15.75" thickBot="1">
      <c r="A121" s="74" t="s">
        <v>78</v>
      </c>
      <c r="B121" s="74"/>
      <c r="C121" s="75">
        <v>0</v>
      </c>
      <c r="D121" s="75">
        <v>0</v>
      </c>
      <c r="E121" s="75">
        <v>0</v>
      </c>
      <c r="F121" s="75">
        <v>0</v>
      </c>
      <c r="G121" s="75">
        <v>0</v>
      </c>
    </row>
    <row r="122" spans="1:9" ht="15.75" thickTop="1">
      <c r="A122" s="76"/>
      <c r="B122" s="76"/>
      <c r="C122" s="76"/>
      <c r="D122" s="76"/>
      <c r="E122" s="76"/>
      <c r="F122" s="76"/>
    </row>
    <row r="124" spans="1:9" ht="15">
      <c r="A124" s="173"/>
      <c r="B124" s="173"/>
      <c r="C124" s="173"/>
      <c r="D124" s="173"/>
      <c r="E124" s="173"/>
      <c r="F124" s="174" t="s">
        <v>94</v>
      </c>
      <c r="G124" s="174"/>
    </row>
    <row r="125" spans="1:9" ht="30">
      <c r="A125" s="123" t="s">
        <v>22</v>
      </c>
      <c r="B125" s="123" t="s">
        <v>89</v>
      </c>
      <c r="C125" s="123" t="s">
        <v>91</v>
      </c>
      <c r="D125" s="123" t="s">
        <v>92</v>
      </c>
      <c r="E125" s="123" t="s">
        <v>93</v>
      </c>
      <c r="F125" s="123" t="s">
        <v>149</v>
      </c>
      <c r="G125" s="123" t="s">
        <v>150</v>
      </c>
      <c r="H125" s="123" t="s">
        <v>83</v>
      </c>
      <c r="I125" s="123" t="s">
        <v>78</v>
      </c>
    </row>
    <row r="126" spans="1:9" ht="30">
      <c r="A126" s="77">
        <v>1</v>
      </c>
      <c r="B126" s="97" t="s">
        <v>90</v>
      </c>
      <c r="C126" s="125"/>
      <c r="D126" s="125"/>
      <c r="E126" s="125"/>
      <c r="F126" s="125"/>
      <c r="G126" s="125"/>
      <c r="H126" s="125"/>
      <c r="I126" s="55">
        <f>SUM(C126:H126)</f>
        <v>0</v>
      </c>
    </row>
    <row r="128" spans="1:9" ht="15">
      <c r="A128" s="175" t="str">
        <f>$A$1</f>
        <v>प्रपत्र - ब  -  अर्थसंकल्पीय अंदाजपत्रक सन 2021-2022</v>
      </c>
      <c r="B128" s="175"/>
      <c r="C128" s="175"/>
      <c r="D128" s="175"/>
      <c r="E128" s="175"/>
      <c r="F128" s="175"/>
      <c r="G128" s="175"/>
      <c r="H128" s="175"/>
    </row>
    <row r="129" spans="1:9" ht="15">
      <c r="A129" s="175" t="s">
        <v>19</v>
      </c>
      <c r="B129" s="175"/>
      <c r="C129" s="175"/>
      <c r="D129" s="175"/>
      <c r="E129" s="175"/>
      <c r="F129" s="175"/>
      <c r="G129" s="175"/>
      <c r="H129" s="175"/>
    </row>
    <row r="130" spans="1:9" ht="15">
      <c r="A130" s="68" t="s">
        <v>88</v>
      </c>
      <c r="B130" s="124"/>
    </row>
    <row r="131" spans="1:9" ht="15">
      <c r="A131" s="176" t="s">
        <v>22</v>
      </c>
      <c r="B131" s="176" t="s">
        <v>29</v>
      </c>
      <c r="C131" s="178" t="s">
        <v>34</v>
      </c>
      <c r="D131" s="179"/>
      <c r="E131" s="178" t="s">
        <v>41</v>
      </c>
      <c r="F131" s="179"/>
      <c r="G131" s="180" t="s">
        <v>78</v>
      </c>
    </row>
    <row r="132" spans="1:9" ht="15">
      <c r="A132" s="177"/>
      <c r="B132" s="177"/>
      <c r="C132" s="69" t="s">
        <v>85</v>
      </c>
      <c r="D132" s="69" t="s">
        <v>86</v>
      </c>
      <c r="E132" s="69" t="s">
        <v>85</v>
      </c>
      <c r="F132" s="69" t="s">
        <v>86</v>
      </c>
      <c r="G132" s="180"/>
    </row>
    <row r="133" spans="1:9">
      <c r="A133" s="70">
        <v>1</v>
      </c>
      <c r="B133" s="71">
        <v>1</v>
      </c>
      <c r="C133" s="72">
        <f t="shared" ref="C133:G137" si="0">SUM(C6+C22+C38+C53+C69+C85+C101+C117)</f>
        <v>0</v>
      </c>
      <c r="D133" s="72">
        <f t="shared" si="0"/>
        <v>0</v>
      </c>
      <c r="E133" s="72">
        <f t="shared" si="0"/>
        <v>9</v>
      </c>
      <c r="F133" s="72">
        <f t="shared" si="0"/>
        <v>0</v>
      </c>
      <c r="G133" s="72">
        <f t="shared" si="0"/>
        <v>9</v>
      </c>
    </row>
    <row r="134" spans="1:9">
      <c r="A134" s="70">
        <v>2</v>
      </c>
      <c r="B134" s="71">
        <v>2</v>
      </c>
      <c r="C134" s="72">
        <f t="shared" si="0"/>
        <v>0</v>
      </c>
      <c r="D134" s="72">
        <f t="shared" si="0"/>
        <v>0</v>
      </c>
      <c r="E134" s="72">
        <f t="shared" si="0"/>
        <v>1</v>
      </c>
      <c r="F134" s="72">
        <f t="shared" si="0"/>
        <v>0</v>
      </c>
      <c r="G134" s="72">
        <f t="shared" si="0"/>
        <v>1</v>
      </c>
    </row>
    <row r="135" spans="1:9">
      <c r="A135" s="70">
        <v>3</v>
      </c>
      <c r="B135" s="71">
        <v>3</v>
      </c>
      <c r="C135" s="72">
        <f t="shared" si="0"/>
        <v>3</v>
      </c>
      <c r="D135" s="72">
        <f t="shared" si="0"/>
        <v>0</v>
      </c>
      <c r="E135" s="72">
        <f t="shared" si="0"/>
        <v>39</v>
      </c>
      <c r="F135" s="72">
        <f t="shared" si="0"/>
        <v>8</v>
      </c>
      <c r="G135" s="72">
        <f t="shared" si="0"/>
        <v>50</v>
      </c>
    </row>
    <row r="136" spans="1:9">
      <c r="A136" s="70">
        <v>4</v>
      </c>
      <c r="B136" s="71">
        <v>4</v>
      </c>
      <c r="C136" s="72">
        <f t="shared" si="0"/>
        <v>0</v>
      </c>
      <c r="D136" s="72">
        <f t="shared" si="0"/>
        <v>1</v>
      </c>
      <c r="E136" s="72">
        <f t="shared" si="0"/>
        <v>6</v>
      </c>
      <c r="F136" s="72">
        <f t="shared" si="0"/>
        <v>5</v>
      </c>
      <c r="G136" s="72">
        <f t="shared" si="0"/>
        <v>12</v>
      </c>
    </row>
    <row r="137" spans="1:9" ht="15.75" thickBot="1">
      <c r="A137" s="60"/>
      <c r="B137" s="78" t="s">
        <v>78</v>
      </c>
      <c r="C137" s="79">
        <f t="shared" si="0"/>
        <v>3</v>
      </c>
      <c r="D137" s="79">
        <f t="shared" si="0"/>
        <v>1</v>
      </c>
      <c r="E137" s="79">
        <f t="shared" si="0"/>
        <v>55</v>
      </c>
      <c r="F137" s="79">
        <f t="shared" si="0"/>
        <v>13</v>
      </c>
      <c r="G137" s="79">
        <f t="shared" si="0"/>
        <v>72</v>
      </c>
    </row>
    <row r="138" spans="1:9" ht="15.75" thickTop="1">
      <c r="A138" s="76"/>
      <c r="B138" s="76"/>
      <c r="C138" s="76"/>
      <c r="D138" s="76"/>
      <c r="E138" s="76"/>
      <c r="F138" s="76"/>
    </row>
    <row r="140" spans="1:9" ht="15">
      <c r="A140" s="173"/>
      <c r="B140" s="173"/>
      <c r="C140" s="173"/>
      <c r="D140" s="173"/>
      <c r="E140" s="173"/>
      <c r="F140" s="174" t="s">
        <v>94</v>
      </c>
      <c r="G140" s="174"/>
    </row>
    <row r="141" spans="1:9" ht="30">
      <c r="A141" s="123" t="s">
        <v>22</v>
      </c>
      <c r="B141" s="123" t="s">
        <v>89</v>
      </c>
      <c r="C141" s="123" t="s">
        <v>91</v>
      </c>
      <c r="D141" s="123" t="s">
        <v>92</v>
      </c>
      <c r="E141" s="123" t="s">
        <v>93</v>
      </c>
      <c r="F141" s="123" t="s">
        <v>149</v>
      </c>
      <c r="G141" s="123" t="s">
        <v>150</v>
      </c>
      <c r="H141" s="123" t="s">
        <v>83</v>
      </c>
      <c r="I141" s="123" t="s">
        <v>78</v>
      </c>
    </row>
    <row r="142" spans="1:9" ht="15">
      <c r="A142" s="77">
        <v>1</v>
      </c>
      <c r="B142" s="123" t="s">
        <v>28</v>
      </c>
      <c r="C142" s="72">
        <f t="shared" ref="C142:H142" si="1">SUM(C15+C31+C47+C62+C78+C94+C110+C126)</f>
        <v>3100</v>
      </c>
      <c r="D142" s="72">
        <f t="shared" si="1"/>
        <v>762</v>
      </c>
      <c r="E142" s="72">
        <f t="shared" si="1"/>
        <v>950</v>
      </c>
      <c r="F142" s="72">
        <f t="shared" si="1"/>
        <v>2048</v>
      </c>
      <c r="G142" s="72">
        <f t="shared" si="1"/>
        <v>1710</v>
      </c>
      <c r="H142" s="72">
        <f t="shared" si="1"/>
        <v>20</v>
      </c>
      <c r="I142" s="55">
        <f>SUM(C142:H142)</f>
        <v>8590</v>
      </c>
    </row>
    <row r="143" spans="1:9" ht="15">
      <c r="A143" s="129"/>
      <c r="B143" s="130"/>
      <c r="C143" s="131"/>
      <c r="D143" s="131"/>
      <c r="E143" s="131"/>
      <c r="F143" s="131"/>
      <c r="G143" s="131"/>
      <c r="H143" s="131"/>
      <c r="I143" s="67"/>
    </row>
    <row r="145" spans="6:7" ht="15">
      <c r="G145" s="88" t="s">
        <v>159</v>
      </c>
    </row>
    <row r="146" spans="6:7" ht="15.75">
      <c r="F146" s="49"/>
      <c r="G146" s="128" t="s">
        <v>160</v>
      </c>
    </row>
  </sheetData>
  <mergeCells count="81">
    <mergeCell ref="E131:F131"/>
    <mergeCell ref="G131:G132"/>
    <mergeCell ref="F13:G13"/>
    <mergeCell ref="A17:H17"/>
    <mergeCell ref="A18:H18"/>
    <mergeCell ref="A140:E140"/>
    <mergeCell ref="F140:G140"/>
    <mergeCell ref="A128:H128"/>
    <mergeCell ref="A129:H129"/>
    <mergeCell ref="A131:A132"/>
    <mergeCell ref="B131:B132"/>
    <mergeCell ref="C131:D131"/>
    <mergeCell ref="C20:D20"/>
    <mergeCell ref="E20:F20"/>
    <mergeCell ref="A1:H1"/>
    <mergeCell ref="A2:H2"/>
    <mergeCell ref="A4:A5"/>
    <mergeCell ref="B4:B5"/>
    <mergeCell ref="C4:D4"/>
    <mergeCell ref="E4:F4"/>
    <mergeCell ref="G4:G5"/>
    <mergeCell ref="A13:E13"/>
    <mergeCell ref="A45:E45"/>
    <mergeCell ref="F45:G45"/>
    <mergeCell ref="A64:H64"/>
    <mergeCell ref="A65:H65"/>
    <mergeCell ref="G20:G21"/>
    <mergeCell ref="A29:E29"/>
    <mergeCell ref="F29:G29"/>
    <mergeCell ref="A33:H33"/>
    <mergeCell ref="A20:A21"/>
    <mergeCell ref="B20:B21"/>
    <mergeCell ref="A34:H34"/>
    <mergeCell ref="A36:A37"/>
    <mergeCell ref="B36:B37"/>
    <mergeCell ref="C36:D36"/>
    <mergeCell ref="E36:F36"/>
    <mergeCell ref="G36:G37"/>
    <mergeCell ref="G67:G68"/>
    <mergeCell ref="A76:E76"/>
    <mergeCell ref="F76:G76"/>
    <mergeCell ref="A80:H80"/>
    <mergeCell ref="A67:A68"/>
    <mergeCell ref="B67:B68"/>
    <mergeCell ref="C67:D67"/>
    <mergeCell ref="E67:F67"/>
    <mergeCell ref="E115:F115"/>
    <mergeCell ref="G115:G116"/>
    <mergeCell ref="A81:H81"/>
    <mergeCell ref="A83:A84"/>
    <mergeCell ref="B83:B84"/>
    <mergeCell ref="C83:D83"/>
    <mergeCell ref="E83:F83"/>
    <mergeCell ref="G83:G84"/>
    <mergeCell ref="A92:E92"/>
    <mergeCell ref="F92:G92"/>
    <mergeCell ref="A96:H96"/>
    <mergeCell ref="A97:H97"/>
    <mergeCell ref="A124:E124"/>
    <mergeCell ref="F124:G124"/>
    <mergeCell ref="A113:H113"/>
    <mergeCell ref="A115:A116"/>
    <mergeCell ref="B115:B116"/>
    <mergeCell ref="C115:D115"/>
    <mergeCell ref="A112:H112"/>
    <mergeCell ref="A99:A100"/>
    <mergeCell ref="B99:B100"/>
    <mergeCell ref="C99:D99"/>
    <mergeCell ref="E99:F99"/>
    <mergeCell ref="A108:E108"/>
    <mergeCell ref="F108:G108"/>
    <mergeCell ref="G99:G100"/>
    <mergeCell ref="A60:E60"/>
    <mergeCell ref="F60:G60"/>
    <mergeCell ref="A48:H48"/>
    <mergeCell ref="A49:H49"/>
    <mergeCell ref="A51:A52"/>
    <mergeCell ref="B51:B52"/>
    <mergeCell ref="C51:D51"/>
    <mergeCell ref="E51:F51"/>
    <mergeCell ref="G51:G52"/>
  </mergeCells>
  <phoneticPr fontId="0" type="noConversion"/>
  <pageMargins left="0.85" right="0.7" top="0.26" bottom="2.94" header="0.17" footer="0.3"/>
  <pageSetup paperSize="5" orientation="landscape" r:id="rId1"/>
  <headerFooter>
    <oddFooter>&amp;Z&amp;F&amp;RPage &amp;P</oddFooter>
  </headerFooter>
  <rowBreaks count="8" manualBreakCount="8">
    <brk id="16" max="16383" man="1"/>
    <brk id="32" max="8" man="1"/>
    <brk id="47" max="8" man="1"/>
    <brk id="63" max="8" man="1"/>
    <brk id="79" max="8" man="1"/>
    <brk id="95" max="8" man="1"/>
    <brk id="111" max="8" man="1"/>
    <brk id="127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1"/>
  <sheetViews>
    <sheetView view="pageBreakPreview" topLeftCell="A148" zoomScaleNormal="75" zoomScaleSheetLayoutView="100" workbookViewId="0">
      <selection activeCell="H151" sqref="H151"/>
    </sheetView>
  </sheetViews>
  <sheetFormatPr defaultRowHeight="14.25"/>
  <cols>
    <col min="1" max="1" width="3.5703125" style="90" customWidth="1"/>
    <col min="2" max="2" width="30.85546875" style="90" customWidth="1"/>
    <col min="3" max="4" width="11" style="90" customWidth="1"/>
    <col min="5" max="5" width="12.85546875" style="90" customWidth="1"/>
    <col min="6" max="6" width="12.5703125" style="90" customWidth="1"/>
    <col min="7" max="7" width="11.28515625" style="90" customWidth="1"/>
    <col min="8" max="8" width="14.140625" style="90" customWidth="1"/>
    <col min="9" max="9" width="12.85546875" style="90" customWidth="1"/>
    <col min="10" max="10" width="10.5703125" style="90" customWidth="1"/>
    <col min="11" max="11" width="9.85546875" style="90" customWidth="1"/>
    <col min="12" max="12" width="27.7109375" style="90" customWidth="1"/>
    <col min="13" max="16384" width="9.140625" style="50"/>
  </cols>
  <sheetData>
    <row r="1" spans="1:12" ht="15">
      <c r="A1" s="175" t="s">
        <v>155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</row>
    <row r="2" spans="1:12" ht="15">
      <c r="A2" s="175" t="s">
        <v>19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</row>
    <row r="3" spans="1:12" ht="18.75" customHeight="1">
      <c r="A3" s="185" t="s">
        <v>20</v>
      </c>
      <c r="B3" s="185"/>
      <c r="C3" s="185"/>
      <c r="D3" s="80"/>
      <c r="E3" s="80"/>
      <c r="F3" s="80"/>
      <c r="G3" s="80"/>
      <c r="H3" s="80"/>
      <c r="I3" s="80"/>
      <c r="J3" s="80"/>
      <c r="K3" s="80"/>
      <c r="L3" s="81" t="s">
        <v>62</v>
      </c>
    </row>
    <row r="4" spans="1:12" ht="28.5">
      <c r="A4" s="182" t="s">
        <v>95</v>
      </c>
      <c r="B4" s="182" t="s">
        <v>96</v>
      </c>
      <c r="C4" s="184" t="s">
        <v>107</v>
      </c>
      <c r="D4" s="184"/>
      <c r="E4" s="184"/>
      <c r="F4" s="96" t="s">
        <v>108</v>
      </c>
      <c r="G4" s="182" t="s">
        <v>157</v>
      </c>
      <c r="H4" s="184" t="s">
        <v>158</v>
      </c>
      <c r="I4" s="184"/>
      <c r="J4" s="184"/>
      <c r="K4" s="184"/>
      <c r="L4" s="182" t="s">
        <v>113</v>
      </c>
    </row>
    <row r="5" spans="1:12" ht="85.5" customHeight="1">
      <c r="A5" s="183"/>
      <c r="B5" s="183"/>
      <c r="C5" s="126" t="s">
        <v>128</v>
      </c>
      <c r="D5" s="126" t="s">
        <v>138</v>
      </c>
      <c r="E5" s="126" t="s">
        <v>139</v>
      </c>
      <c r="F5" s="126" t="s">
        <v>146</v>
      </c>
      <c r="G5" s="183"/>
      <c r="H5" s="96" t="s">
        <v>109</v>
      </c>
      <c r="I5" s="96" t="s">
        <v>110</v>
      </c>
      <c r="J5" s="96" t="s">
        <v>111</v>
      </c>
      <c r="K5" s="96" t="s">
        <v>112</v>
      </c>
      <c r="L5" s="183"/>
    </row>
    <row r="6" spans="1:12" ht="18" customHeight="1">
      <c r="A6" s="95">
        <v>1</v>
      </c>
      <c r="B6" s="95">
        <v>2</v>
      </c>
      <c r="C6" s="95">
        <v>3</v>
      </c>
      <c r="D6" s="95">
        <v>4</v>
      </c>
      <c r="E6" s="95">
        <v>5</v>
      </c>
      <c r="F6" s="95">
        <v>6</v>
      </c>
      <c r="G6" s="95">
        <v>7</v>
      </c>
      <c r="H6" s="95">
        <v>8</v>
      </c>
      <c r="I6" s="95">
        <v>9</v>
      </c>
      <c r="J6" s="95">
        <v>10</v>
      </c>
      <c r="K6" s="95">
        <v>11</v>
      </c>
      <c r="L6" s="95">
        <v>12</v>
      </c>
    </row>
    <row r="7" spans="1:12">
      <c r="A7" s="83">
        <v>1</v>
      </c>
      <c r="B7" s="83" t="s">
        <v>97</v>
      </c>
      <c r="C7" s="83"/>
      <c r="D7" s="83"/>
      <c r="E7" s="83"/>
      <c r="F7" s="83"/>
      <c r="G7" s="83"/>
      <c r="H7" s="83"/>
      <c r="I7" s="83"/>
      <c r="J7" s="83"/>
      <c r="K7" s="83"/>
      <c r="L7" s="83"/>
    </row>
    <row r="8" spans="1:12">
      <c r="A8" s="83">
        <v>2</v>
      </c>
      <c r="B8" s="83" t="s">
        <v>98</v>
      </c>
      <c r="C8" s="83"/>
      <c r="D8" s="83"/>
      <c r="E8" s="83"/>
      <c r="F8" s="83"/>
      <c r="G8" s="83"/>
      <c r="H8" s="83"/>
      <c r="I8" s="83"/>
      <c r="J8" s="83"/>
      <c r="K8" s="83"/>
      <c r="L8" s="84"/>
    </row>
    <row r="9" spans="1:12">
      <c r="A9" s="83">
        <v>3</v>
      </c>
      <c r="B9" s="83" t="s">
        <v>99</v>
      </c>
      <c r="C9" s="83"/>
      <c r="D9" s="83"/>
      <c r="E9" s="83"/>
      <c r="F9" s="83"/>
      <c r="G9" s="83"/>
      <c r="H9" s="83"/>
      <c r="I9" s="83"/>
      <c r="J9" s="83"/>
      <c r="K9" s="83"/>
      <c r="L9" s="83"/>
    </row>
    <row r="10" spans="1:12">
      <c r="A10" s="83">
        <v>4</v>
      </c>
      <c r="B10" s="83" t="s">
        <v>100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</row>
    <row r="11" spans="1:12">
      <c r="A11" s="83">
        <v>5</v>
      </c>
      <c r="B11" s="83" t="s">
        <v>101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</row>
    <row r="12" spans="1:12">
      <c r="A12" s="83">
        <v>6</v>
      </c>
      <c r="B12" s="83" t="s">
        <v>102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>
      <c r="A13" s="83">
        <v>7</v>
      </c>
      <c r="B13" s="83" t="s">
        <v>103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</row>
    <row r="14" spans="1:12">
      <c r="A14" s="83">
        <v>8</v>
      </c>
      <c r="B14" s="83" t="s">
        <v>104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</row>
    <row r="15" spans="1:12">
      <c r="A15" s="83">
        <v>9</v>
      </c>
      <c r="B15" s="83" t="s">
        <v>105</v>
      </c>
      <c r="C15" s="83"/>
      <c r="D15" s="83"/>
      <c r="E15" s="83"/>
      <c r="F15" s="83"/>
      <c r="G15" s="83"/>
      <c r="H15" s="83"/>
      <c r="I15" s="83"/>
      <c r="J15" s="83"/>
      <c r="K15" s="83"/>
      <c r="L15" s="83"/>
    </row>
    <row r="16" spans="1:12">
      <c r="A16" s="52">
        <v>10</v>
      </c>
      <c r="B16" s="83" t="s">
        <v>106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</row>
    <row r="17" spans="1:12" ht="15.75" thickBot="1">
      <c r="A17" s="85"/>
      <c r="B17" s="86" t="s">
        <v>78</v>
      </c>
      <c r="C17" s="85">
        <v>0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>
        <v>0</v>
      </c>
      <c r="L17" s="85"/>
    </row>
    <row r="18" spans="1:12" ht="29.25" customHeight="1" thickTop="1">
      <c r="A18" s="87"/>
      <c r="B18" s="88"/>
      <c r="C18" s="87"/>
      <c r="D18" s="87"/>
      <c r="E18" s="87"/>
      <c r="F18" s="87"/>
      <c r="G18" s="87"/>
      <c r="H18" s="87"/>
      <c r="I18" s="87"/>
      <c r="J18" s="87"/>
      <c r="K18" s="87"/>
      <c r="L18" s="87"/>
    </row>
    <row r="19" spans="1:12" ht="15">
      <c r="A19" s="175" t="str">
        <f>$A$1</f>
        <v>प्रपत्र - अ  -  अर्थसंकल्पीय अंदाजपत्रक सन 2021-2022</v>
      </c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</row>
    <row r="20" spans="1:12" ht="15">
      <c r="A20" s="175" t="s">
        <v>19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</row>
    <row r="21" spans="1:12" ht="15">
      <c r="A21" s="185" t="s">
        <v>23</v>
      </c>
      <c r="B21" s="185"/>
      <c r="C21" s="185"/>
      <c r="D21" s="80"/>
      <c r="E21" s="80"/>
      <c r="F21" s="80"/>
      <c r="G21" s="80"/>
      <c r="H21" s="80"/>
      <c r="I21" s="80"/>
      <c r="J21" s="80"/>
      <c r="K21" s="80"/>
      <c r="L21" s="81" t="s">
        <v>62</v>
      </c>
    </row>
    <row r="22" spans="1:12" ht="42" customHeight="1">
      <c r="A22" s="182" t="s">
        <v>95</v>
      </c>
      <c r="B22" s="182" t="s">
        <v>96</v>
      </c>
      <c r="C22" s="184" t="s">
        <v>107</v>
      </c>
      <c r="D22" s="184"/>
      <c r="E22" s="184"/>
      <c r="F22" s="126" t="s">
        <v>108</v>
      </c>
      <c r="G22" s="182" t="s">
        <v>157</v>
      </c>
      <c r="H22" s="184" t="s">
        <v>158</v>
      </c>
      <c r="I22" s="184"/>
      <c r="J22" s="184"/>
      <c r="K22" s="184"/>
      <c r="L22" s="182" t="s">
        <v>113</v>
      </c>
    </row>
    <row r="23" spans="1:12" ht="42.75">
      <c r="A23" s="183"/>
      <c r="B23" s="183"/>
      <c r="C23" s="126" t="s">
        <v>128</v>
      </c>
      <c r="D23" s="126" t="s">
        <v>138</v>
      </c>
      <c r="E23" s="126" t="s">
        <v>139</v>
      </c>
      <c r="F23" s="126" t="s">
        <v>146</v>
      </c>
      <c r="G23" s="183"/>
      <c r="H23" s="126" t="s">
        <v>109</v>
      </c>
      <c r="I23" s="126" t="s">
        <v>110</v>
      </c>
      <c r="J23" s="126" t="s">
        <v>111</v>
      </c>
      <c r="K23" s="126" t="s">
        <v>112</v>
      </c>
      <c r="L23" s="183"/>
    </row>
    <row r="24" spans="1:12">
      <c r="A24" s="95">
        <v>1</v>
      </c>
      <c r="B24" s="95">
        <v>2</v>
      </c>
      <c r="C24" s="95">
        <v>3</v>
      </c>
      <c r="D24" s="95">
        <v>4</v>
      </c>
      <c r="E24" s="95">
        <v>5</v>
      </c>
      <c r="F24" s="95">
        <v>6</v>
      </c>
      <c r="G24" s="95">
        <v>7</v>
      </c>
      <c r="H24" s="95">
        <v>8</v>
      </c>
      <c r="I24" s="95">
        <v>9</v>
      </c>
      <c r="J24" s="95">
        <v>10</v>
      </c>
      <c r="K24" s="95">
        <v>11</v>
      </c>
      <c r="L24" s="95">
        <v>12</v>
      </c>
    </row>
    <row r="25" spans="1:12">
      <c r="A25" s="83">
        <v>1</v>
      </c>
      <c r="B25" s="83" t="s">
        <v>97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</row>
    <row r="26" spans="1:12">
      <c r="A26" s="83">
        <v>2</v>
      </c>
      <c r="B26" s="83" t="s">
        <v>98</v>
      </c>
      <c r="C26" s="83"/>
      <c r="D26" s="83"/>
      <c r="E26" s="83"/>
      <c r="F26" s="83"/>
      <c r="G26" s="83"/>
      <c r="H26" s="83"/>
      <c r="I26" s="83"/>
      <c r="J26" s="83"/>
      <c r="K26" s="83"/>
      <c r="L26" s="84"/>
    </row>
    <row r="27" spans="1:12">
      <c r="A27" s="83">
        <v>3</v>
      </c>
      <c r="B27" s="83" t="s">
        <v>99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</row>
    <row r="28" spans="1:12">
      <c r="A28" s="83">
        <v>4</v>
      </c>
      <c r="B28" s="83" t="s">
        <v>100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</row>
    <row r="29" spans="1:12">
      <c r="A29" s="83">
        <v>5</v>
      </c>
      <c r="B29" s="83" t="s">
        <v>101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</row>
    <row r="30" spans="1:12">
      <c r="A30" s="83">
        <v>6</v>
      </c>
      <c r="B30" s="83" t="s">
        <v>102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</row>
    <row r="31" spans="1:12">
      <c r="A31" s="83">
        <v>7</v>
      </c>
      <c r="B31" s="83" t="s">
        <v>103</v>
      </c>
      <c r="C31" s="83"/>
      <c r="D31" s="83"/>
      <c r="E31" s="83"/>
      <c r="F31" s="83"/>
      <c r="G31" s="83"/>
      <c r="H31" s="83"/>
      <c r="I31" s="83"/>
      <c r="J31" s="83"/>
      <c r="K31" s="83"/>
      <c r="L31" s="83"/>
    </row>
    <row r="32" spans="1:12">
      <c r="A32" s="83">
        <v>8</v>
      </c>
      <c r="B32" s="83" t="s">
        <v>104</v>
      </c>
      <c r="C32" s="83"/>
      <c r="D32" s="83"/>
      <c r="E32" s="83"/>
      <c r="F32" s="83"/>
      <c r="G32" s="83"/>
      <c r="H32" s="83"/>
      <c r="I32" s="83"/>
      <c r="J32" s="83"/>
      <c r="K32" s="83"/>
      <c r="L32" s="83"/>
    </row>
    <row r="33" spans="1:12">
      <c r="A33" s="83">
        <v>9</v>
      </c>
      <c r="B33" s="83" t="s">
        <v>105</v>
      </c>
      <c r="C33" s="83"/>
      <c r="D33" s="83"/>
      <c r="E33" s="83"/>
      <c r="F33" s="83"/>
      <c r="G33" s="83"/>
      <c r="H33" s="83"/>
      <c r="I33" s="83"/>
      <c r="J33" s="83"/>
      <c r="K33" s="83"/>
      <c r="L33" s="83"/>
    </row>
    <row r="34" spans="1:12">
      <c r="A34" s="52">
        <v>10</v>
      </c>
      <c r="B34" s="83" t="s">
        <v>106</v>
      </c>
      <c r="C34" s="83"/>
      <c r="D34" s="83"/>
      <c r="E34" s="83"/>
      <c r="F34" s="83"/>
      <c r="G34" s="83"/>
      <c r="H34" s="83"/>
      <c r="I34" s="83"/>
      <c r="J34" s="83"/>
      <c r="K34" s="83"/>
      <c r="L34" s="83"/>
    </row>
    <row r="35" spans="1:12" ht="15.75" thickBot="1">
      <c r="A35" s="85"/>
      <c r="B35" s="86" t="s">
        <v>78</v>
      </c>
      <c r="C35" s="85">
        <v>0</v>
      </c>
      <c r="D35" s="85">
        <v>0</v>
      </c>
      <c r="E35" s="85">
        <v>0</v>
      </c>
      <c r="F35" s="85">
        <v>0</v>
      </c>
      <c r="G35" s="85">
        <v>0</v>
      </c>
      <c r="H35" s="85">
        <v>0</v>
      </c>
      <c r="I35" s="85">
        <v>0</v>
      </c>
      <c r="J35" s="85">
        <v>0</v>
      </c>
      <c r="K35" s="85">
        <v>0</v>
      </c>
      <c r="L35" s="85">
        <v>0</v>
      </c>
    </row>
    <row r="36" spans="1:12" ht="15.75" thickTop="1">
      <c r="A36" s="87"/>
      <c r="B36" s="88"/>
      <c r="C36" s="87"/>
      <c r="D36" s="87"/>
      <c r="E36" s="87"/>
      <c r="F36" s="87"/>
      <c r="G36" s="87"/>
      <c r="H36" s="87"/>
      <c r="I36" s="87"/>
      <c r="J36" s="87"/>
      <c r="K36" s="87"/>
      <c r="L36" s="87"/>
    </row>
    <row r="37" spans="1:12" ht="15">
      <c r="A37" s="175" t="str">
        <f>$A$1</f>
        <v>प्रपत्र - अ  -  अर्थसंकल्पीय अंदाजपत्रक सन 2021-2022</v>
      </c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</row>
    <row r="38" spans="1:12" ht="15">
      <c r="A38" s="175" t="s">
        <v>19</v>
      </c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</row>
    <row r="39" spans="1:12" ht="15">
      <c r="A39" s="186" t="s">
        <v>24</v>
      </c>
      <c r="B39" s="186"/>
      <c r="C39" s="186"/>
      <c r="D39" s="80"/>
      <c r="E39" s="80"/>
      <c r="F39" s="80"/>
      <c r="G39" s="80"/>
      <c r="H39" s="80"/>
      <c r="I39" s="80"/>
      <c r="J39" s="80"/>
      <c r="K39" s="80"/>
      <c r="L39" s="81" t="s">
        <v>62</v>
      </c>
    </row>
    <row r="40" spans="1:12" ht="42" customHeight="1">
      <c r="A40" s="182" t="s">
        <v>95</v>
      </c>
      <c r="B40" s="182" t="s">
        <v>96</v>
      </c>
      <c r="C40" s="184" t="s">
        <v>107</v>
      </c>
      <c r="D40" s="184"/>
      <c r="E40" s="184"/>
      <c r="F40" s="126" t="s">
        <v>108</v>
      </c>
      <c r="G40" s="182" t="s">
        <v>157</v>
      </c>
      <c r="H40" s="184" t="s">
        <v>158</v>
      </c>
      <c r="I40" s="184"/>
      <c r="J40" s="184"/>
      <c r="K40" s="184"/>
      <c r="L40" s="182" t="s">
        <v>113</v>
      </c>
    </row>
    <row r="41" spans="1:12" ht="42.75">
      <c r="A41" s="183"/>
      <c r="B41" s="183"/>
      <c r="C41" s="126" t="s">
        <v>128</v>
      </c>
      <c r="D41" s="126" t="s">
        <v>138</v>
      </c>
      <c r="E41" s="126" t="s">
        <v>139</v>
      </c>
      <c r="F41" s="126" t="s">
        <v>146</v>
      </c>
      <c r="G41" s="183"/>
      <c r="H41" s="126" t="s">
        <v>109</v>
      </c>
      <c r="I41" s="126" t="s">
        <v>110</v>
      </c>
      <c r="J41" s="126" t="s">
        <v>111</v>
      </c>
      <c r="K41" s="126" t="s">
        <v>112</v>
      </c>
      <c r="L41" s="183"/>
    </row>
    <row r="42" spans="1:12">
      <c r="A42" s="95">
        <v>1</v>
      </c>
      <c r="B42" s="95">
        <v>2</v>
      </c>
      <c r="C42" s="95">
        <v>3</v>
      </c>
      <c r="D42" s="95">
        <v>4</v>
      </c>
      <c r="E42" s="95">
        <v>5</v>
      </c>
      <c r="F42" s="95">
        <v>6</v>
      </c>
      <c r="G42" s="95">
        <v>7</v>
      </c>
      <c r="H42" s="95">
        <v>8</v>
      </c>
      <c r="I42" s="95">
        <v>9</v>
      </c>
      <c r="J42" s="95">
        <v>10</v>
      </c>
      <c r="K42" s="95">
        <v>11</v>
      </c>
      <c r="L42" s="95">
        <v>12</v>
      </c>
    </row>
    <row r="43" spans="1:12">
      <c r="A43" s="83">
        <v>1</v>
      </c>
      <c r="B43" s="83" t="s">
        <v>97</v>
      </c>
      <c r="C43" s="83">
        <v>5150</v>
      </c>
      <c r="D43" s="83">
        <v>6700</v>
      </c>
      <c r="E43" s="83">
        <v>8652</v>
      </c>
      <c r="F43" s="83">
        <v>9424</v>
      </c>
      <c r="G43" s="83">
        <v>9500</v>
      </c>
      <c r="H43" s="83">
        <v>9714</v>
      </c>
      <c r="I43" s="83"/>
      <c r="J43" s="83"/>
      <c r="K43" s="83"/>
      <c r="L43" s="83"/>
    </row>
    <row r="44" spans="1:12">
      <c r="A44" s="83">
        <v>2</v>
      </c>
      <c r="B44" s="83" t="s">
        <v>98</v>
      </c>
      <c r="C44" s="83">
        <v>0</v>
      </c>
      <c r="D44" s="83">
        <v>0</v>
      </c>
      <c r="E44" s="83">
        <v>0</v>
      </c>
      <c r="F44" s="83">
        <v>0</v>
      </c>
      <c r="G44" s="83">
        <v>0</v>
      </c>
      <c r="H44" s="83">
        <v>0</v>
      </c>
      <c r="I44" s="83"/>
      <c r="J44" s="83"/>
      <c r="K44" s="83"/>
      <c r="L44" s="84"/>
    </row>
    <row r="45" spans="1:12">
      <c r="A45" s="83">
        <v>3</v>
      </c>
      <c r="B45" s="83" t="s">
        <v>99</v>
      </c>
      <c r="C45" s="83">
        <v>84</v>
      </c>
      <c r="D45" s="83">
        <v>155</v>
      </c>
      <c r="E45" s="83">
        <v>120</v>
      </c>
      <c r="F45" s="83">
        <v>410</v>
      </c>
      <c r="G45" s="83">
        <v>410</v>
      </c>
      <c r="H45" s="83">
        <v>500</v>
      </c>
      <c r="I45" s="83"/>
      <c r="J45" s="83"/>
      <c r="K45" s="83"/>
      <c r="L45" s="83"/>
    </row>
    <row r="46" spans="1:12">
      <c r="A46" s="83">
        <v>4</v>
      </c>
      <c r="B46" s="83" t="s">
        <v>100</v>
      </c>
      <c r="C46" s="83">
        <v>37</v>
      </c>
      <c r="D46" s="83">
        <v>28</v>
      </c>
      <c r="E46" s="83">
        <v>16</v>
      </c>
      <c r="F46" s="83">
        <v>115</v>
      </c>
      <c r="G46" s="83">
        <v>115</v>
      </c>
      <c r="H46" s="83">
        <v>130</v>
      </c>
      <c r="I46" s="83"/>
      <c r="J46" s="83"/>
      <c r="K46" s="83"/>
      <c r="L46" s="83"/>
    </row>
    <row r="47" spans="1:12">
      <c r="A47" s="83">
        <v>5</v>
      </c>
      <c r="B47" s="83" t="s">
        <v>101</v>
      </c>
      <c r="C47" s="83">
        <v>102</v>
      </c>
      <c r="D47" s="83">
        <v>115</v>
      </c>
      <c r="E47" s="83">
        <v>93</v>
      </c>
      <c r="F47" s="83">
        <v>260</v>
      </c>
      <c r="G47" s="83">
        <v>260</v>
      </c>
      <c r="H47" s="83">
        <v>300</v>
      </c>
      <c r="I47" s="83"/>
      <c r="J47" s="83"/>
      <c r="K47" s="83"/>
      <c r="L47" s="83"/>
    </row>
    <row r="48" spans="1:12">
      <c r="A48" s="83">
        <v>6</v>
      </c>
      <c r="B48" s="83" t="s">
        <v>102</v>
      </c>
      <c r="C48" s="83">
        <v>0</v>
      </c>
      <c r="D48" s="83">
        <v>0</v>
      </c>
      <c r="E48" s="83">
        <v>0</v>
      </c>
      <c r="F48" s="83">
        <v>0</v>
      </c>
      <c r="G48" s="83">
        <v>0</v>
      </c>
      <c r="H48" s="83">
        <v>0</v>
      </c>
      <c r="I48" s="83"/>
      <c r="J48" s="83"/>
      <c r="K48" s="83"/>
      <c r="L48" s="83"/>
    </row>
    <row r="49" spans="1:12">
      <c r="A49" s="83">
        <v>7</v>
      </c>
      <c r="B49" s="83" t="s">
        <v>103</v>
      </c>
      <c r="C49" s="83">
        <v>0</v>
      </c>
      <c r="D49" s="83">
        <v>0</v>
      </c>
      <c r="E49" s="83">
        <v>0</v>
      </c>
      <c r="F49" s="83">
        <v>0</v>
      </c>
      <c r="G49" s="83">
        <v>0</v>
      </c>
      <c r="H49" s="83">
        <v>0</v>
      </c>
      <c r="I49" s="83"/>
      <c r="J49" s="83"/>
      <c r="K49" s="83"/>
      <c r="L49" s="83"/>
    </row>
    <row r="50" spans="1:12">
      <c r="A50" s="83">
        <v>8</v>
      </c>
      <c r="B50" s="83" t="s">
        <v>104</v>
      </c>
      <c r="C50" s="83">
        <v>2</v>
      </c>
      <c r="D50" s="83">
        <v>63</v>
      </c>
      <c r="E50" s="83">
        <v>22</v>
      </c>
      <c r="F50" s="83">
        <v>110</v>
      </c>
      <c r="G50" s="83">
        <v>110</v>
      </c>
      <c r="H50" s="83">
        <v>150</v>
      </c>
      <c r="I50" s="83"/>
      <c r="J50" s="83"/>
      <c r="K50" s="83"/>
      <c r="L50" s="83"/>
    </row>
    <row r="51" spans="1:12">
      <c r="A51" s="83">
        <v>9</v>
      </c>
      <c r="B51" s="83" t="s">
        <v>105</v>
      </c>
      <c r="C51" s="83">
        <v>0</v>
      </c>
      <c r="D51" s="83">
        <v>0</v>
      </c>
      <c r="E51" s="83">
        <v>0</v>
      </c>
      <c r="F51" s="83">
        <v>46</v>
      </c>
      <c r="G51" s="83">
        <v>46</v>
      </c>
      <c r="H51" s="83">
        <v>46</v>
      </c>
      <c r="I51" s="83"/>
      <c r="J51" s="83"/>
      <c r="K51" s="83"/>
      <c r="L51" s="83"/>
    </row>
    <row r="52" spans="1:12">
      <c r="A52" s="52">
        <v>10</v>
      </c>
      <c r="B52" s="83" t="s">
        <v>106</v>
      </c>
      <c r="C52" s="83">
        <v>0</v>
      </c>
      <c r="D52" s="83">
        <v>0</v>
      </c>
      <c r="E52" s="83">
        <v>0</v>
      </c>
      <c r="F52" s="83">
        <v>0</v>
      </c>
      <c r="G52" s="83">
        <v>0</v>
      </c>
      <c r="H52" s="83">
        <v>0</v>
      </c>
      <c r="I52" s="83"/>
      <c r="J52" s="83"/>
      <c r="K52" s="83"/>
      <c r="L52" s="83"/>
    </row>
    <row r="53" spans="1:12" ht="15.75" thickBot="1">
      <c r="A53" s="85"/>
      <c r="B53" s="86" t="s">
        <v>78</v>
      </c>
      <c r="C53" s="85">
        <f>SUM(C43:C52)</f>
        <v>5375</v>
      </c>
      <c r="D53" s="85">
        <f t="shared" ref="D53:L53" si="0">SUM(D43:D52)</f>
        <v>7061</v>
      </c>
      <c r="E53" s="85">
        <f t="shared" si="0"/>
        <v>8903</v>
      </c>
      <c r="F53" s="85">
        <f t="shared" si="0"/>
        <v>10365</v>
      </c>
      <c r="G53" s="85">
        <f t="shared" si="0"/>
        <v>10441</v>
      </c>
      <c r="H53" s="85">
        <f t="shared" si="0"/>
        <v>10840</v>
      </c>
      <c r="I53" s="85">
        <f t="shared" si="0"/>
        <v>0</v>
      </c>
      <c r="J53" s="85">
        <f t="shared" si="0"/>
        <v>0</v>
      </c>
      <c r="K53" s="85">
        <f t="shared" si="0"/>
        <v>0</v>
      </c>
      <c r="L53" s="85">
        <f t="shared" si="0"/>
        <v>0</v>
      </c>
    </row>
    <row r="54" spans="1:12" ht="15.75" thickTop="1">
      <c r="A54" s="175" t="str">
        <f>$A$1</f>
        <v>प्रपत्र - अ  -  अर्थसंकल्पीय अंदाजपत्रक सन 2021-2022</v>
      </c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</row>
    <row r="55" spans="1:12" ht="15">
      <c r="A55" s="175" t="s">
        <v>19</v>
      </c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</row>
    <row r="56" spans="1:12" ht="15">
      <c r="A56" s="181" t="s">
        <v>116</v>
      </c>
      <c r="B56" s="181"/>
      <c r="C56" s="181"/>
      <c r="D56" s="80"/>
      <c r="E56" s="80"/>
      <c r="F56" s="80"/>
      <c r="G56" s="80"/>
      <c r="H56" s="80"/>
      <c r="I56" s="80"/>
      <c r="J56" s="80"/>
      <c r="K56" s="80"/>
      <c r="L56" s="81" t="s">
        <v>62</v>
      </c>
    </row>
    <row r="57" spans="1:12" ht="42" customHeight="1">
      <c r="A57" s="182" t="s">
        <v>95</v>
      </c>
      <c r="B57" s="182" t="s">
        <v>96</v>
      </c>
      <c r="C57" s="184" t="s">
        <v>107</v>
      </c>
      <c r="D57" s="184"/>
      <c r="E57" s="184"/>
      <c r="F57" s="126" t="s">
        <v>108</v>
      </c>
      <c r="G57" s="182" t="s">
        <v>157</v>
      </c>
      <c r="H57" s="184" t="s">
        <v>158</v>
      </c>
      <c r="I57" s="184"/>
      <c r="J57" s="184"/>
      <c r="K57" s="184"/>
      <c r="L57" s="182" t="s">
        <v>113</v>
      </c>
    </row>
    <row r="58" spans="1:12" ht="42.75">
      <c r="A58" s="183"/>
      <c r="B58" s="183"/>
      <c r="C58" s="126" t="s">
        <v>128</v>
      </c>
      <c r="D58" s="126" t="s">
        <v>138</v>
      </c>
      <c r="E58" s="126" t="s">
        <v>139</v>
      </c>
      <c r="F58" s="126" t="s">
        <v>146</v>
      </c>
      <c r="G58" s="183"/>
      <c r="H58" s="126" t="s">
        <v>109</v>
      </c>
      <c r="I58" s="126" t="s">
        <v>110</v>
      </c>
      <c r="J58" s="126" t="s">
        <v>111</v>
      </c>
      <c r="K58" s="126" t="s">
        <v>112</v>
      </c>
      <c r="L58" s="183"/>
    </row>
    <row r="59" spans="1:12">
      <c r="A59" s="95">
        <v>1</v>
      </c>
      <c r="B59" s="95">
        <v>2</v>
      </c>
      <c r="C59" s="95">
        <v>3</v>
      </c>
      <c r="D59" s="95">
        <v>4</v>
      </c>
      <c r="E59" s="95">
        <v>5</v>
      </c>
      <c r="F59" s="95">
        <v>6</v>
      </c>
      <c r="G59" s="95">
        <v>7</v>
      </c>
      <c r="H59" s="95">
        <v>8</v>
      </c>
      <c r="I59" s="95">
        <v>9</v>
      </c>
      <c r="J59" s="95">
        <v>10</v>
      </c>
      <c r="K59" s="95">
        <v>11</v>
      </c>
      <c r="L59" s="95">
        <v>12</v>
      </c>
    </row>
    <row r="60" spans="1:12">
      <c r="A60" s="83">
        <v>1</v>
      </c>
      <c r="B60" s="83" t="s">
        <v>97</v>
      </c>
      <c r="C60" s="52">
        <v>344</v>
      </c>
      <c r="D60" s="52">
        <v>375</v>
      </c>
      <c r="E60" s="52">
        <v>1112</v>
      </c>
      <c r="F60" s="52">
        <v>1749</v>
      </c>
      <c r="G60" s="52">
        <v>1750</v>
      </c>
      <c r="H60" s="52">
        <v>1791</v>
      </c>
      <c r="I60" s="83"/>
      <c r="J60" s="83"/>
      <c r="K60" s="83"/>
      <c r="L60" s="83"/>
    </row>
    <row r="61" spans="1:12">
      <c r="A61" s="83">
        <v>2</v>
      </c>
      <c r="B61" s="83" t="s">
        <v>98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83"/>
      <c r="J61" s="83"/>
      <c r="K61" s="83"/>
      <c r="L61" s="84"/>
    </row>
    <row r="62" spans="1:12">
      <c r="A62" s="83">
        <v>3</v>
      </c>
      <c r="B62" s="83" t="s">
        <v>99</v>
      </c>
      <c r="C62" s="52">
        <v>0</v>
      </c>
      <c r="D62" s="52">
        <v>0</v>
      </c>
      <c r="E62" s="52">
        <v>1</v>
      </c>
      <c r="F62" s="52">
        <v>100</v>
      </c>
      <c r="G62" s="52">
        <v>10</v>
      </c>
      <c r="H62" s="52">
        <v>10</v>
      </c>
      <c r="I62" s="83"/>
      <c r="J62" s="83"/>
      <c r="K62" s="83"/>
      <c r="L62" s="83"/>
    </row>
    <row r="63" spans="1:12">
      <c r="A63" s="83">
        <v>4</v>
      </c>
      <c r="B63" s="83" t="s">
        <v>100</v>
      </c>
      <c r="C63" s="52">
        <v>0</v>
      </c>
      <c r="D63" s="52">
        <v>27</v>
      </c>
      <c r="E63" s="52">
        <v>0</v>
      </c>
      <c r="F63" s="52">
        <v>100</v>
      </c>
      <c r="G63" s="52">
        <v>50</v>
      </c>
      <c r="H63" s="52">
        <v>75</v>
      </c>
      <c r="I63" s="83"/>
      <c r="J63" s="83"/>
      <c r="K63" s="83"/>
      <c r="L63" s="83"/>
    </row>
    <row r="64" spans="1:12">
      <c r="A64" s="83">
        <v>5</v>
      </c>
      <c r="B64" s="83" t="s">
        <v>101</v>
      </c>
      <c r="C64" s="52">
        <v>60</v>
      </c>
      <c r="D64" s="52">
        <v>168</v>
      </c>
      <c r="E64" s="52">
        <v>78</v>
      </c>
      <c r="F64" s="52">
        <v>250</v>
      </c>
      <c r="G64" s="52">
        <v>50</v>
      </c>
      <c r="H64" s="52">
        <v>100</v>
      </c>
      <c r="I64" s="83"/>
      <c r="J64" s="83"/>
      <c r="K64" s="83"/>
      <c r="L64" s="83"/>
    </row>
    <row r="65" spans="1:12">
      <c r="A65" s="83">
        <v>6</v>
      </c>
      <c r="B65" s="83" t="s">
        <v>102</v>
      </c>
      <c r="C65" s="52">
        <v>0</v>
      </c>
      <c r="D65" s="52">
        <v>59</v>
      </c>
      <c r="E65" s="52">
        <v>0</v>
      </c>
      <c r="F65" s="52">
        <v>160</v>
      </c>
      <c r="G65" s="52">
        <v>0</v>
      </c>
      <c r="H65" s="52">
        <v>0</v>
      </c>
      <c r="I65" s="83"/>
      <c r="J65" s="83"/>
      <c r="K65" s="83"/>
      <c r="L65" s="83"/>
    </row>
    <row r="66" spans="1:12">
      <c r="A66" s="83">
        <v>7</v>
      </c>
      <c r="B66" s="83" t="s">
        <v>103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83"/>
      <c r="J66" s="83"/>
      <c r="K66" s="83"/>
      <c r="L66" s="83"/>
    </row>
    <row r="67" spans="1:12">
      <c r="A67" s="83">
        <v>8</v>
      </c>
      <c r="B67" s="83" t="s">
        <v>104</v>
      </c>
      <c r="C67" s="52">
        <v>12</v>
      </c>
      <c r="D67" s="52">
        <v>84</v>
      </c>
      <c r="E67" s="52">
        <v>12</v>
      </c>
      <c r="F67" s="52">
        <v>140</v>
      </c>
      <c r="G67" s="52">
        <v>20</v>
      </c>
      <c r="H67" s="52">
        <v>50</v>
      </c>
      <c r="I67" s="83"/>
      <c r="J67" s="83"/>
      <c r="K67" s="83"/>
      <c r="L67" s="83"/>
    </row>
    <row r="68" spans="1:12">
      <c r="A68" s="83">
        <v>9</v>
      </c>
      <c r="B68" s="83" t="s">
        <v>105</v>
      </c>
      <c r="C68" s="52">
        <v>0</v>
      </c>
      <c r="D68" s="52">
        <v>0</v>
      </c>
      <c r="E68" s="52">
        <v>0</v>
      </c>
      <c r="F68" s="52">
        <v>200</v>
      </c>
      <c r="G68" s="52">
        <v>0</v>
      </c>
      <c r="H68" s="52">
        <v>0</v>
      </c>
      <c r="I68" s="83"/>
      <c r="J68" s="83"/>
      <c r="K68" s="83"/>
      <c r="L68" s="83"/>
    </row>
    <row r="69" spans="1:12">
      <c r="A69" s="52">
        <v>10</v>
      </c>
      <c r="B69" s="83" t="s">
        <v>106</v>
      </c>
      <c r="C69" s="52">
        <v>0</v>
      </c>
      <c r="D69" s="52">
        <v>0</v>
      </c>
      <c r="E69" s="52">
        <v>0</v>
      </c>
      <c r="F69" s="52">
        <v>0</v>
      </c>
      <c r="G69" s="52">
        <v>20</v>
      </c>
      <c r="H69" s="52">
        <v>20</v>
      </c>
      <c r="I69" s="83"/>
      <c r="J69" s="83"/>
      <c r="K69" s="83"/>
      <c r="L69" s="83"/>
    </row>
    <row r="70" spans="1:12" ht="15.75" thickBot="1">
      <c r="A70" s="85"/>
      <c r="B70" s="86" t="s">
        <v>78</v>
      </c>
      <c r="C70" s="56">
        <f>SUM(C60:C69)</f>
        <v>416</v>
      </c>
      <c r="D70" s="56">
        <f>SUM(D60:D69)</f>
        <v>713</v>
      </c>
      <c r="E70" s="56">
        <f>SUM(E60:E69)</f>
        <v>1203</v>
      </c>
      <c r="F70" s="56">
        <f t="shared" ref="F70:K70" si="1">SUM(F60:F69)</f>
        <v>2699</v>
      </c>
      <c r="G70" s="56">
        <f t="shared" si="1"/>
        <v>1900</v>
      </c>
      <c r="H70" s="56">
        <f t="shared" si="1"/>
        <v>2046</v>
      </c>
      <c r="I70" s="56">
        <f t="shared" si="1"/>
        <v>0</v>
      </c>
      <c r="J70" s="56">
        <f t="shared" si="1"/>
        <v>0</v>
      </c>
      <c r="K70" s="56">
        <f t="shared" si="1"/>
        <v>0</v>
      </c>
      <c r="L70" s="56">
        <v>0</v>
      </c>
    </row>
    <row r="71" spans="1:12" ht="15.75" thickTop="1">
      <c r="A71" s="87"/>
      <c r="B71" s="88"/>
      <c r="C71" s="87"/>
      <c r="D71" s="87"/>
      <c r="E71" s="87"/>
      <c r="F71" s="87"/>
      <c r="G71" s="87"/>
      <c r="H71" s="87"/>
      <c r="I71" s="87"/>
      <c r="J71" s="87"/>
      <c r="K71" s="87"/>
      <c r="L71" s="87"/>
    </row>
    <row r="72" spans="1:12" ht="15">
      <c r="A72" s="175" t="str">
        <f>$A$1</f>
        <v>प्रपत्र - अ  -  अर्थसंकल्पीय अंदाजपत्रक सन 2021-2022</v>
      </c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</row>
    <row r="73" spans="1:12" ht="15">
      <c r="A73" s="175" t="s">
        <v>19</v>
      </c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</row>
    <row r="74" spans="1:12" ht="15">
      <c r="A74" s="181" t="s">
        <v>25</v>
      </c>
      <c r="B74" s="181"/>
      <c r="C74" s="181"/>
      <c r="D74" s="80"/>
      <c r="E74" s="80"/>
      <c r="F74" s="80"/>
      <c r="G74" s="80"/>
      <c r="H74" s="80"/>
      <c r="I74" s="80"/>
      <c r="J74" s="80"/>
      <c r="K74" s="80"/>
      <c r="L74" s="81" t="s">
        <v>62</v>
      </c>
    </row>
    <row r="75" spans="1:12" ht="42" customHeight="1">
      <c r="A75" s="182" t="s">
        <v>95</v>
      </c>
      <c r="B75" s="182" t="s">
        <v>96</v>
      </c>
      <c r="C75" s="184" t="s">
        <v>107</v>
      </c>
      <c r="D75" s="184"/>
      <c r="E75" s="184"/>
      <c r="F75" s="126" t="s">
        <v>108</v>
      </c>
      <c r="G75" s="182" t="s">
        <v>157</v>
      </c>
      <c r="H75" s="184" t="s">
        <v>158</v>
      </c>
      <c r="I75" s="184"/>
      <c r="J75" s="184"/>
      <c r="K75" s="184"/>
      <c r="L75" s="182" t="s">
        <v>113</v>
      </c>
    </row>
    <row r="76" spans="1:12" ht="42.75">
      <c r="A76" s="183"/>
      <c r="B76" s="183"/>
      <c r="C76" s="126" t="s">
        <v>128</v>
      </c>
      <c r="D76" s="126" t="s">
        <v>138</v>
      </c>
      <c r="E76" s="126" t="s">
        <v>139</v>
      </c>
      <c r="F76" s="126" t="s">
        <v>146</v>
      </c>
      <c r="G76" s="183"/>
      <c r="H76" s="126" t="s">
        <v>109</v>
      </c>
      <c r="I76" s="126" t="s">
        <v>110</v>
      </c>
      <c r="J76" s="126" t="s">
        <v>111</v>
      </c>
      <c r="K76" s="126" t="s">
        <v>112</v>
      </c>
      <c r="L76" s="183"/>
    </row>
    <row r="77" spans="1:12">
      <c r="A77" s="95">
        <v>1</v>
      </c>
      <c r="B77" s="95">
        <v>2</v>
      </c>
      <c r="C77" s="95">
        <v>3</v>
      </c>
      <c r="D77" s="95">
        <v>4</v>
      </c>
      <c r="E77" s="95">
        <v>5</v>
      </c>
      <c r="F77" s="95">
        <v>6</v>
      </c>
      <c r="G77" s="95">
        <v>7</v>
      </c>
      <c r="H77" s="95">
        <v>8</v>
      </c>
      <c r="I77" s="95">
        <v>9</v>
      </c>
      <c r="J77" s="95">
        <v>10</v>
      </c>
      <c r="K77" s="95">
        <v>11</v>
      </c>
      <c r="L77" s="95">
        <v>12</v>
      </c>
    </row>
    <row r="78" spans="1:12">
      <c r="A78" s="83">
        <v>1</v>
      </c>
      <c r="B78" s="83" t="s">
        <v>97</v>
      </c>
      <c r="C78" s="83">
        <v>11838</v>
      </c>
      <c r="D78" s="83">
        <v>13829</v>
      </c>
      <c r="E78" s="83">
        <v>16242</v>
      </c>
      <c r="F78" s="83">
        <v>24429</v>
      </c>
      <c r="G78" s="83">
        <v>24428</v>
      </c>
      <c r="H78" s="83">
        <v>23626</v>
      </c>
      <c r="I78" s="83"/>
      <c r="J78" s="83"/>
      <c r="K78" s="83"/>
      <c r="L78" s="83"/>
    </row>
    <row r="79" spans="1:12">
      <c r="A79" s="83">
        <v>2</v>
      </c>
      <c r="B79" s="83" t="s">
        <v>98</v>
      </c>
      <c r="C79" s="83">
        <v>0</v>
      </c>
      <c r="D79" s="83">
        <v>0</v>
      </c>
      <c r="E79" s="83">
        <v>0</v>
      </c>
      <c r="F79" s="83">
        <v>0</v>
      </c>
      <c r="G79" s="83">
        <v>0</v>
      </c>
      <c r="H79" s="83">
        <v>0</v>
      </c>
      <c r="I79" s="83"/>
      <c r="J79" s="83"/>
      <c r="K79" s="83"/>
      <c r="L79" s="84"/>
    </row>
    <row r="80" spans="1:12">
      <c r="A80" s="83">
        <v>3</v>
      </c>
      <c r="B80" s="83" t="s">
        <v>99</v>
      </c>
      <c r="C80" s="83">
        <v>81</v>
      </c>
      <c r="D80" s="83">
        <v>61</v>
      </c>
      <c r="E80" s="83">
        <v>29</v>
      </c>
      <c r="F80" s="83">
        <v>950</v>
      </c>
      <c r="G80" s="83">
        <v>950</v>
      </c>
      <c r="H80" s="83">
        <v>950</v>
      </c>
      <c r="I80" s="83"/>
      <c r="J80" s="83"/>
      <c r="K80" s="83"/>
      <c r="L80" s="83"/>
    </row>
    <row r="81" spans="1:12">
      <c r="A81" s="83">
        <v>4</v>
      </c>
      <c r="B81" s="83" t="s">
        <v>100</v>
      </c>
      <c r="C81" s="83">
        <v>78</v>
      </c>
      <c r="D81" s="83">
        <v>148</v>
      </c>
      <c r="E81" s="83">
        <v>70</v>
      </c>
      <c r="F81" s="83">
        <v>800</v>
      </c>
      <c r="G81" s="83">
        <v>800</v>
      </c>
      <c r="H81" s="83">
        <v>800</v>
      </c>
      <c r="I81" s="83"/>
      <c r="J81" s="83"/>
      <c r="K81" s="83"/>
      <c r="L81" s="83"/>
    </row>
    <row r="82" spans="1:12">
      <c r="A82" s="83">
        <v>5</v>
      </c>
      <c r="B82" s="83" t="s">
        <v>101</v>
      </c>
      <c r="C82" s="83">
        <v>430</v>
      </c>
      <c r="D82" s="83">
        <v>538</v>
      </c>
      <c r="E82" s="83">
        <v>279</v>
      </c>
      <c r="F82" s="83">
        <v>900</v>
      </c>
      <c r="G82" s="83">
        <v>900</v>
      </c>
      <c r="H82" s="83">
        <v>900</v>
      </c>
      <c r="I82" s="83"/>
      <c r="J82" s="83"/>
      <c r="K82" s="83"/>
      <c r="L82" s="83"/>
    </row>
    <row r="83" spans="1:12">
      <c r="A83" s="83">
        <v>6</v>
      </c>
      <c r="B83" s="83" t="s">
        <v>102</v>
      </c>
      <c r="C83" s="83">
        <v>0</v>
      </c>
      <c r="D83" s="83">
        <v>0</v>
      </c>
      <c r="E83" s="83">
        <v>0</v>
      </c>
      <c r="F83" s="83">
        <v>700</v>
      </c>
      <c r="G83" s="83">
        <v>700</v>
      </c>
      <c r="H83" s="83">
        <v>700</v>
      </c>
      <c r="I83" s="83"/>
      <c r="J83" s="83"/>
      <c r="K83" s="83"/>
      <c r="L83" s="83"/>
    </row>
    <row r="84" spans="1:12">
      <c r="A84" s="83">
        <v>7</v>
      </c>
      <c r="B84" s="83" t="s">
        <v>103</v>
      </c>
      <c r="C84" s="83">
        <v>0</v>
      </c>
      <c r="D84" s="83">
        <v>0</v>
      </c>
      <c r="E84" s="83">
        <v>0</v>
      </c>
      <c r="F84" s="83">
        <v>0</v>
      </c>
      <c r="G84" s="83">
        <v>0</v>
      </c>
      <c r="H84" s="83">
        <v>0</v>
      </c>
      <c r="I84" s="83"/>
      <c r="J84" s="83"/>
      <c r="K84" s="83"/>
      <c r="L84" s="83"/>
    </row>
    <row r="85" spans="1:12">
      <c r="A85" s="83">
        <v>8</v>
      </c>
      <c r="B85" s="83" t="s">
        <v>104</v>
      </c>
      <c r="C85" s="83">
        <v>154</v>
      </c>
      <c r="D85" s="83">
        <v>218</v>
      </c>
      <c r="E85" s="83">
        <v>81</v>
      </c>
      <c r="F85" s="83">
        <v>600</v>
      </c>
      <c r="G85" s="83">
        <v>600</v>
      </c>
      <c r="H85" s="83">
        <v>600</v>
      </c>
      <c r="I85" s="83"/>
      <c r="J85" s="83"/>
      <c r="K85" s="83"/>
      <c r="L85" s="83"/>
    </row>
    <row r="86" spans="1:12">
      <c r="A86" s="83">
        <v>9</v>
      </c>
      <c r="B86" s="83" t="s">
        <v>105</v>
      </c>
      <c r="C86" s="83">
        <v>0</v>
      </c>
      <c r="D86" s="83">
        <v>19</v>
      </c>
      <c r="E86" s="83">
        <v>0</v>
      </c>
      <c r="F86" s="83">
        <v>400</v>
      </c>
      <c r="G86" s="83">
        <v>400</v>
      </c>
      <c r="H86" s="83">
        <v>400</v>
      </c>
      <c r="I86" s="83"/>
      <c r="J86" s="83"/>
      <c r="K86" s="83"/>
      <c r="L86" s="83"/>
    </row>
    <row r="87" spans="1:12">
      <c r="A87" s="52">
        <v>10</v>
      </c>
      <c r="B87" s="83" t="s">
        <v>106</v>
      </c>
      <c r="C87" s="83">
        <v>0</v>
      </c>
      <c r="D87" s="83">
        <v>0</v>
      </c>
      <c r="E87" s="83">
        <v>0</v>
      </c>
      <c r="F87" s="83">
        <v>0</v>
      </c>
      <c r="G87" s="83">
        <v>0</v>
      </c>
      <c r="H87" s="83">
        <v>0</v>
      </c>
      <c r="I87" s="83"/>
      <c r="J87" s="83"/>
      <c r="K87" s="83"/>
      <c r="L87" s="83"/>
    </row>
    <row r="88" spans="1:12" ht="15.75" thickBot="1">
      <c r="A88" s="85"/>
      <c r="B88" s="86" t="s">
        <v>78</v>
      </c>
      <c r="C88" s="85">
        <f>SUM(C78:C87)</f>
        <v>12581</v>
      </c>
      <c r="D88" s="85">
        <f t="shared" ref="D88:L88" si="2">SUM(D78:D87)</f>
        <v>14813</v>
      </c>
      <c r="E88" s="85">
        <f t="shared" si="2"/>
        <v>16701</v>
      </c>
      <c r="F88" s="85">
        <f t="shared" si="2"/>
        <v>28779</v>
      </c>
      <c r="G88" s="85">
        <f t="shared" si="2"/>
        <v>28778</v>
      </c>
      <c r="H88" s="85">
        <f t="shared" si="2"/>
        <v>27976</v>
      </c>
      <c r="I88" s="85">
        <f t="shared" si="2"/>
        <v>0</v>
      </c>
      <c r="J88" s="85">
        <f t="shared" si="2"/>
        <v>0</v>
      </c>
      <c r="K88" s="85">
        <f t="shared" si="2"/>
        <v>0</v>
      </c>
      <c r="L88" s="85">
        <f t="shared" si="2"/>
        <v>0</v>
      </c>
    </row>
    <row r="89" spans="1:12" ht="15.75" thickTop="1">
      <c r="A89" s="87"/>
      <c r="B89" s="88"/>
      <c r="C89" s="87"/>
      <c r="D89" s="87"/>
      <c r="E89" s="87"/>
      <c r="F89" s="87"/>
      <c r="G89" s="87"/>
      <c r="H89" s="87"/>
      <c r="I89" s="87"/>
      <c r="J89" s="87"/>
      <c r="K89" s="87"/>
      <c r="L89" s="87"/>
    </row>
    <row r="90" spans="1:12" ht="15">
      <c r="A90" s="175" t="str">
        <f>$A$1</f>
        <v>प्रपत्र - अ  -  अर्थसंकल्पीय अंदाजपत्रक सन 2021-2022</v>
      </c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</row>
    <row r="91" spans="1:12" ht="15">
      <c r="A91" s="175" t="s">
        <v>19</v>
      </c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</row>
    <row r="92" spans="1:12" ht="15">
      <c r="A92" s="181" t="s">
        <v>26</v>
      </c>
      <c r="B92" s="181"/>
      <c r="C92" s="181"/>
      <c r="D92" s="80"/>
      <c r="E92" s="80"/>
      <c r="F92" s="80"/>
      <c r="G92" s="80"/>
      <c r="H92" s="80"/>
      <c r="I92" s="80"/>
      <c r="J92" s="80"/>
      <c r="K92" s="80"/>
      <c r="L92" s="81" t="s">
        <v>62</v>
      </c>
    </row>
    <row r="93" spans="1:12" ht="42" customHeight="1">
      <c r="A93" s="182" t="s">
        <v>95</v>
      </c>
      <c r="B93" s="182" t="s">
        <v>96</v>
      </c>
      <c r="C93" s="184" t="s">
        <v>107</v>
      </c>
      <c r="D93" s="184"/>
      <c r="E93" s="184"/>
      <c r="F93" s="126" t="s">
        <v>108</v>
      </c>
      <c r="G93" s="182" t="s">
        <v>157</v>
      </c>
      <c r="H93" s="184" t="s">
        <v>158</v>
      </c>
      <c r="I93" s="184"/>
      <c r="J93" s="184"/>
      <c r="K93" s="184"/>
      <c r="L93" s="182" t="s">
        <v>113</v>
      </c>
    </row>
    <row r="94" spans="1:12" ht="42.75">
      <c r="A94" s="183"/>
      <c r="B94" s="183"/>
      <c r="C94" s="126" t="s">
        <v>128</v>
      </c>
      <c r="D94" s="126" t="s">
        <v>138</v>
      </c>
      <c r="E94" s="126" t="s">
        <v>139</v>
      </c>
      <c r="F94" s="126" t="s">
        <v>146</v>
      </c>
      <c r="G94" s="183"/>
      <c r="H94" s="126" t="s">
        <v>109</v>
      </c>
      <c r="I94" s="126" t="s">
        <v>110</v>
      </c>
      <c r="J94" s="126" t="s">
        <v>111</v>
      </c>
      <c r="K94" s="126" t="s">
        <v>112</v>
      </c>
      <c r="L94" s="183"/>
    </row>
    <row r="95" spans="1:12">
      <c r="A95" s="95">
        <v>1</v>
      </c>
      <c r="B95" s="95">
        <v>2</v>
      </c>
      <c r="C95" s="95">
        <v>3</v>
      </c>
      <c r="D95" s="95">
        <v>4</v>
      </c>
      <c r="E95" s="95">
        <v>5</v>
      </c>
      <c r="F95" s="95">
        <v>6</v>
      </c>
      <c r="G95" s="95">
        <v>7</v>
      </c>
      <c r="H95" s="95">
        <v>8</v>
      </c>
      <c r="I95" s="95">
        <v>9</v>
      </c>
      <c r="J95" s="95">
        <v>10</v>
      </c>
      <c r="K95" s="95">
        <v>11</v>
      </c>
      <c r="L95" s="95">
        <v>12</v>
      </c>
    </row>
    <row r="96" spans="1:12">
      <c r="A96" s="83">
        <v>1</v>
      </c>
      <c r="B96" s="83" t="s">
        <v>97</v>
      </c>
      <c r="C96" s="83">
        <v>6490</v>
      </c>
      <c r="D96" s="83">
        <v>6221</v>
      </c>
      <c r="E96" s="83">
        <v>8193</v>
      </c>
      <c r="F96" s="83">
        <v>9562</v>
      </c>
      <c r="G96" s="83"/>
      <c r="H96" s="83">
        <v>11912</v>
      </c>
      <c r="I96" s="83"/>
      <c r="J96" s="83"/>
      <c r="K96" s="83"/>
      <c r="L96" s="83"/>
    </row>
    <row r="97" spans="1:12">
      <c r="A97" s="83">
        <v>2</v>
      </c>
      <c r="B97" s="83" t="s">
        <v>98</v>
      </c>
      <c r="C97" s="83">
        <v>0</v>
      </c>
      <c r="D97" s="83">
        <v>0</v>
      </c>
      <c r="E97" s="83">
        <v>0</v>
      </c>
      <c r="F97" s="83">
        <v>0</v>
      </c>
      <c r="G97" s="83"/>
      <c r="H97" s="83">
        <v>0</v>
      </c>
      <c r="I97" s="83"/>
      <c r="J97" s="83"/>
      <c r="K97" s="83"/>
      <c r="L97" s="84"/>
    </row>
    <row r="98" spans="1:12">
      <c r="A98" s="83">
        <v>3</v>
      </c>
      <c r="B98" s="83" t="s">
        <v>99</v>
      </c>
      <c r="C98" s="83">
        <v>0</v>
      </c>
      <c r="D98" s="83">
        <v>0</v>
      </c>
      <c r="E98" s="83">
        <v>0</v>
      </c>
      <c r="F98" s="83">
        <v>0</v>
      </c>
      <c r="G98" s="83"/>
      <c r="H98" s="83">
        <v>0</v>
      </c>
      <c r="I98" s="83"/>
      <c r="J98" s="83"/>
      <c r="K98" s="83"/>
      <c r="L98" s="83"/>
    </row>
    <row r="99" spans="1:12">
      <c r="A99" s="83">
        <v>4</v>
      </c>
      <c r="B99" s="83" t="s">
        <v>100</v>
      </c>
      <c r="C99" s="83">
        <v>9</v>
      </c>
      <c r="D99" s="83">
        <v>40</v>
      </c>
      <c r="E99" s="83">
        <v>146</v>
      </c>
      <c r="F99" s="83">
        <v>260</v>
      </c>
      <c r="G99" s="83"/>
      <c r="H99" s="83">
        <v>200</v>
      </c>
      <c r="I99" s="83"/>
      <c r="J99" s="83"/>
      <c r="K99" s="83"/>
      <c r="L99" s="83"/>
    </row>
    <row r="100" spans="1:12">
      <c r="A100" s="83">
        <v>5</v>
      </c>
      <c r="B100" s="83" t="s">
        <v>101</v>
      </c>
      <c r="C100" s="83">
        <v>205</v>
      </c>
      <c r="D100" s="83">
        <v>199</v>
      </c>
      <c r="E100" s="83">
        <v>184</v>
      </c>
      <c r="F100" s="83">
        <v>350</v>
      </c>
      <c r="G100" s="83"/>
      <c r="H100" s="83">
        <v>250</v>
      </c>
      <c r="I100" s="83"/>
      <c r="J100" s="83"/>
      <c r="K100" s="83"/>
      <c r="L100" s="83"/>
    </row>
    <row r="101" spans="1:12">
      <c r="A101" s="83">
        <v>6</v>
      </c>
      <c r="B101" s="83" t="s">
        <v>102</v>
      </c>
      <c r="C101" s="83">
        <v>0</v>
      </c>
      <c r="D101" s="83">
        <v>0</v>
      </c>
      <c r="E101" s="83">
        <v>0</v>
      </c>
      <c r="F101" s="83">
        <v>0</v>
      </c>
      <c r="G101" s="83"/>
      <c r="H101" s="83">
        <v>0</v>
      </c>
      <c r="I101" s="83"/>
      <c r="J101" s="83"/>
      <c r="K101" s="83"/>
      <c r="L101" s="83"/>
    </row>
    <row r="102" spans="1:12">
      <c r="A102" s="83">
        <v>7</v>
      </c>
      <c r="B102" s="83" t="s">
        <v>103</v>
      </c>
      <c r="C102" s="83">
        <v>0</v>
      </c>
      <c r="D102" s="83">
        <v>0</v>
      </c>
      <c r="E102" s="83">
        <v>0</v>
      </c>
      <c r="F102" s="83">
        <v>0</v>
      </c>
      <c r="G102" s="83"/>
      <c r="H102" s="83">
        <v>0</v>
      </c>
      <c r="I102" s="83"/>
      <c r="J102" s="83"/>
      <c r="K102" s="83"/>
      <c r="L102" s="83"/>
    </row>
    <row r="103" spans="1:12">
      <c r="A103" s="83">
        <v>8</v>
      </c>
      <c r="B103" s="83" t="s">
        <v>104</v>
      </c>
      <c r="C103" s="83">
        <v>46</v>
      </c>
      <c r="D103" s="83">
        <v>40</v>
      </c>
      <c r="E103" s="83">
        <v>74</v>
      </c>
      <c r="F103" s="83">
        <v>150</v>
      </c>
      <c r="G103" s="83"/>
      <c r="H103" s="83">
        <v>80</v>
      </c>
      <c r="I103" s="83"/>
      <c r="J103" s="83"/>
      <c r="K103" s="83"/>
      <c r="L103" s="83"/>
    </row>
    <row r="104" spans="1:12">
      <c r="A104" s="83">
        <v>9</v>
      </c>
      <c r="B104" s="83" t="s">
        <v>105</v>
      </c>
      <c r="C104" s="83">
        <v>0</v>
      </c>
      <c r="D104" s="83">
        <v>0</v>
      </c>
      <c r="E104" s="83">
        <v>0</v>
      </c>
      <c r="F104" s="83">
        <v>0</v>
      </c>
      <c r="G104" s="83"/>
      <c r="H104" s="83">
        <v>0</v>
      </c>
      <c r="I104" s="83"/>
      <c r="J104" s="83"/>
      <c r="K104" s="83"/>
      <c r="L104" s="83"/>
    </row>
    <row r="105" spans="1:12">
      <c r="A105" s="52">
        <v>10</v>
      </c>
      <c r="B105" s="83" t="s">
        <v>106</v>
      </c>
      <c r="C105" s="83">
        <v>0</v>
      </c>
      <c r="D105" s="83">
        <v>0</v>
      </c>
      <c r="E105" s="83">
        <v>0</v>
      </c>
      <c r="F105" s="83">
        <v>0</v>
      </c>
      <c r="G105" s="83"/>
      <c r="H105" s="83">
        <v>0</v>
      </c>
      <c r="I105" s="83"/>
      <c r="J105" s="83"/>
      <c r="K105" s="83"/>
      <c r="L105" s="83"/>
    </row>
    <row r="106" spans="1:12" ht="15.75" thickBot="1">
      <c r="A106" s="85"/>
      <c r="B106" s="86" t="s">
        <v>78</v>
      </c>
      <c r="C106" s="85">
        <f>SUM(C96:C105)</f>
        <v>6750</v>
      </c>
      <c r="D106" s="85">
        <f t="shared" ref="D106:L106" si="3">SUM(D96:D105)</f>
        <v>6500</v>
      </c>
      <c r="E106" s="85">
        <f t="shared" si="3"/>
        <v>8597</v>
      </c>
      <c r="F106" s="85">
        <f t="shared" si="3"/>
        <v>10322</v>
      </c>
      <c r="G106" s="85">
        <f t="shared" si="3"/>
        <v>0</v>
      </c>
      <c r="H106" s="85">
        <f t="shared" si="3"/>
        <v>12442</v>
      </c>
      <c r="I106" s="85">
        <f t="shared" si="3"/>
        <v>0</v>
      </c>
      <c r="J106" s="85">
        <f t="shared" si="3"/>
        <v>0</v>
      </c>
      <c r="K106" s="85">
        <f t="shared" si="3"/>
        <v>0</v>
      </c>
      <c r="L106" s="85">
        <f t="shared" si="3"/>
        <v>0</v>
      </c>
    </row>
    <row r="107" spans="1:12" ht="15.75" thickTop="1">
      <c r="A107" s="87"/>
      <c r="B107" s="88"/>
      <c r="C107" s="87"/>
      <c r="D107" s="87"/>
      <c r="E107" s="87"/>
      <c r="F107" s="87"/>
      <c r="G107" s="87"/>
      <c r="H107" s="87"/>
      <c r="I107" s="87"/>
      <c r="J107" s="87"/>
      <c r="K107" s="87"/>
      <c r="L107" s="87"/>
    </row>
    <row r="108" spans="1:12" ht="15">
      <c r="A108" s="175" t="str">
        <f>$A$1</f>
        <v>प्रपत्र - अ  -  अर्थसंकल्पीय अंदाजपत्रक सन 2021-2022</v>
      </c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</row>
    <row r="109" spans="1:12" ht="15">
      <c r="A109" s="175" t="s">
        <v>19</v>
      </c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</row>
    <row r="110" spans="1:12" ht="15">
      <c r="A110" s="181" t="s">
        <v>114</v>
      </c>
      <c r="B110" s="181"/>
      <c r="C110" s="181"/>
      <c r="D110" s="80"/>
      <c r="E110" s="80"/>
      <c r="F110" s="80"/>
      <c r="G110" s="80"/>
      <c r="H110" s="80"/>
      <c r="I110" s="80"/>
      <c r="J110" s="80"/>
      <c r="K110" s="80"/>
      <c r="L110" s="81" t="s">
        <v>62</v>
      </c>
    </row>
    <row r="111" spans="1:12" ht="42" customHeight="1">
      <c r="A111" s="182" t="s">
        <v>95</v>
      </c>
      <c r="B111" s="182" t="s">
        <v>96</v>
      </c>
      <c r="C111" s="184" t="s">
        <v>107</v>
      </c>
      <c r="D111" s="184"/>
      <c r="E111" s="184"/>
      <c r="F111" s="126" t="s">
        <v>108</v>
      </c>
      <c r="G111" s="182" t="s">
        <v>157</v>
      </c>
      <c r="H111" s="184" t="s">
        <v>158</v>
      </c>
      <c r="I111" s="184"/>
      <c r="J111" s="184"/>
      <c r="K111" s="184"/>
      <c r="L111" s="182" t="s">
        <v>113</v>
      </c>
    </row>
    <row r="112" spans="1:12" ht="42.75">
      <c r="A112" s="183"/>
      <c r="B112" s="183"/>
      <c r="C112" s="126" t="s">
        <v>128</v>
      </c>
      <c r="D112" s="126" t="s">
        <v>138</v>
      </c>
      <c r="E112" s="126" t="s">
        <v>139</v>
      </c>
      <c r="F112" s="126" t="s">
        <v>146</v>
      </c>
      <c r="G112" s="183"/>
      <c r="H112" s="126" t="s">
        <v>109</v>
      </c>
      <c r="I112" s="126" t="s">
        <v>110</v>
      </c>
      <c r="J112" s="126" t="s">
        <v>111</v>
      </c>
      <c r="K112" s="126" t="s">
        <v>112</v>
      </c>
      <c r="L112" s="183"/>
    </row>
    <row r="113" spans="1:12">
      <c r="A113" s="95">
        <v>1</v>
      </c>
      <c r="B113" s="95">
        <v>2</v>
      </c>
      <c r="C113" s="95">
        <v>3</v>
      </c>
      <c r="D113" s="95">
        <v>4</v>
      </c>
      <c r="E113" s="95">
        <v>5</v>
      </c>
      <c r="F113" s="95">
        <v>6</v>
      </c>
      <c r="G113" s="95">
        <v>7</v>
      </c>
      <c r="H113" s="95">
        <v>8</v>
      </c>
      <c r="I113" s="95">
        <v>9</v>
      </c>
      <c r="J113" s="95">
        <v>10</v>
      </c>
      <c r="K113" s="95">
        <v>11</v>
      </c>
      <c r="L113" s="95">
        <v>12</v>
      </c>
    </row>
    <row r="114" spans="1:12">
      <c r="A114" s="83">
        <v>1</v>
      </c>
      <c r="B114" s="83" t="s">
        <v>97</v>
      </c>
      <c r="C114" s="83">
        <v>4892</v>
      </c>
      <c r="D114" s="83">
        <v>5002</v>
      </c>
      <c r="E114" s="83">
        <v>7324</v>
      </c>
      <c r="F114" s="83">
        <v>7873</v>
      </c>
      <c r="G114" s="83">
        <v>11967</v>
      </c>
      <c r="H114" s="83">
        <v>12597</v>
      </c>
      <c r="I114" s="83"/>
      <c r="J114" s="83"/>
      <c r="K114" s="83"/>
      <c r="L114" s="83"/>
    </row>
    <row r="115" spans="1:12">
      <c r="A115" s="83">
        <v>2</v>
      </c>
      <c r="B115" s="83" t="s">
        <v>98</v>
      </c>
      <c r="C115" s="83">
        <v>0</v>
      </c>
      <c r="D115" s="83">
        <v>0</v>
      </c>
      <c r="E115" s="83">
        <v>0</v>
      </c>
      <c r="F115" s="83">
        <v>0</v>
      </c>
      <c r="G115" s="83">
        <v>0</v>
      </c>
      <c r="H115" s="83">
        <v>0</v>
      </c>
      <c r="I115" s="83"/>
      <c r="J115" s="83"/>
      <c r="K115" s="83"/>
      <c r="L115" s="84"/>
    </row>
    <row r="116" spans="1:12">
      <c r="A116" s="83">
        <v>3</v>
      </c>
      <c r="B116" s="83" t="s">
        <v>99</v>
      </c>
      <c r="C116" s="83">
        <v>95</v>
      </c>
      <c r="D116" s="83">
        <v>49</v>
      </c>
      <c r="E116" s="83">
        <v>94</v>
      </c>
      <c r="F116" s="83">
        <v>200</v>
      </c>
      <c r="G116" s="83">
        <v>240</v>
      </c>
      <c r="H116" s="83">
        <v>250</v>
      </c>
      <c r="I116" s="83"/>
      <c r="J116" s="83"/>
      <c r="K116" s="83"/>
      <c r="L116" s="83"/>
    </row>
    <row r="117" spans="1:12">
      <c r="A117" s="83">
        <v>4</v>
      </c>
      <c r="B117" s="83" t="s">
        <v>100</v>
      </c>
      <c r="C117" s="83">
        <v>76</v>
      </c>
      <c r="D117" s="83">
        <v>57</v>
      </c>
      <c r="E117" s="83">
        <v>110</v>
      </c>
      <c r="F117" s="83">
        <v>400</v>
      </c>
      <c r="G117" s="83">
        <v>270</v>
      </c>
      <c r="H117" s="83">
        <v>280</v>
      </c>
      <c r="I117" s="83"/>
      <c r="J117" s="83"/>
      <c r="K117" s="83"/>
      <c r="L117" s="83"/>
    </row>
    <row r="118" spans="1:12">
      <c r="A118" s="83">
        <v>5</v>
      </c>
      <c r="B118" s="83" t="s">
        <v>101</v>
      </c>
      <c r="C118" s="83">
        <v>217</v>
      </c>
      <c r="D118" s="83">
        <v>225</v>
      </c>
      <c r="E118" s="83">
        <v>210</v>
      </c>
      <c r="F118" s="83">
        <v>500</v>
      </c>
      <c r="G118" s="83">
        <v>390</v>
      </c>
      <c r="H118" s="83">
        <v>400</v>
      </c>
      <c r="I118" s="83"/>
      <c r="J118" s="83"/>
      <c r="K118" s="83"/>
      <c r="L118" s="83"/>
    </row>
    <row r="119" spans="1:12">
      <c r="A119" s="83">
        <v>6</v>
      </c>
      <c r="B119" s="83" t="s">
        <v>102</v>
      </c>
      <c r="C119" s="83">
        <v>0</v>
      </c>
      <c r="D119" s="83">
        <v>0</v>
      </c>
      <c r="E119" s="83">
        <v>0</v>
      </c>
      <c r="F119" s="83">
        <v>0</v>
      </c>
      <c r="G119" s="83">
        <v>0</v>
      </c>
      <c r="H119" s="83">
        <v>0</v>
      </c>
      <c r="I119" s="83"/>
      <c r="J119" s="83"/>
      <c r="K119" s="83"/>
      <c r="L119" s="83"/>
    </row>
    <row r="120" spans="1:12">
      <c r="A120" s="83">
        <v>7</v>
      </c>
      <c r="B120" s="83" t="s">
        <v>103</v>
      </c>
      <c r="C120" s="83">
        <v>0</v>
      </c>
      <c r="D120" s="83">
        <v>0</v>
      </c>
      <c r="E120" s="83">
        <v>0</v>
      </c>
      <c r="F120" s="83">
        <v>0</v>
      </c>
      <c r="G120" s="83">
        <v>0</v>
      </c>
      <c r="H120" s="83">
        <v>0</v>
      </c>
      <c r="I120" s="83"/>
      <c r="J120" s="83"/>
      <c r="K120" s="83"/>
      <c r="L120" s="83"/>
    </row>
    <row r="121" spans="1:12">
      <c r="A121" s="83">
        <v>8</v>
      </c>
      <c r="B121" s="83" t="s">
        <v>104</v>
      </c>
      <c r="C121" s="83">
        <v>59</v>
      </c>
      <c r="D121" s="83">
        <v>62</v>
      </c>
      <c r="E121" s="83">
        <v>60</v>
      </c>
      <c r="F121" s="83">
        <v>150</v>
      </c>
      <c r="G121" s="83">
        <v>220</v>
      </c>
      <c r="H121" s="83">
        <v>230</v>
      </c>
      <c r="I121" s="83"/>
      <c r="J121" s="83"/>
      <c r="K121" s="83"/>
      <c r="L121" s="83"/>
    </row>
    <row r="122" spans="1:12">
      <c r="A122" s="83">
        <v>9</v>
      </c>
      <c r="B122" s="83" t="s">
        <v>105</v>
      </c>
      <c r="C122" s="83">
        <v>0</v>
      </c>
      <c r="D122" s="83">
        <v>0</v>
      </c>
      <c r="E122" s="83"/>
      <c r="F122" s="83">
        <v>0</v>
      </c>
      <c r="G122" s="83">
        <v>0</v>
      </c>
      <c r="H122" s="83">
        <v>0</v>
      </c>
      <c r="I122" s="83"/>
      <c r="J122" s="83"/>
      <c r="K122" s="83"/>
      <c r="L122" s="83"/>
    </row>
    <row r="123" spans="1:12">
      <c r="A123" s="52">
        <v>10</v>
      </c>
      <c r="B123" s="83" t="s">
        <v>106</v>
      </c>
      <c r="C123" s="83">
        <v>0</v>
      </c>
      <c r="D123" s="83">
        <v>0</v>
      </c>
      <c r="E123" s="83"/>
      <c r="F123" s="83">
        <v>0</v>
      </c>
      <c r="G123" s="83">
        <v>0</v>
      </c>
      <c r="H123" s="83">
        <v>0</v>
      </c>
      <c r="I123" s="83"/>
      <c r="J123" s="83"/>
      <c r="K123" s="83"/>
      <c r="L123" s="83"/>
    </row>
    <row r="124" spans="1:12" ht="15.75" thickBot="1">
      <c r="A124" s="85"/>
      <c r="B124" s="86" t="s">
        <v>78</v>
      </c>
      <c r="C124" s="85">
        <f>SUM(C114:C123)</f>
        <v>5339</v>
      </c>
      <c r="D124" s="85">
        <f t="shared" ref="D124:L124" si="4">SUM(D114:D123)</f>
        <v>5395</v>
      </c>
      <c r="E124" s="85">
        <f t="shared" si="4"/>
        <v>7798</v>
      </c>
      <c r="F124" s="85">
        <f t="shared" si="4"/>
        <v>9123</v>
      </c>
      <c r="G124" s="85">
        <f t="shared" si="4"/>
        <v>13087</v>
      </c>
      <c r="H124" s="85">
        <f t="shared" si="4"/>
        <v>13757</v>
      </c>
      <c r="I124" s="85">
        <f t="shared" si="4"/>
        <v>0</v>
      </c>
      <c r="J124" s="85">
        <f t="shared" si="4"/>
        <v>0</v>
      </c>
      <c r="K124" s="85">
        <f t="shared" si="4"/>
        <v>0</v>
      </c>
      <c r="L124" s="85">
        <f t="shared" si="4"/>
        <v>0</v>
      </c>
    </row>
    <row r="125" spans="1:12" ht="15.75" thickTop="1">
      <c r="A125" s="87"/>
      <c r="B125" s="88"/>
      <c r="C125" s="87"/>
      <c r="D125" s="87"/>
      <c r="E125" s="87"/>
      <c r="F125" s="87"/>
      <c r="G125" s="87"/>
      <c r="H125" s="87"/>
      <c r="I125" s="87"/>
      <c r="J125" s="87"/>
      <c r="K125" s="87"/>
      <c r="L125" s="87"/>
    </row>
    <row r="126" spans="1:12" ht="15">
      <c r="A126" s="175" t="str">
        <f>$A$1</f>
        <v>प्रपत्र - अ  -  अर्थसंकल्पीय अंदाजपत्रक सन 2021-2022</v>
      </c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</row>
    <row r="127" spans="1:12" ht="15">
      <c r="A127" s="175" t="s">
        <v>19</v>
      </c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</row>
    <row r="128" spans="1:12" ht="15">
      <c r="A128" s="185" t="s">
        <v>115</v>
      </c>
      <c r="B128" s="185"/>
      <c r="C128" s="185"/>
      <c r="D128" s="80"/>
      <c r="E128" s="80"/>
      <c r="F128" s="80"/>
      <c r="G128" s="80"/>
      <c r="H128" s="80"/>
      <c r="I128" s="80"/>
      <c r="J128" s="80"/>
      <c r="K128" s="80"/>
      <c r="L128" s="81" t="s">
        <v>62</v>
      </c>
    </row>
    <row r="129" spans="1:12" ht="42" customHeight="1">
      <c r="A129" s="182" t="s">
        <v>95</v>
      </c>
      <c r="B129" s="182" t="s">
        <v>96</v>
      </c>
      <c r="C129" s="184" t="s">
        <v>107</v>
      </c>
      <c r="D129" s="184"/>
      <c r="E129" s="184"/>
      <c r="F129" s="126" t="s">
        <v>108</v>
      </c>
      <c r="G129" s="182" t="s">
        <v>157</v>
      </c>
      <c r="H129" s="184" t="s">
        <v>158</v>
      </c>
      <c r="I129" s="184"/>
      <c r="J129" s="184"/>
      <c r="K129" s="184"/>
      <c r="L129" s="182" t="s">
        <v>113</v>
      </c>
    </row>
    <row r="130" spans="1:12" ht="42.75">
      <c r="A130" s="183"/>
      <c r="B130" s="183"/>
      <c r="C130" s="126" t="s">
        <v>128</v>
      </c>
      <c r="D130" s="126" t="s">
        <v>138</v>
      </c>
      <c r="E130" s="126" t="s">
        <v>139</v>
      </c>
      <c r="F130" s="126" t="s">
        <v>146</v>
      </c>
      <c r="G130" s="183"/>
      <c r="H130" s="126" t="s">
        <v>109</v>
      </c>
      <c r="I130" s="126" t="s">
        <v>110</v>
      </c>
      <c r="J130" s="126" t="s">
        <v>111</v>
      </c>
      <c r="K130" s="126" t="s">
        <v>112</v>
      </c>
      <c r="L130" s="183"/>
    </row>
    <row r="131" spans="1:12">
      <c r="A131" s="95">
        <v>1</v>
      </c>
      <c r="B131" s="95">
        <v>2</v>
      </c>
      <c r="C131" s="95">
        <v>3</v>
      </c>
      <c r="D131" s="95">
        <v>4</v>
      </c>
      <c r="E131" s="95">
        <v>5</v>
      </c>
      <c r="F131" s="95">
        <v>6</v>
      </c>
      <c r="G131" s="95">
        <v>7</v>
      </c>
      <c r="H131" s="95">
        <v>8</v>
      </c>
      <c r="I131" s="95">
        <v>9</v>
      </c>
      <c r="J131" s="95">
        <v>10</v>
      </c>
      <c r="K131" s="95">
        <v>11</v>
      </c>
      <c r="L131" s="95">
        <v>12</v>
      </c>
    </row>
    <row r="132" spans="1:12">
      <c r="A132" s="83">
        <v>1</v>
      </c>
      <c r="B132" s="83" t="s">
        <v>97</v>
      </c>
      <c r="C132" s="83"/>
      <c r="D132" s="83"/>
      <c r="E132" s="83"/>
      <c r="F132" s="83"/>
      <c r="G132" s="83"/>
      <c r="H132" s="83"/>
      <c r="I132" s="83"/>
      <c r="J132" s="83"/>
      <c r="K132" s="83"/>
      <c r="L132" s="83"/>
    </row>
    <row r="133" spans="1:12">
      <c r="A133" s="83">
        <v>2</v>
      </c>
      <c r="B133" s="83" t="s">
        <v>98</v>
      </c>
      <c r="C133" s="83"/>
      <c r="D133" s="83"/>
      <c r="E133" s="83"/>
      <c r="F133" s="83"/>
      <c r="G133" s="83"/>
      <c r="H133" s="83"/>
      <c r="I133" s="83"/>
      <c r="J133" s="83"/>
      <c r="K133" s="83"/>
      <c r="L133" s="84"/>
    </row>
    <row r="134" spans="1:12">
      <c r="A134" s="83">
        <v>3</v>
      </c>
      <c r="B134" s="83" t="s">
        <v>99</v>
      </c>
      <c r="C134" s="83"/>
      <c r="D134" s="83"/>
      <c r="E134" s="83"/>
      <c r="F134" s="83"/>
      <c r="G134" s="83"/>
      <c r="H134" s="83"/>
      <c r="I134" s="83"/>
      <c r="J134" s="83"/>
      <c r="K134" s="83"/>
      <c r="L134" s="83"/>
    </row>
    <row r="135" spans="1:12">
      <c r="A135" s="83">
        <v>4</v>
      </c>
      <c r="B135" s="83" t="s">
        <v>100</v>
      </c>
      <c r="C135" s="83"/>
      <c r="D135" s="83"/>
      <c r="E135" s="83"/>
      <c r="F135" s="83"/>
      <c r="G135" s="83"/>
      <c r="H135" s="83"/>
      <c r="I135" s="83"/>
      <c r="J135" s="83"/>
      <c r="K135" s="83"/>
      <c r="L135" s="83"/>
    </row>
    <row r="136" spans="1:12">
      <c r="A136" s="83">
        <v>5</v>
      </c>
      <c r="B136" s="83" t="s">
        <v>101</v>
      </c>
      <c r="C136" s="83"/>
      <c r="D136" s="83"/>
      <c r="E136" s="83"/>
      <c r="F136" s="83"/>
      <c r="G136" s="83"/>
      <c r="H136" s="83"/>
      <c r="I136" s="83"/>
      <c r="J136" s="83"/>
      <c r="K136" s="83"/>
      <c r="L136" s="83"/>
    </row>
    <row r="137" spans="1:12">
      <c r="A137" s="83">
        <v>6</v>
      </c>
      <c r="B137" s="83" t="s">
        <v>102</v>
      </c>
      <c r="C137" s="83"/>
      <c r="D137" s="83"/>
      <c r="E137" s="83"/>
      <c r="F137" s="83"/>
      <c r="G137" s="83"/>
      <c r="H137" s="83"/>
      <c r="I137" s="83"/>
      <c r="J137" s="83"/>
      <c r="K137" s="83"/>
      <c r="L137" s="83"/>
    </row>
    <row r="138" spans="1:12">
      <c r="A138" s="83">
        <v>7</v>
      </c>
      <c r="B138" s="83" t="s">
        <v>103</v>
      </c>
      <c r="C138" s="83"/>
      <c r="D138" s="83"/>
      <c r="E138" s="83"/>
      <c r="F138" s="83"/>
      <c r="G138" s="83"/>
      <c r="H138" s="83"/>
      <c r="I138" s="83"/>
      <c r="J138" s="83"/>
      <c r="K138" s="83"/>
      <c r="L138" s="83"/>
    </row>
    <row r="139" spans="1:12">
      <c r="A139" s="83">
        <v>8</v>
      </c>
      <c r="B139" s="83" t="s">
        <v>104</v>
      </c>
      <c r="C139" s="83"/>
      <c r="D139" s="83"/>
      <c r="E139" s="83"/>
      <c r="F139" s="83"/>
      <c r="G139" s="83"/>
      <c r="H139" s="83"/>
      <c r="I139" s="83"/>
      <c r="J139" s="83"/>
      <c r="K139" s="83"/>
      <c r="L139" s="83"/>
    </row>
    <row r="140" spans="1:12">
      <c r="A140" s="83">
        <v>9</v>
      </c>
      <c r="B140" s="83" t="s">
        <v>105</v>
      </c>
      <c r="C140" s="83"/>
      <c r="D140" s="83"/>
      <c r="E140" s="83"/>
      <c r="F140" s="83"/>
      <c r="G140" s="83"/>
      <c r="H140" s="83"/>
      <c r="I140" s="83"/>
      <c r="J140" s="83"/>
      <c r="K140" s="83"/>
      <c r="L140" s="83"/>
    </row>
    <row r="141" spans="1:12">
      <c r="A141" s="52">
        <v>10</v>
      </c>
      <c r="B141" s="83" t="s">
        <v>106</v>
      </c>
      <c r="C141" s="83"/>
      <c r="D141" s="83"/>
      <c r="E141" s="83"/>
      <c r="F141" s="83"/>
      <c r="G141" s="83"/>
      <c r="H141" s="83"/>
      <c r="I141" s="83"/>
      <c r="J141" s="83"/>
      <c r="K141" s="83"/>
      <c r="L141" s="83"/>
    </row>
    <row r="142" spans="1:12" ht="15.75" thickBot="1">
      <c r="A142" s="85"/>
      <c r="B142" s="86" t="s">
        <v>78</v>
      </c>
      <c r="C142" s="85">
        <v>0</v>
      </c>
      <c r="D142" s="85">
        <v>0</v>
      </c>
      <c r="E142" s="85">
        <v>0</v>
      </c>
      <c r="F142" s="85">
        <v>0</v>
      </c>
      <c r="G142" s="85">
        <v>0</v>
      </c>
      <c r="H142" s="85">
        <v>0</v>
      </c>
      <c r="I142" s="85">
        <v>0</v>
      </c>
      <c r="J142" s="85">
        <v>0</v>
      </c>
      <c r="K142" s="85">
        <v>0</v>
      </c>
      <c r="L142" s="85">
        <v>0</v>
      </c>
    </row>
    <row r="143" spans="1:12" ht="15.75" thickTop="1">
      <c r="A143" s="87"/>
      <c r="B143" s="88"/>
      <c r="C143" s="87"/>
      <c r="D143" s="87"/>
      <c r="E143" s="87"/>
      <c r="F143" s="87"/>
      <c r="G143" s="87"/>
      <c r="H143" s="87"/>
      <c r="I143" s="87"/>
      <c r="J143" s="87"/>
      <c r="K143" s="87"/>
      <c r="L143" s="87"/>
    </row>
    <row r="144" spans="1:12" ht="15">
      <c r="A144" s="175" t="str">
        <f>$A$1</f>
        <v>प्रपत्र - अ  -  अर्थसंकल्पीय अंदाजपत्रक सन 2021-2022</v>
      </c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</row>
    <row r="145" spans="1:12" ht="15">
      <c r="A145" s="175" t="s">
        <v>19</v>
      </c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</row>
    <row r="146" spans="1:12" ht="15">
      <c r="A146" s="186" t="s">
        <v>28</v>
      </c>
      <c r="B146" s="186"/>
      <c r="C146" s="186"/>
      <c r="D146" s="80"/>
      <c r="E146" s="80"/>
      <c r="F146" s="80"/>
      <c r="G146" s="80"/>
      <c r="H146" s="80"/>
      <c r="I146" s="80"/>
      <c r="J146" s="80"/>
      <c r="K146" s="80"/>
      <c r="L146" s="81" t="s">
        <v>62</v>
      </c>
    </row>
    <row r="147" spans="1:12" ht="39" customHeight="1">
      <c r="A147" s="182" t="s">
        <v>95</v>
      </c>
      <c r="B147" s="182" t="s">
        <v>96</v>
      </c>
      <c r="C147" s="184" t="s">
        <v>107</v>
      </c>
      <c r="D147" s="184"/>
      <c r="E147" s="184"/>
      <c r="F147" s="126" t="s">
        <v>108</v>
      </c>
      <c r="G147" s="182" t="s">
        <v>157</v>
      </c>
      <c r="H147" s="184" t="s">
        <v>158</v>
      </c>
      <c r="I147" s="184"/>
      <c r="J147" s="184"/>
      <c r="K147" s="184"/>
      <c r="L147" s="182" t="s">
        <v>113</v>
      </c>
    </row>
    <row r="148" spans="1:12" ht="42.75">
      <c r="A148" s="183"/>
      <c r="B148" s="183"/>
      <c r="C148" s="126" t="s">
        <v>128</v>
      </c>
      <c r="D148" s="126" t="s">
        <v>138</v>
      </c>
      <c r="E148" s="126" t="s">
        <v>139</v>
      </c>
      <c r="F148" s="126" t="s">
        <v>146</v>
      </c>
      <c r="G148" s="183"/>
      <c r="H148" s="126" t="s">
        <v>109</v>
      </c>
      <c r="I148" s="126" t="s">
        <v>110</v>
      </c>
      <c r="J148" s="126" t="s">
        <v>111</v>
      </c>
      <c r="K148" s="126" t="s">
        <v>112</v>
      </c>
      <c r="L148" s="183"/>
    </row>
    <row r="149" spans="1:12">
      <c r="A149" s="95">
        <v>1</v>
      </c>
      <c r="B149" s="95">
        <v>2</v>
      </c>
      <c r="C149" s="95">
        <v>3</v>
      </c>
      <c r="D149" s="95">
        <v>4</v>
      </c>
      <c r="E149" s="95">
        <v>5</v>
      </c>
      <c r="F149" s="95">
        <v>6</v>
      </c>
      <c r="G149" s="95">
        <v>7</v>
      </c>
      <c r="H149" s="95">
        <v>8</v>
      </c>
      <c r="I149" s="95">
        <v>9</v>
      </c>
      <c r="J149" s="95">
        <v>10</v>
      </c>
      <c r="K149" s="95">
        <v>11</v>
      </c>
      <c r="L149" s="95">
        <v>12</v>
      </c>
    </row>
    <row r="150" spans="1:12">
      <c r="A150" s="83">
        <v>1</v>
      </c>
      <c r="B150" s="83" t="s">
        <v>97</v>
      </c>
      <c r="C150" s="83">
        <f>SUM(C7+C25+C43+C60+C78+C96+C114+C132)</f>
        <v>28714</v>
      </c>
      <c r="D150" s="83">
        <f t="shared" ref="D150:K150" si="5">SUM(D7+D25+D43+D60+D78+D96+D114+D132)</f>
        <v>32127</v>
      </c>
      <c r="E150" s="83">
        <f t="shared" si="5"/>
        <v>41523</v>
      </c>
      <c r="F150" s="83">
        <f t="shared" si="5"/>
        <v>53037</v>
      </c>
      <c r="G150" s="83">
        <f t="shared" si="5"/>
        <v>47645</v>
      </c>
      <c r="H150" s="83">
        <f>SUM(H7+H25+H43+H60+H78+H96+H114+H132)</f>
        <v>59640</v>
      </c>
      <c r="I150" s="83">
        <f t="shared" si="5"/>
        <v>0</v>
      </c>
      <c r="J150" s="83">
        <f t="shared" si="5"/>
        <v>0</v>
      </c>
      <c r="K150" s="83">
        <f t="shared" si="5"/>
        <v>0</v>
      </c>
      <c r="L150" s="83"/>
    </row>
    <row r="151" spans="1:12">
      <c r="A151" s="83">
        <v>2</v>
      </c>
      <c r="B151" s="83" t="s">
        <v>98</v>
      </c>
      <c r="C151" s="83">
        <f t="shared" ref="C151:K151" si="6">SUM(C8+C26+C44+C61+C79+C97+C115+C133)</f>
        <v>0</v>
      </c>
      <c r="D151" s="83">
        <f t="shared" si="6"/>
        <v>0</v>
      </c>
      <c r="E151" s="83">
        <f t="shared" si="6"/>
        <v>0</v>
      </c>
      <c r="F151" s="83">
        <f t="shared" si="6"/>
        <v>0</v>
      </c>
      <c r="G151" s="83">
        <f t="shared" si="6"/>
        <v>0</v>
      </c>
      <c r="H151" s="83">
        <f t="shared" si="6"/>
        <v>0</v>
      </c>
      <c r="I151" s="83">
        <f t="shared" si="6"/>
        <v>0</v>
      </c>
      <c r="J151" s="83">
        <f t="shared" si="6"/>
        <v>0</v>
      </c>
      <c r="K151" s="83">
        <f t="shared" si="6"/>
        <v>0</v>
      </c>
      <c r="L151" s="84"/>
    </row>
    <row r="152" spans="1:12">
      <c r="A152" s="83">
        <v>3</v>
      </c>
      <c r="B152" s="83" t="s">
        <v>99</v>
      </c>
      <c r="C152" s="83">
        <f t="shared" ref="C152:K152" si="7">SUM(C9+C27+C45+C62+C80+C98+C116+C134)</f>
        <v>260</v>
      </c>
      <c r="D152" s="83">
        <f t="shared" si="7"/>
        <v>265</v>
      </c>
      <c r="E152" s="83">
        <f t="shared" si="7"/>
        <v>244</v>
      </c>
      <c r="F152" s="83">
        <f t="shared" si="7"/>
        <v>1660</v>
      </c>
      <c r="G152" s="83">
        <f t="shared" si="7"/>
        <v>1610</v>
      </c>
      <c r="H152" s="83">
        <f t="shared" si="7"/>
        <v>1710</v>
      </c>
      <c r="I152" s="83">
        <f t="shared" si="7"/>
        <v>0</v>
      </c>
      <c r="J152" s="83">
        <f t="shared" si="7"/>
        <v>0</v>
      </c>
      <c r="K152" s="83">
        <f t="shared" si="7"/>
        <v>0</v>
      </c>
      <c r="L152" s="83"/>
    </row>
    <row r="153" spans="1:12">
      <c r="A153" s="83">
        <v>4</v>
      </c>
      <c r="B153" s="83" t="s">
        <v>100</v>
      </c>
      <c r="C153" s="83">
        <f t="shared" ref="C153:K153" si="8">SUM(C10+C28+C46+C63+C81+C99+C117+C135)</f>
        <v>200</v>
      </c>
      <c r="D153" s="83">
        <f t="shared" si="8"/>
        <v>300</v>
      </c>
      <c r="E153" s="83">
        <f t="shared" si="8"/>
        <v>342</v>
      </c>
      <c r="F153" s="83">
        <f t="shared" si="8"/>
        <v>1675</v>
      </c>
      <c r="G153" s="83">
        <f t="shared" si="8"/>
        <v>1235</v>
      </c>
      <c r="H153" s="83">
        <f t="shared" si="8"/>
        <v>1485</v>
      </c>
      <c r="I153" s="83">
        <f t="shared" si="8"/>
        <v>0</v>
      </c>
      <c r="J153" s="83">
        <f t="shared" si="8"/>
        <v>0</v>
      </c>
      <c r="K153" s="83">
        <f t="shared" si="8"/>
        <v>0</v>
      </c>
      <c r="L153" s="83"/>
    </row>
    <row r="154" spans="1:12">
      <c r="A154" s="83">
        <v>5</v>
      </c>
      <c r="B154" s="83" t="s">
        <v>101</v>
      </c>
      <c r="C154" s="83">
        <f t="shared" ref="C154:K154" si="9">SUM(C11+C29+C47+C64+C82+C100+C118+C136)</f>
        <v>1014</v>
      </c>
      <c r="D154" s="83">
        <f t="shared" si="9"/>
        <v>1245</v>
      </c>
      <c r="E154" s="83">
        <f t="shared" si="9"/>
        <v>844</v>
      </c>
      <c r="F154" s="83">
        <f t="shared" si="9"/>
        <v>2260</v>
      </c>
      <c r="G154" s="83">
        <f t="shared" si="9"/>
        <v>1600</v>
      </c>
      <c r="H154" s="83">
        <f t="shared" si="9"/>
        <v>1950</v>
      </c>
      <c r="I154" s="83">
        <f t="shared" si="9"/>
        <v>0</v>
      </c>
      <c r="J154" s="83">
        <f t="shared" si="9"/>
        <v>0</v>
      </c>
      <c r="K154" s="83">
        <f t="shared" si="9"/>
        <v>0</v>
      </c>
      <c r="L154" s="83"/>
    </row>
    <row r="155" spans="1:12">
      <c r="A155" s="83">
        <v>6</v>
      </c>
      <c r="B155" s="83" t="s">
        <v>102</v>
      </c>
      <c r="C155" s="83">
        <f t="shared" ref="C155:K155" si="10">SUM(C12+C30+C48+C65+C83+C101+C119+C137)</f>
        <v>0</v>
      </c>
      <c r="D155" s="83">
        <f t="shared" si="10"/>
        <v>59</v>
      </c>
      <c r="E155" s="83">
        <f t="shared" si="10"/>
        <v>0</v>
      </c>
      <c r="F155" s="83">
        <f t="shared" si="10"/>
        <v>860</v>
      </c>
      <c r="G155" s="83">
        <f t="shared" si="10"/>
        <v>700</v>
      </c>
      <c r="H155" s="83">
        <f t="shared" si="10"/>
        <v>700</v>
      </c>
      <c r="I155" s="83">
        <f t="shared" si="10"/>
        <v>0</v>
      </c>
      <c r="J155" s="83">
        <f t="shared" si="10"/>
        <v>0</v>
      </c>
      <c r="K155" s="83">
        <f t="shared" si="10"/>
        <v>0</v>
      </c>
      <c r="L155" s="83"/>
    </row>
    <row r="156" spans="1:12">
      <c r="A156" s="83">
        <v>7</v>
      </c>
      <c r="B156" s="83" t="s">
        <v>103</v>
      </c>
      <c r="C156" s="83">
        <f t="shared" ref="C156:K156" si="11">SUM(C13+C31+C49+C66+C84+C102+C120+C138)</f>
        <v>0</v>
      </c>
      <c r="D156" s="83">
        <f t="shared" si="11"/>
        <v>0</v>
      </c>
      <c r="E156" s="83">
        <f t="shared" si="11"/>
        <v>0</v>
      </c>
      <c r="F156" s="83">
        <f t="shared" si="11"/>
        <v>0</v>
      </c>
      <c r="G156" s="83">
        <f t="shared" si="11"/>
        <v>0</v>
      </c>
      <c r="H156" s="83">
        <f t="shared" si="11"/>
        <v>0</v>
      </c>
      <c r="I156" s="83">
        <f t="shared" si="11"/>
        <v>0</v>
      </c>
      <c r="J156" s="83">
        <f t="shared" si="11"/>
        <v>0</v>
      </c>
      <c r="K156" s="83">
        <f t="shared" si="11"/>
        <v>0</v>
      </c>
      <c r="L156" s="83"/>
    </row>
    <row r="157" spans="1:12">
      <c r="A157" s="83">
        <v>8</v>
      </c>
      <c r="B157" s="83" t="s">
        <v>104</v>
      </c>
      <c r="C157" s="83">
        <f t="shared" ref="C157:K157" si="12">SUM(C14+C32+C50+C67+C85+C103+C121+C139)</f>
        <v>273</v>
      </c>
      <c r="D157" s="83">
        <f t="shared" si="12"/>
        <v>467</v>
      </c>
      <c r="E157" s="83">
        <f t="shared" si="12"/>
        <v>249</v>
      </c>
      <c r="F157" s="83">
        <f t="shared" si="12"/>
        <v>1150</v>
      </c>
      <c r="G157" s="83">
        <f t="shared" si="12"/>
        <v>950</v>
      </c>
      <c r="H157" s="83">
        <f t="shared" si="12"/>
        <v>1110</v>
      </c>
      <c r="I157" s="83">
        <f t="shared" si="12"/>
        <v>0</v>
      </c>
      <c r="J157" s="83">
        <f t="shared" si="12"/>
        <v>0</v>
      </c>
      <c r="K157" s="83">
        <f t="shared" si="12"/>
        <v>0</v>
      </c>
      <c r="L157" s="83"/>
    </row>
    <row r="158" spans="1:12">
      <c r="A158" s="83">
        <v>9</v>
      </c>
      <c r="B158" s="83" t="s">
        <v>105</v>
      </c>
      <c r="C158" s="83">
        <f t="shared" ref="C158:K158" si="13">SUM(C15+C33+C51+C68+C86+C104+C122+C140)</f>
        <v>0</v>
      </c>
      <c r="D158" s="83">
        <f t="shared" si="13"/>
        <v>19</v>
      </c>
      <c r="E158" s="83">
        <f t="shared" si="13"/>
        <v>0</v>
      </c>
      <c r="F158" s="83">
        <f t="shared" si="13"/>
        <v>646</v>
      </c>
      <c r="G158" s="83">
        <f t="shared" si="13"/>
        <v>446</v>
      </c>
      <c r="H158" s="83">
        <f t="shared" si="13"/>
        <v>446</v>
      </c>
      <c r="I158" s="83">
        <f t="shared" si="13"/>
        <v>0</v>
      </c>
      <c r="J158" s="83">
        <f t="shared" si="13"/>
        <v>0</v>
      </c>
      <c r="K158" s="83">
        <f t="shared" si="13"/>
        <v>0</v>
      </c>
      <c r="L158" s="83"/>
    </row>
    <row r="159" spans="1:12">
      <c r="A159" s="52">
        <v>10</v>
      </c>
      <c r="B159" s="83" t="s">
        <v>106</v>
      </c>
      <c r="C159" s="83">
        <f t="shared" ref="C159:K159" si="14">SUM(C16+C34+C52+C69+C87+C105+C123+C141)</f>
        <v>0</v>
      </c>
      <c r="D159" s="83">
        <f t="shared" si="14"/>
        <v>0</v>
      </c>
      <c r="E159" s="83">
        <f t="shared" si="14"/>
        <v>0</v>
      </c>
      <c r="F159" s="83">
        <f t="shared" si="14"/>
        <v>0</v>
      </c>
      <c r="G159" s="83">
        <f t="shared" si="14"/>
        <v>20</v>
      </c>
      <c r="H159" s="83">
        <f t="shared" si="14"/>
        <v>20</v>
      </c>
      <c r="I159" s="83">
        <f t="shared" si="14"/>
        <v>0</v>
      </c>
      <c r="J159" s="83">
        <f t="shared" si="14"/>
        <v>0</v>
      </c>
      <c r="K159" s="83">
        <f t="shared" si="14"/>
        <v>0</v>
      </c>
      <c r="L159" s="83"/>
    </row>
    <row r="160" spans="1:12" ht="15.75" thickBot="1">
      <c r="A160" s="85"/>
      <c r="B160" s="86" t="s">
        <v>78</v>
      </c>
      <c r="C160" s="89">
        <f t="shared" ref="C160:H160" si="15">SUM(C150:C159)</f>
        <v>30461</v>
      </c>
      <c r="D160" s="89">
        <f t="shared" si="15"/>
        <v>34482</v>
      </c>
      <c r="E160" s="89">
        <f t="shared" si="15"/>
        <v>43202</v>
      </c>
      <c r="F160" s="89">
        <f t="shared" si="15"/>
        <v>61288</v>
      </c>
      <c r="G160" s="89">
        <f t="shared" si="15"/>
        <v>54206</v>
      </c>
      <c r="H160" s="89">
        <f t="shared" si="15"/>
        <v>67061</v>
      </c>
      <c r="I160" s="89">
        <f>SUM(I17+I35+I53+I70+I88+I106+I124+I142)</f>
        <v>0</v>
      </c>
      <c r="J160" s="89">
        <f>SUM(J17+J35+J53+J70+J88+J106+J124+J142)</f>
        <v>0</v>
      </c>
      <c r="K160" s="89">
        <f>SUM(K17+K35+K53+K70+K88+K106+K124+K142)</f>
        <v>0</v>
      </c>
      <c r="L160" s="85"/>
    </row>
    <row r="161" spans="1:12" ht="15.75" thickTop="1">
      <c r="A161" s="87"/>
      <c r="B161" s="88"/>
      <c r="C161" s="87"/>
      <c r="D161" s="87"/>
      <c r="E161" s="87"/>
      <c r="F161" s="87"/>
      <c r="G161" s="87"/>
      <c r="H161" s="87"/>
      <c r="I161" s="87"/>
      <c r="J161" s="87"/>
      <c r="K161" s="87"/>
      <c r="L161" s="87"/>
    </row>
  </sheetData>
  <mergeCells count="81">
    <mergeCell ref="G147:G148"/>
    <mergeCell ref="H147:K147"/>
    <mergeCell ref="L147:L148"/>
    <mergeCell ref="A146:C146"/>
    <mergeCell ref="A147:A148"/>
    <mergeCell ref="B147:B148"/>
    <mergeCell ref="C147:E147"/>
    <mergeCell ref="A145:L145"/>
    <mergeCell ref="C4:E4"/>
    <mergeCell ref="H4:K4"/>
    <mergeCell ref="A19:L19"/>
    <mergeCell ref="A20:L20"/>
    <mergeCell ref="A21:C21"/>
    <mergeCell ref="A37:L37"/>
    <mergeCell ref="A38:L38"/>
    <mergeCell ref="G40:G41"/>
    <mergeCell ref="B4:B5"/>
    <mergeCell ref="A144:L144"/>
    <mergeCell ref="A1:L1"/>
    <mergeCell ref="A3:C3"/>
    <mergeCell ref="H22:K22"/>
    <mergeCell ref="L22:L23"/>
    <mergeCell ref="A22:A23"/>
    <mergeCell ref="B22:B23"/>
    <mergeCell ref="C22:E22"/>
    <mergeCell ref="G22:G23"/>
    <mergeCell ref="A2:L2"/>
    <mergeCell ref="A72:L72"/>
    <mergeCell ref="A39:C39"/>
    <mergeCell ref="A40:A41"/>
    <mergeCell ref="B40:B41"/>
    <mergeCell ref="C40:E40"/>
    <mergeCell ref="A4:A5"/>
    <mergeCell ref="H40:K40"/>
    <mergeCell ref="L40:L41"/>
    <mergeCell ref="L4:L5"/>
    <mergeCell ref="G4:G5"/>
    <mergeCell ref="A73:L73"/>
    <mergeCell ref="A74:C74"/>
    <mergeCell ref="A75:A76"/>
    <mergeCell ref="B75:B76"/>
    <mergeCell ref="C75:E75"/>
    <mergeCell ref="G75:G76"/>
    <mergeCell ref="H75:K75"/>
    <mergeCell ref="L75:L76"/>
    <mergeCell ref="A90:L90"/>
    <mergeCell ref="A91:L91"/>
    <mergeCell ref="A92:C92"/>
    <mergeCell ref="A93:A94"/>
    <mergeCell ref="B93:B94"/>
    <mergeCell ref="C93:E93"/>
    <mergeCell ref="G93:G94"/>
    <mergeCell ref="H93:K93"/>
    <mergeCell ref="L93:L94"/>
    <mergeCell ref="A108:L108"/>
    <mergeCell ref="A109:L109"/>
    <mergeCell ref="A110:C110"/>
    <mergeCell ref="A111:A112"/>
    <mergeCell ref="B111:B112"/>
    <mergeCell ref="C111:E111"/>
    <mergeCell ref="G111:G112"/>
    <mergeCell ref="H111:K111"/>
    <mergeCell ref="L111:L112"/>
    <mergeCell ref="A126:L126"/>
    <mergeCell ref="A127:L127"/>
    <mergeCell ref="A128:C128"/>
    <mergeCell ref="A129:A130"/>
    <mergeCell ref="B129:B130"/>
    <mergeCell ref="C129:E129"/>
    <mergeCell ref="G129:G130"/>
    <mergeCell ref="H129:K129"/>
    <mergeCell ref="L129:L130"/>
    <mergeCell ref="A54:L54"/>
    <mergeCell ref="A55:L55"/>
    <mergeCell ref="A56:C56"/>
    <mergeCell ref="A57:A58"/>
    <mergeCell ref="B57:B58"/>
    <mergeCell ref="C57:E57"/>
    <mergeCell ref="G57:G58"/>
    <mergeCell ref="H57:K57"/>
    <mergeCell ref="L57:L58"/>
  </mergeCells>
  <phoneticPr fontId="0" type="noConversion"/>
  <pageMargins left="0.78" right="0.17" top="0.25" bottom="2.2799999999999998" header="0.3" footer="0.17"/>
  <pageSetup paperSize="5" scale="97" orientation="landscape" r:id="rId1"/>
  <headerFooter>
    <oddFooter>&amp;Z&amp;F&amp;RPage &amp;P</oddFooter>
  </headerFooter>
  <rowBreaks count="8" manualBreakCount="8">
    <brk id="18" max="16383" man="1"/>
    <brk id="36" max="16383" man="1"/>
    <brk id="53" max="16383" man="1"/>
    <brk id="71" max="16383" man="1"/>
    <brk id="89" max="16383" man="1"/>
    <brk id="107" max="16383" man="1"/>
    <brk id="125" max="16383" man="1"/>
    <brk id="14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view="pageBreakPreview" topLeftCell="A13" zoomScaleNormal="80" zoomScaleSheetLayoutView="100" workbookViewId="0">
      <selection activeCell="L19" sqref="L19:L20"/>
    </sheetView>
  </sheetViews>
  <sheetFormatPr defaultRowHeight="14.25"/>
  <cols>
    <col min="1" max="1" width="3.5703125" style="90" customWidth="1"/>
    <col min="2" max="2" width="21.42578125" style="90" customWidth="1"/>
    <col min="3" max="4" width="11" style="90" customWidth="1"/>
    <col min="5" max="5" width="13.140625" style="90" bestFit="1" customWidth="1"/>
    <col min="6" max="6" width="13" style="90" customWidth="1"/>
    <col min="7" max="7" width="10.85546875" style="90" customWidth="1"/>
    <col min="8" max="8" width="12.7109375" style="90" customWidth="1"/>
    <col min="9" max="9" width="12.85546875" style="90" customWidth="1"/>
    <col min="10" max="10" width="10.5703125" style="90" customWidth="1"/>
    <col min="11" max="11" width="9.85546875" style="90" customWidth="1"/>
    <col min="12" max="12" width="47" style="90" customWidth="1"/>
    <col min="13" max="16384" width="9.140625" style="50"/>
  </cols>
  <sheetData>
    <row r="1" spans="1:12" ht="15">
      <c r="A1" s="175" t="str">
        <f>'Page 4'!A144</f>
        <v>प्रपत्र - अ  -  अर्थसंकल्पीय अंदाजपत्रक सन 2021-2022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</row>
    <row r="2" spans="1:12" ht="15">
      <c r="A2" s="175" t="str">
        <f>'Page 4'!A145</f>
        <v>मागणी क्र.सी- 1- लेखाशिर्ष 2029 0182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</row>
    <row r="3" spans="1:12" ht="15">
      <c r="A3" s="186" t="str">
        <f>'Page 4'!A146</f>
        <v>कोकण विभाग</v>
      </c>
      <c r="B3" s="186"/>
      <c r="C3" s="186"/>
      <c r="D3" s="80"/>
      <c r="E3" s="80"/>
      <c r="F3" s="80"/>
      <c r="G3" s="80"/>
      <c r="H3" s="80"/>
      <c r="I3" s="80"/>
      <c r="J3" s="80"/>
      <c r="K3" s="80"/>
      <c r="L3" s="81" t="str">
        <f>'Page 4'!L146</f>
        <v>(आकडे हजारात)</v>
      </c>
    </row>
    <row r="4" spans="1:12" ht="28.5">
      <c r="A4" s="182" t="str">
        <f>'Page 4'!A147</f>
        <v>अ. क्र</v>
      </c>
      <c r="B4" s="182" t="str">
        <f>'Page 4'!B147</f>
        <v>लेख्याची प्राथमिक आणि दुय्यम युनिट</v>
      </c>
      <c r="C4" s="184" t="str">
        <f>'Page 4'!C147</f>
        <v>प्रत्यक्ष रक्कमा (खर्च)</v>
      </c>
      <c r="D4" s="184"/>
      <c r="E4" s="184"/>
      <c r="F4" s="82" t="str">
        <f>'Page 4'!F147</f>
        <v>अर्थसंकल्पीय अंदाज</v>
      </c>
      <c r="G4" s="182" t="str">
        <f>'Page 4'!G147</f>
        <v>सुधारीत अंदाज 2020-2021</v>
      </c>
      <c r="H4" s="184" t="str">
        <f>'Page 4'!H147</f>
        <v>अर्थसंकल्पीय अंदाज 2021-2022</v>
      </c>
      <c r="I4" s="184"/>
      <c r="J4" s="184"/>
      <c r="K4" s="184"/>
      <c r="L4" s="182" t="str">
        <f>'Page 4'!L147</f>
        <v>मागील वर्षाच्या प्रत्यक्ष रक्कमा आणि चालु वर्षाच्या अर्थसंकल्पीय अंदाजाची तुलना करता आगामी वर्षासाठीच्या अंदाजातील वाढ किंवा घट यांच्या संबधातील स्पष्टीकरणे.</v>
      </c>
    </row>
    <row r="5" spans="1:12" ht="57" customHeight="1">
      <c r="A5" s="183"/>
      <c r="B5" s="183"/>
      <c r="C5" s="82" t="str">
        <f>'Page 4'!C148</f>
        <v>2017-2018</v>
      </c>
      <c r="D5" s="82" t="str">
        <f>'Page 4'!D148</f>
        <v>2018-2019</v>
      </c>
      <c r="E5" s="82" t="str">
        <f>'Page 4'!E148</f>
        <v>2019-2020</v>
      </c>
      <c r="F5" s="82" t="str">
        <f>'Page 4'!F148</f>
        <v>2020-2021</v>
      </c>
      <c r="G5" s="183"/>
      <c r="H5" s="82" t="str">
        <f>'Page 4'!H148</f>
        <v>प्राकक्लन (एस्टिमेटिंग) अधिका-याचा</v>
      </c>
      <c r="I5" s="82" t="str">
        <f>'Page 4'!I148</f>
        <v>नियंत्रक अधिका-यांचा</v>
      </c>
      <c r="J5" s="82" t="str">
        <f>'Page 4'!J148</f>
        <v>प्रशासकीय विभागाचा</v>
      </c>
      <c r="K5" s="82" t="str">
        <f>'Page 4'!K148</f>
        <v>वित्त विभागाचा</v>
      </c>
      <c r="L5" s="183"/>
    </row>
    <row r="6" spans="1:12">
      <c r="A6" s="53">
        <f>'Page 4'!A149</f>
        <v>1</v>
      </c>
      <c r="B6" s="53">
        <f>'Page 4'!B149</f>
        <v>2</v>
      </c>
      <c r="C6" s="53">
        <f>'Page 4'!C149</f>
        <v>3</v>
      </c>
      <c r="D6" s="53">
        <f>'Page 4'!D149</f>
        <v>4</v>
      </c>
      <c r="E6" s="53">
        <f>'Page 4'!E149</f>
        <v>5</v>
      </c>
      <c r="F6" s="53">
        <f>'Page 4'!F149</f>
        <v>6</v>
      </c>
      <c r="G6" s="53">
        <f>'Page 4'!G149</f>
        <v>7</v>
      </c>
      <c r="H6" s="53">
        <f>'Page 4'!H149</f>
        <v>8</v>
      </c>
      <c r="I6" s="53">
        <f>'Page 4'!I149</f>
        <v>9</v>
      </c>
      <c r="J6" s="53">
        <f>'Page 4'!J149</f>
        <v>10</v>
      </c>
      <c r="K6" s="53">
        <f>'Page 4'!K149</f>
        <v>11</v>
      </c>
      <c r="L6" s="53">
        <f>'Page 4'!L149</f>
        <v>12</v>
      </c>
    </row>
    <row r="7" spans="1:12" ht="28.5">
      <c r="A7" s="83">
        <v>1</v>
      </c>
      <c r="B7" s="83" t="s">
        <v>97</v>
      </c>
      <c r="C7" s="83">
        <f>'Page 4'!C150</f>
        <v>28714</v>
      </c>
      <c r="D7" s="83">
        <f>'Page 4'!D150</f>
        <v>32127</v>
      </c>
      <c r="E7" s="83">
        <f>'Page 4'!E150</f>
        <v>41523</v>
      </c>
      <c r="F7" s="83">
        <v>56839</v>
      </c>
      <c r="G7" s="83">
        <f>SUM('Page 4'!G150)</f>
        <v>47645</v>
      </c>
      <c r="H7" s="83"/>
      <c r="I7" s="83">
        <f>SUM('Page 4'!H150)</f>
        <v>59640</v>
      </c>
      <c r="J7" s="83"/>
      <c r="K7" s="83"/>
      <c r="L7" s="91" t="s">
        <v>151</v>
      </c>
    </row>
    <row r="8" spans="1:12">
      <c r="A8" s="83">
        <v>2</v>
      </c>
      <c r="B8" s="83" t="s">
        <v>98</v>
      </c>
      <c r="C8" s="83">
        <f>'Page 4'!C151</f>
        <v>0</v>
      </c>
      <c r="D8" s="83">
        <f>'Page 4'!D151</f>
        <v>0</v>
      </c>
      <c r="E8" s="83">
        <f>'Page 4'!E151</f>
        <v>0</v>
      </c>
      <c r="F8" s="83">
        <f>SUM('Page 4'!F151)</f>
        <v>0</v>
      </c>
      <c r="G8" s="83">
        <f>SUM('Page 4'!G151)</f>
        <v>0</v>
      </c>
      <c r="H8" s="83"/>
      <c r="I8" s="83">
        <f>SUM('Page 4'!H151)</f>
        <v>0</v>
      </c>
      <c r="J8" s="83"/>
      <c r="K8" s="83"/>
      <c r="L8" s="84"/>
    </row>
    <row r="9" spans="1:12" ht="57">
      <c r="A9" s="83">
        <v>3</v>
      </c>
      <c r="B9" s="83" t="s">
        <v>99</v>
      </c>
      <c r="C9" s="83">
        <f>'Page 4'!C152</f>
        <v>260</v>
      </c>
      <c r="D9" s="83">
        <f>'Page 4'!D152</f>
        <v>265</v>
      </c>
      <c r="E9" s="83">
        <f>'Page 4'!E152</f>
        <v>244</v>
      </c>
      <c r="F9" s="83">
        <v>1700</v>
      </c>
      <c r="G9" s="83">
        <f>SUM('Page 4'!G152)</f>
        <v>1610</v>
      </c>
      <c r="H9" s="83"/>
      <c r="I9" s="83">
        <f>SUM('Page 4'!H152)</f>
        <v>1710</v>
      </c>
      <c r="J9" s="83"/>
      <c r="K9" s="83"/>
      <c r="L9" s="92" t="s">
        <v>129</v>
      </c>
    </row>
    <row r="10" spans="1:12" ht="77.25" customHeight="1">
      <c r="A10" s="83">
        <v>4</v>
      </c>
      <c r="B10" s="83" t="s">
        <v>100</v>
      </c>
      <c r="C10" s="83">
        <f>'Page 4'!C153</f>
        <v>200</v>
      </c>
      <c r="D10" s="83">
        <f>'Page 4'!D153</f>
        <v>300</v>
      </c>
      <c r="E10" s="83">
        <f>'Page 4'!E153</f>
        <v>342</v>
      </c>
      <c r="F10" s="83">
        <v>1545</v>
      </c>
      <c r="G10" s="83">
        <f>SUM('Page 4'!G153)</f>
        <v>1235</v>
      </c>
      <c r="H10" s="83"/>
      <c r="I10" s="83">
        <f>SUM('Page 4'!H153)</f>
        <v>1485</v>
      </c>
      <c r="J10" s="83"/>
      <c r="K10" s="83"/>
      <c r="L10" s="93" t="s">
        <v>130</v>
      </c>
    </row>
    <row r="11" spans="1:12" ht="99.75">
      <c r="A11" s="83">
        <v>5</v>
      </c>
      <c r="B11" s="83" t="s">
        <v>101</v>
      </c>
      <c r="C11" s="83">
        <f>'Page 4'!C154</f>
        <v>1014</v>
      </c>
      <c r="D11" s="83">
        <f>'Page 4'!D154</f>
        <v>1245</v>
      </c>
      <c r="E11" s="83">
        <f>'Page 4'!E154</f>
        <v>844</v>
      </c>
      <c r="F11" s="83">
        <v>2150</v>
      </c>
      <c r="G11" s="83">
        <f>SUM('Page 4'!G154)</f>
        <v>1600</v>
      </c>
      <c r="H11" s="83"/>
      <c r="I11" s="83">
        <f>SUM('Page 4'!H154)</f>
        <v>1950</v>
      </c>
      <c r="J11" s="83"/>
      <c r="K11" s="83"/>
      <c r="L11" s="94" t="s">
        <v>133</v>
      </c>
    </row>
    <row r="12" spans="1:12" ht="42.75">
      <c r="A12" s="83">
        <v>6</v>
      </c>
      <c r="B12" s="83" t="s">
        <v>102</v>
      </c>
      <c r="C12" s="83">
        <f>'Page 4'!C155</f>
        <v>0</v>
      </c>
      <c r="D12" s="83">
        <f>'Page 4'!D155</f>
        <v>59</v>
      </c>
      <c r="E12" s="83">
        <f>'Page 4'!E155</f>
        <v>0</v>
      </c>
      <c r="F12" s="83">
        <f>SUM('Page 4'!F155)</f>
        <v>860</v>
      </c>
      <c r="G12" s="83">
        <f>SUM('Page 4'!G155)</f>
        <v>700</v>
      </c>
      <c r="H12" s="83"/>
      <c r="I12" s="83">
        <f>SUM('Page 4'!H155)</f>
        <v>700</v>
      </c>
      <c r="J12" s="83"/>
      <c r="K12" s="83"/>
      <c r="L12" s="94" t="s">
        <v>132</v>
      </c>
    </row>
    <row r="13" spans="1:12">
      <c r="A13" s="83">
        <v>7</v>
      </c>
      <c r="B13" s="83" t="s">
        <v>103</v>
      </c>
      <c r="C13" s="83">
        <f>'Page 4'!C156</f>
        <v>0</v>
      </c>
      <c r="D13" s="83">
        <f>'Page 4'!D156</f>
        <v>0</v>
      </c>
      <c r="E13" s="83">
        <f>'Page 4'!E156</f>
        <v>0</v>
      </c>
      <c r="F13" s="83">
        <f>SUM('Page 4'!F156)</f>
        <v>0</v>
      </c>
      <c r="G13" s="83">
        <f>SUM('Page 4'!G156)</f>
        <v>0</v>
      </c>
      <c r="H13" s="83"/>
      <c r="I13" s="83">
        <f>SUM('Page 4'!H156)</f>
        <v>0</v>
      </c>
      <c r="J13" s="83"/>
      <c r="K13" s="83"/>
      <c r="L13" s="91"/>
    </row>
    <row r="14" spans="1:12" ht="128.25">
      <c r="A14" s="83">
        <v>8</v>
      </c>
      <c r="B14" s="83" t="s">
        <v>104</v>
      </c>
      <c r="C14" s="83">
        <f>'Page 4'!C157</f>
        <v>273</v>
      </c>
      <c r="D14" s="83">
        <f>'Page 4'!D157</f>
        <v>467</v>
      </c>
      <c r="E14" s="83">
        <f>'Page 4'!E157</f>
        <v>249</v>
      </c>
      <c r="F14" s="83">
        <v>1220</v>
      </c>
      <c r="G14" s="83">
        <f>SUM('Page 4'!G157)</f>
        <v>950</v>
      </c>
      <c r="H14" s="83"/>
      <c r="I14" s="83">
        <f>SUM('Page 4'!H157)</f>
        <v>1110</v>
      </c>
      <c r="J14" s="83"/>
      <c r="K14" s="83"/>
      <c r="L14" s="94" t="s">
        <v>131</v>
      </c>
    </row>
    <row r="15" spans="1:12" ht="71.25">
      <c r="A15" s="83">
        <v>9</v>
      </c>
      <c r="B15" s="83" t="s">
        <v>105</v>
      </c>
      <c r="C15" s="83">
        <f>'Page 4'!C158</f>
        <v>0</v>
      </c>
      <c r="D15" s="83">
        <f>'Page 4'!D158</f>
        <v>19</v>
      </c>
      <c r="E15" s="83">
        <f>'Page 4'!E158</f>
        <v>0</v>
      </c>
      <c r="F15" s="83">
        <f>SUM('Page 4'!F158)</f>
        <v>646</v>
      </c>
      <c r="G15" s="83">
        <f>SUM('Page 4'!G158)</f>
        <v>446</v>
      </c>
      <c r="H15" s="83"/>
      <c r="I15" s="83">
        <f>SUM('Page 4'!H158)</f>
        <v>446</v>
      </c>
      <c r="J15" s="83"/>
      <c r="K15" s="83"/>
      <c r="L15" s="94" t="s">
        <v>134</v>
      </c>
    </row>
    <row r="16" spans="1:12" ht="76.5" customHeight="1">
      <c r="A16" s="52">
        <v>10</v>
      </c>
      <c r="B16" s="83" t="s">
        <v>106</v>
      </c>
      <c r="C16" s="83">
        <f>'Page 4'!C159</f>
        <v>0</v>
      </c>
      <c r="D16" s="83">
        <f>'Page 4'!D159</f>
        <v>0</v>
      </c>
      <c r="E16" s="83">
        <f>'Page 4'!E159</f>
        <v>0</v>
      </c>
      <c r="F16" s="83">
        <f>SUM('Page 4'!F159)</f>
        <v>0</v>
      </c>
      <c r="G16" s="83">
        <f>SUM('Page 4'!G159)</f>
        <v>20</v>
      </c>
      <c r="H16" s="83"/>
      <c r="I16" s="83">
        <f>SUM('Page 4'!H159)</f>
        <v>20</v>
      </c>
      <c r="J16" s="83"/>
      <c r="K16" s="83"/>
      <c r="L16" s="94" t="s">
        <v>135</v>
      </c>
    </row>
    <row r="17" spans="1:12" ht="15.75" thickBot="1">
      <c r="A17" s="85"/>
      <c r="B17" s="86" t="s">
        <v>78</v>
      </c>
      <c r="C17" s="85">
        <f t="shared" ref="C17:K17" si="0">SUM(C7:C16)</f>
        <v>30461</v>
      </c>
      <c r="D17" s="85">
        <f t="shared" si="0"/>
        <v>34482</v>
      </c>
      <c r="E17" s="85">
        <f t="shared" si="0"/>
        <v>43202</v>
      </c>
      <c r="F17" s="85">
        <f t="shared" si="0"/>
        <v>64960</v>
      </c>
      <c r="G17" s="85">
        <f t="shared" si="0"/>
        <v>54206</v>
      </c>
      <c r="H17" s="85">
        <f t="shared" si="0"/>
        <v>0</v>
      </c>
      <c r="I17" s="85">
        <f t="shared" si="0"/>
        <v>67061</v>
      </c>
      <c r="J17" s="85">
        <f t="shared" si="0"/>
        <v>0</v>
      </c>
      <c r="K17" s="85">
        <f t="shared" si="0"/>
        <v>0</v>
      </c>
      <c r="L17" s="85"/>
    </row>
    <row r="18" spans="1:12" ht="15.75" thickTop="1">
      <c r="A18" s="87"/>
      <c r="B18" s="88"/>
      <c r="C18" s="87"/>
      <c r="D18" s="87"/>
      <c r="E18" s="87"/>
      <c r="F18" s="87"/>
      <c r="G18" s="87"/>
      <c r="H18" s="87"/>
      <c r="I18" s="87"/>
      <c r="J18" s="87"/>
      <c r="K18" s="87"/>
      <c r="L18" s="87"/>
    </row>
    <row r="19" spans="1:12" ht="15">
      <c r="A19" s="87"/>
      <c r="B19" s="88"/>
      <c r="C19" s="87"/>
      <c r="D19" s="87"/>
      <c r="E19" s="87"/>
      <c r="F19" s="87"/>
      <c r="G19" s="87"/>
      <c r="H19" s="87"/>
      <c r="I19" s="87"/>
      <c r="J19" s="87"/>
      <c r="K19" s="87"/>
      <c r="L19" s="88" t="s">
        <v>159</v>
      </c>
    </row>
    <row r="20" spans="1:12" ht="15.75">
      <c r="L20" s="128" t="s">
        <v>160</v>
      </c>
    </row>
  </sheetData>
  <mergeCells count="9">
    <mergeCell ref="A1:L1"/>
    <mergeCell ref="A2:L2"/>
    <mergeCell ref="A3:C3"/>
    <mergeCell ref="A4:A5"/>
    <mergeCell ref="B4:B5"/>
    <mergeCell ref="C4:E4"/>
    <mergeCell ref="G4:G5"/>
    <mergeCell ref="H4:K4"/>
    <mergeCell ref="L4:L5"/>
  </mergeCells>
  <phoneticPr fontId="1" type="noConversion"/>
  <pageMargins left="0.56999999999999995" right="0.17" top="0.19" bottom="0.37" header="0.17" footer="0.17"/>
  <pageSetup paperSize="5" scale="95" orientation="landscape" r:id="rId1"/>
  <headerFooter alignWithMargins="0">
    <oddFooter>&amp;Z&amp;F&amp;RPage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view="pageBreakPreview" zoomScaleNormal="100" workbookViewId="0">
      <selection activeCell="I14" sqref="I14"/>
    </sheetView>
  </sheetViews>
  <sheetFormatPr defaultRowHeight="14.25"/>
  <cols>
    <col min="1" max="1" width="6.7109375" style="106" customWidth="1"/>
    <col min="2" max="2" width="24.7109375" style="106" bestFit="1" customWidth="1"/>
    <col min="3" max="6" width="9.140625" style="106"/>
    <col min="7" max="7" width="11.28515625" style="106" bestFit="1" customWidth="1"/>
    <col min="8" max="8" width="9.42578125" style="106" bestFit="1" customWidth="1"/>
    <col min="9" max="9" width="12.85546875" style="106" bestFit="1" customWidth="1"/>
    <col min="10" max="10" width="15.5703125" style="106" bestFit="1" customWidth="1"/>
    <col min="11" max="11" width="12.42578125" style="106" bestFit="1" customWidth="1"/>
    <col min="12" max="12" width="12.42578125" style="106" customWidth="1"/>
    <col min="13" max="13" width="13.5703125" style="106" customWidth="1"/>
    <col min="14" max="16384" width="9.140625" style="106"/>
  </cols>
  <sheetData>
    <row r="1" spans="1:13">
      <c r="A1" s="187" t="s">
        <v>146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</row>
    <row r="2" spans="1:13">
      <c r="A2" s="187" t="s">
        <v>161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3" spans="1:13" s="108" customFormat="1">
      <c r="A3" s="107"/>
      <c r="B3" s="107"/>
      <c r="C3" s="107" t="s">
        <v>0</v>
      </c>
      <c r="D3" s="107" t="s">
        <v>1</v>
      </c>
      <c r="E3" s="107" t="s">
        <v>2</v>
      </c>
      <c r="F3" s="127" t="s">
        <v>3</v>
      </c>
      <c r="G3" s="127" t="s">
        <v>118</v>
      </c>
      <c r="H3" s="107" t="s">
        <v>4</v>
      </c>
      <c r="I3" s="107" t="s">
        <v>5</v>
      </c>
      <c r="J3" s="107" t="s">
        <v>6</v>
      </c>
      <c r="K3" s="107" t="s">
        <v>7</v>
      </c>
      <c r="L3" s="107" t="s">
        <v>119</v>
      </c>
      <c r="M3" s="107" t="s">
        <v>8</v>
      </c>
    </row>
    <row r="4" spans="1:13">
      <c r="A4" s="109">
        <v>1</v>
      </c>
      <c r="B4" s="109" t="s">
        <v>9</v>
      </c>
      <c r="C4" s="109">
        <v>0</v>
      </c>
      <c r="D4" s="109">
        <v>0</v>
      </c>
      <c r="E4" s="109">
        <f>SUM(C4:D4)</f>
        <v>0</v>
      </c>
      <c r="F4" s="109">
        <v>1757</v>
      </c>
      <c r="G4" s="109">
        <v>410</v>
      </c>
      <c r="H4" s="109">
        <v>4156</v>
      </c>
      <c r="I4" s="109">
        <v>2310</v>
      </c>
      <c r="J4" s="109">
        <v>3353</v>
      </c>
      <c r="K4" s="109">
        <v>0</v>
      </c>
      <c r="L4" s="109">
        <f>SUM(F4:K4)</f>
        <v>11986</v>
      </c>
      <c r="M4" s="109">
        <f>SUM(L4+E4)</f>
        <v>11986</v>
      </c>
    </row>
    <row r="5" spans="1:13">
      <c r="A5" s="109">
        <v>6</v>
      </c>
      <c r="B5" s="109" t="s">
        <v>12</v>
      </c>
      <c r="C5" s="109"/>
      <c r="D5" s="109"/>
      <c r="E5" s="109">
        <f t="shared" ref="E5:E11" si="0">SUM(C5:D5)</f>
        <v>0</v>
      </c>
      <c r="F5" s="109"/>
      <c r="G5" s="109"/>
      <c r="H5" s="109">
        <v>4</v>
      </c>
      <c r="I5" s="109"/>
      <c r="J5" s="109">
        <v>1</v>
      </c>
      <c r="K5" s="109"/>
      <c r="L5" s="109">
        <f t="shared" ref="L5:L11" si="1">SUM(F5:K5)</f>
        <v>5</v>
      </c>
      <c r="M5" s="109">
        <f t="shared" ref="M5:M11" si="2">SUM(E5:K5)</f>
        <v>5</v>
      </c>
    </row>
    <row r="6" spans="1:13">
      <c r="A6" s="109">
        <v>11</v>
      </c>
      <c r="B6" s="109" t="s">
        <v>10</v>
      </c>
      <c r="C6" s="109"/>
      <c r="D6" s="109"/>
      <c r="E6" s="109">
        <f t="shared" si="0"/>
        <v>0</v>
      </c>
      <c r="F6" s="109"/>
      <c r="G6" s="109"/>
      <c r="H6" s="109">
        <v>11</v>
      </c>
      <c r="I6" s="109"/>
      <c r="J6" s="109"/>
      <c r="K6" s="109"/>
      <c r="L6" s="109">
        <f t="shared" si="1"/>
        <v>11</v>
      </c>
      <c r="M6" s="109">
        <f t="shared" si="2"/>
        <v>11</v>
      </c>
    </row>
    <row r="7" spans="1:13">
      <c r="A7" s="109">
        <v>13</v>
      </c>
      <c r="B7" s="109" t="s">
        <v>11</v>
      </c>
      <c r="C7" s="109"/>
      <c r="D7" s="109"/>
      <c r="E7" s="109">
        <f t="shared" si="0"/>
        <v>0</v>
      </c>
      <c r="F7" s="109"/>
      <c r="G7" s="109"/>
      <c r="H7" s="109"/>
      <c r="I7" s="109">
        <v>11</v>
      </c>
      <c r="J7" s="109">
        <v>22</v>
      </c>
      <c r="K7" s="109"/>
      <c r="L7" s="109">
        <f t="shared" si="1"/>
        <v>33</v>
      </c>
      <c r="M7" s="109">
        <f t="shared" si="2"/>
        <v>33</v>
      </c>
    </row>
    <row r="8" spans="1:13">
      <c r="A8" s="109">
        <v>14</v>
      </c>
      <c r="B8" s="109" t="s">
        <v>15</v>
      </c>
      <c r="C8" s="109"/>
      <c r="D8" s="109"/>
      <c r="E8" s="109">
        <f t="shared" si="0"/>
        <v>0</v>
      </c>
      <c r="F8" s="109"/>
      <c r="G8" s="109"/>
      <c r="H8" s="109"/>
      <c r="I8" s="109"/>
      <c r="J8" s="109"/>
      <c r="K8" s="109"/>
      <c r="L8" s="109">
        <f t="shared" si="1"/>
        <v>0</v>
      </c>
      <c r="M8" s="109">
        <f t="shared" si="2"/>
        <v>0</v>
      </c>
    </row>
    <row r="9" spans="1:13">
      <c r="A9" s="109">
        <v>17</v>
      </c>
      <c r="B9" s="109" t="s">
        <v>14</v>
      </c>
      <c r="C9" s="109"/>
      <c r="D9" s="109"/>
      <c r="E9" s="109">
        <f t="shared" si="0"/>
        <v>0</v>
      </c>
      <c r="F9" s="109"/>
      <c r="G9" s="109"/>
      <c r="H9" s="109"/>
      <c r="I9" s="109"/>
      <c r="J9" s="109"/>
      <c r="K9" s="109"/>
      <c r="L9" s="109">
        <f t="shared" si="1"/>
        <v>0</v>
      </c>
      <c r="M9" s="109">
        <f t="shared" si="2"/>
        <v>0</v>
      </c>
    </row>
    <row r="10" spans="1:13">
      <c r="A10" s="109">
        <v>24</v>
      </c>
      <c r="B10" s="109" t="s">
        <v>16</v>
      </c>
      <c r="C10" s="109"/>
      <c r="D10" s="109"/>
      <c r="E10" s="109">
        <f t="shared" si="0"/>
        <v>0</v>
      </c>
      <c r="F10" s="109"/>
      <c r="G10" s="109"/>
      <c r="H10" s="109"/>
      <c r="I10" s="109"/>
      <c r="J10" s="109"/>
      <c r="K10" s="109"/>
      <c r="L10" s="109">
        <f t="shared" si="1"/>
        <v>0</v>
      </c>
      <c r="M10" s="109">
        <f t="shared" si="2"/>
        <v>0</v>
      </c>
    </row>
    <row r="11" spans="1:13">
      <c r="A11" s="109">
        <v>26</v>
      </c>
      <c r="B11" s="109" t="s">
        <v>17</v>
      </c>
      <c r="C11" s="109"/>
      <c r="D11" s="109"/>
      <c r="E11" s="109">
        <f t="shared" si="0"/>
        <v>0</v>
      </c>
      <c r="F11" s="109"/>
      <c r="G11" s="109"/>
      <c r="H11" s="109"/>
      <c r="I11" s="109"/>
      <c r="J11" s="109"/>
      <c r="K11" s="109"/>
      <c r="L11" s="109">
        <f t="shared" si="1"/>
        <v>0</v>
      </c>
      <c r="M11" s="109">
        <f t="shared" si="2"/>
        <v>0</v>
      </c>
    </row>
    <row r="12" spans="1:13">
      <c r="A12" s="109"/>
      <c r="B12" s="109" t="s">
        <v>18</v>
      </c>
      <c r="C12" s="109">
        <f>SUM(C4:C11)</f>
        <v>0</v>
      </c>
      <c r="D12" s="109">
        <f t="shared" ref="D12:M12" si="3">SUM(D4:D11)</f>
        <v>0</v>
      </c>
      <c r="E12" s="109">
        <f t="shared" si="3"/>
        <v>0</v>
      </c>
      <c r="F12" s="109">
        <f t="shared" si="3"/>
        <v>1757</v>
      </c>
      <c r="G12" s="109">
        <f t="shared" si="3"/>
        <v>410</v>
      </c>
      <c r="H12" s="109">
        <f t="shared" si="3"/>
        <v>4171</v>
      </c>
      <c r="I12" s="109">
        <f t="shared" si="3"/>
        <v>2321</v>
      </c>
      <c r="J12" s="109">
        <f t="shared" si="3"/>
        <v>3376</v>
      </c>
      <c r="K12" s="109">
        <f t="shared" si="3"/>
        <v>0</v>
      </c>
      <c r="L12" s="109">
        <f t="shared" si="3"/>
        <v>12035</v>
      </c>
      <c r="M12" s="109">
        <f t="shared" si="3"/>
        <v>12035</v>
      </c>
    </row>
    <row r="15" spans="1:13" ht="15">
      <c r="K15" s="175" t="s">
        <v>159</v>
      </c>
      <c r="L15" s="175"/>
      <c r="M15" s="175"/>
    </row>
    <row r="16" spans="1:13" ht="15">
      <c r="K16" s="175" t="s">
        <v>163</v>
      </c>
      <c r="L16" s="175"/>
      <c r="M16" s="175"/>
    </row>
    <row r="17" spans="10:13" ht="15">
      <c r="K17" s="175" t="s">
        <v>28</v>
      </c>
      <c r="L17" s="175"/>
      <c r="M17" s="175"/>
    </row>
    <row r="18" spans="10:13">
      <c r="J18" s="106" t="s">
        <v>13</v>
      </c>
    </row>
  </sheetData>
  <mergeCells count="5">
    <mergeCell ref="A1:M1"/>
    <mergeCell ref="A2:M2"/>
    <mergeCell ref="K15:M15"/>
    <mergeCell ref="K16:M16"/>
    <mergeCell ref="K17:M17"/>
  </mergeCells>
  <phoneticPr fontId="1" type="noConversion"/>
  <pageMargins left="1.19" right="0.52" top="1" bottom="1" header="0.5" footer="0.5"/>
  <pageSetup paperSize="5" scale="94" orientation="landscape" r:id="rId1"/>
  <headerFooter alignWithMargins="0">
    <oddFooter>&amp;Z&amp;F&amp;RPage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view="pageBreakPreview" zoomScaleNormal="100" zoomScaleSheetLayoutView="100" workbookViewId="0">
      <selection activeCell="G10" sqref="G10"/>
    </sheetView>
  </sheetViews>
  <sheetFormatPr defaultRowHeight="14.25"/>
  <cols>
    <col min="1" max="1" width="7.85546875" style="112" customWidth="1"/>
    <col min="2" max="8" width="17.28515625" style="112" customWidth="1"/>
    <col min="9" max="16384" width="9.140625" style="112"/>
  </cols>
  <sheetData>
    <row r="1" spans="1:16" ht="25.5" customHeight="1">
      <c r="A1" s="190" t="s">
        <v>140</v>
      </c>
      <c r="B1" s="190"/>
      <c r="C1" s="190"/>
      <c r="D1" s="190"/>
      <c r="E1" s="190"/>
      <c r="F1" s="190"/>
      <c r="G1" s="190"/>
      <c r="H1" s="190"/>
    </row>
    <row r="2" spans="1:16" ht="25.5" customHeight="1">
      <c r="A2" s="191" t="s">
        <v>162</v>
      </c>
      <c r="B2" s="191"/>
      <c r="C2" s="191"/>
      <c r="D2" s="191"/>
      <c r="E2" s="191"/>
      <c r="F2" s="191"/>
      <c r="G2" s="191"/>
      <c r="H2" s="191"/>
      <c r="I2" s="113"/>
      <c r="J2" s="113"/>
      <c r="K2" s="113"/>
      <c r="L2" s="113"/>
      <c r="M2" s="113"/>
      <c r="N2" s="113"/>
      <c r="O2" s="113"/>
      <c r="P2" s="113"/>
    </row>
    <row r="3" spans="1:16" ht="25.5" customHeight="1">
      <c r="A3" s="192" t="s">
        <v>145</v>
      </c>
      <c r="B3" s="192"/>
      <c r="C3" s="192"/>
      <c r="D3" s="192"/>
      <c r="E3" s="192"/>
      <c r="F3" s="192"/>
      <c r="G3" s="192"/>
      <c r="H3" s="192"/>
    </row>
    <row r="4" spans="1:16" ht="25.5" customHeight="1">
      <c r="A4" s="192" t="s">
        <v>141</v>
      </c>
      <c r="B4" s="192"/>
      <c r="C4" s="192"/>
      <c r="D4" s="192"/>
      <c r="E4" s="192"/>
      <c r="F4" s="192"/>
      <c r="G4" s="192"/>
      <c r="H4" s="192"/>
    </row>
    <row r="5" spans="1:16" s="115" customFormat="1" ht="32.25" customHeight="1">
      <c r="A5" s="114" t="s">
        <v>22</v>
      </c>
      <c r="B5" s="114" t="s">
        <v>142</v>
      </c>
      <c r="C5" s="193" t="s">
        <v>53</v>
      </c>
      <c r="D5" s="193"/>
      <c r="E5" s="193" t="s">
        <v>85</v>
      </c>
      <c r="F5" s="193"/>
      <c r="G5" s="193" t="s">
        <v>86</v>
      </c>
      <c r="H5" s="193"/>
    </row>
    <row r="6" spans="1:16" s="115" customFormat="1" ht="32.25" customHeight="1">
      <c r="A6" s="114"/>
      <c r="B6" s="114"/>
      <c r="C6" s="114" t="s">
        <v>34</v>
      </c>
      <c r="D6" s="114" t="s">
        <v>41</v>
      </c>
      <c r="E6" s="114" t="s">
        <v>34</v>
      </c>
      <c r="F6" s="114" t="s">
        <v>41</v>
      </c>
      <c r="G6" s="114" t="s">
        <v>34</v>
      </c>
      <c r="H6" s="114" t="s">
        <v>41</v>
      </c>
    </row>
    <row r="7" spans="1:16" s="115" customFormat="1" ht="32.25" customHeight="1">
      <c r="A7" s="114">
        <v>1</v>
      </c>
      <c r="B7" s="114" t="s">
        <v>143</v>
      </c>
      <c r="C7" s="116">
        <v>0</v>
      </c>
      <c r="D7" s="116">
        <v>9</v>
      </c>
      <c r="E7" s="116">
        <f>SUM('Page 3'!C133)</f>
        <v>0</v>
      </c>
      <c r="F7" s="116">
        <f>SUM('Page 3'!E133)</f>
        <v>9</v>
      </c>
      <c r="G7" s="116">
        <f>SUM('Page 3'!D133)</f>
        <v>0</v>
      </c>
      <c r="H7" s="116">
        <f>SUM('Page 3'!F133)</f>
        <v>0</v>
      </c>
    </row>
    <row r="8" spans="1:16" s="115" customFormat="1" ht="32.25" customHeight="1">
      <c r="A8" s="114">
        <v>2</v>
      </c>
      <c r="B8" s="114" t="s">
        <v>144</v>
      </c>
      <c r="C8" s="116">
        <v>0</v>
      </c>
      <c r="D8" s="116">
        <v>1</v>
      </c>
      <c r="E8" s="116">
        <f>SUM('Page 3'!C134)</f>
        <v>0</v>
      </c>
      <c r="F8" s="116">
        <f>SUM('Page 3'!E134)</f>
        <v>1</v>
      </c>
      <c r="G8" s="116">
        <f>SUM('Page 3'!D134)</f>
        <v>0</v>
      </c>
      <c r="H8" s="116">
        <f>SUM('Page 3'!F134)</f>
        <v>0</v>
      </c>
    </row>
    <row r="9" spans="1:16" s="115" customFormat="1" ht="32.25" customHeight="1">
      <c r="A9" s="114">
        <v>3</v>
      </c>
      <c r="B9" s="114" t="s">
        <v>30</v>
      </c>
      <c r="C9" s="116">
        <f>SUM('Page 1'!E264)</f>
        <v>3</v>
      </c>
      <c r="D9" s="116">
        <f>SUM('Page 1'!E282)</f>
        <v>47</v>
      </c>
      <c r="E9" s="116">
        <f>SUM('Page 3'!C135)</f>
        <v>3</v>
      </c>
      <c r="F9" s="116">
        <f>SUM('Page 3'!E135)</f>
        <v>39</v>
      </c>
      <c r="G9" s="116">
        <f>SUM('Page 3'!D135)</f>
        <v>0</v>
      </c>
      <c r="H9" s="116">
        <f>SUM('Page 3'!F135)</f>
        <v>8</v>
      </c>
    </row>
    <row r="10" spans="1:16" s="115" customFormat="1" ht="32.25" customHeight="1" thickBot="1">
      <c r="A10" s="117">
        <v>4</v>
      </c>
      <c r="B10" s="117" t="s">
        <v>31</v>
      </c>
      <c r="C10" s="118">
        <f>SUM('Page 1'!E266)</f>
        <v>1</v>
      </c>
      <c r="D10" s="118">
        <f>SUM('Page 1'!E285)</f>
        <v>11</v>
      </c>
      <c r="E10" s="118">
        <f>SUM('Page 3'!C136)</f>
        <v>0</v>
      </c>
      <c r="F10" s="118">
        <f>SUM('Page 3'!E136)</f>
        <v>6</v>
      </c>
      <c r="G10" s="118">
        <f>SUM('Page 3'!D136)</f>
        <v>1</v>
      </c>
      <c r="H10" s="118">
        <f>SUM('Page 3'!F136)</f>
        <v>5</v>
      </c>
    </row>
    <row r="11" spans="1:16" s="115" customFormat="1" ht="32.25" customHeight="1" thickTop="1" thickBot="1">
      <c r="A11" s="119"/>
      <c r="B11" s="120" t="s">
        <v>57</v>
      </c>
      <c r="C11" s="121">
        <f t="shared" ref="C11:H11" si="0">SUM(C7:C10)</f>
        <v>4</v>
      </c>
      <c r="D11" s="121">
        <f t="shared" si="0"/>
        <v>68</v>
      </c>
      <c r="E11" s="121">
        <f t="shared" si="0"/>
        <v>3</v>
      </c>
      <c r="F11" s="121">
        <f t="shared" si="0"/>
        <v>55</v>
      </c>
      <c r="G11" s="121">
        <f t="shared" si="0"/>
        <v>1</v>
      </c>
      <c r="H11" s="121">
        <f t="shared" si="0"/>
        <v>13</v>
      </c>
    </row>
    <row r="12" spans="1:16" ht="15" thickTop="1"/>
    <row r="14" spans="1:16" ht="15">
      <c r="F14" s="188" t="s">
        <v>159</v>
      </c>
      <c r="G14" s="188"/>
      <c r="H14" s="188"/>
    </row>
    <row r="15" spans="1:16" ht="15.75">
      <c r="F15" s="189" t="s">
        <v>160</v>
      </c>
      <c r="G15" s="189"/>
      <c r="H15" s="189"/>
    </row>
  </sheetData>
  <mergeCells count="9">
    <mergeCell ref="F14:H14"/>
    <mergeCell ref="F15:H15"/>
    <mergeCell ref="A1:H1"/>
    <mergeCell ref="A2:H2"/>
    <mergeCell ref="A3:H3"/>
    <mergeCell ref="A4:H4"/>
    <mergeCell ref="C5:D5"/>
    <mergeCell ref="E5:F5"/>
    <mergeCell ref="G5:H5"/>
  </mergeCells>
  <pageMargins left="1.45" right="0.7" top="0.75" bottom="0.75" header="0.3" footer="0.3"/>
  <pageSetup paperSize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view="pageBreakPreview" zoomScaleNormal="100" zoomScaleSheetLayoutView="100" workbookViewId="0">
      <selection activeCell="F8" sqref="F8"/>
    </sheetView>
  </sheetViews>
  <sheetFormatPr defaultRowHeight="14.25"/>
  <cols>
    <col min="1" max="1" width="5.7109375" style="1" customWidth="1"/>
    <col min="2" max="2" width="28.140625" style="1" customWidth="1"/>
    <col min="3" max="3" width="13.42578125" style="1" customWidth="1"/>
    <col min="4" max="4" width="13" style="1" customWidth="1"/>
    <col min="5" max="5" width="13.42578125" style="1" customWidth="1"/>
    <col min="6" max="6" width="14.42578125" style="1" customWidth="1"/>
    <col min="7" max="7" width="13" style="1" customWidth="1"/>
    <col min="8" max="8" width="12.42578125" style="1" customWidth="1"/>
    <col min="9" max="9" width="13.42578125" style="1" customWidth="1"/>
    <col min="10" max="10" width="14.28515625" style="1" customWidth="1"/>
    <col min="11" max="11" width="13.7109375" style="1" customWidth="1"/>
    <col min="12" max="16384" width="9.140625" style="1"/>
  </cols>
  <sheetData>
    <row r="1" spans="1:11" ht="18" customHeight="1">
      <c r="A1" s="195" t="s">
        <v>127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11" ht="18" customHeight="1">
      <c r="A2" s="195" t="s">
        <v>126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</row>
    <row r="3" spans="1:11" ht="18.75" customHeight="1">
      <c r="A3" s="196" t="s">
        <v>62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</row>
    <row r="4" spans="1:11" ht="38.25" customHeight="1">
      <c r="A4" s="2" t="s">
        <v>120</v>
      </c>
      <c r="B4" s="2" t="s">
        <v>121</v>
      </c>
      <c r="C4" s="3" t="s">
        <v>66</v>
      </c>
      <c r="D4" s="3" t="s">
        <v>67</v>
      </c>
      <c r="E4" s="3" t="s">
        <v>68</v>
      </c>
      <c r="F4" s="3" t="s">
        <v>117</v>
      </c>
      <c r="G4" s="3" t="s">
        <v>69</v>
      </c>
      <c r="H4" s="3" t="s">
        <v>70</v>
      </c>
      <c r="I4" s="3" t="s">
        <v>71</v>
      </c>
      <c r="J4" s="3" t="s">
        <v>122</v>
      </c>
      <c r="K4" s="3" t="s">
        <v>57</v>
      </c>
    </row>
    <row r="5" spans="1:11" ht="15">
      <c r="A5" s="4">
        <v>1</v>
      </c>
      <c r="B5" s="5" t="s">
        <v>97</v>
      </c>
      <c r="C5" s="5">
        <f>SUM('Page 4'!H7)</f>
        <v>0</v>
      </c>
      <c r="D5" s="5">
        <f>SUM('Page 4'!H25)</f>
        <v>0</v>
      </c>
      <c r="E5" s="5">
        <f>SUM('Page 4'!H43)</f>
        <v>9714</v>
      </c>
      <c r="F5" s="5">
        <f>SUM('Page 4'!H60)</f>
        <v>1791</v>
      </c>
      <c r="G5" s="5">
        <f>SUM('Page 4'!H78)</f>
        <v>23626</v>
      </c>
      <c r="H5" s="5">
        <f>SUM('Page 4'!H96)</f>
        <v>11912</v>
      </c>
      <c r="I5" s="5">
        <f>SUM('Page 4'!H114)</f>
        <v>12597</v>
      </c>
      <c r="J5" s="5">
        <f>SUM('Page 4'!H132)</f>
        <v>0</v>
      </c>
      <c r="K5" s="6">
        <f>SUM(C5:J5)-1</f>
        <v>59639</v>
      </c>
    </row>
    <row r="6" spans="1:11" ht="15">
      <c r="A6" s="4">
        <v>2</v>
      </c>
      <c r="B6" s="5" t="s">
        <v>123</v>
      </c>
      <c r="C6" s="5">
        <f>SUM('Page 4'!H8)</f>
        <v>0</v>
      </c>
      <c r="D6" s="5">
        <f>SUM('Page 4'!H26)</f>
        <v>0</v>
      </c>
      <c r="E6" s="5">
        <f>SUM('Page 4'!H44)</f>
        <v>0</v>
      </c>
      <c r="F6" s="5">
        <f>SUM('Page 4'!H61)</f>
        <v>0</v>
      </c>
      <c r="G6" s="5">
        <f>SUM('Page 4'!H79)</f>
        <v>0</v>
      </c>
      <c r="H6" s="5">
        <f>SUM('Page 4'!H97)</f>
        <v>0</v>
      </c>
      <c r="I6" s="5">
        <f>SUM('Page 4'!H115)</f>
        <v>0</v>
      </c>
      <c r="J6" s="5">
        <f>SUM('Page 4'!H133)</f>
        <v>0</v>
      </c>
      <c r="K6" s="6">
        <f t="shared" ref="K6:K14" si="0">SUM(C6:J6)</f>
        <v>0</v>
      </c>
    </row>
    <row r="7" spans="1:11" ht="20.25" customHeight="1">
      <c r="A7" s="4">
        <v>3</v>
      </c>
      <c r="B7" s="5" t="s">
        <v>99</v>
      </c>
      <c r="C7" s="5">
        <f>SUM('Page 4'!H9)</f>
        <v>0</v>
      </c>
      <c r="D7" s="5">
        <f>SUM('Page 4'!H27)</f>
        <v>0</v>
      </c>
      <c r="E7" s="5">
        <f>SUM('Page 4'!H45)</f>
        <v>500</v>
      </c>
      <c r="F7" s="5">
        <f>SUM('Page 4'!H62)</f>
        <v>10</v>
      </c>
      <c r="G7" s="5">
        <f>SUM('Page 4'!H80)</f>
        <v>950</v>
      </c>
      <c r="H7" s="5">
        <f>SUM('Page 4'!H98)</f>
        <v>0</v>
      </c>
      <c r="I7" s="5">
        <f>SUM('Page 4'!H116)</f>
        <v>250</v>
      </c>
      <c r="J7" s="5">
        <f>SUM('Page 4'!H134)</f>
        <v>0</v>
      </c>
      <c r="K7" s="6">
        <f t="shared" si="0"/>
        <v>1710</v>
      </c>
    </row>
    <row r="8" spans="1:11" ht="15">
      <c r="A8" s="4">
        <v>4</v>
      </c>
      <c r="B8" s="5" t="s">
        <v>100</v>
      </c>
      <c r="C8" s="5">
        <f>SUM('Page 4'!H10)</f>
        <v>0</v>
      </c>
      <c r="D8" s="5">
        <f>SUM('Page 4'!H28)</f>
        <v>0</v>
      </c>
      <c r="E8" s="5">
        <f>SUM('Page 4'!H46)</f>
        <v>130</v>
      </c>
      <c r="F8" s="5">
        <f>SUM('Page 4'!H63)</f>
        <v>75</v>
      </c>
      <c r="G8" s="5">
        <f>SUM('Page 4'!H81)</f>
        <v>800</v>
      </c>
      <c r="H8" s="5">
        <f>SUM('Page 4'!H99)</f>
        <v>200</v>
      </c>
      <c r="I8" s="5">
        <f>SUM('Page 4'!H117)</f>
        <v>280</v>
      </c>
      <c r="J8" s="5">
        <f>SUM('Page 4'!H135)</f>
        <v>0</v>
      </c>
      <c r="K8" s="6">
        <f t="shared" si="0"/>
        <v>1485</v>
      </c>
    </row>
    <row r="9" spans="1:11" ht="15">
      <c r="A9" s="4">
        <v>5</v>
      </c>
      <c r="B9" s="5" t="s">
        <v>101</v>
      </c>
      <c r="C9" s="5">
        <f>SUM('Page 4'!H11)</f>
        <v>0</v>
      </c>
      <c r="D9" s="5">
        <f>SUM('Page 4'!H29)</f>
        <v>0</v>
      </c>
      <c r="E9" s="5">
        <f>SUM('Page 4'!H47)</f>
        <v>300</v>
      </c>
      <c r="F9" s="5">
        <f>SUM('Page 4'!H64)</f>
        <v>100</v>
      </c>
      <c r="G9" s="5">
        <f>SUM('Page 4'!H82)</f>
        <v>900</v>
      </c>
      <c r="H9" s="5">
        <f>SUM('Page 4'!H100)</f>
        <v>250</v>
      </c>
      <c r="I9" s="5">
        <f>SUM('Page 4'!H118)</f>
        <v>400</v>
      </c>
      <c r="J9" s="5">
        <f>SUM('Page 4'!H136)</f>
        <v>0</v>
      </c>
      <c r="K9" s="6">
        <f t="shared" si="0"/>
        <v>1950</v>
      </c>
    </row>
    <row r="10" spans="1:11" ht="15">
      <c r="A10" s="4">
        <v>6</v>
      </c>
      <c r="B10" s="5" t="s">
        <v>124</v>
      </c>
      <c r="C10" s="5">
        <f>SUM('Page 4'!H12)</f>
        <v>0</v>
      </c>
      <c r="D10" s="5">
        <f>SUM('Page 4'!H30)</f>
        <v>0</v>
      </c>
      <c r="E10" s="5">
        <f>SUM('Page 4'!H48)</f>
        <v>0</v>
      </c>
      <c r="F10" s="5">
        <f>SUM('Page 4'!H65)</f>
        <v>0</v>
      </c>
      <c r="G10" s="5">
        <f>SUM('Page 4'!H83)</f>
        <v>700</v>
      </c>
      <c r="H10" s="5">
        <f>SUM('Page 4'!H101)</f>
        <v>0</v>
      </c>
      <c r="I10" s="5">
        <f>SUM('Page 4'!H119)</f>
        <v>0</v>
      </c>
      <c r="J10" s="5">
        <f>SUM('Page 4'!H137)</f>
        <v>0</v>
      </c>
      <c r="K10" s="6">
        <f t="shared" si="0"/>
        <v>700</v>
      </c>
    </row>
    <row r="11" spans="1:11" ht="15">
      <c r="A11" s="4">
        <v>7</v>
      </c>
      <c r="B11" s="5" t="s">
        <v>125</v>
      </c>
      <c r="C11" s="5">
        <f>SUM('Page 4'!H13)</f>
        <v>0</v>
      </c>
      <c r="D11" s="5">
        <f>SUM('Page 4'!H31)</f>
        <v>0</v>
      </c>
      <c r="E11" s="5">
        <f>SUM('Page 4'!H49)</f>
        <v>0</v>
      </c>
      <c r="F11" s="5">
        <f>SUM('Page 4'!H66)</f>
        <v>0</v>
      </c>
      <c r="G11" s="5">
        <f>SUM('Page 4'!H84)</f>
        <v>0</v>
      </c>
      <c r="H11" s="5">
        <f>SUM('Page 4'!H102)</f>
        <v>0</v>
      </c>
      <c r="I11" s="5">
        <f>SUM('Page 4'!H120)</f>
        <v>0</v>
      </c>
      <c r="J11" s="5">
        <f>SUM('Page 4'!H138)</f>
        <v>0</v>
      </c>
      <c r="K11" s="6">
        <f t="shared" si="0"/>
        <v>0</v>
      </c>
    </row>
    <row r="12" spans="1:11" ht="15">
      <c r="A12" s="4">
        <v>8</v>
      </c>
      <c r="B12" s="5" t="s">
        <v>104</v>
      </c>
      <c r="C12" s="5">
        <f>SUM('Page 4'!H14)</f>
        <v>0</v>
      </c>
      <c r="D12" s="5">
        <f>SUM('Page 4'!H32)</f>
        <v>0</v>
      </c>
      <c r="E12" s="5">
        <f>SUM('Page 4'!H50)</f>
        <v>150</v>
      </c>
      <c r="F12" s="5">
        <f>SUM('Page 4'!H67)</f>
        <v>50</v>
      </c>
      <c r="G12" s="5">
        <f>SUM('Page 4'!H85)</f>
        <v>600</v>
      </c>
      <c r="H12" s="5">
        <f>SUM('Page 4'!H103)</f>
        <v>80</v>
      </c>
      <c r="I12" s="5">
        <f>SUM('Page 4'!H121)</f>
        <v>230</v>
      </c>
      <c r="J12" s="5">
        <f>SUM('Page 4'!H139)</f>
        <v>0</v>
      </c>
      <c r="K12" s="6">
        <f t="shared" si="0"/>
        <v>1110</v>
      </c>
    </row>
    <row r="13" spans="1:11" ht="15">
      <c r="A13" s="4">
        <v>9</v>
      </c>
      <c r="B13" s="5" t="s">
        <v>105</v>
      </c>
      <c r="C13" s="5">
        <f>SUM('Page 4'!H15)</f>
        <v>0</v>
      </c>
      <c r="D13" s="5">
        <f>SUM('Page 4'!H33)</f>
        <v>0</v>
      </c>
      <c r="E13" s="5">
        <f>SUM('Page 4'!H51)</f>
        <v>46</v>
      </c>
      <c r="F13" s="5">
        <f>SUM('Page 4'!H68)</f>
        <v>0</v>
      </c>
      <c r="G13" s="5">
        <f>SUM('Page 4'!H86)</f>
        <v>400</v>
      </c>
      <c r="H13" s="5">
        <f>SUM('Page 4'!H104)</f>
        <v>0</v>
      </c>
      <c r="I13" s="5">
        <f>SUM('Page 4'!H122)</f>
        <v>0</v>
      </c>
      <c r="J13" s="5">
        <f>SUM('Page 4'!H140)</f>
        <v>0</v>
      </c>
      <c r="K13" s="6">
        <f t="shared" si="0"/>
        <v>446</v>
      </c>
    </row>
    <row r="14" spans="1:11" ht="15">
      <c r="A14" s="4">
        <v>10</v>
      </c>
      <c r="B14" s="5" t="s">
        <v>106</v>
      </c>
      <c r="C14" s="5">
        <f>SUM('Page 4'!H16)</f>
        <v>0</v>
      </c>
      <c r="D14" s="5">
        <f>SUM('Page 4'!H34)</f>
        <v>0</v>
      </c>
      <c r="E14" s="5">
        <f>SUM('Page 4'!H52)</f>
        <v>0</v>
      </c>
      <c r="F14" s="5">
        <f>SUM('Page 4'!H69)</f>
        <v>20</v>
      </c>
      <c r="G14" s="5">
        <f>SUM('Page 4'!H87)</f>
        <v>0</v>
      </c>
      <c r="H14" s="5">
        <f>SUM('Page 4'!H105)</f>
        <v>0</v>
      </c>
      <c r="I14" s="5">
        <f>SUM('Page 4'!H123)</f>
        <v>0</v>
      </c>
      <c r="J14" s="5">
        <f>SUM('Page 4'!H141)</f>
        <v>0</v>
      </c>
      <c r="K14" s="6">
        <f t="shared" si="0"/>
        <v>20</v>
      </c>
    </row>
    <row r="15" spans="1:11" ht="15.75" thickBot="1">
      <c r="A15" s="197" t="s">
        <v>57</v>
      </c>
      <c r="B15" s="198"/>
      <c r="C15" s="7">
        <f>SUM(C5:C14)</f>
        <v>0</v>
      </c>
      <c r="D15" s="7">
        <f t="shared" ref="D15:K15" si="1">SUM(D5:D14)</f>
        <v>0</v>
      </c>
      <c r="E15" s="7">
        <f t="shared" si="1"/>
        <v>10840</v>
      </c>
      <c r="F15" s="7">
        <f t="shared" si="1"/>
        <v>2046</v>
      </c>
      <c r="G15" s="7">
        <f t="shared" si="1"/>
        <v>27976</v>
      </c>
      <c r="H15" s="7">
        <f t="shared" si="1"/>
        <v>12442</v>
      </c>
      <c r="I15" s="7">
        <f t="shared" si="1"/>
        <v>13757</v>
      </c>
      <c r="J15" s="7">
        <f t="shared" si="1"/>
        <v>0</v>
      </c>
      <c r="K15" s="7">
        <f t="shared" si="1"/>
        <v>67060</v>
      </c>
    </row>
    <row r="16" spans="1:11" ht="23.25" customHeight="1" thickTop="1">
      <c r="A16" s="8"/>
      <c r="B16" s="9"/>
      <c r="C16" s="8"/>
      <c r="D16" s="8"/>
      <c r="E16" s="8"/>
    </row>
    <row r="17" spans="1:12">
      <c r="A17" s="194" t="s">
        <v>136</v>
      </c>
      <c r="B17" s="194"/>
      <c r="C17" s="194"/>
      <c r="D17" s="194"/>
      <c r="E17" s="194"/>
      <c r="F17" s="194"/>
      <c r="G17" s="194"/>
      <c r="H17" s="194"/>
      <c r="I17" s="194"/>
      <c r="J17" s="194"/>
      <c r="K17" s="194"/>
    </row>
    <row r="18" spans="1:12">
      <c r="A18" s="194" t="s">
        <v>126</v>
      </c>
      <c r="B18" s="194"/>
      <c r="C18" s="194"/>
      <c r="D18" s="194"/>
      <c r="E18" s="194"/>
      <c r="F18" s="194"/>
      <c r="G18" s="194"/>
      <c r="H18" s="194"/>
      <c r="I18" s="194"/>
      <c r="J18" s="194"/>
      <c r="K18" s="194"/>
    </row>
    <row r="19" spans="1:12">
      <c r="A19" s="194" t="s">
        <v>62</v>
      </c>
      <c r="B19" s="194"/>
      <c r="C19" s="194"/>
      <c r="D19" s="194"/>
      <c r="E19" s="194"/>
      <c r="F19" s="194"/>
      <c r="G19" s="194"/>
      <c r="H19" s="194"/>
      <c r="I19" s="194"/>
      <c r="J19" s="194"/>
      <c r="K19" s="194"/>
    </row>
    <row r="20" spans="1:12" ht="28.5">
      <c r="A20" s="5" t="s">
        <v>120</v>
      </c>
      <c r="B20" s="5" t="s">
        <v>121</v>
      </c>
      <c r="C20" s="5" t="s">
        <v>66</v>
      </c>
      <c r="D20" s="5" t="s">
        <v>67</v>
      </c>
      <c r="E20" s="5" t="s">
        <v>68</v>
      </c>
      <c r="F20" s="5" t="s">
        <v>117</v>
      </c>
      <c r="G20" s="5" t="s">
        <v>69</v>
      </c>
      <c r="H20" s="5" t="s">
        <v>70</v>
      </c>
      <c r="I20" s="5" t="s">
        <v>71</v>
      </c>
      <c r="J20" s="5" t="s">
        <v>122</v>
      </c>
      <c r="K20" s="5" t="s">
        <v>57</v>
      </c>
    </row>
    <row r="21" spans="1:12">
      <c r="A21" s="5">
        <v>1</v>
      </c>
      <c r="B21" s="5" t="s">
        <v>97</v>
      </c>
      <c r="C21" s="5">
        <f>SUM((C5/K5)*100)</f>
        <v>0</v>
      </c>
      <c r="D21" s="5">
        <f>SUM((D5/K5)*100)</f>
        <v>0</v>
      </c>
      <c r="E21" s="99">
        <f>SUM((E5/K5)*100)</f>
        <v>16.287999463438354</v>
      </c>
      <c r="F21" s="99">
        <f>SUM((F5/K5)*100)</f>
        <v>3.0030684619125068</v>
      </c>
      <c r="G21" s="99">
        <f>SUM((G5/K5)*100)</f>
        <v>39.615017019064709</v>
      </c>
      <c r="H21" s="99">
        <f>SUM((H5/K5)*100)</f>
        <v>19.973507268733549</v>
      </c>
      <c r="I21" s="99">
        <f>SUM((I5/K5)*100)</f>
        <v>21.122084541994333</v>
      </c>
      <c r="J21" s="99">
        <f>SUM((J5/K5)*100)</f>
        <v>0</v>
      </c>
      <c r="K21" s="5">
        <v>42782</v>
      </c>
      <c r="L21" s="100">
        <f>SUM(C21:J21)</f>
        <v>100.00167675514345</v>
      </c>
    </row>
    <row r="22" spans="1:12">
      <c r="A22" s="5">
        <v>2</v>
      </c>
      <c r="B22" s="5" t="s">
        <v>123</v>
      </c>
      <c r="C22" s="99" t="e">
        <f t="shared" ref="C22:C31" si="2">SUM((C6/K6)*100)</f>
        <v>#DIV/0!</v>
      </c>
      <c r="D22" s="99" t="e">
        <f t="shared" ref="D22:D31" si="3">SUM((D6/K6)*100)</f>
        <v>#DIV/0!</v>
      </c>
      <c r="E22" s="99" t="e">
        <f t="shared" ref="E22:E31" si="4">SUM((E6/K6)*100)</f>
        <v>#DIV/0!</v>
      </c>
      <c r="F22" s="99" t="e">
        <f t="shared" ref="F22:F31" si="5">SUM((F6/K6)*100)</f>
        <v>#DIV/0!</v>
      </c>
      <c r="G22" s="99" t="e">
        <f t="shared" ref="G22:G31" si="6">SUM((G6/K6)*100)</f>
        <v>#DIV/0!</v>
      </c>
      <c r="H22" s="99" t="e">
        <f t="shared" ref="H22:H31" si="7">SUM((H6/K6)*100)</f>
        <v>#DIV/0!</v>
      </c>
      <c r="I22" s="99" t="e">
        <f t="shared" ref="I22:I31" si="8">SUM((I6/K6)*100)</f>
        <v>#DIV/0!</v>
      </c>
      <c r="J22" s="99" t="e">
        <f t="shared" ref="J22:J31" si="9">SUM((J6/K6)*100)</f>
        <v>#DIV/0!</v>
      </c>
      <c r="K22" s="5">
        <v>0</v>
      </c>
      <c r="L22" s="100" t="e">
        <f t="shared" ref="L22:L31" si="10">SUM(C22:J22)</f>
        <v>#DIV/0!</v>
      </c>
    </row>
    <row r="23" spans="1:12">
      <c r="A23" s="5">
        <v>3</v>
      </c>
      <c r="B23" s="5" t="s">
        <v>99</v>
      </c>
      <c r="C23" s="99">
        <f t="shared" si="2"/>
        <v>0</v>
      </c>
      <c r="D23" s="99">
        <f t="shared" si="3"/>
        <v>0</v>
      </c>
      <c r="E23" s="99">
        <f t="shared" si="4"/>
        <v>29.239766081871345</v>
      </c>
      <c r="F23" s="99">
        <f t="shared" si="5"/>
        <v>0.58479532163742687</v>
      </c>
      <c r="G23" s="99">
        <f t="shared" si="6"/>
        <v>55.555555555555557</v>
      </c>
      <c r="H23" s="99">
        <f t="shared" si="7"/>
        <v>0</v>
      </c>
      <c r="I23" s="99">
        <f t="shared" si="8"/>
        <v>14.619883040935672</v>
      </c>
      <c r="J23" s="99">
        <f t="shared" si="9"/>
        <v>0</v>
      </c>
      <c r="K23" s="5">
        <v>1450</v>
      </c>
      <c r="L23" s="100">
        <f t="shared" si="10"/>
        <v>100</v>
      </c>
    </row>
    <row r="24" spans="1:12">
      <c r="A24" s="5">
        <v>4</v>
      </c>
      <c r="B24" s="5" t="s">
        <v>100</v>
      </c>
      <c r="C24" s="99">
        <f t="shared" si="2"/>
        <v>0</v>
      </c>
      <c r="D24" s="99">
        <f t="shared" si="3"/>
        <v>0</v>
      </c>
      <c r="E24" s="99">
        <f t="shared" si="4"/>
        <v>8.7542087542087543</v>
      </c>
      <c r="F24" s="99">
        <f t="shared" si="5"/>
        <v>5.0505050505050502</v>
      </c>
      <c r="G24" s="99">
        <f t="shared" si="6"/>
        <v>53.872053872053868</v>
      </c>
      <c r="H24" s="99">
        <f t="shared" si="7"/>
        <v>13.468013468013467</v>
      </c>
      <c r="I24" s="99">
        <f t="shared" si="8"/>
        <v>18.855218855218855</v>
      </c>
      <c r="J24" s="99">
        <f t="shared" si="9"/>
        <v>0</v>
      </c>
      <c r="K24" s="5">
        <v>1520</v>
      </c>
      <c r="L24" s="100">
        <f t="shared" si="10"/>
        <v>99.999999999999986</v>
      </c>
    </row>
    <row r="25" spans="1:12">
      <c r="A25" s="5">
        <v>5</v>
      </c>
      <c r="B25" s="5" t="s">
        <v>101</v>
      </c>
      <c r="C25" s="99">
        <f t="shared" si="2"/>
        <v>0</v>
      </c>
      <c r="D25" s="99">
        <f t="shared" si="3"/>
        <v>0</v>
      </c>
      <c r="E25" s="99">
        <f t="shared" si="4"/>
        <v>15.384615384615385</v>
      </c>
      <c r="F25" s="99">
        <f t="shared" si="5"/>
        <v>5.1282051282051277</v>
      </c>
      <c r="G25" s="99">
        <f t="shared" si="6"/>
        <v>46.153846153846153</v>
      </c>
      <c r="H25" s="99">
        <f t="shared" si="7"/>
        <v>12.820512820512819</v>
      </c>
      <c r="I25" s="99">
        <f t="shared" si="8"/>
        <v>20.512820512820511</v>
      </c>
      <c r="J25" s="99">
        <f t="shared" si="9"/>
        <v>0</v>
      </c>
      <c r="K25" s="5">
        <v>1920</v>
      </c>
      <c r="L25" s="100">
        <f t="shared" si="10"/>
        <v>99.999999999999986</v>
      </c>
    </row>
    <row r="26" spans="1:12">
      <c r="A26" s="5">
        <v>6</v>
      </c>
      <c r="B26" s="5" t="s">
        <v>124</v>
      </c>
      <c r="C26" s="99">
        <f t="shared" si="2"/>
        <v>0</v>
      </c>
      <c r="D26" s="99">
        <f t="shared" si="3"/>
        <v>0</v>
      </c>
      <c r="E26" s="99">
        <f t="shared" si="4"/>
        <v>0</v>
      </c>
      <c r="F26" s="99">
        <f t="shared" si="5"/>
        <v>0</v>
      </c>
      <c r="G26" s="99">
        <f t="shared" si="6"/>
        <v>100</v>
      </c>
      <c r="H26" s="99">
        <f t="shared" si="7"/>
        <v>0</v>
      </c>
      <c r="I26" s="99">
        <f t="shared" si="8"/>
        <v>0</v>
      </c>
      <c r="J26" s="99">
        <f t="shared" si="9"/>
        <v>0</v>
      </c>
      <c r="K26" s="5">
        <v>760</v>
      </c>
      <c r="L26" s="100">
        <f t="shared" si="10"/>
        <v>100</v>
      </c>
    </row>
    <row r="27" spans="1:12">
      <c r="A27" s="5">
        <v>7</v>
      </c>
      <c r="B27" s="5" t="s">
        <v>125</v>
      </c>
      <c r="C27" s="99" t="e">
        <f t="shared" si="2"/>
        <v>#DIV/0!</v>
      </c>
      <c r="D27" s="99" t="e">
        <f t="shared" si="3"/>
        <v>#DIV/0!</v>
      </c>
      <c r="E27" s="99" t="e">
        <f t="shared" si="4"/>
        <v>#DIV/0!</v>
      </c>
      <c r="F27" s="99" t="e">
        <f t="shared" si="5"/>
        <v>#DIV/0!</v>
      </c>
      <c r="G27" s="99" t="e">
        <f t="shared" si="6"/>
        <v>#DIV/0!</v>
      </c>
      <c r="H27" s="99" t="e">
        <f t="shared" si="7"/>
        <v>#DIV/0!</v>
      </c>
      <c r="I27" s="99" t="e">
        <f t="shared" si="8"/>
        <v>#DIV/0!</v>
      </c>
      <c r="J27" s="99" t="e">
        <f t="shared" si="9"/>
        <v>#DIV/0!</v>
      </c>
      <c r="K27" s="5">
        <v>0</v>
      </c>
      <c r="L27" s="100" t="e">
        <f t="shared" si="10"/>
        <v>#DIV/0!</v>
      </c>
    </row>
    <row r="28" spans="1:12">
      <c r="A28" s="5">
        <v>8</v>
      </c>
      <c r="B28" s="5" t="s">
        <v>104</v>
      </c>
      <c r="C28" s="99">
        <f t="shared" si="2"/>
        <v>0</v>
      </c>
      <c r="D28" s="99">
        <f t="shared" si="3"/>
        <v>0</v>
      </c>
      <c r="E28" s="99">
        <f t="shared" si="4"/>
        <v>13.513513513513514</v>
      </c>
      <c r="F28" s="99">
        <f t="shared" si="5"/>
        <v>4.5045045045045047</v>
      </c>
      <c r="G28" s="99">
        <f t="shared" si="6"/>
        <v>54.054054054054056</v>
      </c>
      <c r="H28" s="99">
        <f t="shared" si="7"/>
        <v>7.2072072072072073</v>
      </c>
      <c r="I28" s="99">
        <f t="shared" si="8"/>
        <v>20.72072072072072</v>
      </c>
      <c r="J28" s="99">
        <f t="shared" si="9"/>
        <v>0</v>
      </c>
      <c r="K28" s="5">
        <v>965</v>
      </c>
      <c r="L28" s="100">
        <f t="shared" si="10"/>
        <v>100</v>
      </c>
    </row>
    <row r="29" spans="1:12">
      <c r="A29" s="5">
        <v>9</v>
      </c>
      <c r="B29" s="5" t="s">
        <v>105</v>
      </c>
      <c r="C29" s="99">
        <f t="shared" si="2"/>
        <v>0</v>
      </c>
      <c r="D29" s="99">
        <f t="shared" si="3"/>
        <v>0</v>
      </c>
      <c r="E29" s="99">
        <f t="shared" si="4"/>
        <v>10.31390134529148</v>
      </c>
      <c r="F29" s="99">
        <f t="shared" si="5"/>
        <v>0</v>
      </c>
      <c r="G29" s="99">
        <f t="shared" si="6"/>
        <v>89.68609865470853</v>
      </c>
      <c r="H29" s="99">
        <f t="shared" si="7"/>
        <v>0</v>
      </c>
      <c r="I29" s="99">
        <f t="shared" si="8"/>
        <v>0</v>
      </c>
      <c r="J29" s="99">
        <f t="shared" si="9"/>
        <v>0</v>
      </c>
      <c r="K29" s="5">
        <v>580</v>
      </c>
      <c r="L29" s="100">
        <f t="shared" si="10"/>
        <v>100.00000000000001</v>
      </c>
    </row>
    <row r="30" spans="1:12">
      <c r="A30" s="5">
        <v>10</v>
      </c>
      <c r="B30" s="5" t="s">
        <v>106</v>
      </c>
      <c r="C30" s="99">
        <f t="shared" si="2"/>
        <v>0</v>
      </c>
      <c r="D30" s="99">
        <f t="shared" si="3"/>
        <v>0</v>
      </c>
      <c r="E30" s="99">
        <f t="shared" si="4"/>
        <v>0</v>
      </c>
      <c r="F30" s="99">
        <f t="shared" si="5"/>
        <v>100</v>
      </c>
      <c r="G30" s="99">
        <f t="shared" si="6"/>
        <v>0</v>
      </c>
      <c r="H30" s="99">
        <f t="shared" si="7"/>
        <v>0</v>
      </c>
      <c r="I30" s="99">
        <f t="shared" si="8"/>
        <v>0</v>
      </c>
      <c r="J30" s="99">
        <f t="shared" si="9"/>
        <v>0</v>
      </c>
      <c r="K30" s="5">
        <v>0</v>
      </c>
      <c r="L30" s="100">
        <f t="shared" si="10"/>
        <v>100</v>
      </c>
    </row>
    <row r="31" spans="1:12">
      <c r="A31" s="5" t="s">
        <v>57</v>
      </c>
      <c r="B31" s="5"/>
      <c r="C31" s="99">
        <f t="shared" si="2"/>
        <v>0</v>
      </c>
      <c r="D31" s="99">
        <f t="shared" si="3"/>
        <v>0</v>
      </c>
      <c r="E31" s="99">
        <f t="shared" si="4"/>
        <v>16.164628690724726</v>
      </c>
      <c r="F31" s="99">
        <f t="shared" si="5"/>
        <v>3.050999105278855</v>
      </c>
      <c r="G31" s="99">
        <f t="shared" si="6"/>
        <v>41.71786459886669</v>
      </c>
      <c r="H31" s="99">
        <f t="shared" si="7"/>
        <v>18.55353414852371</v>
      </c>
      <c r="I31" s="99">
        <f t="shared" si="8"/>
        <v>20.514464658514765</v>
      </c>
      <c r="J31" s="99">
        <f t="shared" si="9"/>
        <v>0</v>
      </c>
      <c r="K31" s="5">
        <v>37141</v>
      </c>
      <c r="L31" s="100">
        <f t="shared" si="10"/>
        <v>100.00149120190875</v>
      </c>
    </row>
  </sheetData>
  <mergeCells count="7">
    <mergeCell ref="A19:K19"/>
    <mergeCell ref="A1:K1"/>
    <mergeCell ref="A2:K2"/>
    <mergeCell ref="A3:K3"/>
    <mergeCell ref="A15:B15"/>
    <mergeCell ref="A17:K17"/>
    <mergeCell ref="A18:K18"/>
  </mergeCells>
  <pageMargins left="0.7" right="0.7" top="0.75" bottom="0.75" header="0.3" footer="0.3"/>
  <pageSetup paperSize="5" orientation="landscape" r:id="rId1"/>
  <rowBreaks count="1" manualBreakCount="1">
    <brk id="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Page 1</vt:lpstr>
      <vt:lpstr>Page 2</vt:lpstr>
      <vt:lpstr>Page 3</vt:lpstr>
      <vt:lpstr>Page 4</vt:lpstr>
      <vt:lpstr>Page 5</vt:lpstr>
      <vt:lpstr>4-12 TO 7-12 MES</vt:lpstr>
      <vt:lpstr>jodpatra d</vt:lpstr>
      <vt:lpstr>Sheet1</vt:lpstr>
      <vt:lpstr>'4-12 TO 7-12 MES'!Print_Area</vt:lpstr>
      <vt:lpstr>'jodpatra d'!Print_Area</vt:lpstr>
      <vt:lpstr>'Page 1'!Print_Area</vt:lpstr>
      <vt:lpstr>'Page 2'!Print_Area</vt:lpstr>
      <vt:lpstr>'Page 3'!Print_Area</vt:lpstr>
      <vt:lpstr>'Page 5'!Print_Area</vt:lpstr>
      <vt:lpstr>Sheet1!Print_Area</vt:lpstr>
      <vt:lpstr>'Page 5'!Print_Titles</vt:lpstr>
    </vt:vector>
  </TitlesOfParts>
  <Company>KOKAN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REVENUE</dc:creator>
  <cp:lastModifiedBy>cloudconvert_20</cp:lastModifiedBy>
  <cp:lastPrinted>2020-10-29T12:18:52Z</cp:lastPrinted>
  <dcterms:created xsi:type="dcterms:W3CDTF">2012-06-14T05:07:46Z</dcterms:created>
  <dcterms:modified xsi:type="dcterms:W3CDTF">2026-01-19T13:42:37Z</dcterms:modified>
</cp:coreProperties>
</file>