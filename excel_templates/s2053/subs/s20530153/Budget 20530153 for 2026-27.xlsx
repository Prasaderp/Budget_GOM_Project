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5ef2f189-5fea-4406-b545-6373113c47ab\"/>
    </mc:Choice>
  </mc:AlternateContent>
  <xr:revisionPtr revIDLastSave="0" documentId="8_{5ED31A7B-2281-49C6-BB8B-24CDD4477B47}" xr6:coauthVersionLast="47" xr6:coauthVersionMax="47" xr10:uidLastSave="{00000000-0000-0000-0000-000000000000}"/>
  <bookViews>
    <workbookView xWindow="-120" yWindow="-120" windowWidth="19440" windowHeight="10440" activeTab="2"/>
  </bookViews>
  <sheets>
    <sheet name="Page 1" sheetId="4" r:id="rId1"/>
    <sheet name="Page 2" sheetId="3" r:id="rId2"/>
    <sheet name="Page 3" sheetId="2" r:id="rId3"/>
    <sheet name="Page 4" sheetId="1" r:id="rId4"/>
    <sheet name="Page 5" sheetId="5" r:id="rId5"/>
    <sheet name="Distrs.wise Abstract" sheetId="7" r:id="rId6"/>
    <sheet name="Table-D" sheetId="8" r:id="rId7"/>
  </sheets>
  <externalReferences>
    <externalReference r:id="rId8"/>
  </externalReferences>
  <definedNames>
    <definedName name="_xlnm.Print_Area" localSheetId="5">'Distrs.wise Abstract'!$A$1:$I$20</definedName>
    <definedName name="_xlnm.Print_Area" localSheetId="0">'Page 1'!$A$1:$Q$277</definedName>
    <definedName name="_xlnm.Print_Area" localSheetId="1">'Page 2'!$A$1:$P$297</definedName>
    <definedName name="_xlnm.Print_Area" localSheetId="2">'Page 3'!$A$1:$H$147</definedName>
    <definedName name="_xlnm.Print_Area" localSheetId="3">'Page 4'!$A$1:$L$200</definedName>
    <definedName name="_xlnm.Print_Area" localSheetId="4">'Page 5'!$A$1:$L$24</definedName>
    <definedName name="_xlnm.Print_Area" localSheetId="6">'Table-D'!$A$1:$H$20</definedName>
    <definedName name="_xlnm.Print_Titles" localSheetId="4">'Page 5'!$1:$6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8" l="1"/>
  <c r="C14" i="8"/>
  <c r="C15" i="8"/>
  <c r="D12" i="8"/>
  <c r="D13" i="8"/>
  <c r="D14" i="8"/>
  <c r="D15" i="8"/>
  <c r="D16" i="8" s="1"/>
  <c r="I72" i="4"/>
  <c r="D144" i="1"/>
  <c r="J188" i="4"/>
  <c r="J173" i="4"/>
  <c r="J177" i="4"/>
  <c r="J163" i="4"/>
  <c r="J143" i="4"/>
  <c r="J145" i="4"/>
  <c r="J129" i="4"/>
  <c r="Q129" i="4" s="1"/>
  <c r="J133" i="4"/>
  <c r="Q133" i="4"/>
  <c r="J84" i="4"/>
  <c r="Q84" i="4" s="1"/>
  <c r="Q85" i="4"/>
  <c r="J57" i="4"/>
  <c r="J52" i="4"/>
  <c r="E193" i="1"/>
  <c r="J64" i="3"/>
  <c r="F148" i="3"/>
  <c r="H65" i="1"/>
  <c r="I115" i="4"/>
  <c r="J115" i="4"/>
  <c r="Q115" i="4" s="1"/>
  <c r="G287" i="3"/>
  <c r="H183" i="1"/>
  <c r="G18" i="7"/>
  <c r="G17" i="7"/>
  <c r="G16" i="7"/>
  <c r="G15" i="7"/>
  <c r="G14" i="7"/>
  <c r="G13" i="7"/>
  <c r="G12" i="7"/>
  <c r="G11" i="7"/>
  <c r="G10" i="7"/>
  <c r="G9" i="7"/>
  <c r="G8" i="7"/>
  <c r="G7" i="7"/>
  <c r="G6" i="7"/>
  <c r="G5" i="7"/>
  <c r="G19" i="7" s="1"/>
  <c r="H18" i="7"/>
  <c r="H17" i="7"/>
  <c r="H16" i="7"/>
  <c r="H15" i="7"/>
  <c r="H14" i="7"/>
  <c r="H13" i="7"/>
  <c r="H12" i="7"/>
  <c r="H11" i="7"/>
  <c r="H10" i="7"/>
  <c r="H9" i="7"/>
  <c r="H8" i="7"/>
  <c r="H7" i="7"/>
  <c r="H6" i="7"/>
  <c r="H5" i="7"/>
  <c r="C208" i="3"/>
  <c r="F208" i="3" s="1"/>
  <c r="F215" i="3" s="1"/>
  <c r="C215" i="3"/>
  <c r="F18" i="7"/>
  <c r="F17" i="7"/>
  <c r="F16" i="7"/>
  <c r="F15" i="7"/>
  <c r="F14" i="7"/>
  <c r="F13" i="7"/>
  <c r="F12" i="7"/>
  <c r="F11" i="7"/>
  <c r="F10" i="7"/>
  <c r="F9" i="7"/>
  <c r="F8" i="7"/>
  <c r="F7" i="7"/>
  <c r="F6" i="7"/>
  <c r="F5" i="7"/>
  <c r="C142" i="3"/>
  <c r="F142" i="3" s="1"/>
  <c r="C149" i="3"/>
  <c r="E18" i="7"/>
  <c r="E17" i="7"/>
  <c r="E16" i="7"/>
  <c r="E15" i="7"/>
  <c r="E14" i="7"/>
  <c r="E13" i="7"/>
  <c r="E12" i="7"/>
  <c r="E11" i="7"/>
  <c r="E10" i="7"/>
  <c r="E9" i="7"/>
  <c r="E8" i="7"/>
  <c r="E7" i="7"/>
  <c r="E6" i="7"/>
  <c r="E5" i="7"/>
  <c r="D76" i="3"/>
  <c r="D83" i="3" s="1"/>
  <c r="D18" i="7"/>
  <c r="D17" i="7"/>
  <c r="D16" i="7"/>
  <c r="D15" i="7"/>
  <c r="D14" i="7"/>
  <c r="D13" i="7"/>
  <c r="D12" i="7"/>
  <c r="D11" i="7"/>
  <c r="D10" i="7"/>
  <c r="D9" i="7"/>
  <c r="D8" i="7"/>
  <c r="D7" i="7"/>
  <c r="I7" i="7" s="1"/>
  <c r="D6" i="7"/>
  <c r="D5" i="7"/>
  <c r="G87" i="1"/>
  <c r="C183" i="1"/>
  <c r="C7" i="5"/>
  <c r="D183" i="1"/>
  <c r="D7" i="5"/>
  <c r="C184" i="1"/>
  <c r="C8" i="5" s="1"/>
  <c r="D184" i="1"/>
  <c r="D8" i="5"/>
  <c r="C185" i="1"/>
  <c r="C9" i="5" s="1"/>
  <c r="D185" i="1"/>
  <c r="D9" i="5"/>
  <c r="C186" i="1"/>
  <c r="C10" i="5" s="1"/>
  <c r="D186" i="1"/>
  <c r="D10" i="5" s="1"/>
  <c r="C187" i="1"/>
  <c r="C11" i="5"/>
  <c r="D187" i="1"/>
  <c r="D11" i="5"/>
  <c r="C188" i="1"/>
  <c r="C12" i="5" s="1"/>
  <c r="C21" i="5" s="1"/>
  <c r="D188" i="1"/>
  <c r="D12" i="5"/>
  <c r="C189" i="1"/>
  <c r="C13" i="5"/>
  <c r="D189" i="1"/>
  <c r="D13" i="5"/>
  <c r="C190" i="1"/>
  <c r="C14" i="5" s="1"/>
  <c r="D190" i="1"/>
  <c r="D14" i="5" s="1"/>
  <c r="C191" i="1"/>
  <c r="C15" i="5"/>
  <c r="D191" i="1"/>
  <c r="D15" i="5"/>
  <c r="C192" i="1"/>
  <c r="C16" i="5" s="1"/>
  <c r="D192" i="1"/>
  <c r="D16" i="5"/>
  <c r="C193" i="1"/>
  <c r="C17" i="5"/>
  <c r="D193" i="1"/>
  <c r="D17" i="5" s="1"/>
  <c r="C194" i="1"/>
  <c r="C18" i="5" s="1"/>
  <c r="D194" i="1"/>
  <c r="D18" i="5" s="1"/>
  <c r="C195" i="1"/>
  <c r="C19" i="5"/>
  <c r="D195" i="1"/>
  <c r="D19" i="5"/>
  <c r="C196" i="1"/>
  <c r="C20" i="5" s="1"/>
  <c r="D196" i="1"/>
  <c r="D20" i="5"/>
  <c r="E183" i="1"/>
  <c r="E7" i="5"/>
  <c r="F183" i="1"/>
  <c r="G183" i="1"/>
  <c r="G7" i="5" s="1"/>
  <c r="E184" i="1"/>
  <c r="E8" i="5"/>
  <c r="F184" i="1"/>
  <c r="F8" i="5"/>
  <c r="G184" i="1"/>
  <c r="E185" i="1"/>
  <c r="F185" i="1"/>
  <c r="F9" i="5"/>
  <c r="G185" i="1"/>
  <c r="G9" i="5"/>
  <c r="E186" i="1"/>
  <c r="E10" i="5" s="1"/>
  <c r="F186" i="1"/>
  <c r="F10" i="5" s="1"/>
  <c r="G186" i="1"/>
  <c r="G10" i="5"/>
  <c r="E187" i="1"/>
  <c r="E11" i="5"/>
  <c r="F187" i="1"/>
  <c r="F11" i="5" s="1"/>
  <c r="G187" i="1"/>
  <c r="G11" i="5"/>
  <c r="E188" i="1"/>
  <c r="E12" i="5"/>
  <c r="F188" i="1"/>
  <c r="F12" i="5" s="1"/>
  <c r="G188" i="1"/>
  <c r="G12" i="5" s="1"/>
  <c r="E189" i="1"/>
  <c r="E13" i="5" s="1"/>
  <c r="F189" i="1"/>
  <c r="F13" i="5"/>
  <c r="G189" i="1"/>
  <c r="G13" i="5"/>
  <c r="E190" i="1"/>
  <c r="E14" i="5" s="1"/>
  <c r="F190" i="1"/>
  <c r="F14" i="5"/>
  <c r="G190" i="1"/>
  <c r="G14" i="5"/>
  <c r="E191" i="1"/>
  <c r="E15" i="5"/>
  <c r="F191" i="1"/>
  <c r="F15" i="5" s="1"/>
  <c r="G191" i="1"/>
  <c r="G15" i="5" s="1"/>
  <c r="E192" i="1"/>
  <c r="E16" i="5"/>
  <c r="F192" i="1"/>
  <c r="F16" i="5"/>
  <c r="G192" i="1"/>
  <c r="G16" i="5" s="1"/>
  <c r="E17" i="5"/>
  <c r="F193" i="1"/>
  <c r="F17" i="5" s="1"/>
  <c r="G193" i="1"/>
  <c r="G17" i="5"/>
  <c r="E194" i="1"/>
  <c r="E18" i="5" s="1"/>
  <c r="F194" i="1"/>
  <c r="F18" i="5"/>
  <c r="G194" i="1"/>
  <c r="G18" i="5"/>
  <c r="E195" i="1"/>
  <c r="E19" i="5"/>
  <c r="F195" i="1"/>
  <c r="F19" i="5" s="1"/>
  <c r="G195" i="1"/>
  <c r="G19" i="5"/>
  <c r="E196" i="1"/>
  <c r="E20" i="5" s="1"/>
  <c r="F196" i="1"/>
  <c r="F20" i="5"/>
  <c r="G196" i="1"/>
  <c r="G20" i="5" s="1"/>
  <c r="F47" i="3"/>
  <c r="C13" i="8"/>
  <c r="C16" i="8" s="1"/>
  <c r="H16" i="8"/>
  <c r="G16" i="8"/>
  <c r="F16" i="8"/>
  <c r="E16" i="8"/>
  <c r="E223" i="3"/>
  <c r="E230" i="3" s="1"/>
  <c r="H208" i="3"/>
  <c r="H215" i="3" s="1"/>
  <c r="I208" i="3"/>
  <c r="I215" i="3"/>
  <c r="G208" i="3"/>
  <c r="G215" i="3" s="1"/>
  <c r="D223" i="3"/>
  <c r="C223" i="3"/>
  <c r="C230" i="3" s="1"/>
  <c r="D149" i="4"/>
  <c r="I41" i="4"/>
  <c r="J229" i="3"/>
  <c r="K229" i="3" s="1"/>
  <c r="F229" i="3"/>
  <c r="O228" i="3"/>
  <c r="J228" i="3"/>
  <c r="F228" i="3"/>
  <c r="K228" i="3"/>
  <c r="O227" i="3"/>
  <c r="P227" i="3" s="1"/>
  <c r="J227" i="3"/>
  <c r="F227" i="3"/>
  <c r="J226" i="3"/>
  <c r="F226" i="3"/>
  <c r="J225" i="3"/>
  <c r="F225" i="3"/>
  <c r="K225" i="3"/>
  <c r="O223" i="3"/>
  <c r="J224" i="3"/>
  <c r="K224" i="3" s="1"/>
  <c r="F224" i="3"/>
  <c r="I223" i="3"/>
  <c r="I230" i="3"/>
  <c r="H223" i="3"/>
  <c r="H230" i="3"/>
  <c r="G223" i="3"/>
  <c r="G230" i="3"/>
  <c r="J222" i="3"/>
  <c r="F222" i="3"/>
  <c r="J221" i="3"/>
  <c r="F221" i="3"/>
  <c r="J220" i="3"/>
  <c r="F220" i="3"/>
  <c r="J214" i="3"/>
  <c r="K214" i="3" s="1"/>
  <c r="N228" i="3"/>
  <c r="P228" i="3" s="1"/>
  <c r="F214" i="3"/>
  <c r="J213" i="3"/>
  <c r="F213" i="3"/>
  <c r="K213" i="3"/>
  <c r="N227" i="3"/>
  <c r="J212" i="3"/>
  <c r="K212" i="3" s="1"/>
  <c r="N226" i="3" s="1"/>
  <c r="P226" i="3" s="1"/>
  <c r="F212" i="3"/>
  <c r="J211" i="3"/>
  <c r="F211" i="3"/>
  <c r="J210" i="3"/>
  <c r="F210" i="3"/>
  <c r="K210" i="3" s="1"/>
  <c r="N223" i="3" s="1"/>
  <c r="J209" i="3"/>
  <c r="F209" i="3"/>
  <c r="E208" i="3"/>
  <c r="E215" i="3"/>
  <c r="D208" i="3"/>
  <c r="D215" i="3" s="1"/>
  <c r="J207" i="3"/>
  <c r="K207" i="3"/>
  <c r="N221" i="3" s="1"/>
  <c r="F207" i="3"/>
  <c r="J206" i="3"/>
  <c r="F206" i="3"/>
  <c r="J205" i="3"/>
  <c r="F205" i="3"/>
  <c r="K205" i="3"/>
  <c r="N219" i="3"/>
  <c r="J196" i="3"/>
  <c r="F196" i="3"/>
  <c r="J195" i="3"/>
  <c r="F195" i="3"/>
  <c r="J194" i="3"/>
  <c r="K194" i="3" s="1"/>
  <c r="O193" i="3" s="1"/>
  <c r="F194" i="3"/>
  <c r="J193" i="3"/>
  <c r="F193" i="3"/>
  <c r="K193" i="3"/>
  <c r="O192" i="3"/>
  <c r="J192" i="3"/>
  <c r="K192" i="3"/>
  <c r="O190" i="3" s="1"/>
  <c r="F192" i="3"/>
  <c r="J191" i="3"/>
  <c r="K191" i="3" s="1"/>
  <c r="O191" i="3" s="1"/>
  <c r="F191" i="3"/>
  <c r="F197" i="3" s="1"/>
  <c r="I190" i="3"/>
  <c r="I197" i="3"/>
  <c r="H190" i="3"/>
  <c r="H197" i="3"/>
  <c r="G190" i="3"/>
  <c r="G197" i="3" s="1"/>
  <c r="E190" i="3"/>
  <c r="E197" i="3" s="1"/>
  <c r="D190" i="3"/>
  <c r="C190" i="3"/>
  <c r="F190" i="3" s="1"/>
  <c r="C197" i="3"/>
  <c r="J189" i="3"/>
  <c r="K189" i="3" s="1"/>
  <c r="O188" i="3" s="1"/>
  <c r="F189" i="3"/>
  <c r="J188" i="3"/>
  <c r="F188" i="3"/>
  <c r="J187" i="3"/>
  <c r="F187" i="3"/>
  <c r="J181" i="3"/>
  <c r="F181" i="3"/>
  <c r="J180" i="3"/>
  <c r="F180" i="3"/>
  <c r="J179" i="3"/>
  <c r="F179" i="3"/>
  <c r="K179" i="3"/>
  <c r="N193" i="3" s="1"/>
  <c r="J178" i="3"/>
  <c r="K178" i="3"/>
  <c r="N192" i="3"/>
  <c r="P192" i="3" s="1"/>
  <c r="F178" i="3"/>
  <c r="J177" i="3"/>
  <c r="F177" i="3"/>
  <c r="K177" i="3" s="1"/>
  <c r="N190" i="3" s="1"/>
  <c r="P190" i="3" s="1"/>
  <c r="J176" i="3"/>
  <c r="F176" i="3"/>
  <c r="I175" i="3"/>
  <c r="I182" i="3"/>
  <c r="H175" i="3"/>
  <c r="H182" i="3"/>
  <c r="G175" i="3"/>
  <c r="G182" i="3" s="1"/>
  <c r="E175" i="3"/>
  <c r="E182" i="3"/>
  <c r="D175" i="3"/>
  <c r="D182" i="3" s="1"/>
  <c r="C175" i="3"/>
  <c r="F175" i="3" s="1"/>
  <c r="F182" i="3" s="1"/>
  <c r="C182" i="3"/>
  <c r="J174" i="3"/>
  <c r="K174" i="3" s="1"/>
  <c r="K175" i="3" s="1"/>
  <c r="F174" i="3"/>
  <c r="J173" i="3"/>
  <c r="F173" i="3"/>
  <c r="K173" i="3"/>
  <c r="J172" i="3"/>
  <c r="K172" i="3"/>
  <c r="N186" i="3" s="1"/>
  <c r="F172" i="3"/>
  <c r="J163" i="3"/>
  <c r="K163" i="3" s="1"/>
  <c r="O162" i="3" s="1"/>
  <c r="F163" i="3"/>
  <c r="J162" i="3"/>
  <c r="F162" i="3"/>
  <c r="J161" i="3"/>
  <c r="F161" i="3"/>
  <c r="J160" i="3"/>
  <c r="K160" i="3" s="1"/>
  <c r="O159" i="3" s="1"/>
  <c r="F160" i="3"/>
  <c r="J159" i="3"/>
  <c r="K159" i="3" s="1"/>
  <c r="O157" i="3" s="1"/>
  <c r="F159" i="3"/>
  <c r="J158" i="3"/>
  <c r="K158" i="3"/>
  <c r="O158" i="3" s="1"/>
  <c r="F158" i="3"/>
  <c r="I157" i="3"/>
  <c r="I164" i="3" s="1"/>
  <c r="H157" i="3"/>
  <c r="H164" i="3" s="1"/>
  <c r="G157" i="3"/>
  <c r="G164" i="3" s="1"/>
  <c r="E157" i="3"/>
  <c r="E164" i="3"/>
  <c r="D157" i="3"/>
  <c r="D164" i="3"/>
  <c r="C157" i="3"/>
  <c r="C164" i="3"/>
  <c r="J156" i="3"/>
  <c r="K156" i="3" s="1"/>
  <c r="F156" i="3"/>
  <c r="O155" i="3"/>
  <c r="J155" i="3"/>
  <c r="F155" i="3"/>
  <c r="J154" i="3"/>
  <c r="F154" i="3"/>
  <c r="J148" i="3"/>
  <c r="K148" i="3" s="1"/>
  <c r="N162" i="3" s="1"/>
  <c r="J147" i="3"/>
  <c r="K147" i="3" s="1"/>
  <c r="N161" i="3" s="1"/>
  <c r="P161" i="3" s="1"/>
  <c r="F147" i="3"/>
  <c r="J146" i="3"/>
  <c r="F146" i="3"/>
  <c r="K146" i="3"/>
  <c r="N160" i="3" s="1"/>
  <c r="J145" i="3"/>
  <c r="K145" i="3"/>
  <c r="N159" i="3"/>
  <c r="F145" i="3"/>
  <c r="J144" i="3"/>
  <c r="F144" i="3"/>
  <c r="J143" i="3"/>
  <c r="F143" i="3"/>
  <c r="K143" i="3"/>
  <c r="I142" i="3"/>
  <c r="I149" i="3"/>
  <c r="H142" i="3"/>
  <c r="H149" i="3" s="1"/>
  <c r="G142" i="3"/>
  <c r="G149" i="3"/>
  <c r="E142" i="3"/>
  <c r="E149" i="3" s="1"/>
  <c r="D142" i="3"/>
  <c r="D149" i="3"/>
  <c r="J141" i="3"/>
  <c r="J142" i="3" s="1"/>
  <c r="F141" i="3"/>
  <c r="J140" i="3"/>
  <c r="F140" i="3"/>
  <c r="K140" i="3"/>
  <c r="J139" i="3"/>
  <c r="F139" i="3"/>
  <c r="J130" i="3"/>
  <c r="K130" i="3"/>
  <c r="O129" i="3"/>
  <c r="P129" i="3" s="1"/>
  <c r="F130" i="3"/>
  <c r="J129" i="3"/>
  <c r="K129" i="3"/>
  <c r="O128" i="3"/>
  <c r="F129" i="3"/>
  <c r="J128" i="3"/>
  <c r="F128" i="3"/>
  <c r="K128" i="3"/>
  <c r="O127" i="3"/>
  <c r="J127" i="3"/>
  <c r="K127" i="3"/>
  <c r="O126" i="3" s="1"/>
  <c r="F127" i="3"/>
  <c r="J126" i="3"/>
  <c r="F126" i="3"/>
  <c r="J125" i="3"/>
  <c r="F125" i="3"/>
  <c r="I124" i="3"/>
  <c r="I131" i="3" s="1"/>
  <c r="H124" i="3"/>
  <c r="H131" i="3" s="1"/>
  <c r="G124" i="3"/>
  <c r="G131" i="3" s="1"/>
  <c r="E124" i="3"/>
  <c r="D124" i="3"/>
  <c r="D131" i="3"/>
  <c r="C124" i="3"/>
  <c r="J123" i="3"/>
  <c r="F123" i="3"/>
  <c r="K123" i="3" s="1"/>
  <c r="J122" i="3"/>
  <c r="F122" i="3"/>
  <c r="J121" i="3"/>
  <c r="F121" i="3"/>
  <c r="K121" i="3"/>
  <c r="O120" i="3" s="1"/>
  <c r="J115" i="3"/>
  <c r="F115" i="3"/>
  <c r="K115" i="3"/>
  <c r="N129" i="3"/>
  <c r="J114" i="3"/>
  <c r="K114" i="3"/>
  <c r="N128" i="3" s="1"/>
  <c r="P128" i="3" s="1"/>
  <c r="F114" i="3"/>
  <c r="J113" i="3"/>
  <c r="K113" i="3" s="1"/>
  <c r="N127" i="3" s="1"/>
  <c r="P127" i="3" s="1"/>
  <c r="F113" i="3"/>
  <c r="J112" i="3"/>
  <c r="F112" i="3"/>
  <c r="J111" i="3"/>
  <c r="F111" i="3"/>
  <c r="J110" i="3"/>
  <c r="K110" i="3" s="1"/>
  <c r="F110" i="3"/>
  <c r="I109" i="3"/>
  <c r="I116" i="3" s="1"/>
  <c r="H109" i="3"/>
  <c r="H116" i="3"/>
  <c r="G109" i="3"/>
  <c r="G116" i="3"/>
  <c r="E109" i="3"/>
  <c r="E116" i="3" s="1"/>
  <c r="D109" i="3"/>
  <c r="D116" i="3"/>
  <c r="C109" i="3"/>
  <c r="C116" i="3" s="1"/>
  <c r="J108" i="3"/>
  <c r="F108" i="3"/>
  <c r="J107" i="3"/>
  <c r="J109" i="3"/>
  <c r="J116" i="3" s="1"/>
  <c r="F107" i="3"/>
  <c r="J106" i="3"/>
  <c r="F106" i="3"/>
  <c r="K106" i="3"/>
  <c r="N120" i="3"/>
  <c r="P120" i="3" s="1"/>
  <c r="J97" i="3"/>
  <c r="K97" i="3" s="1"/>
  <c r="O96" i="3" s="1"/>
  <c r="F97" i="3"/>
  <c r="J96" i="3"/>
  <c r="F96" i="3"/>
  <c r="J95" i="3"/>
  <c r="F95" i="3"/>
  <c r="J94" i="3"/>
  <c r="F94" i="3"/>
  <c r="K94" i="3" s="1"/>
  <c r="O93" i="3" s="1"/>
  <c r="J93" i="3"/>
  <c r="F93" i="3"/>
  <c r="K93" i="3"/>
  <c r="O91" i="3" s="1"/>
  <c r="J92" i="3"/>
  <c r="F92" i="3"/>
  <c r="K92" i="3"/>
  <c r="O92" i="3" s="1"/>
  <c r="I91" i="3"/>
  <c r="I98" i="3"/>
  <c r="H91" i="3"/>
  <c r="H98" i="3" s="1"/>
  <c r="G91" i="3"/>
  <c r="E91" i="3"/>
  <c r="E98" i="3" s="1"/>
  <c r="D91" i="3"/>
  <c r="C91" i="3"/>
  <c r="F91" i="3" s="1"/>
  <c r="C98" i="3"/>
  <c r="J90" i="3"/>
  <c r="K90" i="3" s="1"/>
  <c r="O89" i="3" s="1"/>
  <c r="F90" i="3"/>
  <c r="J89" i="3"/>
  <c r="J91" i="3"/>
  <c r="J98" i="3" s="1"/>
  <c r="F89" i="3"/>
  <c r="K89" i="3" s="1"/>
  <c r="J88" i="3"/>
  <c r="K88" i="3" s="1"/>
  <c r="O87" i="3" s="1"/>
  <c r="F88" i="3"/>
  <c r="J82" i="3"/>
  <c r="F82" i="3"/>
  <c r="J81" i="3"/>
  <c r="F81" i="3"/>
  <c r="J80" i="3"/>
  <c r="F80" i="3"/>
  <c r="K80" i="3"/>
  <c r="N94" i="3"/>
  <c r="J79" i="3"/>
  <c r="F79" i="3"/>
  <c r="K79" i="3"/>
  <c r="N93" i="3"/>
  <c r="J78" i="3"/>
  <c r="F78" i="3"/>
  <c r="K78" i="3"/>
  <c r="N91" i="3" s="1"/>
  <c r="P91" i="3" s="1"/>
  <c r="J77" i="3"/>
  <c r="K77" i="3" s="1"/>
  <c r="F77" i="3"/>
  <c r="I76" i="3"/>
  <c r="I83" i="3"/>
  <c r="H76" i="3"/>
  <c r="H83" i="3"/>
  <c r="G76" i="3"/>
  <c r="G83" i="3" s="1"/>
  <c r="E76" i="3"/>
  <c r="E83" i="3" s="1"/>
  <c r="C76" i="3"/>
  <c r="J75" i="3"/>
  <c r="J76" i="3" s="1"/>
  <c r="F75" i="3"/>
  <c r="K75" i="3"/>
  <c r="N89" i="3"/>
  <c r="P89" i="3"/>
  <c r="J74" i="3"/>
  <c r="F74" i="3"/>
  <c r="J73" i="3"/>
  <c r="F73" i="3"/>
  <c r="F64" i="3"/>
  <c r="K64" i="3"/>
  <c r="O63" i="3" s="1"/>
  <c r="J63" i="3"/>
  <c r="K63" i="3"/>
  <c r="O62" i="3"/>
  <c r="F63" i="3"/>
  <c r="J62" i="3"/>
  <c r="K62" i="3"/>
  <c r="O61" i="3" s="1"/>
  <c r="F62" i="3"/>
  <c r="J61" i="3"/>
  <c r="F61" i="3"/>
  <c r="J60" i="3"/>
  <c r="F60" i="3"/>
  <c r="J59" i="3"/>
  <c r="J65" i="3" s="1"/>
  <c r="F59" i="3"/>
  <c r="I58" i="3"/>
  <c r="I65" i="3"/>
  <c r="H58" i="3"/>
  <c r="H65" i="3" s="1"/>
  <c r="G58" i="3"/>
  <c r="G65" i="3"/>
  <c r="E58" i="3"/>
  <c r="D58" i="3"/>
  <c r="D65" i="3"/>
  <c r="C58" i="3"/>
  <c r="J57" i="3"/>
  <c r="F57" i="3"/>
  <c r="K57" i="3" s="1"/>
  <c r="O56" i="3" s="1"/>
  <c r="J56" i="3"/>
  <c r="F56" i="3"/>
  <c r="J55" i="3"/>
  <c r="K55" i="3" s="1"/>
  <c r="O54" i="3" s="1"/>
  <c r="F55" i="3"/>
  <c r="I208" i="4"/>
  <c r="J208" i="4"/>
  <c r="I207" i="4"/>
  <c r="Q207" i="4" s="1"/>
  <c r="I206" i="4"/>
  <c r="I205" i="4"/>
  <c r="J205" i="4" s="1"/>
  <c r="Q205" i="4" s="1"/>
  <c r="I204" i="4"/>
  <c r="J204" i="4"/>
  <c r="I203" i="4"/>
  <c r="J203" i="4"/>
  <c r="Q203" i="4" s="1"/>
  <c r="I202" i="4"/>
  <c r="J202" i="4" s="1"/>
  <c r="I193" i="4"/>
  <c r="J193" i="4"/>
  <c r="I192" i="4"/>
  <c r="J192" i="4"/>
  <c r="I191" i="4"/>
  <c r="I190" i="4"/>
  <c r="Q190" i="4" s="1"/>
  <c r="I189" i="4"/>
  <c r="I188" i="4"/>
  <c r="Q188" i="4" s="1"/>
  <c r="I187" i="4"/>
  <c r="I178" i="4"/>
  <c r="J178" i="4"/>
  <c r="Q178" i="4" s="1"/>
  <c r="I177" i="4"/>
  <c r="Q177" i="4" s="1"/>
  <c r="I176" i="4"/>
  <c r="I175" i="4"/>
  <c r="I174" i="4"/>
  <c r="I173" i="4"/>
  <c r="I172" i="4"/>
  <c r="J172" i="4" s="1"/>
  <c r="Q172" i="4"/>
  <c r="I163" i="4"/>
  <c r="I162" i="4"/>
  <c r="I161" i="4"/>
  <c r="J161" i="4"/>
  <c r="Q161" i="4" s="1"/>
  <c r="I160" i="4"/>
  <c r="J160" i="4" s="1"/>
  <c r="I159" i="4"/>
  <c r="J159" i="4"/>
  <c r="Q159" i="4" s="1"/>
  <c r="I158" i="4"/>
  <c r="J158" i="4" s="1"/>
  <c r="Q158" i="4" s="1"/>
  <c r="I157" i="4"/>
  <c r="J157" i="4" s="1"/>
  <c r="I148" i="4"/>
  <c r="J148" i="4"/>
  <c r="I147" i="4"/>
  <c r="J147" i="4"/>
  <c r="Q147" i="4" s="1"/>
  <c r="I146" i="4"/>
  <c r="Q146" i="4" s="1"/>
  <c r="I145" i="4"/>
  <c r="I144" i="4"/>
  <c r="I149" i="4" s="1"/>
  <c r="I143" i="4"/>
  <c r="I142" i="4"/>
  <c r="I133" i="4"/>
  <c r="I132" i="4"/>
  <c r="I131" i="4"/>
  <c r="Q131" i="4" s="1"/>
  <c r="I130" i="4"/>
  <c r="J130" i="4" s="1"/>
  <c r="I129" i="4"/>
  <c r="I128" i="4"/>
  <c r="I127" i="4"/>
  <c r="J127" i="4"/>
  <c r="I118" i="4"/>
  <c r="J118" i="4"/>
  <c r="I117" i="4"/>
  <c r="I116" i="4"/>
  <c r="I114" i="4"/>
  <c r="J114" i="4"/>
  <c r="Q114" i="4" s="1"/>
  <c r="I113" i="4"/>
  <c r="J113" i="4"/>
  <c r="I112" i="4"/>
  <c r="J112" i="4" s="1"/>
  <c r="I103" i="4"/>
  <c r="I102" i="4"/>
  <c r="I101" i="4"/>
  <c r="I100" i="4"/>
  <c r="J100" i="4"/>
  <c r="I99" i="4"/>
  <c r="J99" i="4"/>
  <c r="I98" i="4"/>
  <c r="J98" i="4" s="1"/>
  <c r="I97" i="4"/>
  <c r="I88" i="4"/>
  <c r="J88" i="4"/>
  <c r="I87" i="4"/>
  <c r="I86" i="4"/>
  <c r="J86" i="4" s="1"/>
  <c r="I85" i="4"/>
  <c r="J85" i="4" s="1"/>
  <c r="I84" i="4"/>
  <c r="I83" i="4"/>
  <c r="J83" i="4" s="1"/>
  <c r="Q83" i="4"/>
  <c r="I82" i="4"/>
  <c r="J82" i="4"/>
  <c r="I73" i="4"/>
  <c r="J73" i="4"/>
  <c r="Q72" i="4"/>
  <c r="I71" i="4"/>
  <c r="J71" i="4"/>
  <c r="Q71" i="4" s="1"/>
  <c r="I70" i="4"/>
  <c r="J70" i="4"/>
  <c r="I69" i="4"/>
  <c r="J69" i="4" s="1"/>
  <c r="I68" i="4"/>
  <c r="I67" i="4"/>
  <c r="J67" i="4" s="1"/>
  <c r="I58" i="4"/>
  <c r="L272" i="4"/>
  <c r="I57" i="4"/>
  <c r="I56" i="4"/>
  <c r="J56" i="4" s="1"/>
  <c r="L270" i="4"/>
  <c r="I55" i="4"/>
  <c r="L269" i="4"/>
  <c r="L273" i="4" s="1"/>
  <c r="I54" i="4"/>
  <c r="J54" i="4" s="1"/>
  <c r="Q54" i="4" s="1"/>
  <c r="I53" i="4"/>
  <c r="I52" i="4"/>
  <c r="H131" i="1"/>
  <c r="K192" i="1"/>
  <c r="K16" i="5" s="1"/>
  <c r="J192" i="1"/>
  <c r="J16" i="5" s="1"/>
  <c r="I192" i="1"/>
  <c r="H192" i="1"/>
  <c r="I16" i="5"/>
  <c r="K190" i="1"/>
  <c r="K14" i="5"/>
  <c r="J190" i="1"/>
  <c r="J14" i="5"/>
  <c r="I190" i="1"/>
  <c r="H190" i="1"/>
  <c r="I14" i="5"/>
  <c r="K186" i="1"/>
  <c r="K10" i="5"/>
  <c r="J186" i="1"/>
  <c r="J10" i="5" s="1"/>
  <c r="I186" i="1"/>
  <c r="H186" i="1"/>
  <c r="I10" i="5" s="1"/>
  <c r="K175" i="1"/>
  <c r="J175" i="1"/>
  <c r="I175" i="1"/>
  <c r="H175" i="1"/>
  <c r="G175" i="1"/>
  <c r="F175" i="1"/>
  <c r="E175" i="1"/>
  <c r="D175" i="1"/>
  <c r="C175" i="1"/>
  <c r="C14" i="7"/>
  <c r="C12" i="7"/>
  <c r="I12" i="7" s="1"/>
  <c r="C8" i="7"/>
  <c r="I8" i="7" s="1"/>
  <c r="H153" i="1"/>
  <c r="C6" i="7"/>
  <c r="C7" i="7"/>
  <c r="C9" i="7"/>
  <c r="I9" i="7" s="1"/>
  <c r="C10" i="7"/>
  <c r="I10" i="7" s="1"/>
  <c r="C11" i="7"/>
  <c r="C13" i="7"/>
  <c r="I13" i="7" s="1"/>
  <c r="C15" i="7"/>
  <c r="I15" i="7" s="1"/>
  <c r="C16" i="7"/>
  <c r="I16" i="7" s="1"/>
  <c r="C17" i="7"/>
  <c r="I17" i="7" s="1"/>
  <c r="C18" i="7"/>
  <c r="C5" i="7"/>
  <c r="D267" i="4"/>
  <c r="E267" i="4"/>
  <c r="E273" i="4" s="1"/>
  <c r="F267" i="4"/>
  <c r="G267" i="4"/>
  <c r="H267" i="4"/>
  <c r="K267" i="4"/>
  <c r="M267" i="4"/>
  <c r="N267" i="4"/>
  <c r="O267" i="4"/>
  <c r="P267" i="4"/>
  <c r="D268" i="4"/>
  <c r="D273" i="4" s="1"/>
  <c r="E268" i="4"/>
  <c r="F268" i="4"/>
  <c r="G268" i="4"/>
  <c r="I268" i="4" s="1"/>
  <c r="H268" i="4"/>
  <c r="K268" i="4"/>
  <c r="M268" i="4"/>
  <c r="N268" i="4"/>
  <c r="O268" i="4"/>
  <c r="P268" i="4"/>
  <c r="D269" i="4"/>
  <c r="E269" i="4"/>
  <c r="F269" i="4"/>
  <c r="G269" i="4"/>
  <c r="H269" i="4"/>
  <c r="I269" i="4" s="1"/>
  <c r="K269" i="4"/>
  <c r="M269" i="4"/>
  <c r="N269" i="4"/>
  <c r="O269" i="4"/>
  <c r="P269" i="4"/>
  <c r="D270" i="4"/>
  <c r="E270" i="4"/>
  <c r="F270" i="4"/>
  <c r="G270" i="4"/>
  <c r="I270" i="4" s="1"/>
  <c r="H270" i="4"/>
  <c r="K270" i="4"/>
  <c r="M270" i="4"/>
  <c r="M273" i="4"/>
  <c r="N270" i="4"/>
  <c r="O270" i="4"/>
  <c r="P270" i="4"/>
  <c r="D271" i="4"/>
  <c r="E271" i="4"/>
  <c r="F271" i="4"/>
  <c r="G271" i="4"/>
  <c r="I271" i="4" s="1"/>
  <c r="H271" i="4"/>
  <c r="K271" i="4"/>
  <c r="M271" i="4"/>
  <c r="N271" i="4"/>
  <c r="O271" i="4"/>
  <c r="P271" i="4"/>
  <c r="D272" i="4"/>
  <c r="E272" i="4"/>
  <c r="F272" i="4"/>
  <c r="G272" i="4"/>
  <c r="I272" i="4"/>
  <c r="H272" i="4"/>
  <c r="K272" i="4"/>
  <c r="M272" i="4"/>
  <c r="N272" i="4"/>
  <c r="O272" i="4"/>
  <c r="P272" i="4"/>
  <c r="P266" i="4"/>
  <c r="O266" i="4"/>
  <c r="O273" i="4" s="1"/>
  <c r="N266" i="4"/>
  <c r="N273" i="4" s="1"/>
  <c r="M266" i="4"/>
  <c r="K266" i="4"/>
  <c r="H266" i="4"/>
  <c r="G266" i="4"/>
  <c r="I266" i="4" s="1"/>
  <c r="F266" i="4"/>
  <c r="E266" i="4"/>
  <c r="D266" i="4"/>
  <c r="I295" i="3"/>
  <c r="H295" i="3"/>
  <c r="J295" i="3"/>
  <c r="G295" i="3"/>
  <c r="E295" i="3"/>
  <c r="D295" i="3"/>
  <c r="C295" i="3"/>
  <c r="F295" i="3"/>
  <c r="I294" i="3"/>
  <c r="J294" i="3" s="1"/>
  <c r="K294" i="3" s="1"/>
  <c r="H294" i="3"/>
  <c r="G294" i="3"/>
  <c r="E294" i="3"/>
  <c r="D294" i="3"/>
  <c r="C294" i="3"/>
  <c r="F294" i="3" s="1"/>
  <c r="I293" i="3"/>
  <c r="H293" i="3"/>
  <c r="G293" i="3"/>
  <c r="E293" i="3"/>
  <c r="D293" i="3"/>
  <c r="C293" i="3"/>
  <c r="F293" i="3" s="1"/>
  <c r="I292" i="3"/>
  <c r="H292" i="3"/>
  <c r="G292" i="3"/>
  <c r="E292" i="3"/>
  <c r="D292" i="3"/>
  <c r="C292" i="3"/>
  <c r="F292" i="3" s="1"/>
  <c r="I291" i="3"/>
  <c r="H291" i="3"/>
  <c r="G291" i="3"/>
  <c r="J291" i="3" s="1"/>
  <c r="K291" i="3" s="1"/>
  <c r="E291" i="3"/>
  <c r="D291" i="3"/>
  <c r="C291" i="3"/>
  <c r="I290" i="3"/>
  <c r="H290" i="3"/>
  <c r="G290" i="3"/>
  <c r="J290" i="3" s="1"/>
  <c r="E290" i="3"/>
  <c r="D290" i="3"/>
  <c r="F290" i="3" s="1"/>
  <c r="C290" i="3"/>
  <c r="I288" i="3"/>
  <c r="I289" i="3" s="1"/>
  <c r="H288" i="3"/>
  <c r="G288" i="3"/>
  <c r="E288" i="3"/>
  <c r="D288" i="3"/>
  <c r="C288" i="3"/>
  <c r="I287" i="3"/>
  <c r="H287" i="3"/>
  <c r="H289" i="3"/>
  <c r="E287" i="3"/>
  <c r="D287" i="3"/>
  <c r="D289" i="3"/>
  <c r="C287" i="3"/>
  <c r="F287" i="3" s="1"/>
  <c r="F289" i="3" s="1"/>
  <c r="C289" i="3"/>
  <c r="C296" i="3" s="1"/>
  <c r="I286" i="3"/>
  <c r="H286" i="3"/>
  <c r="G286" i="3"/>
  <c r="J286" i="3" s="1"/>
  <c r="K286" i="3" s="1"/>
  <c r="E286" i="3"/>
  <c r="D286" i="3"/>
  <c r="F286" i="3"/>
  <c r="C286" i="3"/>
  <c r="F49" i="3"/>
  <c r="D44" i="4"/>
  <c r="I183" i="1"/>
  <c r="J183" i="1"/>
  <c r="J7" i="5"/>
  <c r="K183" i="1"/>
  <c r="K7" i="5" s="1"/>
  <c r="H184" i="1"/>
  <c r="I8" i="5"/>
  <c r="I184" i="1"/>
  <c r="I197" i="1" s="1"/>
  <c r="J184" i="1"/>
  <c r="J8" i="5"/>
  <c r="K184" i="1"/>
  <c r="K8" i="5"/>
  <c r="H185" i="1"/>
  <c r="I9" i="5"/>
  <c r="I185" i="1"/>
  <c r="J185" i="1"/>
  <c r="J9" i="5"/>
  <c r="K185" i="1"/>
  <c r="K9" i="5"/>
  <c r="H187" i="1"/>
  <c r="I11" i="5" s="1"/>
  <c r="I187" i="1"/>
  <c r="J187" i="1"/>
  <c r="J11" i="5"/>
  <c r="K187" i="1"/>
  <c r="K11" i="5" s="1"/>
  <c r="H188" i="1"/>
  <c r="I12" i="5" s="1"/>
  <c r="I188" i="1"/>
  <c r="J188" i="1"/>
  <c r="J12" i="5"/>
  <c r="K188" i="1"/>
  <c r="K12" i="5"/>
  <c r="H189" i="1"/>
  <c r="I13" i="5"/>
  <c r="I189" i="1"/>
  <c r="J189" i="1"/>
  <c r="J13" i="5"/>
  <c r="K189" i="1"/>
  <c r="K13" i="5"/>
  <c r="H191" i="1"/>
  <c r="I15" i="5" s="1"/>
  <c r="I191" i="1"/>
  <c r="J191" i="1"/>
  <c r="J15" i="5" s="1"/>
  <c r="K191" i="1"/>
  <c r="K197" i="1" s="1"/>
  <c r="K15" i="5"/>
  <c r="H193" i="1"/>
  <c r="I17" i="5"/>
  <c r="I193" i="1"/>
  <c r="J193" i="1"/>
  <c r="J17" i="5" s="1"/>
  <c r="K193" i="1"/>
  <c r="K17" i="5"/>
  <c r="H194" i="1"/>
  <c r="I18" i="5"/>
  <c r="I194" i="1"/>
  <c r="J194" i="1"/>
  <c r="J18" i="5"/>
  <c r="K194" i="1"/>
  <c r="K18" i="5" s="1"/>
  <c r="H195" i="1"/>
  <c r="I19" i="5"/>
  <c r="I195" i="1"/>
  <c r="J195" i="1"/>
  <c r="J19" i="5" s="1"/>
  <c r="J21" i="5" s="1"/>
  <c r="K195" i="1"/>
  <c r="K19" i="5"/>
  <c r="H196" i="1"/>
  <c r="I20" i="5"/>
  <c r="I196" i="1"/>
  <c r="J196" i="1"/>
  <c r="J20" i="5"/>
  <c r="K196" i="1"/>
  <c r="K20" i="5"/>
  <c r="K87" i="1"/>
  <c r="J87" i="1"/>
  <c r="I87" i="1"/>
  <c r="H87" i="1"/>
  <c r="F87" i="1"/>
  <c r="E87" i="1"/>
  <c r="D87" i="1"/>
  <c r="C87" i="1"/>
  <c r="K153" i="1"/>
  <c r="J153" i="1"/>
  <c r="I153" i="1"/>
  <c r="G153" i="1"/>
  <c r="F153" i="1"/>
  <c r="E153" i="1"/>
  <c r="D153" i="1"/>
  <c r="C153" i="1"/>
  <c r="K131" i="1"/>
  <c r="J131" i="1"/>
  <c r="I131" i="1"/>
  <c r="G131" i="1"/>
  <c r="F131" i="1"/>
  <c r="E131" i="1"/>
  <c r="D131" i="1"/>
  <c r="C131" i="1"/>
  <c r="K109" i="1"/>
  <c r="J109" i="1"/>
  <c r="I109" i="1"/>
  <c r="H109" i="1"/>
  <c r="G109" i="1"/>
  <c r="F109" i="1"/>
  <c r="E109" i="1"/>
  <c r="D109" i="1"/>
  <c r="C109" i="1"/>
  <c r="K65" i="1"/>
  <c r="J65" i="1"/>
  <c r="I65" i="1"/>
  <c r="G65" i="1"/>
  <c r="F65" i="1"/>
  <c r="E65" i="1"/>
  <c r="D65" i="1"/>
  <c r="C65" i="1"/>
  <c r="K43" i="1"/>
  <c r="J43" i="1"/>
  <c r="I43" i="1"/>
  <c r="H43" i="1"/>
  <c r="G43" i="1"/>
  <c r="F43" i="1"/>
  <c r="E43" i="1"/>
  <c r="D43" i="1"/>
  <c r="C43" i="1"/>
  <c r="P253" i="4"/>
  <c r="P252" i="4"/>
  <c r="P251" i="4"/>
  <c r="P254" i="4" s="1"/>
  <c r="P250" i="4"/>
  <c r="P249" i="4"/>
  <c r="P248" i="4"/>
  <c r="P247" i="4"/>
  <c r="O253" i="4"/>
  <c r="O252" i="4"/>
  <c r="O251" i="4"/>
  <c r="O250" i="4"/>
  <c r="O249" i="4"/>
  <c r="O254" i="4" s="1"/>
  <c r="O248" i="4"/>
  <c r="O247" i="4"/>
  <c r="N253" i="4"/>
  <c r="N252" i="4"/>
  <c r="N251" i="4"/>
  <c r="N250" i="4"/>
  <c r="N249" i="4"/>
  <c r="N248" i="4"/>
  <c r="N247" i="4"/>
  <c r="M253" i="4"/>
  <c r="M252" i="4"/>
  <c r="M251" i="4"/>
  <c r="M250" i="4"/>
  <c r="M249" i="4"/>
  <c r="M248" i="4"/>
  <c r="M247" i="4"/>
  <c r="K253" i="4"/>
  <c r="K252" i="4"/>
  <c r="K251" i="4"/>
  <c r="K250" i="4"/>
  <c r="K249" i="4"/>
  <c r="K248" i="4"/>
  <c r="K247" i="4"/>
  <c r="K254" i="4" s="1"/>
  <c r="H253" i="4"/>
  <c r="H252" i="4"/>
  <c r="H251" i="4"/>
  <c r="H250" i="4"/>
  <c r="H249" i="4"/>
  <c r="H248" i="4"/>
  <c r="H247" i="4"/>
  <c r="H254" i="4" s="1"/>
  <c r="G253" i="4"/>
  <c r="I253" i="4" s="1"/>
  <c r="G252" i="4"/>
  <c r="I252" i="4" s="1"/>
  <c r="G251" i="4"/>
  <c r="I251" i="4"/>
  <c r="G250" i="4"/>
  <c r="I250" i="4"/>
  <c r="G249" i="4"/>
  <c r="I249" i="4"/>
  <c r="G248" i="4"/>
  <c r="G247" i="4"/>
  <c r="F253" i="4"/>
  <c r="F252" i="4"/>
  <c r="F251" i="4"/>
  <c r="F250" i="4"/>
  <c r="F249" i="4"/>
  <c r="F248" i="4"/>
  <c r="F247" i="4"/>
  <c r="E253" i="4"/>
  <c r="E252" i="4"/>
  <c r="E251" i="4"/>
  <c r="E250" i="4"/>
  <c r="E249" i="4"/>
  <c r="E248" i="4"/>
  <c r="E254" i="4" s="1"/>
  <c r="E247" i="4"/>
  <c r="D248" i="4"/>
  <c r="D249" i="4"/>
  <c r="D250" i="4"/>
  <c r="D251" i="4"/>
  <c r="D252" i="4"/>
  <c r="D253" i="4"/>
  <c r="D247" i="4"/>
  <c r="D254" i="4" s="1"/>
  <c r="P239" i="4"/>
  <c r="O239" i="4"/>
  <c r="N239" i="4"/>
  <c r="M239" i="4"/>
  <c r="L239" i="4"/>
  <c r="K239" i="4"/>
  <c r="H239" i="4"/>
  <c r="G239" i="4"/>
  <c r="F239" i="4"/>
  <c r="E239" i="4"/>
  <c r="D239" i="4"/>
  <c r="I238" i="4"/>
  <c r="J238" i="4"/>
  <c r="I237" i="4"/>
  <c r="I236" i="4"/>
  <c r="J236" i="4"/>
  <c r="Q236" i="4" s="1"/>
  <c r="I235" i="4"/>
  <c r="J235" i="4" s="1"/>
  <c r="I234" i="4"/>
  <c r="I233" i="4"/>
  <c r="I232" i="4"/>
  <c r="P224" i="4"/>
  <c r="O224" i="4"/>
  <c r="N224" i="4"/>
  <c r="M224" i="4"/>
  <c r="L224" i="4"/>
  <c r="K224" i="4"/>
  <c r="H224" i="4"/>
  <c r="G224" i="4"/>
  <c r="F224" i="4"/>
  <c r="E224" i="4"/>
  <c r="D224" i="4"/>
  <c r="I223" i="4"/>
  <c r="J223" i="4" s="1"/>
  <c r="I222" i="4"/>
  <c r="J222" i="4"/>
  <c r="Q222" i="4"/>
  <c r="I221" i="4"/>
  <c r="J221" i="4" s="1"/>
  <c r="Q221" i="4"/>
  <c r="I220" i="4"/>
  <c r="J220" i="4"/>
  <c r="Q220" i="4" s="1"/>
  <c r="I219" i="4"/>
  <c r="I218" i="4"/>
  <c r="J218" i="4"/>
  <c r="I217" i="4"/>
  <c r="P209" i="4"/>
  <c r="O209" i="4"/>
  <c r="N209" i="4"/>
  <c r="M209" i="4"/>
  <c r="L209" i="4"/>
  <c r="K209" i="4"/>
  <c r="H209" i="4"/>
  <c r="G209" i="4"/>
  <c r="F209" i="4"/>
  <c r="E209" i="4"/>
  <c r="D209" i="4"/>
  <c r="P194" i="4"/>
  <c r="O194" i="4"/>
  <c r="N194" i="4"/>
  <c r="M194" i="4"/>
  <c r="L194" i="4"/>
  <c r="K194" i="4"/>
  <c r="H194" i="4"/>
  <c r="G194" i="4"/>
  <c r="F194" i="4"/>
  <c r="E194" i="4"/>
  <c r="D194" i="4"/>
  <c r="P179" i="4"/>
  <c r="O179" i="4"/>
  <c r="N179" i="4"/>
  <c r="M179" i="4"/>
  <c r="L179" i="4"/>
  <c r="K179" i="4"/>
  <c r="H179" i="4"/>
  <c r="G179" i="4"/>
  <c r="F179" i="4"/>
  <c r="E179" i="4"/>
  <c r="D179" i="4"/>
  <c r="P164" i="4"/>
  <c r="O164" i="4"/>
  <c r="N164" i="4"/>
  <c r="M164" i="4"/>
  <c r="L164" i="4"/>
  <c r="K164" i="4"/>
  <c r="H164" i="4"/>
  <c r="G164" i="4"/>
  <c r="F164" i="4"/>
  <c r="E164" i="4"/>
  <c r="D164" i="4"/>
  <c r="P149" i="4"/>
  <c r="O149" i="4"/>
  <c r="N149" i="4"/>
  <c r="M149" i="4"/>
  <c r="L149" i="4"/>
  <c r="K149" i="4"/>
  <c r="H149" i="4"/>
  <c r="G149" i="4"/>
  <c r="F149" i="4"/>
  <c r="E149" i="4"/>
  <c r="P134" i="4"/>
  <c r="O134" i="4"/>
  <c r="N134" i="4"/>
  <c r="M134" i="4"/>
  <c r="L134" i="4"/>
  <c r="K134" i="4"/>
  <c r="H134" i="4"/>
  <c r="G134" i="4"/>
  <c r="F134" i="4"/>
  <c r="E134" i="4"/>
  <c r="D134" i="4"/>
  <c r="P119" i="4"/>
  <c r="O119" i="4"/>
  <c r="N119" i="4"/>
  <c r="M119" i="4"/>
  <c r="L119" i="4"/>
  <c r="K119" i="4"/>
  <c r="H119" i="4"/>
  <c r="G119" i="4"/>
  <c r="F119" i="4"/>
  <c r="E119" i="4"/>
  <c r="D119" i="4"/>
  <c r="P104" i="4"/>
  <c r="O104" i="4"/>
  <c r="N104" i="4"/>
  <c r="M104" i="4"/>
  <c r="L104" i="4"/>
  <c r="K104" i="4"/>
  <c r="H104" i="4"/>
  <c r="G104" i="4"/>
  <c r="F104" i="4"/>
  <c r="E104" i="4"/>
  <c r="D104" i="4"/>
  <c r="P89" i="4"/>
  <c r="O89" i="4"/>
  <c r="N89" i="4"/>
  <c r="M89" i="4"/>
  <c r="L89" i="4"/>
  <c r="K89" i="4"/>
  <c r="H89" i="4"/>
  <c r="G89" i="4"/>
  <c r="F89" i="4"/>
  <c r="E89" i="4"/>
  <c r="D89" i="4"/>
  <c r="P74" i="4"/>
  <c r="O74" i="4"/>
  <c r="N74" i="4"/>
  <c r="M74" i="4"/>
  <c r="L74" i="4"/>
  <c r="K74" i="4"/>
  <c r="H74" i="4"/>
  <c r="G74" i="4"/>
  <c r="F74" i="4"/>
  <c r="E74" i="4"/>
  <c r="D74" i="4"/>
  <c r="P59" i="4"/>
  <c r="O59" i="4"/>
  <c r="N59" i="4"/>
  <c r="M59" i="4"/>
  <c r="K59" i="4"/>
  <c r="H59" i="4"/>
  <c r="G59" i="4"/>
  <c r="F59" i="4"/>
  <c r="E59" i="4"/>
  <c r="D59" i="4"/>
  <c r="P44" i="4"/>
  <c r="O44" i="4"/>
  <c r="N44" i="4"/>
  <c r="M44" i="4"/>
  <c r="K44" i="4"/>
  <c r="H44" i="4"/>
  <c r="G44" i="4"/>
  <c r="F44" i="4"/>
  <c r="E44" i="4"/>
  <c r="I43" i="4"/>
  <c r="I42" i="4"/>
  <c r="I40" i="4"/>
  <c r="J40" i="4" s="1"/>
  <c r="L40" i="4"/>
  <c r="L250" i="4" s="1"/>
  <c r="I39" i="4"/>
  <c r="J39" i="4" s="1"/>
  <c r="I38" i="4"/>
  <c r="I37" i="4"/>
  <c r="P29" i="4"/>
  <c r="O29" i="4"/>
  <c r="N29" i="4"/>
  <c r="M29" i="4"/>
  <c r="L29" i="4"/>
  <c r="K29" i="4"/>
  <c r="H29" i="4"/>
  <c r="G29" i="4"/>
  <c r="F29" i="4"/>
  <c r="E29" i="4"/>
  <c r="D29" i="4"/>
  <c r="I28" i="4"/>
  <c r="J28" i="4" s="1"/>
  <c r="I27" i="4"/>
  <c r="J27" i="4" s="1"/>
  <c r="I26" i="4"/>
  <c r="J26" i="4"/>
  <c r="I25" i="4"/>
  <c r="J25" i="4" s="1"/>
  <c r="I24" i="4"/>
  <c r="I23" i="4"/>
  <c r="J23" i="4"/>
  <c r="I22" i="4"/>
  <c r="J22" i="4"/>
  <c r="G143" i="2"/>
  <c r="F143" i="2"/>
  <c r="E143" i="2"/>
  <c r="D143" i="2"/>
  <c r="H143" i="2" s="1"/>
  <c r="C143" i="2"/>
  <c r="F137" i="2"/>
  <c r="E137" i="2"/>
  <c r="D137" i="2"/>
  <c r="D138" i="2"/>
  <c r="C137" i="2"/>
  <c r="F136" i="2"/>
  <c r="E136" i="2"/>
  <c r="D136" i="2"/>
  <c r="C136" i="2"/>
  <c r="F135" i="2"/>
  <c r="E135" i="2"/>
  <c r="D135" i="2"/>
  <c r="C135" i="2"/>
  <c r="G135" i="2" s="1"/>
  <c r="F134" i="2"/>
  <c r="E134" i="2"/>
  <c r="G134" i="2" s="1"/>
  <c r="D134" i="2"/>
  <c r="C134" i="2"/>
  <c r="H127" i="2"/>
  <c r="F122" i="2"/>
  <c r="E122" i="2"/>
  <c r="D122" i="2"/>
  <c r="C122" i="2"/>
  <c r="G121" i="2"/>
  <c r="G120" i="2"/>
  <c r="G119" i="2"/>
  <c r="G118" i="2"/>
  <c r="H111" i="2"/>
  <c r="F106" i="2"/>
  <c r="E106" i="2"/>
  <c r="D106" i="2"/>
  <c r="C106" i="2"/>
  <c r="G105" i="2"/>
  <c r="G104" i="2"/>
  <c r="G106" i="2" s="1"/>
  <c r="G103" i="2"/>
  <c r="G102" i="2"/>
  <c r="H95" i="2"/>
  <c r="F90" i="2"/>
  <c r="E90" i="2"/>
  <c r="D90" i="2"/>
  <c r="C90" i="2"/>
  <c r="G89" i="2"/>
  <c r="G88" i="2"/>
  <c r="G87" i="2"/>
  <c r="G90" i="2" s="1"/>
  <c r="G86" i="2"/>
  <c r="H79" i="2"/>
  <c r="F74" i="2"/>
  <c r="E74" i="2"/>
  <c r="D74" i="2"/>
  <c r="C74" i="2"/>
  <c r="G73" i="2"/>
  <c r="G72" i="2"/>
  <c r="G71" i="2"/>
  <c r="G70" i="2"/>
  <c r="G74" i="2" s="1"/>
  <c r="H63" i="2"/>
  <c r="F58" i="2"/>
  <c r="E58" i="2"/>
  <c r="D58" i="2"/>
  <c r="C58" i="2"/>
  <c r="G57" i="2"/>
  <c r="G56" i="2"/>
  <c r="G55" i="2"/>
  <c r="G58" i="2" s="1"/>
  <c r="G54" i="2"/>
  <c r="H47" i="2"/>
  <c r="F42" i="2"/>
  <c r="E42" i="2"/>
  <c r="D42" i="2"/>
  <c r="C42" i="2"/>
  <c r="G41" i="2"/>
  <c r="G40" i="2"/>
  <c r="G39" i="2"/>
  <c r="G42" i="2" s="1"/>
  <c r="G38" i="2"/>
  <c r="H31" i="2"/>
  <c r="F26" i="2"/>
  <c r="E26" i="2"/>
  <c r="D26" i="2"/>
  <c r="C26" i="2"/>
  <c r="G25" i="2"/>
  <c r="G24" i="2"/>
  <c r="G23" i="2"/>
  <c r="G22" i="2"/>
  <c r="G26" i="2" s="1"/>
  <c r="H15" i="2"/>
  <c r="F10" i="2"/>
  <c r="E10" i="2"/>
  <c r="D10" i="2"/>
  <c r="C10" i="2"/>
  <c r="G9" i="2"/>
  <c r="G8" i="2"/>
  <c r="G7" i="2"/>
  <c r="G6" i="2"/>
  <c r="G10" i="2" s="1"/>
  <c r="I280" i="3"/>
  <c r="H280" i="3"/>
  <c r="J280" i="3" s="1"/>
  <c r="G280" i="3"/>
  <c r="E280" i="3"/>
  <c r="D280" i="3"/>
  <c r="F280" i="3" s="1"/>
  <c r="C280" i="3"/>
  <c r="I279" i="3"/>
  <c r="H279" i="3"/>
  <c r="G279" i="3"/>
  <c r="J279" i="3" s="1"/>
  <c r="E279" i="3"/>
  <c r="D279" i="3"/>
  <c r="C279" i="3"/>
  <c r="I278" i="3"/>
  <c r="H278" i="3"/>
  <c r="G278" i="3"/>
  <c r="J278" i="3" s="1"/>
  <c r="E278" i="3"/>
  <c r="D278" i="3"/>
  <c r="C278" i="3"/>
  <c r="F278" i="3" s="1"/>
  <c r="I277" i="3"/>
  <c r="H277" i="3"/>
  <c r="G277" i="3"/>
  <c r="J277" i="3" s="1"/>
  <c r="K277" i="3" s="1"/>
  <c r="E277" i="3"/>
  <c r="D277" i="3"/>
  <c r="F277" i="3" s="1"/>
  <c r="C277" i="3"/>
  <c r="I276" i="3"/>
  <c r="H276" i="3"/>
  <c r="G276" i="3"/>
  <c r="E276" i="3"/>
  <c r="D276" i="3"/>
  <c r="C276" i="3"/>
  <c r="F276" i="3" s="1"/>
  <c r="I275" i="3"/>
  <c r="H275" i="3"/>
  <c r="G275" i="3"/>
  <c r="J275" i="3"/>
  <c r="E275" i="3"/>
  <c r="D275" i="3"/>
  <c r="C275" i="3"/>
  <c r="F275" i="3" s="1"/>
  <c r="I273" i="3"/>
  <c r="H273" i="3"/>
  <c r="G273" i="3"/>
  <c r="J273" i="3" s="1"/>
  <c r="K273" i="3"/>
  <c r="E273" i="3"/>
  <c r="D273" i="3"/>
  <c r="C273" i="3"/>
  <c r="F273" i="3" s="1"/>
  <c r="I272" i="3"/>
  <c r="H272" i="3"/>
  <c r="H274" i="3"/>
  <c r="G272" i="3"/>
  <c r="J272" i="3" s="1"/>
  <c r="E272" i="3"/>
  <c r="E274" i="3"/>
  <c r="D272" i="3"/>
  <c r="D274" i="3"/>
  <c r="C272" i="3"/>
  <c r="C274" i="3"/>
  <c r="C281" i="3" s="1"/>
  <c r="I271" i="3"/>
  <c r="H271" i="3"/>
  <c r="G271" i="3"/>
  <c r="E271" i="3"/>
  <c r="D271" i="3"/>
  <c r="F271" i="3" s="1"/>
  <c r="C271" i="3"/>
  <c r="J262" i="3"/>
  <c r="F262" i="3"/>
  <c r="J261" i="3"/>
  <c r="F261" i="3"/>
  <c r="K261" i="3" s="1"/>
  <c r="O260" i="3" s="1"/>
  <c r="J260" i="3"/>
  <c r="F260" i="3"/>
  <c r="K260" i="3" s="1"/>
  <c r="O259" i="3" s="1"/>
  <c r="J259" i="3"/>
  <c r="K259" i="3" s="1"/>
  <c r="O258" i="3" s="1"/>
  <c r="F259" i="3"/>
  <c r="J258" i="3"/>
  <c r="F258" i="3"/>
  <c r="J257" i="3"/>
  <c r="F257" i="3"/>
  <c r="K257" i="3" s="1"/>
  <c r="O257" i="3" s="1"/>
  <c r="I256" i="3"/>
  <c r="I263" i="3"/>
  <c r="H256" i="3"/>
  <c r="H263" i="3"/>
  <c r="G256" i="3"/>
  <c r="G263" i="3" s="1"/>
  <c r="E256" i="3"/>
  <c r="E263" i="3" s="1"/>
  <c r="D256" i="3"/>
  <c r="D263" i="3"/>
  <c r="C256" i="3"/>
  <c r="C263" i="3" s="1"/>
  <c r="J255" i="3"/>
  <c r="F255" i="3"/>
  <c r="K255" i="3"/>
  <c r="O254" i="3" s="1"/>
  <c r="J254" i="3"/>
  <c r="F254" i="3"/>
  <c r="J253" i="3"/>
  <c r="F253" i="3"/>
  <c r="K253" i="3"/>
  <c r="O252" i="3" s="1"/>
  <c r="J247" i="3"/>
  <c r="F247" i="3"/>
  <c r="J246" i="3"/>
  <c r="F246" i="3"/>
  <c r="K246" i="3"/>
  <c r="N260" i="3"/>
  <c r="J245" i="3"/>
  <c r="K245" i="3"/>
  <c r="N259" i="3" s="1"/>
  <c r="F245" i="3"/>
  <c r="J244" i="3"/>
  <c r="F244" i="3"/>
  <c r="K244" i="3" s="1"/>
  <c r="N258" i="3" s="1"/>
  <c r="P258" i="3" s="1"/>
  <c r="J243" i="3"/>
  <c r="F243" i="3"/>
  <c r="K243" i="3"/>
  <c r="N256" i="3" s="1"/>
  <c r="J242" i="3"/>
  <c r="K242" i="3" s="1"/>
  <c r="F242" i="3"/>
  <c r="I241" i="3"/>
  <c r="I248" i="3"/>
  <c r="H241" i="3"/>
  <c r="H248" i="3"/>
  <c r="G241" i="3"/>
  <c r="G248" i="3"/>
  <c r="E241" i="3"/>
  <c r="E248" i="3"/>
  <c r="D241" i="3"/>
  <c r="D248" i="3" s="1"/>
  <c r="C241" i="3"/>
  <c r="F241" i="3" s="1"/>
  <c r="F248" i="3" s="1"/>
  <c r="J240" i="3"/>
  <c r="K240" i="3"/>
  <c r="N254" i="3"/>
  <c r="P254" i="3" s="1"/>
  <c r="F240" i="3"/>
  <c r="J239" i="3"/>
  <c r="J241" i="3" s="1"/>
  <c r="K239" i="3"/>
  <c r="F239" i="3"/>
  <c r="J238" i="3"/>
  <c r="F238" i="3"/>
  <c r="K226" i="3"/>
  <c r="O225" i="3" s="1"/>
  <c r="K211" i="3"/>
  <c r="N225" i="3"/>
  <c r="K176" i="3"/>
  <c r="K125" i="3"/>
  <c r="O125" i="3"/>
  <c r="E131" i="3"/>
  <c r="O122" i="3"/>
  <c r="K108" i="3"/>
  <c r="N122" i="3" s="1"/>
  <c r="P122" i="3" s="1"/>
  <c r="G98" i="3"/>
  <c r="K59" i="3"/>
  <c r="O59" i="3" s="1"/>
  <c r="J49" i="3"/>
  <c r="K49" i="3" s="1"/>
  <c r="N63" i="3" s="1"/>
  <c r="P63" i="3" s="1"/>
  <c r="J48" i="3"/>
  <c r="F48" i="3"/>
  <c r="K48" i="3" s="1"/>
  <c r="N62" i="3" s="1"/>
  <c r="J47" i="3"/>
  <c r="K47" i="3" s="1"/>
  <c r="N61" i="3" s="1"/>
  <c r="P61" i="3" s="1"/>
  <c r="J46" i="3"/>
  <c r="K46" i="3"/>
  <c r="N60" i="3" s="1"/>
  <c r="F46" i="3"/>
  <c r="J45" i="3"/>
  <c r="F45" i="3"/>
  <c r="K45" i="3" s="1"/>
  <c r="N58" i="3" s="1"/>
  <c r="P58" i="3" s="1"/>
  <c r="J44" i="3"/>
  <c r="K44" i="3" s="1"/>
  <c r="F44" i="3"/>
  <c r="I43" i="3"/>
  <c r="I50" i="3" s="1"/>
  <c r="H43" i="3"/>
  <c r="H50" i="3" s="1"/>
  <c r="G43" i="3"/>
  <c r="G50" i="3" s="1"/>
  <c r="E43" i="3"/>
  <c r="E50" i="3"/>
  <c r="D43" i="3"/>
  <c r="D50" i="3" s="1"/>
  <c r="C43" i="3"/>
  <c r="F43" i="3" s="1"/>
  <c r="C50" i="3"/>
  <c r="J42" i="3"/>
  <c r="F42" i="3"/>
  <c r="K42" i="3"/>
  <c r="N56" i="3"/>
  <c r="P56" i="3"/>
  <c r="J41" i="3"/>
  <c r="J43" i="3"/>
  <c r="F41" i="3"/>
  <c r="J40" i="3"/>
  <c r="K40" i="3"/>
  <c r="N54" i="3" s="1"/>
  <c r="F40" i="3"/>
  <c r="J31" i="3"/>
  <c r="F31" i="3"/>
  <c r="J30" i="3"/>
  <c r="F30" i="3"/>
  <c r="K30" i="3" s="1"/>
  <c r="O29" i="3" s="1"/>
  <c r="J29" i="3"/>
  <c r="K29" i="3" s="1"/>
  <c r="O28" i="3" s="1"/>
  <c r="O292" i="3" s="1"/>
  <c r="F29" i="3"/>
  <c r="J28" i="3"/>
  <c r="F28" i="3"/>
  <c r="K28" i="3" s="1"/>
  <c r="O27" i="3" s="1"/>
  <c r="O291" i="3" s="1"/>
  <c r="J27" i="3"/>
  <c r="K27" i="3"/>
  <c r="O25" i="3" s="1"/>
  <c r="F27" i="3"/>
  <c r="J26" i="3"/>
  <c r="F26" i="3"/>
  <c r="K26" i="3" s="1"/>
  <c r="O26" i="3" s="1"/>
  <c r="I25" i="3"/>
  <c r="I32" i="3"/>
  <c r="H25" i="3"/>
  <c r="H32" i="3"/>
  <c r="G25" i="3"/>
  <c r="G32" i="3" s="1"/>
  <c r="E25" i="3"/>
  <c r="E32" i="3" s="1"/>
  <c r="D25" i="3"/>
  <c r="D32" i="3"/>
  <c r="C25" i="3"/>
  <c r="J24" i="3"/>
  <c r="F24" i="3"/>
  <c r="J23" i="3"/>
  <c r="J25" i="3" s="1"/>
  <c r="F23" i="3"/>
  <c r="K23" i="3" s="1"/>
  <c r="K25" i="3" s="1"/>
  <c r="J22" i="3"/>
  <c r="F22" i="3"/>
  <c r="K22" i="3" s="1"/>
  <c r="O21" i="3" s="1"/>
  <c r="J16" i="3"/>
  <c r="F16" i="3"/>
  <c r="J15" i="3"/>
  <c r="K15" i="3" s="1"/>
  <c r="N29" i="3" s="1"/>
  <c r="F15" i="3"/>
  <c r="J14" i="3"/>
  <c r="K14" i="3" s="1"/>
  <c r="N28" i="3" s="1"/>
  <c r="F14" i="3"/>
  <c r="J13" i="3"/>
  <c r="K13" i="3" s="1"/>
  <c r="N27" i="3" s="1"/>
  <c r="F13" i="3"/>
  <c r="J12" i="3"/>
  <c r="K12" i="3" s="1"/>
  <c r="N25" i="3"/>
  <c r="F12" i="3"/>
  <c r="J11" i="3"/>
  <c r="F11" i="3"/>
  <c r="I10" i="3"/>
  <c r="I17" i="3" s="1"/>
  <c r="H10" i="3"/>
  <c r="H17" i="3"/>
  <c r="G10" i="3"/>
  <c r="G17" i="3"/>
  <c r="E10" i="3"/>
  <c r="D10" i="3"/>
  <c r="D17" i="3" s="1"/>
  <c r="C10" i="3"/>
  <c r="C17" i="3" s="1"/>
  <c r="J9" i="3"/>
  <c r="F9" i="3"/>
  <c r="J8" i="3"/>
  <c r="J10" i="3"/>
  <c r="F8" i="3"/>
  <c r="J7" i="3"/>
  <c r="F7" i="3"/>
  <c r="I10" i="4"/>
  <c r="H21" i="5"/>
  <c r="D14" i="4"/>
  <c r="E14" i="4"/>
  <c r="F14" i="4"/>
  <c r="G14" i="4"/>
  <c r="H14" i="4"/>
  <c r="I7" i="4"/>
  <c r="J7" i="4"/>
  <c r="I8" i="4"/>
  <c r="J8" i="4"/>
  <c r="I9" i="4"/>
  <c r="I11" i="4"/>
  <c r="J11" i="4"/>
  <c r="I12" i="4"/>
  <c r="J12" i="4" s="1"/>
  <c r="I13" i="4"/>
  <c r="K14" i="4"/>
  <c r="L14" i="4"/>
  <c r="M14" i="4"/>
  <c r="N14" i="4"/>
  <c r="O14" i="4"/>
  <c r="P14" i="4"/>
  <c r="K21" i="1"/>
  <c r="J21" i="1"/>
  <c r="I21" i="1"/>
  <c r="H21" i="1"/>
  <c r="G21" i="1"/>
  <c r="F21" i="1"/>
  <c r="E21" i="1"/>
  <c r="D21" i="1"/>
  <c r="C21" i="1"/>
  <c r="Q238" i="4"/>
  <c r="K24" i="3"/>
  <c r="O23" i="3"/>
  <c r="J234" i="4"/>
  <c r="J237" i="4"/>
  <c r="Q237" i="4"/>
  <c r="J10" i="4"/>
  <c r="C248" i="3"/>
  <c r="J217" i="4"/>
  <c r="Q217" i="4" s="1"/>
  <c r="L271" i="4"/>
  <c r="K209" i="3"/>
  <c r="K238" i="3"/>
  <c r="N252" i="3" s="1"/>
  <c r="P252" i="3" s="1"/>
  <c r="Q223" i="4"/>
  <c r="L251" i="4"/>
  <c r="L266" i="4"/>
  <c r="L247" i="4"/>
  <c r="I248" i="4"/>
  <c r="Q12" i="4"/>
  <c r="Q235" i="4"/>
  <c r="L39" i="4"/>
  <c r="Q98" i="4"/>
  <c r="J13" i="4"/>
  <c r="Q13" i="4"/>
  <c r="K16" i="3"/>
  <c r="N30" i="3"/>
  <c r="K196" i="3"/>
  <c r="O195" i="3"/>
  <c r="O22" i="3"/>
  <c r="K8" i="3"/>
  <c r="N22" i="3" s="1"/>
  <c r="C32" i="3"/>
  <c r="Q23" i="4"/>
  <c r="F254" i="4"/>
  <c r="J208" i="3"/>
  <c r="J215" i="3" s="1"/>
  <c r="J233" i="4"/>
  <c r="O224" i="3"/>
  <c r="K181" i="3"/>
  <c r="N195" i="3"/>
  <c r="P195" i="3" s="1"/>
  <c r="F288" i="3"/>
  <c r="L249" i="4"/>
  <c r="Q39" i="4"/>
  <c r="K112" i="3"/>
  <c r="N126" i="3" s="1"/>
  <c r="P126" i="3" s="1"/>
  <c r="L268" i="4"/>
  <c r="L253" i="4"/>
  <c r="L59" i="4"/>
  <c r="L267" i="4"/>
  <c r="Q173" i="4"/>
  <c r="Q157" i="4"/>
  <c r="Q189" i="4"/>
  <c r="F157" i="3"/>
  <c r="Q143" i="4"/>
  <c r="I14" i="7"/>
  <c r="E9" i="5"/>
  <c r="C197" i="1"/>
  <c r="D197" i="1"/>
  <c r="Q208" i="4"/>
  <c r="P273" i="4"/>
  <c r="Q204" i="4"/>
  <c r="Q193" i="4"/>
  <c r="Q192" i="4"/>
  <c r="Q113" i="4"/>
  <c r="Q112" i="4"/>
  <c r="J103" i="4"/>
  <c r="Q103" i="4" s="1"/>
  <c r="J102" i="4"/>
  <c r="Q99" i="4"/>
  <c r="J97" i="4"/>
  <c r="K111" i="3"/>
  <c r="N124" i="3"/>
  <c r="K107" i="3"/>
  <c r="N121" i="3"/>
  <c r="E19" i="7"/>
  <c r="D19" i="7"/>
  <c r="Q88" i="4"/>
  <c r="M254" i="4"/>
  <c r="Q70" i="4"/>
  <c r="Q69" i="4"/>
  <c r="K162" i="3"/>
  <c r="O161" i="3" s="1"/>
  <c r="F164" i="3"/>
  <c r="K161" i="3"/>
  <c r="O160" i="3"/>
  <c r="K139" i="3"/>
  <c r="N153" i="3" s="1"/>
  <c r="F149" i="3"/>
  <c r="N154" i="3"/>
  <c r="K73" i="3"/>
  <c r="N87" i="3"/>
  <c r="K95" i="3"/>
  <c r="O94" i="3" s="1"/>
  <c r="D98" i="3"/>
  <c r="F98" i="3"/>
  <c r="K82" i="3"/>
  <c r="N96" i="3" s="1"/>
  <c r="P96" i="3" s="1"/>
  <c r="K81" i="3"/>
  <c r="N95" i="3" s="1"/>
  <c r="K74" i="3"/>
  <c r="N88" i="3" s="1"/>
  <c r="K76" i="3"/>
  <c r="K83" i="3" s="1"/>
  <c r="P93" i="3"/>
  <c r="Q148" i="4"/>
  <c r="J142" i="4"/>
  <c r="J132" i="4"/>
  <c r="Q130" i="4"/>
  <c r="Q127" i="4"/>
  <c r="Q132" i="4"/>
  <c r="K61" i="3"/>
  <c r="O60" i="3"/>
  <c r="J58" i="3"/>
  <c r="P54" i="3"/>
  <c r="C65" i="3"/>
  <c r="J50" i="3"/>
  <c r="K41" i="3"/>
  <c r="K43" i="3" s="1"/>
  <c r="E281" i="3"/>
  <c r="K227" i="3"/>
  <c r="O226" i="3"/>
  <c r="J293" i="3"/>
  <c r="J287" i="3"/>
  <c r="K287" i="3" s="1"/>
  <c r="K221" i="3"/>
  <c r="P223" i="3"/>
  <c r="K206" i="3"/>
  <c r="J274" i="3"/>
  <c r="F272" i="3"/>
  <c r="F274" i="3" s="1"/>
  <c r="K293" i="3"/>
  <c r="K188" i="3"/>
  <c r="K190" i="3" s="1"/>
  <c r="F291" i="3"/>
  <c r="D197" i="3"/>
  <c r="K180" i="3"/>
  <c r="N194" i="3" s="1"/>
  <c r="N187" i="3"/>
  <c r="J176" i="4"/>
  <c r="Q176" i="4" s="1"/>
  <c r="J175" i="4"/>
  <c r="J174" i="4"/>
  <c r="I179" i="4"/>
  <c r="J179" i="4"/>
  <c r="Q160" i="4"/>
  <c r="I89" i="4"/>
  <c r="J53" i="4"/>
  <c r="J43" i="4"/>
  <c r="J41" i="4"/>
  <c r="Q41" i="4" s="1"/>
  <c r="O187" i="3"/>
  <c r="Q175" i="4"/>
  <c r="Q174" i="4"/>
  <c r="C138" i="2"/>
  <c r="K60" i="3"/>
  <c r="O58" i="3" s="1"/>
  <c r="P62" i="3"/>
  <c r="Q58" i="4"/>
  <c r="Q56" i="4"/>
  <c r="P162" i="3" l="1"/>
  <c r="N57" i="3"/>
  <c r="K50" i="3"/>
  <c r="P25" i="3"/>
  <c r="O189" i="3"/>
  <c r="P88" i="3"/>
  <c r="J9" i="4"/>
  <c r="Q9" i="4" s="1"/>
  <c r="I14" i="4"/>
  <c r="H197" i="1"/>
  <c r="I7" i="5"/>
  <c r="I21" i="5" s="1"/>
  <c r="F281" i="3"/>
  <c r="K241" i="3"/>
  <c r="N253" i="3"/>
  <c r="F58" i="3"/>
  <c r="F65" i="3" s="1"/>
  <c r="E65" i="3"/>
  <c r="P186" i="3"/>
  <c r="J281" i="3"/>
  <c r="J250" i="4"/>
  <c r="Q250" i="4" s="1"/>
  <c r="Q10" i="4"/>
  <c r="N292" i="3"/>
  <c r="P292" i="3" s="1"/>
  <c r="I267" i="4"/>
  <c r="G273" i="4"/>
  <c r="J253" i="4"/>
  <c r="Q253" i="4" s="1"/>
  <c r="J164" i="4"/>
  <c r="K187" i="3"/>
  <c r="O186" i="3" s="1"/>
  <c r="I5" i="7"/>
  <c r="I19" i="7" s="1"/>
  <c r="K208" i="3"/>
  <c r="N220" i="3"/>
  <c r="Q73" i="4"/>
  <c r="Q100" i="4"/>
  <c r="I104" i="4"/>
  <c r="I134" i="4"/>
  <c r="J128" i="4"/>
  <c r="Q24" i="4"/>
  <c r="I29" i="4"/>
  <c r="J267" i="4"/>
  <c r="Q233" i="4"/>
  <c r="I59" i="4"/>
  <c r="J55" i="4"/>
  <c r="J59" i="4" s="1"/>
  <c r="I296" i="3"/>
  <c r="O290" i="3"/>
  <c r="K182" i="3"/>
  <c r="N189" i="3"/>
  <c r="E21" i="5"/>
  <c r="J101" i="4"/>
  <c r="J104" i="4" s="1"/>
  <c r="Q101" i="4"/>
  <c r="N90" i="3"/>
  <c r="P28" i="3"/>
  <c r="P87" i="3"/>
  <c r="N55" i="3"/>
  <c r="Q97" i="4"/>
  <c r="P22" i="3"/>
  <c r="N286" i="3"/>
  <c r="P29" i="3"/>
  <c r="N293" i="3"/>
  <c r="J89" i="4"/>
  <c r="Q82" i="4"/>
  <c r="K289" i="3"/>
  <c r="I224" i="4"/>
  <c r="J219" i="4"/>
  <c r="J224" i="4" s="1"/>
  <c r="Q219" i="4"/>
  <c r="F296" i="3"/>
  <c r="K272" i="3"/>
  <c r="K274" i="3" s="1"/>
  <c r="Q11" i="4"/>
  <c r="K11" i="3"/>
  <c r="J24" i="4"/>
  <c r="O287" i="3"/>
  <c r="Q8" i="4"/>
  <c r="J17" i="3"/>
  <c r="G137" i="2"/>
  <c r="J269" i="4"/>
  <c r="Q269" i="4" s="1"/>
  <c r="Q25" i="4"/>
  <c r="K290" i="3"/>
  <c r="F256" i="3"/>
  <c r="F263" i="3" s="1"/>
  <c r="I44" i="4"/>
  <c r="J37" i="4"/>
  <c r="Q37" i="4"/>
  <c r="I239" i="4"/>
  <c r="J232" i="4"/>
  <c r="J266" i="4" s="1"/>
  <c r="D296" i="3"/>
  <c r="K154" i="3"/>
  <c r="O153" i="3" s="1"/>
  <c r="O285" i="3" s="1"/>
  <c r="F7" i="5"/>
  <c r="F21" i="5" s="1"/>
  <c r="F197" i="1"/>
  <c r="F19" i="7"/>
  <c r="N291" i="3"/>
  <c r="P291" i="3" s="1"/>
  <c r="P27" i="3"/>
  <c r="Q26" i="4"/>
  <c r="K21" i="5"/>
  <c r="K126" i="3"/>
  <c r="O124" i="3" s="1"/>
  <c r="O289" i="3" s="1"/>
  <c r="E138" i="2"/>
  <c r="P60" i="3"/>
  <c r="D281" i="3"/>
  <c r="J38" i="4"/>
  <c r="J248" i="4" s="1"/>
  <c r="L38" i="4"/>
  <c r="Q234" i="4"/>
  <c r="J191" i="4"/>
  <c r="Q191" i="4" s="1"/>
  <c r="H19" i="7"/>
  <c r="Q27" i="4"/>
  <c r="K56" i="3"/>
  <c r="P260" i="3"/>
  <c r="J68" i="4"/>
  <c r="J74" i="4" s="1"/>
  <c r="Q68" i="4"/>
  <c r="Q179" i="4"/>
  <c r="K275" i="3"/>
  <c r="J149" i="4"/>
  <c r="J162" i="4"/>
  <c r="I164" i="4"/>
  <c r="Q162" i="4"/>
  <c r="Q164" i="4" s="1"/>
  <c r="P221" i="3"/>
  <c r="O88" i="3"/>
  <c r="K91" i="3"/>
  <c r="K144" i="3"/>
  <c r="N157" i="3" s="1"/>
  <c r="P157" i="3" s="1"/>
  <c r="K223" i="3"/>
  <c r="O220" i="3"/>
  <c r="E17" i="3"/>
  <c r="F10" i="3"/>
  <c r="F17" i="3" s="1"/>
  <c r="F50" i="3"/>
  <c r="J87" i="4"/>
  <c r="Q87" i="4"/>
  <c r="Q144" i="4"/>
  <c r="J289" i="3"/>
  <c r="J296" i="3" s="1"/>
  <c r="Q40" i="4"/>
  <c r="N188" i="3"/>
  <c r="P188" i="3" s="1"/>
  <c r="G274" i="3"/>
  <c r="G281" i="3" s="1"/>
  <c r="F138" i="2"/>
  <c r="D21" i="5"/>
  <c r="Q86" i="4"/>
  <c r="C131" i="3"/>
  <c r="F124" i="3"/>
  <c r="F131" i="3" s="1"/>
  <c r="D230" i="3"/>
  <c r="F223" i="3"/>
  <c r="F230" i="3" s="1"/>
  <c r="I11" i="7"/>
  <c r="K109" i="3"/>
  <c r="H281" i="3"/>
  <c r="J272" i="4"/>
  <c r="Q272" i="4" s="1"/>
  <c r="K220" i="3"/>
  <c r="O219" i="3" s="1"/>
  <c r="P219" i="3" s="1"/>
  <c r="Q67" i="4"/>
  <c r="K262" i="3"/>
  <c r="O261" i="3" s="1"/>
  <c r="I247" i="4"/>
  <c r="J288" i="3"/>
  <c r="K288" i="3" s="1"/>
  <c r="G289" i="3"/>
  <c r="G296" i="3" s="1"/>
  <c r="Q118" i="4"/>
  <c r="F76" i="3"/>
  <c r="F83" i="3" s="1"/>
  <c r="C83" i="3"/>
  <c r="K195" i="3"/>
  <c r="O194" i="3" s="1"/>
  <c r="P194" i="3" s="1"/>
  <c r="E197" i="1"/>
  <c r="P259" i="3"/>
  <c r="Q163" i="4"/>
  <c r="Q145" i="4"/>
  <c r="J117" i="4"/>
  <c r="J271" i="4" s="1"/>
  <c r="Q271" i="4" s="1"/>
  <c r="Q117" i="4"/>
  <c r="J144" i="4"/>
  <c r="I74" i="4"/>
  <c r="K280" i="3"/>
  <c r="F273" i="4"/>
  <c r="P187" i="3"/>
  <c r="J252" i="4"/>
  <c r="Q252" i="4" s="1"/>
  <c r="O24" i="3"/>
  <c r="O31" i="3" s="1"/>
  <c r="N254" i="4"/>
  <c r="H273" i="4"/>
  <c r="P94" i="3"/>
  <c r="G197" i="1"/>
  <c r="K273" i="4"/>
  <c r="I6" i="7"/>
  <c r="Q52" i="4"/>
  <c r="J83" i="3"/>
  <c r="K122" i="3"/>
  <c r="J124" i="3"/>
  <c r="J131" i="3" s="1"/>
  <c r="J175" i="3"/>
  <c r="J182" i="3" s="1"/>
  <c r="J197" i="1"/>
  <c r="K7" i="3"/>
  <c r="N21" i="3" s="1"/>
  <c r="J248" i="3"/>
  <c r="K247" i="3"/>
  <c r="N261" i="3" s="1"/>
  <c r="P261" i="3" s="1"/>
  <c r="J292" i="3"/>
  <c r="K292" i="3" s="1"/>
  <c r="Q53" i="4"/>
  <c r="K155" i="3"/>
  <c r="J157" i="3"/>
  <c r="J164" i="3" s="1"/>
  <c r="K222" i="3"/>
  <c r="O221" i="3" s="1"/>
  <c r="J223" i="3"/>
  <c r="J230" i="3" s="1"/>
  <c r="J42" i="4"/>
  <c r="Q42" i="4" s="1"/>
  <c r="L42" i="4"/>
  <c r="L252" i="4" s="1"/>
  <c r="Q102" i="4"/>
  <c r="J206" i="4"/>
  <c r="I209" i="4"/>
  <c r="J149" i="3"/>
  <c r="K9" i="3"/>
  <c r="N23" i="3" s="1"/>
  <c r="K31" i="3"/>
  <c r="O30" i="3" s="1"/>
  <c r="O294" i="3" s="1"/>
  <c r="K278" i="3"/>
  <c r="E289" i="3"/>
  <c r="E296" i="3" s="1"/>
  <c r="C19" i="7"/>
  <c r="K96" i="3"/>
  <c r="O95" i="3" s="1"/>
  <c r="O293" i="3" s="1"/>
  <c r="Q28" i="4"/>
  <c r="P225" i="3"/>
  <c r="G122" i="2"/>
  <c r="Q22" i="4"/>
  <c r="H296" i="3"/>
  <c r="Q57" i="4"/>
  <c r="P193" i="3"/>
  <c r="Q43" i="4"/>
  <c r="G254" i="4"/>
  <c r="K295" i="3"/>
  <c r="P160" i="3"/>
  <c r="I194" i="4"/>
  <c r="J187" i="4"/>
  <c r="Q187" i="4"/>
  <c r="P159" i="3"/>
  <c r="Q7" i="4"/>
  <c r="J32" i="3"/>
  <c r="J256" i="3"/>
  <c r="J263" i="3" s="1"/>
  <c r="K254" i="3"/>
  <c r="I274" i="3"/>
  <c r="I281" i="3" s="1"/>
  <c r="K258" i="3"/>
  <c r="O256" i="3" s="1"/>
  <c r="P256" i="3" s="1"/>
  <c r="G136" i="2"/>
  <c r="G138" i="2" s="1"/>
  <c r="K141" i="3"/>
  <c r="F25" i="3"/>
  <c r="F32" i="3" s="1"/>
  <c r="J271" i="3"/>
  <c r="K271" i="3" s="1"/>
  <c r="J276" i="3"/>
  <c r="K276" i="3" s="1"/>
  <c r="F279" i="3"/>
  <c r="K279" i="3" s="1"/>
  <c r="Q218" i="4"/>
  <c r="Q142" i="4"/>
  <c r="I18" i="7"/>
  <c r="J190" i="3"/>
  <c r="J197" i="3" s="1"/>
  <c r="Q202" i="4"/>
  <c r="F109" i="3"/>
  <c r="F116" i="3" s="1"/>
  <c r="G8" i="5"/>
  <c r="G21" i="5" s="1"/>
  <c r="I119" i="4"/>
  <c r="J116" i="4"/>
  <c r="J270" i="4" s="1"/>
  <c r="Q270" i="4" s="1"/>
  <c r="Q266" i="4" l="1"/>
  <c r="Q248" i="4"/>
  <c r="K142" i="3"/>
  <c r="N155" i="3"/>
  <c r="P155" i="3" s="1"/>
  <c r="N287" i="3"/>
  <c r="P287" i="3" s="1"/>
  <c r="P23" i="3"/>
  <c r="K58" i="3"/>
  <c r="O55" i="3"/>
  <c r="K296" i="3"/>
  <c r="K230" i="3"/>
  <c r="O222" i="3"/>
  <c r="O229" i="3" s="1"/>
  <c r="K10" i="3"/>
  <c r="Q89" i="4"/>
  <c r="O196" i="3"/>
  <c r="J119" i="4"/>
  <c r="Q206" i="4"/>
  <c r="J209" i="4"/>
  <c r="K197" i="3"/>
  <c r="O121" i="3"/>
  <c r="P121" i="3" s="1"/>
  <c r="K124" i="3"/>
  <c r="Q116" i="4"/>
  <c r="Q119" i="4" s="1"/>
  <c r="K98" i="3"/>
  <c r="O90" i="3"/>
  <c r="O97" i="3" s="1"/>
  <c r="P293" i="3"/>
  <c r="P189" i="3"/>
  <c r="P220" i="3"/>
  <c r="O253" i="3"/>
  <c r="P253" i="3" s="1"/>
  <c r="K256" i="3"/>
  <c r="Q247" i="4"/>
  <c r="Q254" i="4" s="1"/>
  <c r="I254" i="4"/>
  <c r="N222" i="3"/>
  <c r="K215" i="3"/>
  <c r="N289" i="3"/>
  <c r="P289" i="3" s="1"/>
  <c r="J249" i="4"/>
  <c r="Q249" i="4" s="1"/>
  <c r="N285" i="3"/>
  <c r="P285" i="3" s="1"/>
  <c r="P21" i="3"/>
  <c r="Q59" i="4"/>
  <c r="Q209" i="4"/>
  <c r="Q74" i="4"/>
  <c r="J268" i="4"/>
  <c r="Q268" i="4" s="1"/>
  <c r="J29" i="4"/>
  <c r="K248" i="3"/>
  <c r="N255" i="3"/>
  <c r="Q14" i="4"/>
  <c r="L44" i="4"/>
  <c r="L248" i="4"/>
  <c r="L254" i="4" s="1"/>
  <c r="J239" i="4"/>
  <c r="Q232" i="4"/>
  <c r="Q239" i="4" s="1"/>
  <c r="J251" i="4"/>
  <c r="Q251" i="4" s="1"/>
  <c r="P30" i="3"/>
  <c r="Q149" i="4"/>
  <c r="Q44" i="4"/>
  <c r="Q104" i="4"/>
  <c r="J194" i="4"/>
  <c r="J247" i="4"/>
  <c r="J44" i="4"/>
  <c r="P55" i="3"/>
  <c r="Q267" i="4"/>
  <c r="I273" i="4"/>
  <c r="P95" i="3"/>
  <c r="J14" i="4"/>
  <c r="P153" i="3"/>
  <c r="N294" i="3"/>
  <c r="P294" i="3" s="1"/>
  <c r="J134" i="4"/>
  <c r="Q128" i="4"/>
  <c r="Q134" i="4" s="1"/>
  <c r="N97" i="3"/>
  <c r="Q29" i="4"/>
  <c r="P124" i="3"/>
  <c r="N224" i="3"/>
  <c r="P224" i="3" s="1"/>
  <c r="N26" i="3"/>
  <c r="N125" i="3"/>
  <c r="P125" i="3" s="1"/>
  <c r="N191" i="3"/>
  <c r="P191" i="3" s="1"/>
  <c r="N158" i="3"/>
  <c r="P158" i="3" s="1"/>
  <c r="N92" i="3"/>
  <c r="P92" i="3" s="1"/>
  <c r="N59" i="3"/>
  <c r="P59" i="3" s="1"/>
  <c r="N257" i="3"/>
  <c r="P257" i="3" s="1"/>
  <c r="Q38" i="4"/>
  <c r="Q194" i="4"/>
  <c r="K281" i="3"/>
  <c r="Q224" i="4"/>
  <c r="O154" i="3"/>
  <c r="P154" i="3" s="1"/>
  <c r="K157" i="3"/>
  <c r="Q55" i="4"/>
  <c r="K116" i="3"/>
  <c r="N123" i="3"/>
  <c r="K32" i="3"/>
  <c r="N24" i="3" l="1"/>
  <c r="K17" i="3"/>
  <c r="N290" i="3"/>
  <c r="P290" i="3" s="1"/>
  <c r="P26" i="3"/>
  <c r="J254" i="4"/>
  <c r="N196" i="3"/>
  <c r="N262" i="3"/>
  <c r="P255" i="3"/>
  <c r="P262" i="3" s="1"/>
  <c r="O255" i="3"/>
  <c r="O262" i="3" s="1"/>
  <c r="K263" i="3"/>
  <c r="P123" i="3"/>
  <c r="P130" i="3" s="1"/>
  <c r="N130" i="3"/>
  <c r="N64" i="3"/>
  <c r="P196" i="3"/>
  <c r="N288" i="3"/>
  <c r="O286" i="3"/>
  <c r="K164" i="3"/>
  <c r="O156" i="3"/>
  <c r="O163" i="3" s="1"/>
  <c r="K65" i="3"/>
  <c r="O57" i="3"/>
  <c r="P90" i="3"/>
  <c r="P97" i="3" s="1"/>
  <c r="N156" i="3"/>
  <c r="K149" i="3"/>
  <c r="Q273" i="4"/>
  <c r="K131" i="3"/>
  <c r="O123" i="3"/>
  <c r="O130" i="3" s="1"/>
  <c r="P222" i="3"/>
  <c r="P229" i="3" s="1"/>
  <c r="N229" i="3"/>
  <c r="J273" i="4"/>
  <c r="N163" i="3" l="1"/>
  <c r="P156" i="3"/>
  <c r="P163" i="3" s="1"/>
  <c r="O64" i="3"/>
  <c r="P57" i="3"/>
  <c r="P64" i="3" s="1"/>
  <c r="N31" i="3"/>
  <c r="P24" i="3"/>
  <c r="P31" i="3" s="1"/>
  <c r="O288" i="3"/>
  <c r="O295" i="3" s="1"/>
  <c r="P286" i="3"/>
  <c r="P288" i="3" s="1"/>
  <c r="P295" i="3" s="1"/>
  <c r="N295" i="3"/>
</calcChain>
</file>

<file path=xl/sharedStrings.xml><?xml version="1.0" encoding="utf-8"?>
<sst xmlns="http://schemas.openxmlformats.org/spreadsheetml/2006/main" count="1973" uniqueCount="146">
  <si>
    <t xml:space="preserve"> --</t>
  </si>
  <si>
    <t>(आकडे हजारात)</t>
  </si>
  <si>
    <t>जिल्हा</t>
  </si>
  <si>
    <t>स्थायी पदे</t>
  </si>
  <si>
    <t>भरलेली पदे</t>
  </si>
  <si>
    <t>रिक्त पदे</t>
  </si>
  <si>
    <t>एकूण</t>
  </si>
  <si>
    <t>मुंबई शहर</t>
  </si>
  <si>
    <t>वर्ग</t>
  </si>
  <si>
    <t>वर्ग-1 व 2</t>
  </si>
  <si>
    <t>वर्ग-3</t>
  </si>
  <si>
    <t>वर्ग-4</t>
  </si>
  <si>
    <t>पदे</t>
  </si>
  <si>
    <t>वेतन</t>
  </si>
  <si>
    <t>ग्रेड पे</t>
  </si>
  <si>
    <t>विशेष वेतन</t>
  </si>
  <si>
    <t>महा.भत्ता</t>
  </si>
  <si>
    <t>स्था.पु.भ.</t>
  </si>
  <si>
    <t>घरभाडे</t>
  </si>
  <si>
    <t>प्रवास भत्ता</t>
  </si>
  <si>
    <t>इतर</t>
  </si>
  <si>
    <t>अस्थायी पदे</t>
  </si>
  <si>
    <t>सर्व वर्ग पदे</t>
  </si>
  <si>
    <t>मुंबई उपनगर</t>
  </si>
  <si>
    <t>ठाणे</t>
  </si>
  <si>
    <t>पालघर</t>
  </si>
  <si>
    <t>रायगड</t>
  </si>
  <si>
    <t>रत्नागिरी</t>
  </si>
  <si>
    <t>सिंधुदुर्ग</t>
  </si>
  <si>
    <t>उप आयुक्त (सा.प्र.)</t>
  </si>
  <si>
    <t>विभाग</t>
  </si>
  <si>
    <t>कोकण विभाग</t>
  </si>
  <si>
    <t>मागणी क्र.सी- 1- लेखाशिर्ष 20530162</t>
  </si>
  <si>
    <t>मंजूर पदे</t>
  </si>
  <si>
    <t>अ.क्र.</t>
  </si>
  <si>
    <t>स्थायी</t>
  </si>
  <si>
    <t>अस्थायी</t>
  </si>
  <si>
    <t>जिल्हा / विभाग</t>
  </si>
  <si>
    <t>वैद्यकिय खर्च</t>
  </si>
  <si>
    <t>उत्सव/सण अग्रिम</t>
  </si>
  <si>
    <t>स्वग्राम/महाराष्ट्र दर्शन</t>
  </si>
  <si>
    <t>6 व्या वेतन आयोग फरक</t>
  </si>
  <si>
    <t>जिल्हा मुंबई शहर</t>
  </si>
  <si>
    <t>अ. क्र.</t>
  </si>
  <si>
    <t>पद</t>
  </si>
  <si>
    <t>मुळ वेतन</t>
  </si>
  <si>
    <t>ग्रेड वेतन</t>
  </si>
  <si>
    <t>स्थानिक पुरक भत्ता</t>
  </si>
  <si>
    <t>घर भाडे भत्ता</t>
  </si>
  <si>
    <t>वाहन भत्ता</t>
  </si>
  <si>
    <t>धूलाई भत्ता</t>
  </si>
  <si>
    <t>रोख भत्ता</t>
  </si>
  <si>
    <t>चप्पल भत्ता/ इतर</t>
  </si>
  <si>
    <t>उपविभागीय अधिकारी</t>
  </si>
  <si>
    <t>नायब तहसिलदार</t>
  </si>
  <si>
    <t>लघुलेखक (नि.श्रे.)</t>
  </si>
  <si>
    <t>अव्वल कारकून</t>
  </si>
  <si>
    <t>वाहन चालक</t>
  </si>
  <si>
    <t>लिपिक</t>
  </si>
  <si>
    <t>शिपाई</t>
  </si>
  <si>
    <t>--</t>
  </si>
  <si>
    <t>जिल्हा मुंबई उपनगर</t>
  </si>
  <si>
    <t>जिल्हा ठाणे</t>
  </si>
  <si>
    <t>जिल्हा पालघर</t>
  </si>
  <si>
    <t>जिल्हा रायगड</t>
  </si>
  <si>
    <t>जिल्हा रत्नागिरी</t>
  </si>
  <si>
    <t>जिल्हा सिंधुदुर्ग</t>
  </si>
  <si>
    <t>उप आयुक्त (सा.प्र.) कोकण विभाग</t>
  </si>
  <si>
    <t>लेख्याची प्राथमिक आणि दुय्यम युनिट</t>
  </si>
  <si>
    <t>प्रत्यक्ष रक्कमा (खर्च)</t>
  </si>
  <si>
    <t>अर्थसंकल्पीय अंदाज</t>
  </si>
  <si>
    <t>प्राकक्लन (एस्टिमेटिंग) अधिका-याचा</t>
  </si>
  <si>
    <t>नियंत्रक अधिका-यांचा</t>
  </si>
  <si>
    <t>प्रशासकीय विभागाचा</t>
  </si>
  <si>
    <t>वित्त विभागाचा</t>
  </si>
  <si>
    <t>01- वेतन</t>
  </si>
  <si>
    <t>13- कार्यालयीन खर्च</t>
  </si>
  <si>
    <t>17- संगणक खर्च</t>
  </si>
  <si>
    <t>26- जाहीरात व प्रसिध्दी खर्च</t>
  </si>
  <si>
    <t>51- मोटार वाहने</t>
  </si>
  <si>
    <t>06- दूरध्वनी, वीज,पाणी व शुल्क</t>
  </si>
  <si>
    <t>11- देशांतर्गत प्रवास खर्च</t>
  </si>
  <si>
    <t>03- अति.भत्ता</t>
  </si>
  <si>
    <t>14-भाडेपट्टी व कर</t>
  </si>
  <si>
    <t>24- इंधन</t>
  </si>
  <si>
    <t>50- इतर</t>
  </si>
  <si>
    <t>उप आयुक्त (सा. प्र.) कोकण विभाग</t>
  </si>
  <si>
    <t>03 अति.भत्ता</t>
  </si>
  <si>
    <t>06- दूरध्वनी वीज,पाणी व शुल्क</t>
  </si>
  <si>
    <t>14- भाडेपट्टी व कर</t>
  </si>
  <si>
    <t>24- इंधन खर्च</t>
  </si>
  <si>
    <t xml:space="preserve">सुधारीत अंदाज </t>
  </si>
  <si>
    <t>उपलेखाशिर्ष</t>
  </si>
  <si>
    <t>मागणी क्र.सी-1- लेखाशिर्ष : 20530162</t>
  </si>
  <si>
    <r>
      <rPr>
        <b/>
        <u/>
        <sz val="11"/>
        <color indexed="8"/>
        <rFont val="DVOT-Surekh"/>
      </rPr>
      <t>17- संगणक खर्च</t>
    </r>
    <r>
      <rPr>
        <sz val="11"/>
        <color indexed="8"/>
        <rFont val="DVOT-Surekh"/>
      </rPr>
      <t xml:space="preserve"> :- सदर बाबीखाली दरवर्षी अंदाजपत्रकीय मागणीचे तुलनेत कमी अनुदान प्राप्त होत आहे. सदर उपशिर्षाखाली जमीन महसूल कर वसुली उद्दिष्टपूर्तता बाबत शासनास पाठवावयाचे नियतकालीके अहवाल तयार करणे इ. कार्यालयीन कामे संगणकावर करावी लागतात. त्यामुळे नवीन संगणक खरेदीकरीता संगणक खर्च अनुदान मिळणेस विनंती आहे.</t>
    </r>
  </si>
  <si>
    <r>
      <rPr>
        <b/>
        <u/>
        <sz val="11"/>
        <color indexed="8"/>
        <rFont val="DVOT-Surekh"/>
      </rPr>
      <t>06- दूरध्वनी, वीज पाणी व शुल्क</t>
    </r>
    <r>
      <rPr>
        <sz val="11"/>
        <color indexed="8"/>
        <rFont val="DVOT-Surekh"/>
      </rPr>
      <t>:- या बाबीखाली विभागात शासनाने ठरवून दिलेल्या जमीन महसूल कर वसुलीच्या वाढीव उद्दिष्टपूर्तता बाबत जिल्हा कार्यालयाशी मोठया प्रमाणावर संपर्क साधण्यासाठी दूरध्वनीचा वापर, वीजेचे वाढलेले दर व पाणीपट्टीची वाढीव देयके यासाठी वाढीव अनुदानाची गरज आहे.</t>
    </r>
  </si>
  <si>
    <r>
      <rPr>
        <b/>
        <u/>
        <sz val="11"/>
        <color indexed="8"/>
        <rFont val="DVOT-Surekh"/>
      </rPr>
      <t>13- कार्यालयीन खर्च</t>
    </r>
    <r>
      <rPr>
        <sz val="11"/>
        <color indexed="8"/>
        <rFont val="DVOT-Surekh"/>
      </rPr>
      <t>:-  सदर बाबीखाली कार्या.खर्चसाठी स्टेशनरी, जडसंग्रह वस्तु, झेरॉक्स यांच्या वाढीव दरामुळे कार्यालयीन खर्च मोठया प्रमाणावर वाढला आहे. त्यामुळे अनुदानाची मागणी केली आहे.</t>
    </r>
  </si>
  <si>
    <r>
      <rPr>
        <b/>
        <u/>
        <sz val="11"/>
        <color indexed="8"/>
        <rFont val="DVOT-Surekh"/>
      </rPr>
      <t>14-भाडेपट्टी व क</t>
    </r>
    <r>
      <rPr>
        <sz val="11"/>
        <color indexed="8"/>
        <rFont val="DVOT-Surekh"/>
      </rPr>
      <t>र:- विभागीय आयुक्त कोकण विभाग यांचे अधिनस्त उपविभागीय अधिकारी कार्यालयाचे आवश्यकतेप्रमाणे जिल्हाधिकारी कार्यालयाकडील अंदाजपत्रकीय अनुदान मागणीनुसार अनुदान मंजूर होणेंस विनंती आहे.</t>
    </r>
  </si>
  <si>
    <r>
      <rPr>
        <b/>
        <u/>
        <sz val="11"/>
        <color indexed="8"/>
        <rFont val="DVOT-Surekh"/>
      </rPr>
      <t>24- इंधन खर्च</t>
    </r>
    <r>
      <rPr>
        <sz val="11"/>
        <color indexed="8"/>
        <rFont val="DVOT-Surekh"/>
      </rPr>
      <t xml:space="preserve"> :- शासनाने ठरवून दिलेल्या वाढीव महसूल उद्दिष्टपूर्तताबाबत विभागीय आयुक्त कोकण विभाग यांचे अधिनस्त एकूण 27 उपविभागीय  अधिकारी यांचे विविध  दौ-यासाठी त्यांचे वाहनांच्या पेट्रोल व डिझेल खर्चाकरिता अनुदान प्राप्त होणे आवश्यक आहे.</t>
    </r>
  </si>
  <si>
    <t>10- कंत्राटी सेवा</t>
  </si>
  <si>
    <t>16- प्रकाशने</t>
  </si>
  <si>
    <t>20- इतर प्रशासकीय खर्च</t>
  </si>
  <si>
    <t>50- इतर खर्च</t>
  </si>
  <si>
    <r>
      <rPr>
        <b/>
        <u/>
        <sz val="11"/>
        <color indexed="8"/>
        <rFont val="DVOT-Surekh"/>
      </rPr>
      <t>51-मोटार वाहने</t>
    </r>
    <r>
      <rPr>
        <sz val="11"/>
        <color indexed="8"/>
        <rFont val="DVOT-Surekh"/>
      </rPr>
      <t xml:space="preserve">:- विभागीय आयुक्त कोकण विभाग यांचे अधिनस्त उपविभागीय अधिकारी कार्यालयांतील वाहन दुरुस्ती व देखभाल खर्चाकरीता अनुदानाची आवश्यकता आहे. </t>
    </r>
  </si>
  <si>
    <r>
      <rPr>
        <b/>
        <u/>
        <sz val="11"/>
        <color indexed="8"/>
        <rFont val="DVOT-Surekh"/>
      </rPr>
      <t>26-जाहीरात व प्रसिध्दी खर्च</t>
    </r>
    <r>
      <rPr>
        <sz val="11"/>
        <color indexed="8"/>
        <rFont val="DVOT-Surekh"/>
      </rPr>
      <t>:- जिल्हाधिकारी कार्यालयांचे आवश्यकतेप्रमाणे अनुदान मंजूर होणेंस विनंती आहे.</t>
    </r>
  </si>
  <si>
    <r>
      <rPr>
        <b/>
        <u/>
        <sz val="11"/>
        <color indexed="8"/>
        <rFont val="DVOT-Surekh"/>
      </rPr>
      <t>11- देशांतर्गत प्रवास खर्च</t>
    </r>
    <r>
      <rPr>
        <sz val="11"/>
        <color indexed="8"/>
        <rFont val="DVOT-Surekh"/>
      </rPr>
      <t>:- 1)सदर बाबीखाली शासनाने ठरवून दिलेल्या जमीन महसूल कर वसुलीच्या वाढीव उद्दिष्टपूर्तताबाबत वाढीव फिरती कराव्या लागत असल्याने प्रवास खर्च अनुदानाची मागणी केली आहे. 2)तसेच संभाव्य बदली प्रवास भत्ता अदा करणेकरीता अनुदानाची आवश्यकता आहे.</t>
    </r>
  </si>
  <si>
    <r>
      <rPr>
        <b/>
        <u/>
        <sz val="11"/>
        <color indexed="8"/>
        <rFont val="DVOT-Surekh"/>
      </rPr>
      <t>50- इतर खर्च</t>
    </r>
    <r>
      <rPr>
        <sz val="11"/>
        <color indexed="8"/>
        <rFont val="DVOT-Surekh"/>
      </rPr>
      <t>:- (1)जिल्हाधिकारी कार्यालयांचे आवश्यकतेप्रमाणे अनुदान मंजूर होणेंस विनंती आहे. (2)विभागीय आयुक्त कार्यालयाचे सादर अंदाजपत्रकामध्ये नमूद बाबींव्यतिरिक्त विभागीय आयुक्त कार्यालयात करण्यात येणा-या खर्चाकरीता नवीन बाब निर्माण करण्यासाठी टोकन रक्कमेची आवश्यक आहे.</t>
    </r>
  </si>
  <si>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</si>
  <si>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जोडपत्र "ड"</t>
  </si>
  <si>
    <t>संवर्गनिहाय माहिती</t>
  </si>
  <si>
    <t>संवर्ग</t>
  </si>
  <si>
    <t>वर्ग-1</t>
  </si>
  <si>
    <t>वर्ग-2</t>
  </si>
  <si>
    <t>अर्थसंकल्पीय अंदाजपत्रक सन 2020-2021</t>
  </si>
  <si>
    <t>अर्थसंकल्पीय अंदाज 2020-2021</t>
  </si>
  <si>
    <t>2020-2021</t>
  </si>
  <si>
    <t>2023-2024</t>
  </si>
  <si>
    <t>2022-2023</t>
  </si>
  <si>
    <t>2021-2022</t>
  </si>
  <si>
    <t>अर्थसंकल्पीय अंदाज 2023-2024</t>
  </si>
  <si>
    <t>सहायक संचालक (लेखा) कोकण विभाग</t>
  </si>
  <si>
    <t>2023-24</t>
  </si>
  <si>
    <t>2024-25</t>
  </si>
  <si>
    <t>2025-26</t>
  </si>
  <si>
    <t>2024-2025</t>
  </si>
  <si>
    <t>done</t>
  </si>
  <si>
    <t>NPS ची रक्कम</t>
  </si>
  <si>
    <t>NPS</t>
  </si>
  <si>
    <r>
      <rPr>
        <b/>
        <u/>
        <sz val="11"/>
        <color indexed="8"/>
        <rFont val="DVOT-Surekh"/>
      </rPr>
      <t>03- अति. भत्ता</t>
    </r>
    <r>
      <rPr>
        <sz val="11"/>
        <color indexed="8"/>
        <rFont val="DVOT-Surekh"/>
      </rPr>
      <t xml:space="preserve">:- विभागीय आयुक्त कोकण विभाग यांचे अधिनस्त सर्व जिल्हयांनी त्यांचेकडील मागील वर्षाच्या उपलेखाशिर्षनिहाय प्रत्यक्ष खर्चाचे अवलोकन सबब सन 2025-26 चे अंदाजपत्रकात वाढ (+) झाली आहे.        </t>
    </r>
  </si>
  <si>
    <t>2026-27</t>
  </si>
  <si>
    <t>अर्थसंकल्पीय अंदाजपत्रक सन 2026-2027</t>
  </si>
  <si>
    <t>अर्थसंकल्पीय अंदाज 2026-2027</t>
  </si>
  <si>
    <t>अर्थसंकल्पीय अंदाजपत्रक सन 2026-2027 (जिल्हानिहाय)</t>
  </si>
  <si>
    <t>महागाई भत्ता 70%</t>
  </si>
  <si>
    <t xml:space="preserve">01- वेतन:-  या बाबीखाली  सातवा वेतन आयोग फरक, चालु महागाई भत्ता दर आकारणी 70% प्रमाणे विचारात घेवून केली आहे. वेळोवेळी होणारी वेतनवाढ व महागाई भत्ता दराप्रमाणे वाढीव अनुदान मिळणेस विनंती आहे. </t>
  </si>
  <si>
    <t>2025-2026</t>
  </si>
  <si>
    <t>सहायक महसूल अधिकारी</t>
  </si>
  <si>
    <t>महसूल सहायक</t>
  </si>
  <si>
    <t>Dooooone</t>
  </si>
  <si>
    <t>doooone</t>
  </si>
  <si>
    <t>dooone</t>
  </si>
  <si>
    <t>अर्थसंकल्पीय अंदाजपत्रक सन 2026-2027 (प्रपत्र अ)</t>
  </si>
  <si>
    <t>अर्थसंकल्पीय अंदाजपत्रक सन 2026-2027 (प्रपत्र ब)</t>
  </si>
  <si>
    <t>अर्थसंकल्पीय अंदाजपत्रक सन 2026-2027 (प्रपत्र क)</t>
  </si>
  <si>
    <t>अर्थसंकल्पीय अंदाजपत्रक सन 2026-2027 (प्रपत्र ड)</t>
  </si>
  <si>
    <r>
      <rPr>
        <b/>
        <u/>
        <sz val="11"/>
        <color indexed="8"/>
        <rFont val="DVOT-Surekh"/>
      </rPr>
      <t>16- प्रकाशने</t>
    </r>
    <r>
      <rPr>
        <sz val="11"/>
        <color indexed="8"/>
        <rFont val="DVOT-Surekh"/>
      </rPr>
      <t>:- विभागीय आयुक्त कोकण विभाग यांचे अधिनस्त सर्व उपविभागीय अधिकारी कार्यालयांतील  विविध प्रकारच्या छपाईची  देयके अदा करण्याकरीता रक्कमेची आवश्यक आहे.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</si>
</sst>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font>
      <sz val="11"/>
      <color theme="1"/>
      <name val="Calibri"/>
      <family val="2"/>
      <scheme val="minor"/>
    </font>
    <font>
      <b/>
      <sz val="16"/>
      <color indexed="8"/>
      <name val="DVB-TTYogeshEN"/>
      <family val="5"/>
    </font>
    <font>
      <sz val="16"/>
      <color indexed="8"/>
      <name val="DVB-TTYogeshEN"/>
      <family val="5"/>
    </font>
    <font>
      <b/>
      <sz val="14"/>
      <color indexed="8"/>
      <name val="DVB-TTYogeshEN"/>
      <family val="5"/>
    </font>
    <font>
      <sz val="14"/>
      <color indexed="8"/>
      <name val="DVB-TTYogeshEN"/>
      <family val="5"/>
    </font>
    <font>
      <b/>
      <sz val="14"/>
      <name val="DVB-TTYogeshEN"/>
      <family val="5"/>
    </font>
    <font>
      <b/>
      <u/>
      <sz val="18"/>
      <color indexed="8"/>
      <name val="DVB-TTYogeshEN"/>
      <family val="5"/>
    </font>
    <font>
      <b/>
      <u/>
      <sz val="16"/>
      <color indexed="8"/>
      <name val="DVB-TTYogeshEN"/>
      <family val="5"/>
    </font>
    <font>
      <sz val="16"/>
      <name val="DVB-TTYogeshEN"/>
      <family val="5"/>
    </font>
    <font>
      <b/>
      <sz val="16"/>
      <name val="DVB-TTYogeshEN"/>
      <family val="5"/>
    </font>
    <font>
      <b/>
      <sz val="12"/>
      <color indexed="8"/>
      <name val="DVB-TTYogeshEN"/>
      <family val="5"/>
    </font>
    <font>
      <sz val="8"/>
      <name val="Calibri"/>
      <family val="2"/>
    </font>
    <font>
      <sz val="13"/>
      <color indexed="8"/>
      <name val="DVB-TTYogeshEN"/>
      <family val="5"/>
    </font>
    <font>
      <b/>
      <sz val="14"/>
      <color indexed="8"/>
      <name val="DVOT-Surekh"/>
    </font>
    <font>
      <b/>
      <u/>
      <sz val="14"/>
      <color indexed="8"/>
      <name val="DVOT-Surekh"/>
    </font>
    <font>
      <b/>
      <u/>
      <sz val="14"/>
      <color indexed="8"/>
      <name val="DVB-TTYogeshEN"/>
      <family val="5"/>
    </font>
    <font>
      <sz val="11"/>
      <color indexed="8"/>
      <name val="DVOT-Surekh"/>
    </font>
    <font>
      <sz val="11"/>
      <color indexed="8"/>
      <name val="DVB-TTYogeshEN"/>
      <family val="5"/>
    </font>
    <font>
      <b/>
      <sz val="12"/>
      <color indexed="8"/>
      <name val="DVOT-Surekh"/>
    </font>
    <font>
      <sz val="12"/>
      <color indexed="8"/>
      <name val="DVOT-Surekh"/>
    </font>
    <font>
      <b/>
      <u/>
      <sz val="12"/>
      <color indexed="8"/>
      <name val="DVOT-Surekh"/>
    </font>
    <font>
      <sz val="12"/>
      <color indexed="8"/>
      <name val="DVB-TTYogeshEN"/>
      <family val="5"/>
    </font>
    <font>
      <b/>
      <sz val="10"/>
      <color indexed="8"/>
      <name val="DVOT-Surekh"/>
    </font>
    <font>
      <sz val="12"/>
      <name val="DVOT-Surekh"/>
    </font>
    <font>
      <sz val="12"/>
      <name val="DVB-TTYogeshEN"/>
      <family val="5"/>
    </font>
    <font>
      <b/>
      <u/>
      <sz val="12"/>
      <name val="DVOT-Surekh"/>
    </font>
    <font>
      <b/>
      <u/>
      <sz val="12"/>
      <name val="DVB-TTYogeshEN"/>
      <family val="5"/>
    </font>
    <font>
      <b/>
      <sz val="13"/>
      <name val="DVOT-Surekh"/>
    </font>
    <font>
      <b/>
      <sz val="13"/>
      <color indexed="8"/>
      <name val="DVOT-Surekh"/>
    </font>
    <font>
      <sz val="11"/>
      <name val="DVOT-Surekh"/>
    </font>
    <font>
      <b/>
      <sz val="11"/>
      <color indexed="8"/>
      <name val="DVOT-Surekh"/>
    </font>
    <font>
      <b/>
      <u/>
      <sz val="11"/>
      <color indexed="8"/>
      <name val="DVOT-Surekh"/>
    </font>
    <font>
      <b/>
      <sz val="18"/>
      <color indexed="8"/>
      <name val="DVB-TTYogeshEN"/>
      <family val="5"/>
    </font>
    <font>
      <b/>
      <sz val="18"/>
      <color indexed="8"/>
      <name val="DVOT-Surekh"/>
    </font>
    <font>
      <sz val="8"/>
      <color indexed="8"/>
      <name val="DVOT-Surekh"/>
    </font>
    <font>
      <b/>
      <sz val="11"/>
      <name val="DVOT-Surekh"/>
    </font>
    <font>
      <sz val="10"/>
      <name val="DVOT-Surekh"/>
    </font>
    <font>
      <b/>
      <sz val="12"/>
      <name val="DVOT-Surekh"/>
    </font>
    <font>
      <b/>
      <sz val="20"/>
      <name val="DVOT-Surekh"/>
    </font>
    <font>
      <b/>
      <sz val="10"/>
      <name val="DVOT-Surekh"/>
    </font>
    <font>
      <b/>
      <sz val="11"/>
      <color theme="1"/>
      <name val="DVOT-Surekh"/>
    </font>
    <font>
      <b/>
      <sz val="11"/>
      <color rgb="FFFF0000"/>
      <name val="DVOT-Surekh"/>
    </font>
  </fonts>
  <fills count="5">
    <fill>
      <patternFill patternType="none"/>
    </fill>
    <fill>
      <patternFill patternType="gray125"/>
    </fill>
    <fill>
      <patternFill patternType="solid">
        <fgColor theme="0"/>
        <bgColor indexed="64"/>
      </patternFill>
    </fill>
    <fill>
      <patternFill patternType="solid">
        <fgColor theme="6"/>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cellStyleXfs>
  <cellXfs count="321">
    <xf numFmtId="0" fontId="0" fillId="0" borderId="0" xfId="0"/>
    <xf numFmtId="0" fontId="2" fillId="0" borderId="1" xfId="0" applyFont="1" applyBorder="1"/>
    <xf numFmtId="0" fontId="2" fillId="0" borderId="0" xfId="0" applyFont="1"/>
    <xf numFmtId="0" fontId="1" fillId="0" borderId="1" xfId="0" applyFont="1" applyBorder="1" applyAlignment="1">
      <alignment vertical="top"/>
    </xf>
    <xf numFmtId="0" fontId="2" fillId="0" borderId="1" xfId="0" applyFont="1" applyBorder="1" applyAlignment="1">
      <alignment vertical="top"/>
    </xf>
    <xf numFmtId="0" fontId="2" fillId="0" borderId="0" xfId="0" applyFont="1" applyBorder="1"/>
    <xf numFmtId="0" fontId="1" fillId="0" borderId="2" xfId="0" applyFont="1" applyBorder="1" applyAlignment="1">
      <alignment vertical="top"/>
    </xf>
    <xf numFmtId="0" fontId="1" fillId="0" borderId="2" xfId="0" applyFont="1" applyBorder="1" applyAlignment="1">
      <alignment horizontal="center" vertical="top"/>
    </xf>
    <xf numFmtId="0" fontId="1" fillId="0" borderId="1" xfId="0" applyFont="1" applyBorder="1"/>
    <xf numFmtId="0" fontId="1" fillId="0" borderId="2" xfId="0" applyFont="1" applyBorder="1"/>
    <xf numFmtId="0" fontId="2" fillId="0" borderId="1" xfId="0" applyFont="1" applyBorder="1" applyAlignment="1">
      <alignment horizontal="right"/>
    </xf>
    <xf numFmtId="0" fontId="2" fillId="0" borderId="3" xfId="0" applyFont="1" applyBorder="1"/>
    <xf numFmtId="0" fontId="1" fillId="0" borderId="3" xfId="0" applyFont="1" applyBorder="1"/>
    <xf numFmtId="0" fontId="2" fillId="0" borderId="0" xfId="0" applyFont="1" applyBorder="1" applyAlignment="1">
      <alignment horizontal="center" vertical="center" wrapText="1"/>
    </xf>
    <xf numFmtId="0" fontId="1" fillId="0" borderId="0" xfId="0" applyFont="1" applyBorder="1" applyAlignment="1">
      <alignment horizontal="center" vertical="top"/>
    </xf>
    <xf numFmtId="0" fontId="1" fillId="0" borderId="0" xfId="0" applyFont="1" applyBorder="1" applyAlignment="1">
      <alignment vertical="top"/>
    </xf>
    <xf numFmtId="0" fontId="1" fillId="0" borderId="0" xfId="0" applyFont="1" applyAlignment="1"/>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1" fillId="0" borderId="1" xfId="0" applyFont="1" applyBorder="1" applyAlignment="1">
      <alignment horizontal="right"/>
    </xf>
    <xf numFmtId="0" fontId="1" fillId="0" borderId="1" xfId="0" applyFont="1" applyBorder="1" applyAlignment="1">
      <alignment vertical="center" wrapText="1"/>
    </xf>
    <xf numFmtId="0" fontId="1" fillId="0" borderId="2" xfId="0" applyFont="1" applyBorder="1" applyAlignment="1">
      <alignment horizontal="right" vertical="center" wrapText="1"/>
    </xf>
    <xf numFmtId="0" fontId="1" fillId="0" borderId="0" xfId="0" applyFont="1" applyBorder="1" applyAlignment="1">
      <alignment vertical="center" wrapText="1"/>
    </xf>
    <xf numFmtId="0" fontId="1"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vertical="top"/>
    </xf>
    <xf numFmtId="0" fontId="4" fillId="2" borderId="0" xfId="0" applyFont="1" applyFill="1"/>
    <xf numFmtId="0" fontId="6" fillId="2" borderId="4" xfId="0" applyFont="1" applyFill="1" applyBorder="1" applyAlignment="1">
      <alignment vertical="top"/>
    </xf>
    <xf numFmtId="0" fontId="4" fillId="2" borderId="1" xfId="0" applyFont="1" applyFill="1" applyBorder="1" applyAlignment="1">
      <alignment horizontal="right"/>
    </xf>
    <xf numFmtId="0" fontId="9" fillId="2" borderId="1" xfId="0" applyFont="1" applyFill="1" applyBorder="1" applyAlignment="1">
      <alignment horizontal="right" vertical="top"/>
    </xf>
    <xf numFmtId="0" fontId="4" fillId="2" borderId="0" xfId="0" applyFont="1" applyFill="1" applyBorder="1" applyAlignment="1">
      <alignment vertical="top"/>
    </xf>
    <xf numFmtId="0" fontId="4" fillId="2" borderId="0" xfId="0" applyFont="1" applyFill="1" applyBorder="1" applyAlignment="1">
      <alignment vertical="top" wrapText="1"/>
    </xf>
    <xf numFmtId="0" fontId="5" fillId="2" borderId="0" xfId="0" applyFont="1" applyFill="1" applyBorder="1" applyAlignment="1">
      <alignment horizontal="center" vertical="top"/>
    </xf>
    <xf numFmtId="0" fontId="3" fillId="2" borderId="0" xfId="0" applyFont="1" applyFill="1" applyBorder="1" applyAlignment="1">
      <alignment horizontal="right"/>
    </xf>
    <xf numFmtId="0" fontId="4" fillId="2" borderId="0" xfId="0" applyFont="1" applyFill="1" applyAlignment="1">
      <alignment vertical="top"/>
    </xf>
    <xf numFmtId="0" fontId="4" fillId="2" borderId="0" xfId="0" applyFont="1" applyFill="1" applyAlignment="1">
      <alignment vertical="top" wrapText="1"/>
    </xf>
    <xf numFmtId="0" fontId="1" fillId="2" borderId="2" xfId="0" applyFont="1" applyFill="1" applyBorder="1" applyAlignment="1">
      <alignment horizontal="right"/>
    </xf>
    <xf numFmtId="0" fontId="1" fillId="2" borderId="0" xfId="0" applyFont="1" applyFill="1"/>
    <xf numFmtId="0" fontId="6" fillId="0" borderId="0" xfId="0" applyFont="1" applyAlignment="1"/>
    <xf numFmtId="0" fontId="18" fillId="0" borderId="1" xfId="0" applyFont="1" applyBorder="1" applyAlignment="1">
      <alignment horizontal="center" vertical="top"/>
    </xf>
    <xf numFmtId="0" fontId="10" fillId="0" borderId="1" xfId="0" applyFont="1" applyBorder="1" applyAlignment="1">
      <alignment vertical="top"/>
    </xf>
    <xf numFmtId="0" fontId="18" fillId="0" borderId="1" xfId="0" applyFont="1" applyBorder="1" applyAlignment="1">
      <alignment vertical="top"/>
    </xf>
    <xf numFmtId="0" fontId="19" fillId="0" borderId="1" xfId="0" applyFont="1" applyBorder="1" applyAlignment="1">
      <alignment horizontal="center" vertical="top"/>
    </xf>
    <xf numFmtId="0" fontId="20" fillId="0" borderId="1" xfId="0" applyFont="1" applyBorder="1" applyAlignment="1">
      <alignment vertical="top"/>
    </xf>
    <xf numFmtId="0" fontId="18" fillId="0" borderId="2" xfId="0" applyFont="1" applyBorder="1" applyAlignment="1">
      <alignment vertical="top"/>
    </xf>
    <xf numFmtId="0" fontId="18" fillId="0" borderId="3" xfId="0" applyFont="1" applyBorder="1" applyAlignment="1">
      <alignment vertical="top"/>
    </xf>
    <xf numFmtId="0" fontId="18" fillId="0" borderId="2" xfId="0" applyFont="1" applyBorder="1" applyAlignment="1">
      <alignment horizontal="center" vertical="top"/>
    </xf>
    <xf numFmtId="0" fontId="10" fillId="0" borderId="0" xfId="0" applyFont="1" applyAlignment="1">
      <alignment horizontal="center"/>
    </xf>
    <xf numFmtId="0" fontId="7" fillId="0" borderId="0" xfId="0" applyFont="1" applyAlignment="1"/>
    <xf numFmtId="0" fontId="18" fillId="0" borderId="0" xfId="0" applyFont="1" applyAlignment="1"/>
    <xf numFmtId="0" fontId="21" fillId="0" borderId="0" xfId="0" applyFont="1"/>
    <xf numFmtId="0" fontId="18" fillId="0" borderId="1" xfId="0" applyFont="1" applyBorder="1" applyAlignment="1">
      <alignment horizontal="center" vertical="top" wrapText="1"/>
    </xf>
    <xf numFmtId="0" fontId="18" fillId="0" borderId="1" xfId="0" applyFont="1" applyBorder="1" applyAlignment="1">
      <alignment horizontal="center"/>
    </xf>
    <xf numFmtId="0" fontId="18" fillId="0" borderId="1" xfId="0" applyFont="1" applyBorder="1" applyAlignment="1">
      <alignment horizontal="center" vertical="center" wrapText="1"/>
    </xf>
    <xf numFmtId="0" fontId="2" fillId="0" borderId="0" xfId="0" applyFont="1" applyBorder="1" applyAlignment="1">
      <alignment horizontal="center" vertical="top" wrapText="1"/>
    </xf>
    <xf numFmtId="0" fontId="18" fillId="0" borderId="0" xfId="0" applyFont="1" applyBorder="1" applyAlignment="1">
      <alignment horizontal="center" vertical="top" wrapText="1"/>
    </xf>
    <xf numFmtId="0" fontId="2" fillId="0" borderId="0" xfId="0" applyFont="1" applyBorder="1" applyAlignment="1">
      <alignment vertical="top" wrapText="1"/>
    </xf>
    <xf numFmtId="0" fontId="1" fillId="0" borderId="0" xfId="0" applyFont="1" applyBorder="1" applyAlignment="1">
      <alignment vertical="top" wrapText="1"/>
    </xf>
    <xf numFmtId="0" fontId="14" fillId="2" borderId="4" xfId="0" applyFont="1" applyFill="1" applyBorder="1" applyAlignment="1">
      <alignment vertical="top"/>
    </xf>
    <xf numFmtId="0" fontId="15" fillId="2" borderId="4" xfId="0" applyFont="1" applyFill="1" applyBorder="1" applyAlignment="1">
      <alignment vertical="top"/>
    </xf>
    <xf numFmtId="0" fontId="23" fillId="2" borderId="1" xfId="0" applyFont="1" applyFill="1" applyBorder="1" applyAlignment="1">
      <alignment horizontal="center" vertical="center"/>
    </xf>
    <xf numFmtId="0" fontId="23" fillId="2" borderId="1" xfId="0" applyFont="1" applyFill="1" applyBorder="1" applyAlignment="1">
      <alignment horizontal="center" vertical="center" wrapText="1"/>
    </xf>
    <xf numFmtId="0" fontId="19" fillId="2" borderId="1" xfId="0" applyFont="1" applyFill="1" applyBorder="1" applyAlignment="1">
      <alignment vertical="top" wrapText="1"/>
    </xf>
    <xf numFmtId="0" fontId="23" fillId="2" borderId="1" xfId="0" applyFont="1" applyFill="1" applyBorder="1" applyAlignment="1">
      <alignment vertical="top" wrapText="1"/>
    </xf>
    <xf numFmtId="0" fontId="19" fillId="2" borderId="5" xfId="0" applyFont="1" applyFill="1" applyBorder="1" applyAlignment="1">
      <alignment horizontal="center" vertical="top"/>
    </xf>
    <xf numFmtId="0" fontId="19" fillId="2" borderId="5" xfId="0" applyFont="1" applyFill="1" applyBorder="1" applyAlignment="1">
      <alignment horizontal="center" vertical="top" wrapText="1"/>
    </xf>
    <xf numFmtId="0" fontId="23" fillId="2" borderId="5" xfId="0" applyFont="1" applyFill="1" applyBorder="1" applyAlignment="1">
      <alignment vertical="top" wrapText="1"/>
    </xf>
    <xf numFmtId="0" fontId="3" fillId="2" borderId="2" xfId="0" applyFont="1" applyFill="1" applyBorder="1" applyAlignment="1">
      <alignment horizontal="center" vertical="top"/>
    </xf>
    <xf numFmtId="0" fontId="27" fillId="2" borderId="2" xfId="0" applyFont="1" applyFill="1" applyBorder="1" applyAlignment="1">
      <alignment horizontal="center" vertical="top"/>
    </xf>
    <xf numFmtId="0" fontId="28" fillId="2" borderId="2" xfId="0" applyFont="1" applyFill="1" applyBorder="1" applyAlignment="1">
      <alignment horizontal="center" vertical="top" wrapText="1"/>
    </xf>
    <xf numFmtId="0" fontId="3" fillId="2" borderId="1" xfId="0" applyFont="1" applyFill="1" applyBorder="1" applyAlignment="1">
      <alignment horizontal="right"/>
    </xf>
    <xf numFmtId="0" fontId="14" fillId="0" borderId="4" xfId="0" applyFont="1" applyBorder="1" applyAlignment="1">
      <alignment vertical="top"/>
    </xf>
    <xf numFmtId="0" fontId="15" fillId="0" borderId="4" xfId="0" applyFont="1" applyBorder="1" applyAlignment="1">
      <alignment vertical="top"/>
    </xf>
    <xf numFmtId="0" fontId="6" fillId="0" borderId="4" xfId="0" applyFont="1" applyBorder="1" applyAlignment="1">
      <alignment vertical="top"/>
    </xf>
    <xf numFmtId="0" fontId="4" fillId="0" borderId="0" xfId="0" applyFont="1"/>
    <xf numFmtId="0" fontId="2" fillId="2" borderId="0" xfId="0" applyFont="1" applyFill="1"/>
    <xf numFmtId="0" fontId="9" fillId="2" borderId="4" xfId="0" applyFont="1" applyFill="1" applyBorder="1" applyAlignment="1">
      <alignment vertical="top"/>
    </xf>
    <xf numFmtId="0" fontId="29" fillId="2" borderId="4" xfId="0" applyFont="1" applyFill="1" applyBorder="1" applyAlignment="1">
      <alignment horizontal="right" vertical="top"/>
    </xf>
    <xf numFmtId="0" fontId="2" fillId="2" borderId="1" xfId="0" applyFont="1" applyFill="1" applyBorder="1" applyAlignment="1">
      <alignment vertical="top" wrapText="1"/>
    </xf>
    <xf numFmtId="0" fontId="8" fillId="2" borderId="1" xfId="0" applyFont="1" applyFill="1" applyBorder="1" applyAlignment="1">
      <alignment vertical="top" wrapText="1"/>
    </xf>
    <xf numFmtId="0" fontId="1" fillId="2" borderId="2" xfId="0" applyFont="1" applyFill="1" applyBorder="1" applyAlignment="1">
      <alignment vertical="top"/>
    </xf>
    <xf numFmtId="0" fontId="1" fillId="2" borderId="0" xfId="0" applyFont="1" applyFill="1" applyBorder="1" applyAlignment="1">
      <alignment vertical="top"/>
    </xf>
    <xf numFmtId="0" fontId="1" fillId="2" borderId="0" xfId="0" applyFont="1" applyFill="1" applyBorder="1" applyAlignment="1">
      <alignment horizontal="center" vertical="top"/>
    </xf>
    <xf numFmtId="0" fontId="2" fillId="2" borderId="0" xfId="0" applyFont="1" applyFill="1" applyAlignment="1">
      <alignment vertical="top"/>
    </xf>
    <xf numFmtId="0" fontId="18" fillId="0" borderId="0" xfId="0" applyFont="1" applyBorder="1" applyAlignment="1">
      <alignment horizontal="center" vertical="top"/>
    </xf>
    <xf numFmtId="0" fontId="19" fillId="0" borderId="1" xfId="0" applyFont="1" applyFill="1" applyBorder="1" applyAlignment="1">
      <alignment vertical="top" wrapText="1"/>
    </xf>
    <xf numFmtId="0" fontId="19" fillId="0" borderId="1" xfId="0" applyFont="1" applyFill="1" applyBorder="1" applyAlignment="1">
      <alignment horizontal="center" vertical="top" wrapText="1"/>
    </xf>
    <xf numFmtId="0" fontId="16" fillId="0" borderId="1" xfId="0" applyFont="1" applyBorder="1" applyAlignment="1">
      <alignment horizontal="center" vertical="top" wrapText="1"/>
    </xf>
    <xf numFmtId="0" fontId="4" fillId="2" borderId="0" xfId="0" applyFont="1" applyFill="1" applyBorder="1"/>
    <xf numFmtId="0" fontId="4" fillId="2" borderId="0" xfId="0" applyFont="1" applyFill="1" applyBorder="1" applyAlignment="1">
      <alignment horizontal="right"/>
    </xf>
    <xf numFmtId="0" fontId="1" fillId="2" borderId="0" xfId="0" applyFont="1" applyFill="1" applyBorder="1" applyAlignment="1">
      <alignment horizontal="right"/>
    </xf>
    <xf numFmtId="0" fontId="14" fillId="3" borderId="4" xfId="0" applyFont="1" applyFill="1" applyBorder="1" applyAlignment="1">
      <alignment vertical="top"/>
    </xf>
    <xf numFmtId="0" fontId="15" fillId="3" borderId="4" xfId="0" applyFont="1" applyFill="1" applyBorder="1" applyAlignment="1">
      <alignment vertical="top"/>
    </xf>
    <xf numFmtId="0" fontId="6" fillId="3" borderId="4" xfId="0" applyFont="1" applyFill="1" applyBorder="1" applyAlignment="1">
      <alignment vertical="top"/>
    </xf>
    <xf numFmtId="0" fontId="23" fillId="3" borderId="1" xfId="0" applyFont="1" applyFill="1" applyBorder="1" applyAlignment="1">
      <alignment horizontal="center" vertical="center"/>
    </xf>
    <xf numFmtId="0" fontId="23" fillId="3" borderId="1" xfId="0" applyFont="1" applyFill="1" applyBorder="1" applyAlignment="1">
      <alignment horizontal="center" vertical="center" wrapText="1"/>
    </xf>
    <xf numFmtId="0" fontId="19" fillId="3" borderId="1" xfId="0" applyFont="1" applyFill="1" applyBorder="1" applyAlignment="1">
      <alignment vertical="top" wrapText="1"/>
    </xf>
    <xf numFmtId="0" fontId="4" fillId="3" borderId="1" xfId="0" applyFont="1" applyFill="1" applyBorder="1" applyAlignment="1">
      <alignment horizontal="right"/>
    </xf>
    <xf numFmtId="0" fontId="3" fillId="3" borderId="1" xfId="0" applyFont="1" applyFill="1" applyBorder="1" applyAlignment="1">
      <alignment horizontal="right"/>
    </xf>
    <xf numFmtId="0" fontId="9" fillId="3" borderId="1" xfId="0" applyFont="1" applyFill="1" applyBorder="1" applyAlignment="1">
      <alignment horizontal="right" vertical="top"/>
    </xf>
    <xf numFmtId="0" fontId="23" fillId="3" borderId="1" xfId="0" applyFont="1" applyFill="1" applyBorder="1" applyAlignment="1">
      <alignment vertical="top" wrapText="1"/>
    </xf>
    <xf numFmtId="0" fontId="19" fillId="3" borderId="5" xfId="0" applyFont="1" applyFill="1" applyBorder="1" applyAlignment="1">
      <alignment horizontal="center" vertical="top"/>
    </xf>
    <xf numFmtId="0" fontId="19" fillId="3" borderId="5" xfId="0" applyFont="1" applyFill="1" applyBorder="1" applyAlignment="1">
      <alignment horizontal="center" vertical="top" wrapText="1"/>
    </xf>
    <xf numFmtId="0" fontId="23" fillId="3" borderId="5" xfId="0" applyFont="1" applyFill="1" applyBorder="1" applyAlignment="1">
      <alignment vertical="top" wrapText="1"/>
    </xf>
    <xf numFmtId="0" fontId="3" fillId="3" borderId="2" xfId="0" applyFont="1" applyFill="1" applyBorder="1" applyAlignment="1">
      <alignment horizontal="center" vertical="top"/>
    </xf>
    <xf numFmtId="0" fontId="28" fillId="3" borderId="2" xfId="0" applyFont="1" applyFill="1" applyBorder="1" applyAlignment="1">
      <alignment horizontal="center" vertical="top" wrapText="1"/>
    </xf>
    <xf numFmtId="0" fontId="27" fillId="3" borderId="2" xfId="0" applyFont="1" applyFill="1" applyBorder="1" applyAlignment="1">
      <alignment horizontal="center" vertical="top"/>
    </xf>
    <xf numFmtId="0" fontId="1" fillId="3" borderId="2" xfId="0" applyFont="1" applyFill="1" applyBorder="1" applyAlignment="1">
      <alignment horizontal="right"/>
    </xf>
    <xf numFmtId="0" fontId="4" fillId="3" borderId="0" xfId="0" applyFont="1" applyFill="1" applyBorder="1" applyAlignment="1">
      <alignment vertical="top"/>
    </xf>
    <xf numFmtId="0" fontId="4" fillId="3" borderId="0" xfId="0" applyFont="1" applyFill="1" applyBorder="1" applyAlignment="1">
      <alignment vertical="top" wrapText="1"/>
    </xf>
    <xf numFmtId="0" fontId="5" fillId="3" borderId="0" xfId="0" applyFont="1" applyFill="1" applyBorder="1" applyAlignment="1">
      <alignment horizontal="center" vertical="top"/>
    </xf>
    <xf numFmtId="0" fontId="3" fillId="3" borderId="0" xfId="0" applyFont="1" applyFill="1" applyBorder="1" applyAlignment="1">
      <alignment horizontal="right"/>
    </xf>
    <xf numFmtId="0" fontId="4" fillId="3" borderId="0" xfId="0" applyFont="1" applyFill="1" applyAlignment="1">
      <alignment vertical="top"/>
    </xf>
    <xf numFmtId="0" fontId="4" fillId="3" borderId="0" xfId="0" applyFont="1" applyFill="1" applyAlignment="1">
      <alignment vertical="top" wrapText="1"/>
    </xf>
    <xf numFmtId="0" fontId="4" fillId="3" borderId="0" xfId="0" applyFont="1" applyFill="1"/>
    <xf numFmtId="0" fontId="2" fillId="3" borderId="0" xfId="0" applyFont="1" applyFill="1"/>
    <xf numFmtId="0" fontId="10" fillId="3" borderId="1" xfId="0" applyFont="1" applyFill="1" applyBorder="1" applyAlignment="1">
      <alignment vertical="top"/>
    </xf>
    <xf numFmtId="0" fontId="18" fillId="3" borderId="1" xfId="0" applyFont="1" applyFill="1" applyBorder="1" applyAlignment="1">
      <alignment horizontal="center" vertical="top"/>
    </xf>
    <xf numFmtId="0" fontId="18" fillId="3" borderId="1" xfId="0" applyFont="1" applyFill="1" applyBorder="1" applyAlignment="1">
      <alignment vertical="top"/>
    </xf>
    <xf numFmtId="0" fontId="19" fillId="3" borderId="1" xfId="0" applyFont="1" applyFill="1" applyBorder="1" applyAlignment="1">
      <alignment horizontal="center" vertical="top"/>
    </xf>
    <xf numFmtId="0" fontId="20" fillId="3" borderId="1" xfId="0" applyFont="1" applyFill="1" applyBorder="1" applyAlignment="1">
      <alignment vertical="top"/>
    </xf>
    <xf numFmtId="0" fontId="2" fillId="3" borderId="1" xfId="0" applyFont="1" applyFill="1" applyBorder="1" applyAlignment="1">
      <alignment vertical="top"/>
    </xf>
    <xf numFmtId="0" fontId="1" fillId="3" borderId="1" xfId="0" applyFont="1" applyFill="1" applyBorder="1" applyAlignment="1">
      <alignment vertical="top"/>
    </xf>
    <xf numFmtId="0" fontId="18" fillId="3" borderId="2" xfId="0" applyFont="1" applyFill="1" applyBorder="1" applyAlignment="1">
      <alignment vertical="top"/>
    </xf>
    <xf numFmtId="0" fontId="1" fillId="3" borderId="2" xfId="0" applyFont="1" applyFill="1" applyBorder="1" applyAlignment="1">
      <alignment vertical="top"/>
    </xf>
    <xf numFmtId="0" fontId="18" fillId="3" borderId="3" xfId="0" applyFont="1" applyFill="1" applyBorder="1" applyAlignment="1">
      <alignment vertical="top"/>
    </xf>
    <xf numFmtId="0" fontId="2" fillId="3" borderId="3" xfId="0" applyFont="1" applyFill="1" applyBorder="1" applyAlignment="1">
      <alignment vertical="top"/>
    </xf>
    <xf numFmtId="0" fontId="18" fillId="3" borderId="2" xfId="0" applyFont="1" applyFill="1" applyBorder="1" applyAlignment="1">
      <alignment horizontal="center" vertical="top"/>
    </xf>
    <xf numFmtId="0" fontId="2" fillId="3" borderId="1" xfId="0" applyFont="1" applyFill="1" applyBorder="1"/>
    <xf numFmtId="0" fontId="1" fillId="3" borderId="1" xfId="0" applyFont="1" applyFill="1" applyBorder="1"/>
    <xf numFmtId="0" fontId="1" fillId="3" borderId="2" xfId="0" applyFont="1" applyFill="1" applyBorder="1"/>
    <xf numFmtId="0" fontId="2" fillId="3" borderId="3" xfId="0" applyFont="1" applyFill="1" applyBorder="1"/>
    <xf numFmtId="0" fontId="1" fillId="3" borderId="3" xfId="0" applyFont="1" applyFill="1" applyBorder="1"/>
    <xf numFmtId="0" fontId="2" fillId="3" borderId="0" xfId="0" applyFont="1" applyFill="1" applyBorder="1"/>
    <xf numFmtId="0" fontId="2" fillId="3" borderId="0" xfId="0" applyFont="1" applyFill="1" applyBorder="1" applyAlignment="1">
      <alignment horizontal="center" vertical="center" wrapText="1"/>
    </xf>
    <xf numFmtId="0" fontId="1" fillId="3" borderId="0" xfId="0" applyFont="1" applyFill="1" applyBorder="1" applyAlignment="1">
      <alignment horizontal="center" vertical="top"/>
    </xf>
    <xf numFmtId="0" fontId="1" fillId="3" borderId="0" xfId="0" applyFont="1" applyFill="1" applyBorder="1" applyAlignment="1">
      <alignment vertical="top"/>
    </xf>
    <xf numFmtId="0" fontId="18" fillId="3" borderId="0" xfId="0" applyFont="1" applyFill="1" applyAlignment="1"/>
    <xf numFmtId="0" fontId="10" fillId="3" borderId="0" xfId="0" applyFont="1" applyFill="1" applyAlignment="1">
      <alignment horizontal="center"/>
    </xf>
    <xf numFmtId="0" fontId="21" fillId="3" borderId="0" xfId="0" applyFont="1" applyFill="1"/>
    <xf numFmtId="0" fontId="18" fillId="3" borderId="1" xfId="0" applyFont="1" applyFill="1" applyBorder="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1" fillId="3" borderId="1" xfId="0" applyFont="1" applyFill="1" applyBorder="1" applyAlignment="1">
      <alignment horizontal="right"/>
    </xf>
    <xf numFmtId="0" fontId="18" fillId="3" borderId="1" xfId="0" applyFont="1" applyFill="1" applyBorder="1" applyAlignment="1">
      <alignment horizontal="center" vertical="center" wrapText="1"/>
    </xf>
    <xf numFmtId="0" fontId="1" fillId="3" borderId="2" xfId="0" applyFont="1" applyFill="1" applyBorder="1" applyAlignment="1">
      <alignment horizontal="right" vertical="center" wrapText="1"/>
    </xf>
    <xf numFmtId="0" fontId="1" fillId="3" borderId="0" xfId="0" applyFont="1" applyFill="1" applyBorder="1" applyAlignment="1">
      <alignment vertical="center" wrapText="1"/>
    </xf>
    <xf numFmtId="0" fontId="18" fillId="3"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9" fillId="3" borderId="4" xfId="0" applyFont="1" applyFill="1" applyBorder="1" applyAlignment="1">
      <alignment vertical="top"/>
    </xf>
    <xf numFmtId="0" fontId="29" fillId="3" borderId="4" xfId="0" applyFont="1" applyFill="1" applyBorder="1" applyAlignment="1">
      <alignment horizontal="right" vertical="top"/>
    </xf>
    <xf numFmtId="0" fontId="19" fillId="3" borderId="1" xfId="0" applyFont="1" applyFill="1" applyBorder="1" applyAlignment="1">
      <alignment horizontal="center" vertical="top" wrapText="1"/>
    </xf>
    <xf numFmtId="0" fontId="12" fillId="3" borderId="1" xfId="0" applyFont="1" applyFill="1" applyBorder="1" applyAlignment="1">
      <alignment horizontal="center" vertical="top"/>
    </xf>
    <xf numFmtId="0" fontId="8" fillId="3" borderId="1" xfId="0" applyFont="1" applyFill="1" applyBorder="1" applyAlignment="1">
      <alignment vertical="top" wrapText="1"/>
    </xf>
    <xf numFmtId="0" fontId="1" fillId="3" borderId="2" xfId="0" applyFont="1" applyFill="1" applyBorder="1" applyAlignment="1">
      <alignment horizontal="center" vertical="top"/>
    </xf>
    <xf numFmtId="0" fontId="18" fillId="3" borderId="1" xfId="0" applyFont="1" applyFill="1" applyBorder="1" applyAlignment="1">
      <alignment horizontal="center" vertical="top" wrapText="1"/>
    </xf>
    <xf numFmtId="0" fontId="10" fillId="3" borderId="0" xfId="0" applyFont="1" applyFill="1" applyAlignment="1">
      <alignment horizontal="center"/>
    </xf>
    <xf numFmtId="0" fontId="16" fillId="0" borderId="1" xfId="0" applyFont="1" applyBorder="1" applyAlignment="1">
      <alignment horizontal="justify" vertical="top" wrapText="1"/>
    </xf>
    <xf numFmtId="0" fontId="32" fillId="0" borderId="2" xfId="0" applyFont="1" applyBorder="1" applyAlignment="1">
      <alignment vertical="top"/>
    </xf>
    <xf numFmtId="0" fontId="33" fillId="0" borderId="2" xfId="0" applyFont="1" applyBorder="1" applyAlignment="1">
      <alignment horizontal="center" vertical="top"/>
    </xf>
    <xf numFmtId="0" fontId="33" fillId="0" borderId="1" xfId="0" applyFont="1" applyBorder="1" applyAlignment="1">
      <alignment horizontal="center" vertical="top" wrapText="1"/>
    </xf>
    <xf numFmtId="0" fontId="30" fillId="0" borderId="0" xfId="0" applyFont="1" applyAlignment="1">
      <alignment vertical="top"/>
    </xf>
    <xf numFmtId="0" fontId="16" fillId="0" borderId="0" xfId="0" applyFont="1" applyAlignment="1">
      <alignment vertical="top" wrapText="1"/>
    </xf>
    <xf numFmtId="0" fontId="40" fillId="2" borderId="5" xfId="0" applyFont="1" applyFill="1" applyBorder="1" applyAlignment="1">
      <alignment horizontal="center" vertical="top" wrapText="1"/>
    </xf>
    <xf numFmtId="0" fontId="35" fillId="0" borderId="1" xfId="0" applyFont="1" applyBorder="1" applyAlignment="1">
      <alignment horizontal="center" vertical="top" wrapText="1"/>
    </xf>
    <xf numFmtId="0" fontId="16" fillId="0" borderId="1" xfId="0" applyFont="1" applyBorder="1" applyAlignment="1">
      <alignment vertical="top" wrapText="1"/>
    </xf>
    <xf numFmtId="0" fontId="41" fillId="0" borderId="1" xfId="0" applyFont="1" applyBorder="1" applyAlignment="1">
      <alignment vertical="top" wrapText="1"/>
    </xf>
    <xf numFmtId="0" fontId="41" fillId="0" borderId="2" xfId="0" applyFont="1" applyBorder="1" applyAlignment="1">
      <alignment vertical="top" wrapText="1"/>
    </xf>
    <xf numFmtId="0" fontId="30" fillId="0" borderId="0" xfId="0" applyFont="1" applyBorder="1" applyAlignment="1">
      <alignment vertical="top" wrapText="1"/>
    </xf>
    <xf numFmtId="0" fontId="30" fillId="0" borderId="0" xfId="0" applyFont="1" applyBorder="1" applyAlignment="1">
      <alignment horizontal="center" vertical="top" wrapText="1"/>
    </xf>
    <xf numFmtId="0" fontId="19" fillId="3" borderId="1" xfId="0" applyFont="1" applyFill="1" applyBorder="1" applyAlignment="1">
      <alignment horizontal="center" vertical="top" wrapText="1"/>
    </xf>
    <xf numFmtId="0" fontId="19" fillId="2" borderId="1" xfId="0" applyFont="1" applyFill="1" applyBorder="1" applyAlignment="1">
      <alignment horizontal="center" vertical="top" wrapText="1"/>
    </xf>
    <xf numFmtId="0" fontId="2" fillId="0" borderId="0" xfId="0" applyFont="1" applyAlignment="1">
      <alignment horizontal="right" vertical="top"/>
    </xf>
    <xf numFmtId="0" fontId="19" fillId="0" borderId="1" xfId="0" applyFont="1" applyFill="1" applyBorder="1" applyAlignment="1">
      <alignment horizontal="left" vertical="top" wrapText="1"/>
    </xf>
    <xf numFmtId="0" fontId="16" fillId="2" borderId="1" xfId="0" applyFont="1" applyFill="1" applyBorder="1" applyAlignment="1">
      <alignment vertical="top" wrapText="1"/>
    </xf>
    <xf numFmtId="0" fontId="19" fillId="0" borderId="1" xfId="0" applyFont="1" applyBorder="1" applyAlignment="1">
      <alignment vertical="top" wrapText="1"/>
    </xf>
    <xf numFmtId="0" fontId="19" fillId="3" borderId="1" xfId="0" applyFont="1" applyFill="1" applyBorder="1" applyAlignment="1">
      <alignment horizontal="center" vertical="top" wrapText="1"/>
    </xf>
    <xf numFmtId="0" fontId="4" fillId="2" borderId="1" xfId="0" applyFont="1" applyFill="1" applyBorder="1" applyAlignment="1">
      <alignment horizontal="right" vertical="top"/>
    </xf>
    <xf numFmtId="0" fontId="2" fillId="2" borderId="1" xfId="0" applyFont="1" applyFill="1" applyBorder="1" applyAlignment="1">
      <alignment horizontal="right" vertical="center" wrapText="1"/>
    </xf>
    <xf numFmtId="0" fontId="19" fillId="0" borderId="1" xfId="0" applyFont="1" applyBorder="1" applyAlignment="1">
      <alignment horizontal="center" vertical="top" wrapText="1"/>
    </xf>
    <xf numFmtId="0" fontId="2" fillId="0" borderId="0" xfId="0" applyFont="1" applyAlignment="1">
      <alignment horizontal="left"/>
    </xf>
    <xf numFmtId="0" fontId="12" fillId="0" borderId="1" xfId="0" applyFont="1" applyBorder="1" applyAlignment="1">
      <alignment horizontal="center" vertical="top"/>
    </xf>
    <xf numFmtId="0" fontId="12" fillId="0" borderId="0" xfId="0" applyFont="1" applyAlignment="1">
      <alignment horizontal="left" vertical="top"/>
    </xf>
    <xf numFmtId="0" fontId="12" fillId="0" borderId="0" xfId="0" applyFont="1" applyAlignment="1">
      <alignment vertical="top"/>
    </xf>
    <xf numFmtId="0" fontId="12" fillId="3" borderId="0" xfId="0" applyFont="1" applyFill="1" applyAlignment="1">
      <alignment vertical="top"/>
    </xf>
    <xf numFmtId="0" fontId="36" fillId="0" borderId="0" xfId="0" applyFont="1" applyBorder="1" applyAlignment="1">
      <alignment horizontal="center" vertical="center"/>
    </xf>
    <xf numFmtId="0" fontId="14" fillId="2" borderId="0" xfId="0" applyFont="1" applyFill="1" applyBorder="1" applyAlignment="1">
      <alignment horizontal="center" vertical="center"/>
    </xf>
    <xf numFmtId="0" fontId="18" fillId="2" borderId="0" xfId="0" applyFont="1" applyFill="1" applyBorder="1" applyAlignment="1">
      <alignment horizontal="center" vertical="center"/>
    </xf>
    <xf numFmtId="0" fontId="19" fillId="2" borderId="0" xfId="0" applyFont="1" applyFill="1" applyBorder="1" applyAlignment="1">
      <alignment horizontal="center" vertical="center"/>
    </xf>
    <xf numFmtId="0" fontId="20" fillId="2" borderId="0" xfId="0" applyFont="1" applyFill="1" applyBorder="1" applyAlignment="1">
      <alignment horizontal="center" vertical="center"/>
    </xf>
    <xf numFmtId="0" fontId="13" fillId="2" borderId="0" xfId="0" applyFont="1" applyFill="1" applyBorder="1" applyAlignment="1">
      <alignment horizontal="center" vertical="center"/>
    </xf>
    <xf numFmtId="0" fontId="23" fillId="0" borderId="0" xfId="0" applyFont="1" applyBorder="1" applyAlignment="1">
      <alignment horizontal="center" vertical="center"/>
    </xf>
    <xf numFmtId="0" fontId="22" fillId="2" borderId="4" xfId="0" applyFont="1" applyFill="1" applyBorder="1" applyAlignment="1">
      <alignment horizontal="center" vertical="center"/>
    </xf>
    <xf numFmtId="0" fontId="23" fillId="0" borderId="1" xfId="0" applyFont="1" applyBorder="1" applyAlignment="1">
      <alignment horizontal="center"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37" fillId="0" borderId="1" xfId="0" applyFont="1" applyBorder="1" applyAlignment="1">
      <alignment horizontal="center" vertical="center"/>
    </xf>
    <xf numFmtId="0" fontId="38" fillId="0" borderId="0" xfId="0" applyFont="1" applyBorder="1" applyAlignment="1">
      <alignment horizontal="center" vertical="center"/>
    </xf>
    <xf numFmtId="0" fontId="30" fillId="0" borderId="0" xfId="0" applyFont="1" applyBorder="1" applyAlignment="1">
      <alignment horizontal="center" vertical="center"/>
    </xf>
    <xf numFmtId="0" fontId="37" fillId="0" borderId="0" xfId="0" applyFont="1" applyBorder="1" applyAlignment="1">
      <alignment horizontal="center" vertical="center"/>
    </xf>
    <xf numFmtId="0" fontId="39" fillId="0" borderId="0" xfId="0" applyFont="1" applyBorder="1" applyAlignment="1">
      <alignment horizontal="center" vertical="center"/>
    </xf>
    <xf numFmtId="0" fontId="19" fillId="3" borderId="1" xfId="0" applyFont="1" applyFill="1" applyBorder="1" applyAlignment="1">
      <alignment horizontal="center" vertical="top" wrapText="1"/>
    </xf>
    <xf numFmtId="0" fontId="10" fillId="2" borderId="0" xfId="0" applyFont="1" applyFill="1" applyAlignment="1">
      <alignment vertical="top"/>
    </xf>
    <xf numFmtId="0" fontId="2" fillId="4" borderId="0" xfId="0" applyFont="1" applyFill="1"/>
    <xf numFmtId="0" fontId="23" fillId="2" borderId="5"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14" fillId="2" borderId="0" xfId="0" applyFont="1" applyFill="1" applyAlignment="1">
      <alignment horizontal="center" vertical="top"/>
    </xf>
    <xf numFmtId="0" fontId="15" fillId="2" borderId="0" xfId="0" applyFont="1" applyFill="1" applyAlignment="1">
      <alignment horizontal="center" vertical="top"/>
    </xf>
    <xf numFmtId="0" fontId="14" fillId="2" borderId="0" xfId="0" applyFont="1" applyFill="1" applyAlignment="1">
      <alignment horizontal="center"/>
    </xf>
    <xf numFmtId="0" fontId="15" fillId="2" borderId="0" xfId="0" applyFont="1" applyFill="1" applyAlignment="1">
      <alignment horizontal="center"/>
    </xf>
    <xf numFmtId="0" fontId="16" fillId="2" borderId="4" xfId="0" applyFont="1" applyFill="1" applyBorder="1" applyAlignment="1">
      <alignment horizontal="right"/>
    </xf>
    <xf numFmtId="0" fontId="17" fillId="2" borderId="4" xfId="0" applyFont="1" applyFill="1" applyBorder="1" applyAlignment="1">
      <alignment horizontal="right"/>
    </xf>
    <xf numFmtId="0" fontId="23" fillId="2" borderId="5"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3" xfId="0" applyFont="1" applyFill="1" applyBorder="1" applyAlignment="1">
      <alignment horizontal="center" vertical="top" wrapText="1"/>
    </xf>
    <xf numFmtId="0" fontId="23" fillId="2" borderId="5" xfId="0" applyFont="1" applyFill="1" applyBorder="1" applyAlignment="1">
      <alignment horizontal="center" vertical="top"/>
    </xf>
    <xf numFmtId="0" fontId="24" fillId="2" borderId="3" xfId="0" applyFont="1" applyFill="1" applyBorder="1" applyAlignment="1">
      <alignment horizontal="center" vertical="top"/>
    </xf>
    <xf numFmtId="0" fontId="23" fillId="2" borderId="3" xfId="0" applyFont="1" applyFill="1" applyBorder="1" applyAlignment="1">
      <alignment horizontal="center" vertical="center" wrapText="1"/>
    </xf>
    <xf numFmtId="0" fontId="19" fillId="2" borderId="5" xfId="0" applyFont="1" applyFill="1" applyBorder="1" applyAlignment="1">
      <alignment horizontal="center" vertical="top"/>
    </xf>
    <xf numFmtId="0" fontId="21" fillId="2" borderId="6" xfId="0" applyFont="1" applyFill="1" applyBorder="1" applyAlignment="1">
      <alignment horizontal="center" vertical="top"/>
    </xf>
    <xf numFmtId="0" fontId="19" fillId="2" borderId="5" xfId="0" applyFont="1" applyFill="1" applyBorder="1" applyAlignment="1">
      <alignment horizontal="center" vertical="top" wrapText="1"/>
    </xf>
    <xf numFmtId="0" fontId="21" fillId="2" borderId="3" xfId="0" applyFont="1" applyFill="1" applyBorder="1" applyAlignment="1">
      <alignment horizontal="center" vertical="top" wrapText="1"/>
    </xf>
    <xf numFmtId="0" fontId="25" fillId="2" borderId="7" xfId="0" applyFont="1" applyFill="1" applyBorder="1" applyAlignment="1">
      <alignment horizontal="left" vertical="top"/>
    </xf>
    <xf numFmtId="0" fontId="26" fillId="2" borderId="8" xfId="0" applyFont="1" applyFill="1" applyBorder="1" applyAlignment="1">
      <alignment horizontal="left" vertical="top"/>
    </xf>
    <xf numFmtId="0" fontId="26" fillId="2" borderId="9" xfId="0" applyFont="1" applyFill="1" applyBorder="1" applyAlignment="1">
      <alignment horizontal="left" vertical="top"/>
    </xf>
    <xf numFmtId="0" fontId="21" fillId="2" borderId="6" xfId="0" applyFont="1" applyFill="1" applyBorder="1" applyAlignment="1">
      <alignment horizontal="center" vertical="top" wrapText="1"/>
    </xf>
    <xf numFmtId="0" fontId="23" fillId="3" borderId="5"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14" fillId="3" borderId="0" xfId="0" applyFont="1" applyFill="1" applyAlignment="1">
      <alignment horizontal="center" vertical="top"/>
    </xf>
    <xf numFmtId="0" fontId="14" fillId="3" borderId="0" xfId="0" applyFont="1" applyFill="1" applyAlignment="1">
      <alignment horizontal="center"/>
    </xf>
    <xf numFmtId="0" fontId="15" fillId="3" borderId="0" xfId="0" applyFont="1" applyFill="1" applyAlignment="1">
      <alignment horizontal="center"/>
    </xf>
    <xf numFmtId="0" fontId="16" fillId="3" borderId="4" xfId="0" applyFont="1" applyFill="1" applyBorder="1" applyAlignment="1">
      <alignment horizontal="right"/>
    </xf>
    <xf numFmtId="0" fontId="17" fillId="3" borderId="4" xfId="0" applyFont="1" applyFill="1" applyBorder="1" applyAlignment="1">
      <alignment horizontal="right"/>
    </xf>
    <xf numFmtId="0" fontId="23" fillId="3" borderId="5" xfId="0" applyFont="1" applyFill="1" applyBorder="1" applyAlignment="1">
      <alignment horizontal="center" vertical="top" wrapText="1"/>
    </xf>
    <xf numFmtId="0" fontId="24" fillId="3" borderId="6" xfId="0" applyFont="1" applyFill="1" applyBorder="1" applyAlignment="1">
      <alignment horizontal="center" vertical="top" wrapText="1"/>
    </xf>
    <xf numFmtId="0" fontId="24" fillId="3" borderId="3" xfId="0" applyFont="1" applyFill="1" applyBorder="1" applyAlignment="1">
      <alignment horizontal="center" vertical="top" wrapText="1"/>
    </xf>
    <xf numFmtId="0" fontId="23" fillId="3" borderId="5" xfId="0" applyFont="1" applyFill="1" applyBorder="1" applyAlignment="1">
      <alignment horizontal="center" vertical="top"/>
    </xf>
    <xf numFmtId="0" fontId="24" fillId="3" borderId="3" xfId="0" applyFont="1" applyFill="1" applyBorder="1" applyAlignment="1">
      <alignment horizontal="center" vertical="top"/>
    </xf>
    <xf numFmtId="0" fontId="19" fillId="3" borderId="5" xfId="0" applyFont="1" applyFill="1" applyBorder="1" applyAlignment="1">
      <alignment horizontal="center" vertical="top"/>
    </xf>
    <xf numFmtId="0" fontId="21" fillId="3" borderId="6" xfId="0" applyFont="1" applyFill="1" applyBorder="1" applyAlignment="1">
      <alignment horizontal="center" vertical="top"/>
    </xf>
    <xf numFmtId="0" fontId="19" fillId="3" borderId="5" xfId="0" applyFont="1" applyFill="1" applyBorder="1" applyAlignment="1">
      <alignment horizontal="center" vertical="top" wrapText="1"/>
    </xf>
    <xf numFmtId="0" fontId="21" fillId="3" borderId="3" xfId="0" applyFont="1" applyFill="1" applyBorder="1" applyAlignment="1">
      <alignment horizontal="center" vertical="top" wrapText="1"/>
    </xf>
    <xf numFmtId="0" fontId="21" fillId="3" borderId="6" xfId="0" applyFont="1" applyFill="1" applyBorder="1" applyAlignment="1">
      <alignment horizontal="center" vertical="top" wrapText="1"/>
    </xf>
    <xf numFmtId="0" fontId="25" fillId="3" borderId="7" xfId="0" applyFont="1" applyFill="1" applyBorder="1" applyAlignment="1">
      <alignment horizontal="left" vertical="top"/>
    </xf>
    <xf numFmtId="0" fontId="26" fillId="3" borderId="8" xfId="0" applyFont="1" applyFill="1" applyBorder="1" applyAlignment="1">
      <alignment horizontal="left" vertical="top"/>
    </xf>
    <xf numFmtId="0" fontId="26" fillId="3" borderId="9" xfId="0" applyFont="1" applyFill="1" applyBorder="1" applyAlignment="1">
      <alignment horizontal="left" vertical="top"/>
    </xf>
    <xf numFmtId="0" fontId="16" fillId="0" borderId="4" xfId="0" applyFont="1" applyBorder="1" applyAlignment="1">
      <alignment horizontal="right"/>
    </xf>
    <xf numFmtId="0" fontId="17" fillId="0" borderId="4" xfId="0" applyFont="1" applyBorder="1" applyAlignment="1">
      <alignment horizontal="right"/>
    </xf>
    <xf numFmtId="0" fontId="18" fillId="3" borderId="7" xfId="0" applyFont="1" applyFill="1" applyBorder="1" applyAlignment="1">
      <alignment horizontal="center"/>
    </xf>
    <xf numFmtId="0" fontId="10" fillId="3" borderId="8" xfId="0" applyFont="1" applyFill="1" applyBorder="1" applyAlignment="1">
      <alignment horizontal="center"/>
    </xf>
    <xf numFmtId="0" fontId="10" fillId="3" borderId="9" xfId="0" applyFont="1" applyFill="1" applyBorder="1" applyAlignment="1">
      <alignment horizontal="center"/>
    </xf>
    <xf numFmtId="0" fontId="18" fillId="3" borderId="1" xfId="0" applyFont="1" applyFill="1" applyBorder="1" applyAlignment="1">
      <alignment horizontal="center" vertical="top"/>
    </xf>
    <xf numFmtId="0" fontId="10" fillId="3" borderId="1" xfId="0" applyFont="1" applyFill="1" applyBorder="1" applyAlignment="1">
      <alignment horizontal="center" vertical="top"/>
    </xf>
    <xf numFmtId="0" fontId="18"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8" fillId="3" borderId="7" xfId="0" applyFont="1" applyFill="1" applyBorder="1" applyAlignment="1">
      <alignment horizontal="center" vertical="top"/>
    </xf>
    <xf numFmtId="0" fontId="10" fillId="3" borderId="8" xfId="0" applyFont="1" applyFill="1" applyBorder="1" applyAlignment="1">
      <alignment horizontal="center" vertical="top"/>
    </xf>
    <xf numFmtId="0" fontId="10" fillId="3" borderId="9" xfId="0" applyFont="1" applyFill="1" applyBorder="1" applyAlignment="1">
      <alignment horizontal="center" vertical="top"/>
    </xf>
    <xf numFmtId="0" fontId="18"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3" fillId="3" borderId="0" xfId="0" applyFont="1" applyFill="1" applyAlignment="1">
      <alignment horizontal="center"/>
    </xf>
    <xf numFmtId="0" fontId="3" fillId="3" borderId="0" xfId="0" applyFont="1" applyFill="1" applyAlignment="1">
      <alignment horizontal="center"/>
    </xf>
    <xf numFmtId="0" fontId="18" fillId="0" borderId="1" xfId="0" applyFont="1" applyBorder="1" applyAlignment="1">
      <alignment horizontal="center" vertical="top"/>
    </xf>
    <xf numFmtId="0" fontId="10" fillId="0" borderId="1" xfId="0" applyFont="1" applyBorder="1" applyAlignment="1">
      <alignment horizontal="center" vertical="top"/>
    </xf>
    <xf numFmtId="0" fontId="18" fillId="0" borderId="7" xfId="0" applyFont="1" applyBorder="1" applyAlignment="1">
      <alignment horizontal="center" vertical="top"/>
    </xf>
    <xf numFmtId="0" fontId="10" fillId="0" borderId="8" xfId="0" applyFont="1" applyBorder="1" applyAlignment="1">
      <alignment horizontal="center" vertical="top"/>
    </xf>
    <xf numFmtId="0" fontId="10" fillId="0" borderId="9" xfId="0" applyFont="1" applyBorder="1" applyAlignment="1">
      <alignment horizontal="center" vertical="top"/>
    </xf>
    <xf numFmtId="0" fontId="18"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3"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0" fillId="0" borderId="0" xfId="0" applyFont="1" applyAlignment="1">
      <alignment horizontal="left"/>
    </xf>
    <xf numFmtId="0" fontId="10" fillId="0" borderId="4" xfId="0" applyFont="1" applyBorder="1" applyAlignment="1">
      <alignment horizontal="center"/>
    </xf>
    <xf numFmtId="0" fontId="18" fillId="0" borderId="5" xfId="0" applyFont="1" applyBorder="1" applyAlignment="1">
      <alignment horizontal="center" vertical="top" wrapText="1"/>
    </xf>
    <xf numFmtId="0" fontId="10" fillId="0" borderId="3" xfId="0" applyFont="1" applyBorder="1" applyAlignment="1">
      <alignment horizontal="center" vertical="top" wrapText="1"/>
    </xf>
    <xf numFmtId="0" fontId="18" fillId="0" borderId="0" xfId="0" applyFont="1" applyAlignment="1">
      <alignment horizontal="center"/>
    </xf>
    <xf numFmtId="0" fontId="10" fillId="0" borderId="0" xfId="0" applyFont="1" applyAlignment="1">
      <alignment horizontal="center"/>
    </xf>
    <xf numFmtId="0" fontId="22" fillId="0" borderId="4" xfId="0" applyFont="1" applyBorder="1" applyAlignment="1">
      <alignment horizontal="right"/>
    </xf>
    <xf numFmtId="0" fontId="18" fillId="0" borderId="1" xfId="0" applyFont="1" applyBorder="1" applyAlignment="1">
      <alignment horizontal="center" vertical="top" wrapText="1"/>
    </xf>
    <xf numFmtId="0" fontId="10" fillId="0" borderId="1" xfId="0" applyFont="1" applyBorder="1" applyAlignment="1">
      <alignment horizontal="center" vertical="top" wrapText="1"/>
    </xf>
    <xf numFmtId="0" fontId="18" fillId="3" borderId="1" xfId="0" applyFont="1" applyFill="1" applyBorder="1" applyAlignment="1">
      <alignment horizontal="center" vertical="top" wrapText="1"/>
    </xf>
    <xf numFmtId="0" fontId="10" fillId="3" borderId="1" xfId="0" applyFont="1" applyFill="1" applyBorder="1" applyAlignment="1">
      <alignment horizontal="center" vertical="top" wrapText="1"/>
    </xf>
    <xf numFmtId="0" fontId="18" fillId="3" borderId="5" xfId="0" applyFont="1" applyFill="1" applyBorder="1" applyAlignment="1">
      <alignment horizontal="center" vertical="top"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xf>
    <xf numFmtId="0" fontId="30" fillId="0" borderId="0" xfId="0" applyFont="1" applyAlignment="1">
      <alignment horizontal="left" vertical="top"/>
    </xf>
    <xf numFmtId="0" fontId="22" fillId="3" borderId="4" xfId="0" applyFont="1" applyFill="1" applyBorder="1" applyAlignment="1">
      <alignment horizontal="right"/>
    </xf>
    <xf numFmtId="0" fontId="18" fillId="3" borderId="0" xfId="0" applyFont="1" applyFill="1" applyAlignment="1">
      <alignment horizontal="center"/>
    </xf>
    <xf numFmtId="0" fontId="10" fillId="3" borderId="0" xfId="0" applyFont="1" applyFill="1" applyAlignment="1">
      <alignment horizontal="center"/>
    </xf>
    <xf numFmtId="0" fontId="3" fillId="0" borderId="0" xfId="0" applyFont="1" applyAlignment="1">
      <alignment horizontal="center"/>
    </xf>
    <xf numFmtId="0" fontId="13" fillId="2" borderId="0" xfId="0" applyFont="1" applyFill="1" applyAlignment="1">
      <alignment horizontal="center"/>
    </xf>
    <xf numFmtId="0" fontId="3" fillId="2" borderId="0" xfId="0" applyFont="1" applyFill="1" applyAlignment="1">
      <alignment horizontal="center"/>
    </xf>
    <xf numFmtId="0" fontId="13" fillId="2" borderId="4" xfId="0" applyFont="1" applyFill="1" applyBorder="1" applyAlignment="1">
      <alignment horizontal="left" vertical="top"/>
    </xf>
    <xf numFmtId="0" fontId="3" fillId="2" borderId="4" xfId="0" applyFont="1" applyFill="1" applyBorder="1" applyAlignment="1">
      <alignment horizontal="left" vertical="top"/>
    </xf>
    <xf numFmtId="0" fontId="19" fillId="0" borderId="5" xfId="0" applyFont="1" applyBorder="1" applyAlignment="1">
      <alignment horizontal="center" vertical="top" wrapText="1"/>
    </xf>
    <xf numFmtId="0" fontId="21" fillId="0" borderId="3" xfId="0" applyFont="1" applyBorder="1" applyAlignment="1">
      <alignment horizontal="center" vertical="top" wrapText="1"/>
    </xf>
    <xf numFmtId="0" fontId="19" fillId="0" borderId="1" xfId="0" applyFont="1" applyBorder="1" applyAlignment="1">
      <alignment horizontal="center" vertical="top" wrapText="1"/>
    </xf>
    <xf numFmtId="0" fontId="21" fillId="0" borderId="1" xfId="0" applyFont="1" applyBorder="1" applyAlignment="1">
      <alignment horizontal="center" vertical="top" wrapText="1"/>
    </xf>
    <xf numFmtId="0" fontId="13" fillId="3" borderId="4" xfId="0" applyFont="1" applyFill="1" applyBorder="1" applyAlignment="1">
      <alignment horizontal="left" vertical="top"/>
    </xf>
    <xf numFmtId="0" fontId="3" fillId="3" borderId="4" xfId="0" applyFont="1" applyFill="1" applyBorder="1" applyAlignment="1">
      <alignment horizontal="left" vertical="top"/>
    </xf>
    <xf numFmtId="0" fontId="19" fillId="3" borderId="1" xfId="0" applyFont="1" applyFill="1" applyBorder="1" applyAlignment="1">
      <alignment horizontal="center" vertical="top" wrapText="1"/>
    </xf>
    <xf numFmtId="0" fontId="21" fillId="3" borderId="1" xfId="0" applyFont="1" applyFill="1" applyBorder="1" applyAlignment="1">
      <alignment horizontal="center" vertical="top" wrapText="1"/>
    </xf>
    <xf numFmtId="0" fontId="18" fillId="0" borderId="0" xfId="0" applyFont="1" applyAlignment="1">
      <alignment horizontal="center" vertical="top"/>
    </xf>
    <xf numFmtId="0" fontId="19" fillId="0" borderId="3" xfId="0" applyFont="1" applyBorder="1" applyAlignment="1">
      <alignment horizontal="center" vertical="top" wrapText="1"/>
    </xf>
    <xf numFmtId="0" fontId="30" fillId="0" borderId="0" xfId="0" applyFont="1" applyAlignment="1">
      <alignment horizontal="center" vertical="top" wrapText="1"/>
    </xf>
    <xf numFmtId="0" fontId="34" fillId="0" borderId="4" xfId="0" applyFont="1" applyBorder="1" applyAlignment="1">
      <alignment horizontal="right" vertical="top" wrapText="1"/>
    </xf>
    <xf numFmtId="0" fontId="41" fillId="0" borderId="10" xfId="0" applyFont="1" applyBorder="1" applyAlignment="1">
      <alignment horizontal="center" vertical="top" wrapText="1"/>
    </xf>
    <xf numFmtId="0" fontId="41" fillId="0" borderId="11" xfId="0" applyFont="1" applyBorder="1" applyAlignment="1">
      <alignment horizontal="center" vertical="top" wrapText="1"/>
    </xf>
    <xf numFmtId="0" fontId="30" fillId="0" borderId="0" xfId="0" applyFont="1" applyBorder="1" applyAlignment="1">
      <alignment horizontal="center" vertical="center"/>
    </xf>
    <xf numFmtId="0" fontId="14" fillId="2" borderId="0" xfId="0" applyFont="1" applyFill="1" applyBorder="1" applyAlignment="1">
      <alignment horizontal="center" vertical="center"/>
    </xf>
    <xf numFmtId="0" fontId="13" fillId="2" borderId="0" xfId="0" applyFont="1" applyFill="1" applyBorder="1" applyAlignment="1">
      <alignment horizontal="center" vertical="center"/>
    </xf>
    <xf numFmtId="0" fontId="18" fillId="0" borderId="3"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CN-1%20Yelve/Budget-2045%20&amp;%202053/2017-16/Yearly%20Budget%202017-18/2053/20530242-Budget-2017-18/Budget%2020530242%20for%202017-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Distrs.wise Abstract"/>
    </sheetNames>
    <sheetDataSet>
      <sheetData sheetId="0"/>
      <sheetData sheetId="1"/>
      <sheetData sheetId="2"/>
      <sheetData sheetId="3" refreshError="1">
        <row r="32">
          <cell r="H32">
            <v>0</v>
          </cell>
        </row>
        <row r="36">
          <cell r="H36">
            <v>0</v>
          </cell>
        </row>
        <row r="38">
          <cell r="H38">
            <v>0</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7"/>
  <sheetViews>
    <sheetView view="pageBreakPreview" topLeftCell="A191" zoomScaleNormal="75" zoomScaleSheetLayoutView="100" workbookViewId="0">
      <selection activeCell="D203" sqref="D203"/>
    </sheetView>
  </sheetViews>
  <sheetFormatPr defaultRowHeight="18"/>
  <cols>
    <col min="1" max="1" width="3.5703125" style="35" customWidth="1"/>
    <col min="2" max="2" width="10" style="36" bestFit="1" customWidth="1"/>
    <col min="3" max="3" width="26.5703125" style="35" customWidth="1"/>
    <col min="4" max="4" width="9.7109375" style="27" customWidth="1"/>
    <col min="5" max="5" width="10.42578125" style="27" customWidth="1"/>
    <col min="6" max="6" width="8" style="27" customWidth="1"/>
    <col min="7" max="7" width="10.7109375" style="27" customWidth="1"/>
    <col min="8" max="8" width="9.42578125" style="27" customWidth="1"/>
    <col min="9" max="9" width="9.85546875" style="27" customWidth="1"/>
    <col min="10" max="10" width="11.5703125" style="27" customWidth="1"/>
    <col min="11" max="11" width="9.140625" style="27"/>
    <col min="12" max="12" width="9" style="27" customWidth="1"/>
    <col min="13" max="13" width="8.85546875" style="27" customWidth="1"/>
    <col min="14" max="14" width="7.85546875" style="27" customWidth="1"/>
    <col min="15" max="15" width="7.28515625" style="27" customWidth="1"/>
    <col min="16" max="16" width="9.85546875" style="27" customWidth="1"/>
    <col min="17" max="17" width="11.28515625" style="27" customWidth="1"/>
    <col min="18" max="18" width="14" style="27" bestFit="1" customWidth="1"/>
    <col min="19" max="16384" width="9.140625" style="27"/>
  </cols>
  <sheetData>
    <row r="1" spans="1:17">
      <c r="A1" s="231" t="s">
        <v>113</v>
      </c>
      <c r="B1" s="231"/>
      <c r="C1" s="231"/>
      <c r="D1" s="231"/>
      <c r="E1" s="231"/>
      <c r="F1" s="231"/>
      <c r="G1" s="231"/>
      <c r="H1" s="231"/>
      <c r="I1" s="231"/>
      <c r="J1" s="231"/>
      <c r="K1" s="231"/>
      <c r="L1" s="231"/>
      <c r="M1" s="231"/>
      <c r="N1" s="231"/>
      <c r="O1" s="231"/>
      <c r="P1" s="231"/>
      <c r="Q1" s="231"/>
    </row>
    <row r="2" spans="1:17">
      <c r="A2" s="232" t="s">
        <v>32</v>
      </c>
      <c r="B2" s="233"/>
      <c r="C2" s="233"/>
      <c r="D2" s="233"/>
      <c r="E2" s="233"/>
      <c r="F2" s="233"/>
      <c r="G2" s="233"/>
      <c r="H2" s="233"/>
      <c r="I2" s="233"/>
      <c r="J2" s="233"/>
      <c r="K2" s="233"/>
      <c r="L2" s="233"/>
      <c r="M2" s="233"/>
      <c r="N2" s="233"/>
      <c r="O2" s="233"/>
      <c r="P2" s="233"/>
      <c r="Q2" s="233"/>
    </row>
    <row r="3" spans="1:17" ht="23.25">
      <c r="A3" s="92" t="s">
        <v>42</v>
      </c>
      <c r="B3" s="93"/>
      <c r="C3" s="93"/>
      <c r="D3" s="94"/>
      <c r="E3" s="94"/>
      <c r="F3" s="94"/>
      <c r="G3" s="94"/>
      <c r="H3" s="94"/>
      <c r="I3" s="94"/>
      <c r="J3" s="94"/>
      <c r="K3" s="94"/>
      <c r="L3" s="94"/>
      <c r="M3" s="94"/>
      <c r="N3" s="94"/>
      <c r="O3" s="234" t="s">
        <v>1</v>
      </c>
      <c r="P3" s="235"/>
      <c r="Q3" s="235"/>
    </row>
    <row r="4" spans="1:17" ht="18.75" customHeight="1">
      <c r="A4" s="236" t="s">
        <v>43</v>
      </c>
      <c r="B4" s="236" t="s">
        <v>8</v>
      </c>
      <c r="C4" s="239" t="s">
        <v>44</v>
      </c>
      <c r="D4" s="95" t="s">
        <v>33</v>
      </c>
      <c r="E4" s="95" t="s">
        <v>33</v>
      </c>
      <c r="F4" s="229" t="s">
        <v>15</v>
      </c>
      <c r="G4" s="229" t="s">
        <v>45</v>
      </c>
      <c r="H4" s="229" t="s">
        <v>46</v>
      </c>
      <c r="I4" s="229" t="s">
        <v>6</v>
      </c>
      <c r="J4" s="229" t="s">
        <v>133</v>
      </c>
      <c r="K4" s="229" t="s">
        <v>47</v>
      </c>
      <c r="L4" s="229" t="s">
        <v>48</v>
      </c>
      <c r="M4" s="229" t="s">
        <v>49</v>
      </c>
      <c r="N4" s="229" t="s">
        <v>50</v>
      </c>
      <c r="O4" s="229" t="s">
        <v>51</v>
      </c>
      <c r="P4" s="229" t="s">
        <v>52</v>
      </c>
      <c r="Q4" s="229" t="s">
        <v>6</v>
      </c>
    </row>
    <row r="5" spans="1:17" ht="18.75" customHeight="1">
      <c r="A5" s="237"/>
      <c r="B5" s="237"/>
      <c r="C5" s="240"/>
      <c r="D5" s="96" t="s">
        <v>121</v>
      </c>
      <c r="E5" s="96" t="s">
        <v>122</v>
      </c>
      <c r="F5" s="230"/>
      <c r="G5" s="230"/>
      <c r="H5" s="230"/>
      <c r="I5" s="230"/>
      <c r="J5" s="230"/>
      <c r="K5" s="230"/>
      <c r="L5" s="230"/>
      <c r="M5" s="230"/>
      <c r="N5" s="230"/>
      <c r="O5" s="230"/>
      <c r="P5" s="230"/>
      <c r="Q5" s="230"/>
    </row>
    <row r="6" spans="1:17">
      <c r="A6" s="238"/>
      <c r="B6" s="238"/>
      <c r="C6" s="246" t="s">
        <v>35</v>
      </c>
      <c r="D6" s="247"/>
      <c r="E6" s="247"/>
      <c r="F6" s="247"/>
      <c r="G6" s="247"/>
      <c r="H6" s="247"/>
      <c r="I6" s="247"/>
      <c r="J6" s="247"/>
      <c r="K6" s="247"/>
      <c r="L6" s="247"/>
      <c r="M6" s="247"/>
      <c r="N6" s="247"/>
      <c r="O6" s="247"/>
      <c r="P6" s="247"/>
      <c r="Q6" s="248"/>
    </row>
    <row r="7" spans="1:17" ht="21" customHeight="1">
      <c r="A7" s="241">
        <v>1</v>
      </c>
      <c r="B7" s="243" t="s">
        <v>9</v>
      </c>
      <c r="C7" s="97" t="s">
        <v>53</v>
      </c>
      <c r="D7" s="98">
        <v>0</v>
      </c>
      <c r="E7" s="99">
        <v>0</v>
      </c>
      <c r="F7" s="98">
        <v>0</v>
      </c>
      <c r="G7" s="98">
        <v>0</v>
      </c>
      <c r="H7" s="98">
        <v>0</v>
      </c>
      <c r="I7" s="100">
        <f>SUM(G7:H7)</f>
        <v>0</v>
      </c>
      <c r="J7" s="98">
        <f>ROUND(I7*1.6,0)</f>
        <v>0</v>
      </c>
      <c r="K7" s="98">
        <v>0</v>
      </c>
      <c r="L7" s="98">
        <v>0</v>
      </c>
      <c r="M7" s="98">
        <v>0</v>
      </c>
      <c r="N7" s="98">
        <v>0</v>
      </c>
      <c r="O7" s="98">
        <v>0</v>
      </c>
      <c r="P7" s="98">
        <v>0</v>
      </c>
      <c r="Q7" s="100">
        <f>SUM(F7+I7+J7+K7+L7+M7+N7+O7+P7)</f>
        <v>0</v>
      </c>
    </row>
    <row r="8" spans="1:17" ht="20.25">
      <c r="A8" s="242"/>
      <c r="B8" s="244"/>
      <c r="C8" s="97" t="s">
        <v>54</v>
      </c>
      <c r="D8" s="98">
        <v>0</v>
      </c>
      <c r="E8" s="99">
        <v>0</v>
      </c>
      <c r="F8" s="98">
        <v>0</v>
      </c>
      <c r="G8" s="98">
        <v>0</v>
      </c>
      <c r="H8" s="98">
        <v>0</v>
      </c>
      <c r="I8" s="100">
        <f t="shared" ref="I8:I13" si="0">SUM(G8:H8)</f>
        <v>0</v>
      </c>
      <c r="J8" s="98">
        <f t="shared" ref="J8:J13" si="1">ROUND(I8*1.6,0)</f>
        <v>0</v>
      </c>
      <c r="K8" s="98">
        <v>0</v>
      </c>
      <c r="L8" s="98">
        <v>0</v>
      </c>
      <c r="M8" s="98">
        <v>0</v>
      </c>
      <c r="N8" s="98">
        <v>0</v>
      </c>
      <c r="O8" s="98">
        <v>0</v>
      </c>
      <c r="P8" s="98">
        <v>0</v>
      </c>
      <c r="Q8" s="100">
        <f t="shared" ref="Q8:Q13" si="2">SUM(F8+I8+J8+K8+L8+M8+N8+O8+P8)</f>
        <v>0</v>
      </c>
    </row>
    <row r="9" spans="1:17" ht="20.25">
      <c r="A9" s="241">
        <v>2</v>
      </c>
      <c r="B9" s="243" t="s">
        <v>10</v>
      </c>
      <c r="C9" s="101" t="s">
        <v>55</v>
      </c>
      <c r="D9" s="98">
        <v>0</v>
      </c>
      <c r="E9" s="99">
        <v>0</v>
      </c>
      <c r="F9" s="98">
        <v>0</v>
      </c>
      <c r="G9" s="98">
        <v>0</v>
      </c>
      <c r="H9" s="98">
        <v>0</v>
      </c>
      <c r="I9" s="100">
        <f t="shared" si="0"/>
        <v>0</v>
      </c>
      <c r="J9" s="98">
        <f t="shared" si="1"/>
        <v>0</v>
      </c>
      <c r="K9" s="98">
        <v>0</v>
      </c>
      <c r="L9" s="98">
        <v>0</v>
      </c>
      <c r="M9" s="98">
        <v>0</v>
      </c>
      <c r="N9" s="98">
        <v>0</v>
      </c>
      <c r="O9" s="98">
        <v>0</v>
      </c>
      <c r="P9" s="98">
        <v>0</v>
      </c>
      <c r="Q9" s="100">
        <f t="shared" si="2"/>
        <v>0</v>
      </c>
    </row>
    <row r="10" spans="1:17" ht="20.25">
      <c r="A10" s="242"/>
      <c r="B10" s="245"/>
      <c r="C10" s="101" t="s">
        <v>56</v>
      </c>
      <c r="D10" s="98">
        <v>0</v>
      </c>
      <c r="E10" s="99">
        <v>0</v>
      </c>
      <c r="F10" s="98">
        <v>0</v>
      </c>
      <c r="G10" s="98">
        <v>0</v>
      </c>
      <c r="H10" s="98">
        <v>0</v>
      </c>
      <c r="I10" s="100">
        <f>SUM(G10:H10)</f>
        <v>0</v>
      </c>
      <c r="J10" s="98">
        <f t="shared" si="1"/>
        <v>0</v>
      </c>
      <c r="K10" s="98">
        <v>0</v>
      </c>
      <c r="L10" s="98">
        <v>0</v>
      </c>
      <c r="M10" s="98">
        <v>0</v>
      </c>
      <c r="N10" s="98">
        <v>0</v>
      </c>
      <c r="O10" s="98">
        <v>0</v>
      </c>
      <c r="P10" s="98">
        <v>0</v>
      </c>
      <c r="Q10" s="100">
        <f>SUM(F10+I10+J10+K10+L10+M10+N10+O10+P10)</f>
        <v>0</v>
      </c>
    </row>
    <row r="11" spans="1:17" ht="20.25">
      <c r="A11" s="242"/>
      <c r="B11" s="245"/>
      <c r="C11" s="101" t="s">
        <v>58</v>
      </c>
      <c r="D11" s="98">
        <v>0</v>
      </c>
      <c r="E11" s="99">
        <v>0</v>
      </c>
      <c r="F11" s="98">
        <v>0</v>
      </c>
      <c r="G11" s="98">
        <v>0</v>
      </c>
      <c r="H11" s="98">
        <v>0</v>
      </c>
      <c r="I11" s="100">
        <f t="shared" si="0"/>
        <v>0</v>
      </c>
      <c r="J11" s="98">
        <f t="shared" si="1"/>
        <v>0</v>
      </c>
      <c r="K11" s="98">
        <v>0</v>
      </c>
      <c r="L11" s="98">
        <v>0</v>
      </c>
      <c r="M11" s="98">
        <v>0</v>
      </c>
      <c r="N11" s="98">
        <v>0</v>
      </c>
      <c r="O11" s="98">
        <v>0</v>
      </c>
      <c r="P11" s="98">
        <v>0</v>
      </c>
      <c r="Q11" s="100">
        <f t="shared" si="2"/>
        <v>0</v>
      </c>
    </row>
    <row r="12" spans="1:17" ht="20.25">
      <c r="A12" s="242"/>
      <c r="B12" s="245"/>
      <c r="C12" s="101" t="s">
        <v>57</v>
      </c>
      <c r="D12" s="98">
        <v>0</v>
      </c>
      <c r="E12" s="99">
        <v>0</v>
      </c>
      <c r="F12" s="98">
        <v>0</v>
      </c>
      <c r="G12" s="98">
        <v>0</v>
      </c>
      <c r="H12" s="98">
        <v>0</v>
      </c>
      <c r="I12" s="100">
        <f t="shared" si="0"/>
        <v>0</v>
      </c>
      <c r="J12" s="98">
        <f t="shared" si="1"/>
        <v>0</v>
      </c>
      <c r="K12" s="98">
        <v>0</v>
      </c>
      <c r="L12" s="98">
        <v>0</v>
      </c>
      <c r="M12" s="98">
        <v>0</v>
      </c>
      <c r="N12" s="98">
        <v>0</v>
      </c>
      <c r="O12" s="98">
        <v>0</v>
      </c>
      <c r="P12" s="98">
        <v>0</v>
      </c>
      <c r="Q12" s="100">
        <f t="shared" si="2"/>
        <v>0</v>
      </c>
    </row>
    <row r="13" spans="1:17" ht="20.25">
      <c r="A13" s="102">
        <v>3</v>
      </c>
      <c r="B13" s="103" t="s">
        <v>11</v>
      </c>
      <c r="C13" s="104" t="s">
        <v>59</v>
      </c>
      <c r="D13" s="98">
        <v>0</v>
      </c>
      <c r="E13" s="99">
        <v>0</v>
      </c>
      <c r="F13" s="98">
        <v>0</v>
      </c>
      <c r="G13" s="98">
        <v>0</v>
      </c>
      <c r="H13" s="98">
        <v>0</v>
      </c>
      <c r="I13" s="100">
        <f t="shared" si="0"/>
        <v>0</v>
      </c>
      <c r="J13" s="98">
        <f t="shared" si="1"/>
        <v>0</v>
      </c>
      <c r="K13" s="98">
        <v>0</v>
      </c>
      <c r="L13" s="98">
        <v>0</v>
      </c>
      <c r="M13" s="98">
        <v>0</v>
      </c>
      <c r="N13" s="98">
        <v>0</v>
      </c>
      <c r="O13" s="98">
        <v>0</v>
      </c>
      <c r="P13" s="98">
        <v>0</v>
      </c>
      <c r="Q13" s="100">
        <f t="shared" si="2"/>
        <v>0</v>
      </c>
    </row>
    <row r="14" spans="1:17" s="38" customFormat="1" ht="21" thickBot="1">
      <c r="A14" s="105" t="s">
        <v>0</v>
      </c>
      <c r="B14" s="106" t="s">
        <v>60</v>
      </c>
      <c r="C14" s="107" t="s">
        <v>6</v>
      </c>
      <c r="D14" s="108">
        <f t="shared" ref="D14:Q14" si="3">SUM(D7:D13)</f>
        <v>0</v>
      </c>
      <c r="E14" s="108">
        <f t="shared" si="3"/>
        <v>0</v>
      </c>
      <c r="F14" s="108">
        <f t="shared" si="3"/>
        <v>0</v>
      </c>
      <c r="G14" s="108">
        <f t="shared" si="3"/>
        <v>0</v>
      </c>
      <c r="H14" s="108">
        <f t="shared" si="3"/>
        <v>0</v>
      </c>
      <c r="I14" s="108">
        <f t="shared" si="3"/>
        <v>0</v>
      </c>
      <c r="J14" s="108">
        <f t="shared" si="3"/>
        <v>0</v>
      </c>
      <c r="K14" s="108">
        <f t="shared" si="3"/>
        <v>0</v>
      </c>
      <c r="L14" s="108">
        <f t="shared" si="3"/>
        <v>0</v>
      </c>
      <c r="M14" s="108">
        <f t="shared" si="3"/>
        <v>0</v>
      </c>
      <c r="N14" s="108">
        <f t="shared" si="3"/>
        <v>0</v>
      </c>
      <c r="O14" s="108">
        <f t="shared" si="3"/>
        <v>0</v>
      </c>
      <c r="P14" s="108">
        <f t="shared" si="3"/>
        <v>0</v>
      </c>
      <c r="Q14" s="108">
        <f t="shared" si="3"/>
        <v>0</v>
      </c>
    </row>
    <row r="15" spans="1:17" ht="18.75" thickTop="1">
      <c r="A15" s="109"/>
      <c r="B15" s="110"/>
      <c r="C15" s="111"/>
      <c r="D15" s="112"/>
      <c r="E15" s="112"/>
      <c r="F15" s="112"/>
      <c r="G15" s="112"/>
      <c r="H15" s="112"/>
      <c r="I15" s="112"/>
      <c r="J15" s="112"/>
      <c r="K15" s="112"/>
      <c r="L15" s="112"/>
      <c r="M15" s="112"/>
      <c r="N15" s="112"/>
      <c r="O15" s="112"/>
      <c r="P15" s="112"/>
      <c r="Q15" s="112"/>
    </row>
    <row r="16" spans="1:17">
      <c r="A16" s="231" t="s">
        <v>113</v>
      </c>
      <c r="B16" s="231"/>
      <c r="C16" s="231"/>
      <c r="D16" s="231"/>
      <c r="E16" s="231"/>
      <c r="F16" s="231"/>
      <c r="G16" s="231"/>
      <c r="H16" s="231"/>
      <c r="I16" s="231"/>
      <c r="J16" s="231"/>
      <c r="K16" s="231"/>
      <c r="L16" s="231"/>
      <c r="M16" s="231"/>
      <c r="N16" s="231"/>
      <c r="O16" s="231"/>
      <c r="P16" s="231"/>
      <c r="Q16" s="231"/>
    </row>
    <row r="17" spans="1:17">
      <c r="A17" s="232" t="s">
        <v>32</v>
      </c>
      <c r="B17" s="233"/>
      <c r="C17" s="233"/>
      <c r="D17" s="233"/>
      <c r="E17" s="233"/>
      <c r="F17" s="233"/>
      <c r="G17" s="233"/>
      <c r="H17" s="233"/>
      <c r="I17" s="233"/>
      <c r="J17" s="233"/>
      <c r="K17" s="233"/>
      <c r="L17" s="233"/>
      <c r="M17" s="233"/>
      <c r="N17" s="233"/>
      <c r="O17" s="233"/>
      <c r="P17" s="233"/>
      <c r="Q17" s="233"/>
    </row>
    <row r="18" spans="1:17" ht="23.25">
      <c r="A18" s="92" t="s">
        <v>42</v>
      </c>
      <c r="B18" s="93"/>
      <c r="C18" s="93"/>
      <c r="D18" s="94"/>
      <c r="E18" s="94"/>
      <c r="F18" s="94"/>
      <c r="G18" s="94"/>
      <c r="H18" s="94"/>
      <c r="I18" s="94"/>
      <c r="J18" s="94"/>
      <c r="K18" s="94"/>
      <c r="L18" s="94"/>
      <c r="M18" s="94"/>
      <c r="N18" s="94"/>
      <c r="O18" s="234" t="s">
        <v>1</v>
      </c>
      <c r="P18" s="235"/>
      <c r="Q18" s="235"/>
    </row>
    <row r="19" spans="1:17" ht="18.75" customHeight="1">
      <c r="A19" s="236" t="s">
        <v>43</v>
      </c>
      <c r="B19" s="236" t="s">
        <v>8</v>
      </c>
      <c r="C19" s="239" t="s">
        <v>44</v>
      </c>
      <c r="D19" s="95" t="s">
        <v>33</v>
      </c>
      <c r="E19" s="95" t="s">
        <v>33</v>
      </c>
      <c r="F19" s="229" t="s">
        <v>15</v>
      </c>
      <c r="G19" s="229" t="s">
        <v>45</v>
      </c>
      <c r="H19" s="229" t="s">
        <v>46</v>
      </c>
      <c r="I19" s="229" t="s">
        <v>6</v>
      </c>
      <c r="J19" s="229" t="s">
        <v>133</v>
      </c>
      <c r="K19" s="229" t="s">
        <v>47</v>
      </c>
      <c r="L19" s="229" t="s">
        <v>48</v>
      </c>
      <c r="M19" s="229" t="s">
        <v>49</v>
      </c>
      <c r="N19" s="229" t="s">
        <v>50</v>
      </c>
      <c r="O19" s="229" t="s">
        <v>51</v>
      </c>
      <c r="P19" s="229" t="s">
        <v>52</v>
      </c>
      <c r="Q19" s="229" t="s">
        <v>6</v>
      </c>
    </row>
    <row r="20" spans="1:17" ht="18.75" customHeight="1">
      <c r="A20" s="237"/>
      <c r="B20" s="237"/>
      <c r="C20" s="240"/>
      <c r="D20" s="96" t="s">
        <v>121</v>
      </c>
      <c r="E20" s="96" t="s">
        <v>122</v>
      </c>
      <c r="F20" s="230"/>
      <c r="G20" s="230"/>
      <c r="H20" s="230"/>
      <c r="I20" s="230"/>
      <c r="J20" s="230"/>
      <c r="K20" s="230"/>
      <c r="L20" s="230"/>
      <c r="M20" s="230"/>
      <c r="N20" s="230"/>
      <c r="O20" s="230"/>
      <c r="P20" s="230"/>
      <c r="Q20" s="230"/>
    </row>
    <row r="21" spans="1:17">
      <c r="A21" s="238"/>
      <c r="B21" s="238"/>
      <c r="C21" s="246" t="s">
        <v>36</v>
      </c>
      <c r="D21" s="247"/>
      <c r="E21" s="247"/>
      <c r="F21" s="247"/>
      <c r="G21" s="247"/>
      <c r="H21" s="247"/>
      <c r="I21" s="247"/>
      <c r="J21" s="247"/>
      <c r="K21" s="247"/>
      <c r="L21" s="247"/>
      <c r="M21" s="247"/>
      <c r="N21" s="247"/>
      <c r="O21" s="247"/>
      <c r="P21" s="247"/>
      <c r="Q21" s="248"/>
    </row>
    <row r="22" spans="1:17" ht="21" customHeight="1">
      <c r="A22" s="241">
        <v>1</v>
      </c>
      <c r="B22" s="243" t="s">
        <v>9</v>
      </c>
      <c r="C22" s="97" t="s">
        <v>53</v>
      </c>
      <c r="D22" s="98">
        <v>0</v>
      </c>
      <c r="E22" s="99">
        <v>0</v>
      </c>
      <c r="F22" s="98">
        <v>0</v>
      </c>
      <c r="G22" s="98">
        <v>0</v>
      </c>
      <c r="H22" s="98">
        <v>0</v>
      </c>
      <c r="I22" s="100">
        <f t="shared" ref="I22:I28" si="4">SUM(G22:H22)</f>
        <v>0</v>
      </c>
      <c r="J22" s="98">
        <f>ROUND(I22*1.6,0)</f>
        <v>0</v>
      </c>
      <c r="K22" s="98">
        <v>0</v>
      </c>
      <c r="L22" s="98">
        <v>0</v>
      </c>
      <c r="M22" s="98">
        <v>0</v>
      </c>
      <c r="N22" s="98">
        <v>0</v>
      </c>
      <c r="O22" s="98">
        <v>0</v>
      </c>
      <c r="P22" s="98">
        <v>0</v>
      </c>
      <c r="Q22" s="100">
        <f t="shared" ref="Q22:Q28" si="5">SUM(F22+I22+J22+K22+L22+M22+N22+O22+P22)</f>
        <v>0</v>
      </c>
    </row>
    <row r="23" spans="1:17" ht="20.25">
      <c r="A23" s="242"/>
      <c r="B23" s="244"/>
      <c r="C23" s="97" t="s">
        <v>54</v>
      </c>
      <c r="D23" s="98">
        <v>0</v>
      </c>
      <c r="E23" s="99">
        <v>0</v>
      </c>
      <c r="F23" s="98">
        <v>0</v>
      </c>
      <c r="G23" s="98">
        <v>0</v>
      </c>
      <c r="H23" s="98">
        <v>0</v>
      </c>
      <c r="I23" s="100">
        <f t="shared" si="4"/>
        <v>0</v>
      </c>
      <c r="J23" s="98">
        <f t="shared" ref="J23:J28" si="6">ROUND(I23*1.6,0)</f>
        <v>0</v>
      </c>
      <c r="K23" s="98">
        <v>0</v>
      </c>
      <c r="L23" s="98">
        <v>0</v>
      </c>
      <c r="M23" s="98">
        <v>0</v>
      </c>
      <c r="N23" s="98">
        <v>0</v>
      </c>
      <c r="O23" s="98">
        <v>0</v>
      </c>
      <c r="P23" s="98">
        <v>0</v>
      </c>
      <c r="Q23" s="100">
        <f t="shared" si="5"/>
        <v>0</v>
      </c>
    </row>
    <row r="24" spans="1:17" ht="20.25">
      <c r="A24" s="241">
        <v>2</v>
      </c>
      <c r="B24" s="243" t="s">
        <v>10</v>
      </c>
      <c r="C24" s="101" t="s">
        <v>55</v>
      </c>
      <c r="D24" s="98">
        <v>0</v>
      </c>
      <c r="E24" s="99">
        <v>0</v>
      </c>
      <c r="F24" s="98">
        <v>0</v>
      </c>
      <c r="G24" s="98">
        <v>0</v>
      </c>
      <c r="H24" s="98">
        <v>0</v>
      </c>
      <c r="I24" s="100">
        <f t="shared" si="4"/>
        <v>0</v>
      </c>
      <c r="J24" s="98">
        <f t="shared" si="6"/>
        <v>0</v>
      </c>
      <c r="K24" s="98">
        <v>0</v>
      </c>
      <c r="L24" s="98">
        <v>0</v>
      </c>
      <c r="M24" s="98">
        <v>0</v>
      </c>
      <c r="N24" s="98">
        <v>0</v>
      </c>
      <c r="O24" s="98">
        <v>0</v>
      </c>
      <c r="P24" s="98">
        <v>0</v>
      </c>
      <c r="Q24" s="100">
        <f t="shared" si="5"/>
        <v>0</v>
      </c>
    </row>
    <row r="25" spans="1:17" ht="20.25">
      <c r="A25" s="242"/>
      <c r="B25" s="245"/>
      <c r="C25" s="101" t="s">
        <v>56</v>
      </c>
      <c r="D25" s="98">
        <v>0</v>
      </c>
      <c r="E25" s="99">
        <v>0</v>
      </c>
      <c r="F25" s="98">
        <v>0</v>
      </c>
      <c r="G25" s="98">
        <v>0</v>
      </c>
      <c r="H25" s="98">
        <v>0</v>
      </c>
      <c r="I25" s="100">
        <f t="shared" si="4"/>
        <v>0</v>
      </c>
      <c r="J25" s="98">
        <f t="shared" si="6"/>
        <v>0</v>
      </c>
      <c r="K25" s="98">
        <v>0</v>
      </c>
      <c r="L25" s="98">
        <v>0</v>
      </c>
      <c r="M25" s="98">
        <v>0</v>
      </c>
      <c r="N25" s="98">
        <v>0</v>
      </c>
      <c r="O25" s="98">
        <v>0</v>
      </c>
      <c r="P25" s="98">
        <v>0</v>
      </c>
      <c r="Q25" s="100">
        <f t="shared" si="5"/>
        <v>0</v>
      </c>
    </row>
    <row r="26" spans="1:17" ht="20.25">
      <c r="A26" s="242"/>
      <c r="B26" s="245"/>
      <c r="C26" s="101" t="s">
        <v>58</v>
      </c>
      <c r="D26" s="98">
        <v>0</v>
      </c>
      <c r="E26" s="99">
        <v>0</v>
      </c>
      <c r="F26" s="98">
        <v>0</v>
      </c>
      <c r="G26" s="98">
        <v>0</v>
      </c>
      <c r="H26" s="98">
        <v>0</v>
      </c>
      <c r="I26" s="100">
        <f t="shared" si="4"/>
        <v>0</v>
      </c>
      <c r="J26" s="98">
        <f t="shared" si="6"/>
        <v>0</v>
      </c>
      <c r="K26" s="98">
        <v>0</v>
      </c>
      <c r="L26" s="98">
        <v>0</v>
      </c>
      <c r="M26" s="98">
        <v>0</v>
      </c>
      <c r="N26" s="98">
        <v>0</v>
      </c>
      <c r="O26" s="98">
        <v>0</v>
      </c>
      <c r="P26" s="98">
        <v>0</v>
      </c>
      <c r="Q26" s="100">
        <f t="shared" si="5"/>
        <v>0</v>
      </c>
    </row>
    <row r="27" spans="1:17" ht="20.25">
      <c r="A27" s="242"/>
      <c r="B27" s="245"/>
      <c r="C27" s="101" t="s">
        <v>57</v>
      </c>
      <c r="D27" s="98">
        <v>0</v>
      </c>
      <c r="E27" s="99">
        <v>0</v>
      </c>
      <c r="F27" s="98">
        <v>0</v>
      </c>
      <c r="G27" s="98">
        <v>0</v>
      </c>
      <c r="H27" s="98">
        <v>0</v>
      </c>
      <c r="I27" s="100">
        <f t="shared" si="4"/>
        <v>0</v>
      </c>
      <c r="J27" s="98">
        <f t="shared" si="6"/>
        <v>0</v>
      </c>
      <c r="K27" s="98">
        <v>0</v>
      </c>
      <c r="L27" s="98">
        <v>0</v>
      </c>
      <c r="M27" s="98">
        <v>0</v>
      </c>
      <c r="N27" s="98">
        <v>0</v>
      </c>
      <c r="O27" s="98">
        <v>0</v>
      </c>
      <c r="P27" s="98">
        <v>0</v>
      </c>
      <c r="Q27" s="100">
        <f t="shared" si="5"/>
        <v>0</v>
      </c>
    </row>
    <row r="28" spans="1:17" ht="20.25">
      <c r="A28" s="102">
        <v>3</v>
      </c>
      <c r="B28" s="103" t="s">
        <v>11</v>
      </c>
      <c r="C28" s="104" t="s">
        <v>59</v>
      </c>
      <c r="D28" s="98">
        <v>0</v>
      </c>
      <c r="E28" s="99">
        <v>0</v>
      </c>
      <c r="F28" s="98">
        <v>0</v>
      </c>
      <c r="G28" s="98">
        <v>0</v>
      </c>
      <c r="H28" s="98">
        <v>0</v>
      </c>
      <c r="I28" s="100">
        <f t="shared" si="4"/>
        <v>0</v>
      </c>
      <c r="J28" s="98">
        <f t="shared" si="6"/>
        <v>0</v>
      </c>
      <c r="K28" s="98">
        <v>0</v>
      </c>
      <c r="L28" s="98">
        <v>0</v>
      </c>
      <c r="M28" s="98">
        <v>0</v>
      </c>
      <c r="N28" s="98">
        <v>0</v>
      </c>
      <c r="O28" s="98">
        <v>0</v>
      </c>
      <c r="P28" s="98">
        <v>0</v>
      </c>
      <c r="Q28" s="100">
        <f t="shared" si="5"/>
        <v>0</v>
      </c>
    </row>
    <row r="29" spans="1:17" s="38" customFormat="1" ht="21" thickBot="1">
      <c r="A29" s="105" t="s">
        <v>0</v>
      </c>
      <c r="B29" s="106" t="s">
        <v>60</v>
      </c>
      <c r="C29" s="107" t="s">
        <v>6</v>
      </c>
      <c r="D29" s="108">
        <f t="shared" ref="D29:Q29" si="7">SUM(D22:D28)</f>
        <v>0</v>
      </c>
      <c r="E29" s="108">
        <f t="shared" si="7"/>
        <v>0</v>
      </c>
      <c r="F29" s="108">
        <f t="shared" si="7"/>
        <v>0</v>
      </c>
      <c r="G29" s="108">
        <f t="shared" si="7"/>
        <v>0</v>
      </c>
      <c r="H29" s="108">
        <f t="shared" si="7"/>
        <v>0</v>
      </c>
      <c r="I29" s="108">
        <f t="shared" si="7"/>
        <v>0</v>
      </c>
      <c r="J29" s="108">
        <f t="shared" si="7"/>
        <v>0</v>
      </c>
      <c r="K29" s="108">
        <f t="shared" si="7"/>
        <v>0</v>
      </c>
      <c r="L29" s="108">
        <f t="shared" si="7"/>
        <v>0</v>
      </c>
      <c r="M29" s="108">
        <f t="shared" si="7"/>
        <v>0</v>
      </c>
      <c r="N29" s="108">
        <f t="shared" si="7"/>
        <v>0</v>
      </c>
      <c r="O29" s="108">
        <f t="shared" si="7"/>
        <v>0</v>
      </c>
      <c r="P29" s="108">
        <f t="shared" si="7"/>
        <v>0</v>
      </c>
      <c r="Q29" s="108">
        <f t="shared" si="7"/>
        <v>0</v>
      </c>
    </row>
    <row r="30" spans="1:17" ht="18.75" thickTop="1">
      <c r="A30" s="113"/>
      <c r="B30" s="114"/>
      <c r="C30" s="113"/>
      <c r="D30" s="115"/>
      <c r="E30" s="115"/>
      <c r="F30" s="115"/>
      <c r="G30" s="115"/>
      <c r="H30" s="115"/>
      <c r="I30" s="115"/>
      <c r="J30" s="115"/>
      <c r="K30" s="115"/>
      <c r="L30" s="115"/>
      <c r="M30" s="115"/>
      <c r="N30" s="115"/>
      <c r="O30" s="115"/>
      <c r="P30" s="115"/>
      <c r="Q30" s="115"/>
    </row>
    <row r="31" spans="1:17">
      <c r="A31" s="209" t="s">
        <v>144</v>
      </c>
      <c r="B31" s="210"/>
      <c r="C31" s="210"/>
      <c r="D31" s="210"/>
      <c r="E31" s="210"/>
      <c r="F31" s="210"/>
      <c r="G31" s="210"/>
      <c r="H31" s="210"/>
      <c r="I31" s="210"/>
      <c r="J31" s="210"/>
      <c r="K31" s="210"/>
      <c r="L31" s="210"/>
      <c r="M31" s="210"/>
      <c r="N31" s="210"/>
      <c r="O31" s="210"/>
      <c r="P31" s="210"/>
      <c r="Q31" s="210"/>
    </row>
    <row r="32" spans="1:17">
      <c r="A32" s="211" t="s">
        <v>32</v>
      </c>
      <c r="B32" s="212"/>
      <c r="C32" s="212"/>
      <c r="D32" s="212"/>
      <c r="E32" s="212"/>
      <c r="F32" s="212"/>
      <c r="G32" s="212"/>
      <c r="H32" s="212"/>
      <c r="I32" s="212"/>
      <c r="J32" s="212"/>
      <c r="K32" s="212"/>
      <c r="L32" s="212"/>
      <c r="M32" s="212"/>
      <c r="N32" s="212"/>
      <c r="O32" s="212"/>
      <c r="P32" s="212"/>
      <c r="Q32" s="212"/>
    </row>
    <row r="33" spans="1:19" ht="23.25">
      <c r="A33" s="59" t="s">
        <v>61</v>
      </c>
      <c r="B33" s="60"/>
      <c r="C33" s="60"/>
      <c r="D33" s="28"/>
      <c r="E33" s="28"/>
      <c r="F33" s="28"/>
      <c r="G33" s="28"/>
      <c r="H33" s="28"/>
      <c r="I33" s="28"/>
      <c r="J33" s="28"/>
      <c r="K33" s="28"/>
      <c r="L33" s="28"/>
      <c r="M33" s="28"/>
      <c r="N33" s="28"/>
      <c r="O33" s="213" t="s">
        <v>1</v>
      </c>
      <c r="P33" s="214"/>
      <c r="Q33" s="214"/>
    </row>
    <row r="34" spans="1:19" ht="18.75" customHeight="1">
      <c r="A34" s="215" t="s">
        <v>43</v>
      </c>
      <c r="B34" s="215" t="s">
        <v>8</v>
      </c>
      <c r="C34" s="218" t="s">
        <v>44</v>
      </c>
      <c r="D34" s="61" t="s">
        <v>33</v>
      </c>
      <c r="E34" s="61" t="s">
        <v>33</v>
      </c>
      <c r="F34" s="207" t="s">
        <v>15</v>
      </c>
      <c r="G34" s="207" t="s">
        <v>45</v>
      </c>
      <c r="H34" s="207" t="s">
        <v>46</v>
      </c>
      <c r="I34" s="207" t="s">
        <v>6</v>
      </c>
      <c r="J34" s="207" t="s">
        <v>133</v>
      </c>
      <c r="K34" s="207" t="s">
        <v>47</v>
      </c>
      <c r="L34" s="207" t="s">
        <v>48</v>
      </c>
      <c r="M34" s="207" t="s">
        <v>49</v>
      </c>
      <c r="N34" s="207" t="s">
        <v>50</v>
      </c>
      <c r="O34" s="207" t="s">
        <v>51</v>
      </c>
      <c r="P34" s="207" t="s">
        <v>52</v>
      </c>
      <c r="Q34" s="207" t="s">
        <v>6</v>
      </c>
    </row>
    <row r="35" spans="1:19" ht="18.75" customHeight="1">
      <c r="A35" s="216"/>
      <c r="B35" s="216"/>
      <c r="C35" s="219"/>
      <c r="D35" s="62" t="s">
        <v>123</v>
      </c>
      <c r="E35" s="62" t="s">
        <v>129</v>
      </c>
      <c r="F35" s="220"/>
      <c r="G35" s="220"/>
      <c r="H35" s="220"/>
      <c r="I35" s="220"/>
      <c r="J35" s="220"/>
      <c r="K35" s="208"/>
      <c r="L35" s="208"/>
      <c r="M35" s="208"/>
      <c r="N35" s="208"/>
      <c r="O35" s="208"/>
      <c r="P35" s="208"/>
      <c r="Q35" s="208"/>
    </row>
    <row r="36" spans="1:19">
      <c r="A36" s="217"/>
      <c r="B36" s="217"/>
      <c r="C36" s="225" t="s">
        <v>35</v>
      </c>
      <c r="D36" s="226"/>
      <c r="E36" s="226"/>
      <c r="F36" s="226"/>
      <c r="G36" s="226"/>
      <c r="H36" s="226"/>
      <c r="I36" s="226"/>
      <c r="J36" s="226"/>
      <c r="K36" s="226"/>
      <c r="L36" s="226"/>
      <c r="M36" s="226"/>
      <c r="N36" s="226"/>
      <c r="O36" s="226"/>
      <c r="P36" s="226"/>
      <c r="Q36" s="227"/>
      <c r="S36" s="89"/>
    </row>
    <row r="37" spans="1:19" ht="21" customHeight="1">
      <c r="A37" s="221">
        <v>1</v>
      </c>
      <c r="B37" s="223" t="s">
        <v>9</v>
      </c>
      <c r="C37" s="63" t="s">
        <v>53</v>
      </c>
      <c r="D37" s="29">
        <v>1</v>
      </c>
      <c r="E37" s="71">
        <v>1</v>
      </c>
      <c r="F37" s="29">
        <v>0</v>
      </c>
      <c r="G37" s="29">
        <v>1304</v>
      </c>
      <c r="H37" s="29">
        <v>0</v>
      </c>
      <c r="I37" s="30">
        <f t="shared" ref="I37:I43" si="8">SUM(G37:H37)</f>
        <v>1304</v>
      </c>
      <c r="J37" s="180">
        <f>ROUND(I37*0.7,0)</f>
        <v>913</v>
      </c>
      <c r="K37" s="29">
        <v>4</v>
      </c>
      <c r="L37" s="180">
        <v>391</v>
      </c>
      <c r="M37" s="29">
        <v>36</v>
      </c>
      <c r="N37" s="29">
        <v>0</v>
      </c>
      <c r="O37" s="29">
        <v>0</v>
      </c>
      <c r="P37" s="29">
        <v>0</v>
      </c>
      <c r="Q37" s="30">
        <f t="shared" ref="Q37:Q43" si="9">SUM(F37+I37+J37+K37+L37+M37+N37+O37+P37)</f>
        <v>2648</v>
      </c>
      <c r="S37" s="90"/>
    </row>
    <row r="38" spans="1:19" ht="20.25">
      <c r="A38" s="222"/>
      <c r="B38" s="224"/>
      <c r="C38" s="63" t="s">
        <v>54</v>
      </c>
      <c r="D38" s="29">
        <v>0</v>
      </c>
      <c r="E38" s="71">
        <v>0</v>
      </c>
      <c r="F38" s="29">
        <v>0</v>
      </c>
      <c r="G38" s="29">
        <v>0</v>
      </c>
      <c r="H38" s="29">
        <v>0</v>
      </c>
      <c r="I38" s="30">
        <f t="shared" si="8"/>
        <v>0</v>
      </c>
      <c r="J38" s="180">
        <f t="shared" ref="J38:J43" si="10">ROUND(I38*0.7,0)</f>
        <v>0</v>
      </c>
      <c r="K38" s="29">
        <v>0</v>
      </c>
      <c r="L38" s="180">
        <f>ROUND(I38*0.27,0)</f>
        <v>0</v>
      </c>
      <c r="M38" s="29">
        <v>0</v>
      </c>
      <c r="N38" s="29">
        <v>0</v>
      </c>
      <c r="O38" s="29">
        <v>0</v>
      </c>
      <c r="P38" s="29">
        <v>0</v>
      </c>
      <c r="Q38" s="30">
        <f t="shared" si="9"/>
        <v>0</v>
      </c>
      <c r="S38" s="90"/>
    </row>
    <row r="39" spans="1:19" ht="20.25">
      <c r="A39" s="221">
        <v>2</v>
      </c>
      <c r="B39" s="223" t="s">
        <v>10</v>
      </c>
      <c r="C39" s="64" t="s">
        <v>55</v>
      </c>
      <c r="D39" s="29">
        <v>0</v>
      </c>
      <c r="E39" s="71">
        <v>0</v>
      </c>
      <c r="F39" s="29">
        <v>0</v>
      </c>
      <c r="G39" s="29">
        <v>0</v>
      </c>
      <c r="H39" s="29">
        <v>0</v>
      </c>
      <c r="I39" s="30">
        <f t="shared" si="8"/>
        <v>0</v>
      </c>
      <c r="J39" s="180">
        <f t="shared" si="10"/>
        <v>0</v>
      </c>
      <c r="K39" s="29">
        <v>0</v>
      </c>
      <c r="L39" s="180">
        <f>ROUND(I39*0.27,0)</f>
        <v>0</v>
      </c>
      <c r="M39" s="29">
        <v>0</v>
      </c>
      <c r="N39" s="29">
        <v>0</v>
      </c>
      <c r="O39" s="29">
        <v>0</v>
      </c>
      <c r="P39" s="29">
        <v>0</v>
      </c>
      <c r="Q39" s="30">
        <f t="shared" si="9"/>
        <v>0</v>
      </c>
      <c r="S39" s="90"/>
    </row>
    <row r="40" spans="1:19" ht="20.25">
      <c r="A40" s="222"/>
      <c r="B40" s="228"/>
      <c r="C40" s="64" t="s">
        <v>136</v>
      </c>
      <c r="D40" s="29">
        <v>0</v>
      </c>
      <c r="E40" s="71">
        <v>0</v>
      </c>
      <c r="F40" s="29">
        <v>0</v>
      </c>
      <c r="G40" s="29">
        <v>0</v>
      </c>
      <c r="H40" s="29">
        <v>0</v>
      </c>
      <c r="I40" s="30">
        <f t="shared" si="8"/>
        <v>0</v>
      </c>
      <c r="J40" s="180">
        <f t="shared" si="10"/>
        <v>0</v>
      </c>
      <c r="K40" s="29">
        <v>0</v>
      </c>
      <c r="L40" s="180">
        <f>ROUND(I40*0.27,0)</f>
        <v>0</v>
      </c>
      <c r="M40" s="29">
        <v>0</v>
      </c>
      <c r="N40" s="29">
        <v>0</v>
      </c>
      <c r="O40" s="29">
        <v>0</v>
      </c>
      <c r="P40" s="29">
        <v>0</v>
      </c>
      <c r="Q40" s="30">
        <f t="shared" si="9"/>
        <v>0</v>
      </c>
      <c r="S40" s="90"/>
    </row>
    <row r="41" spans="1:19" ht="20.25">
      <c r="A41" s="222"/>
      <c r="B41" s="228"/>
      <c r="C41" s="64" t="s">
        <v>137</v>
      </c>
      <c r="D41" s="29">
        <v>2</v>
      </c>
      <c r="E41" s="71">
        <v>2</v>
      </c>
      <c r="F41" s="29">
        <v>0</v>
      </c>
      <c r="G41" s="29">
        <v>568</v>
      </c>
      <c r="H41" s="29">
        <v>0</v>
      </c>
      <c r="I41" s="30">
        <f t="shared" si="8"/>
        <v>568</v>
      </c>
      <c r="J41" s="180">
        <f t="shared" si="10"/>
        <v>398</v>
      </c>
      <c r="K41" s="29">
        <v>4</v>
      </c>
      <c r="L41" s="180">
        <v>170</v>
      </c>
      <c r="M41" s="29">
        <v>24</v>
      </c>
      <c r="N41" s="29">
        <v>0</v>
      </c>
      <c r="O41" s="29">
        <v>0</v>
      </c>
      <c r="P41" s="29">
        <v>0</v>
      </c>
      <c r="Q41" s="30">
        <f t="shared" si="9"/>
        <v>1164</v>
      </c>
      <c r="S41" s="90"/>
    </row>
    <row r="42" spans="1:19" ht="20.25">
      <c r="A42" s="222"/>
      <c r="B42" s="228"/>
      <c r="C42" s="64" t="s">
        <v>57</v>
      </c>
      <c r="D42" s="29">
        <v>0</v>
      </c>
      <c r="E42" s="71">
        <v>0</v>
      </c>
      <c r="F42" s="29">
        <v>0</v>
      </c>
      <c r="G42" s="29">
        <v>0</v>
      </c>
      <c r="H42" s="29">
        <v>0</v>
      </c>
      <c r="I42" s="30">
        <f t="shared" si="8"/>
        <v>0</v>
      </c>
      <c r="J42" s="180">
        <f t="shared" si="10"/>
        <v>0</v>
      </c>
      <c r="K42" s="29">
        <v>0</v>
      </c>
      <c r="L42" s="180">
        <f>ROUND(I42*0.27,0)</f>
        <v>0</v>
      </c>
      <c r="M42" s="29">
        <v>0</v>
      </c>
      <c r="N42" s="29">
        <v>0</v>
      </c>
      <c r="O42" s="29">
        <v>0</v>
      </c>
      <c r="P42" s="29">
        <v>0</v>
      </c>
      <c r="Q42" s="30">
        <f t="shared" si="9"/>
        <v>0</v>
      </c>
      <c r="S42" s="90"/>
    </row>
    <row r="43" spans="1:19" ht="20.25">
      <c r="A43" s="65">
        <v>3</v>
      </c>
      <c r="B43" s="66" t="s">
        <v>11</v>
      </c>
      <c r="C43" s="67" t="s">
        <v>59</v>
      </c>
      <c r="D43" s="29">
        <v>2</v>
      </c>
      <c r="E43" s="71">
        <v>2</v>
      </c>
      <c r="F43" s="29">
        <v>0</v>
      </c>
      <c r="G43" s="29">
        <v>849</v>
      </c>
      <c r="H43" s="29">
        <v>0</v>
      </c>
      <c r="I43" s="30">
        <f t="shared" si="8"/>
        <v>849</v>
      </c>
      <c r="J43" s="180">
        <f t="shared" si="10"/>
        <v>594</v>
      </c>
      <c r="K43" s="29">
        <v>4</v>
      </c>
      <c r="L43" s="180">
        <v>255</v>
      </c>
      <c r="M43" s="29">
        <v>24</v>
      </c>
      <c r="N43" s="29">
        <v>2</v>
      </c>
      <c r="O43" s="29">
        <v>0</v>
      </c>
      <c r="P43" s="29">
        <v>0</v>
      </c>
      <c r="Q43" s="30">
        <f t="shared" si="9"/>
        <v>1728</v>
      </c>
      <c r="S43" s="90"/>
    </row>
    <row r="44" spans="1:19" s="38" customFormat="1" ht="21" thickBot="1">
      <c r="A44" s="68" t="s">
        <v>0</v>
      </c>
      <c r="B44" s="70" t="s">
        <v>60</v>
      </c>
      <c r="C44" s="69" t="s">
        <v>6</v>
      </c>
      <c r="D44" s="37">
        <f t="shared" ref="D44:Q44" si="11">SUM(D37:D43)</f>
        <v>5</v>
      </c>
      <c r="E44" s="37">
        <f t="shared" si="11"/>
        <v>5</v>
      </c>
      <c r="F44" s="37">
        <f t="shared" si="11"/>
        <v>0</v>
      </c>
      <c r="G44" s="37">
        <f t="shared" si="11"/>
        <v>2721</v>
      </c>
      <c r="H44" s="37">
        <f t="shared" si="11"/>
        <v>0</v>
      </c>
      <c r="I44" s="37">
        <f t="shared" si="11"/>
        <v>2721</v>
      </c>
      <c r="J44" s="37">
        <f t="shared" si="11"/>
        <v>1905</v>
      </c>
      <c r="K44" s="37">
        <f t="shared" si="11"/>
        <v>12</v>
      </c>
      <c r="L44" s="37">
        <f t="shared" si="11"/>
        <v>816</v>
      </c>
      <c r="M44" s="37">
        <f t="shared" si="11"/>
        <v>84</v>
      </c>
      <c r="N44" s="37">
        <f t="shared" si="11"/>
        <v>2</v>
      </c>
      <c r="O44" s="37">
        <f t="shared" si="11"/>
        <v>0</v>
      </c>
      <c r="P44" s="37">
        <f t="shared" si="11"/>
        <v>0</v>
      </c>
      <c r="Q44" s="37">
        <f t="shared" si="11"/>
        <v>5540</v>
      </c>
      <c r="S44" s="90"/>
    </row>
    <row r="45" spans="1:19" ht="18.75" thickTop="1">
      <c r="A45" s="31"/>
      <c r="B45" s="32"/>
      <c r="C45" s="33"/>
      <c r="D45" s="34"/>
      <c r="E45" s="34"/>
      <c r="F45" s="34"/>
      <c r="G45" s="34"/>
      <c r="H45" s="34"/>
      <c r="I45" s="34"/>
      <c r="J45" s="34"/>
      <c r="K45" s="34"/>
      <c r="L45" s="34"/>
      <c r="M45" s="34"/>
      <c r="N45" s="34"/>
      <c r="O45" s="34"/>
      <c r="P45" s="34"/>
      <c r="Q45" s="34"/>
      <c r="S45" s="90"/>
    </row>
    <row r="46" spans="1:19" ht="20.25">
      <c r="A46" s="209" t="s">
        <v>144</v>
      </c>
      <c r="B46" s="210"/>
      <c r="C46" s="210"/>
      <c r="D46" s="210"/>
      <c r="E46" s="210"/>
      <c r="F46" s="210"/>
      <c r="G46" s="210"/>
      <c r="H46" s="210"/>
      <c r="I46" s="210"/>
      <c r="J46" s="210"/>
      <c r="K46" s="210"/>
      <c r="L46" s="210"/>
      <c r="M46" s="210"/>
      <c r="N46" s="210"/>
      <c r="O46" s="210"/>
      <c r="P46" s="210"/>
      <c r="Q46" s="210"/>
      <c r="S46" s="91"/>
    </row>
    <row r="47" spans="1:19">
      <c r="A47" s="211" t="s">
        <v>32</v>
      </c>
      <c r="B47" s="212"/>
      <c r="C47" s="212"/>
      <c r="D47" s="212"/>
      <c r="E47" s="212"/>
      <c r="F47" s="212"/>
      <c r="G47" s="212"/>
      <c r="H47" s="212"/>
      <c r="I47" s="212"/>
      <c r="J47" s="212"/>
      <c r="K47" s="212"/>
      <c r="L47" s="212"/>
      <c r="M47" s="212"/>
      <c r="N47" s="212"/>
      <c r="O47" s="212"/>
      <c r="P47" s="212"/>
      <c r="Q47" s="212"/>
      <c r="S47" s="89"/>
    </row>
    <row r="48" spans="1:19" ht="23.25">
      <c r="A48" s="59" t="s">
        <v>61</v>
      </c>
      <c r="B48" s="60"/>
      <c r="C48" s="60"/>
      <c r="D48" s="28"/>
      <c r="E48" s="28"/>
      <c r="F48" s="28"/>
      <c r="G48" s="28"/>
      <c r="H48" s="28"/>
      <c r="I48" s="28"/>
      <c r="J48" s="28"/>
      <c r="K48" s="28"/>
      <c r="L48" s="28"/>
      <c r="M48" s="28"/>
      <c r="N48" s="28"/>
      <c r="O48" s="213" t="s">
        <v>1</v>
      </c>
      <c r="P48" s="214"/>
      <c r="Q48" s="214"/>
    </row>
    <row r="49" spans="1:17" ht="18.75" customHeight="1">
      <c r="A49" s="215" t="s">
        <v>43</v>
      </c>
      <c r="B49" s="215" t="s">
        <v>8</v>
      </c>
      <c r="C49" s="218" t="s">
        <v>44</v>
      </c>
      <c r="D49" s="61" t="s">
        <v>33</v>
      </c>
      <c r="E49" s="61" t="s">
        <v>33</v>
      </c>
      <c r="F49" s="207" t="s">
        <v>15</v>
      </c>
      <c r="G49" s="207" t="s">
        <v>45</v>
      </c>
      <c r="H49" s="207" t="s">
        <v>46</v>
      </c>
      <c r="I49" s="207" t="s">
        <v>6</v>
      </c>
      <c r="J49" s="207" t="s">
        <v>133</v>
      </c>
      <c r="K49" s="207" t="s">
        <v>47</v>
      </c>
      <c r="L49" s="207" t="s">
        <v>48</v>
      </c>
      <c r="M49" s="207" t="s">
        <v>49</v>
      </c>
      <c r="N49" s="207" t="s">
        <v>50</v>
      </c>
      <c r="O49" s="207" t="s">
        <v>51</v>
      </c>
      <c r="P49" s="207" t="s">
        <v>52</v>
      </c>
      <c r="Q49" s="207" t="s">
        <v>6</v>
      </c>
    </row>
    <row r="50" spans="1:17" ht="18.75" customHeight="1">
      <c r="A50" s="216"/>
      <c r="B50" s="216"/>
      <c r="C50" s="219"/>
      <c r="D50" s="62" t="s">
        <v>123</v>
      </c>
      <c r="E50" s="62" t="s">
        <v>129</v>
      </c>
      <c r="F50" s="220"/>
      <c r="G50" s="220"/>
      <c r="H50" s="220"/>
      <c r="I50" s="220"/>
      <c r="J50" s="220"/>
      <c r="K50" s="208"/>
      <c r="L50" s="208"/>
      <c r="M50" s="208"/>
      <c r="N50" s="208"/>
      <c r="O50" s="208"/>
      <c r="P50" s="208"/>
      <c r="Q50" s="208"/>
    </row>
    <row r="51" spans="1:17">
      <c r="A51" s="217"/>
      <c r="B51" s="217"/>
      <c r="C51" s="225" t="s">
        <v>36</v>
      </c>
      <c r="D51" s="226"/>
      <c r="E51" s="226"/>
      <c r="F51" s="226"/>
      <c r="G51" s="226"/>
      <c r="H51" s="226"/>
      <c r="I51" s="226"/>
      <c r="J51" s="226"/>
      <c r="K51" s="226"/>
      <c r="L51" s="226"/>
      <c r="M51" s="226"/>
      <c r="N51" s="226"/>
      <c r="O51" s="226"/>
      <c r="P51" s="226"/>
      <c r="Q51" s="227"/>
    </row>
    <row r="52" spans="1:17" ht="21" customHeight="1">
      <c r="A52" s="221">
        <v>1</v>
      </c>
      <c r="B52" s="223" t="s">
        <v>9</v>
      </c>
      <c r="C52" s="63" t="s">
        <v>53</v>
      </c>
      <c r="D52" s="29">
        <v>1</v>
      </c>
      <c r="E52" s="71">
        <v>1</v>
      </c>
      <c r="F52" s="29">
        <v>0</v>
      </c>
      <c r="G52" s="29">
        <v>2184</v>
      </c>
      <c r="H52" s="29">
        <v>0</v>
      </c>
      <c r="I52" s="30">
        <f t="shared" ref="I52:I58" si="12">SUM(G52:H52)</f>
        <v>2184</v>
      </c>
      <c r="J52" s="180">
        <f t="shared" ref="J52:J57" si="13">ROUND(I52*0.7,0)</f>
        <v>1529</v>
      </c>
      <c r="K52" s="180">
        <v>4</v>
      </c>
      <c r="L52" s="180">
        <v>655</v>
      </c>
      <c r="M52" s="29">
        <v>32</v>
      </c>
      <c r="N52" s="29">
        <v>0</v>
      </c>
      <c r="O52" s="29">
        <v>0</v>
      </c>
      <c r="P52" s="29">
        <v>0</v>
      </c>
      <c r="Q52" s="30">
        <f t="shared" ref="Q52:Q58" si="14">SUM(F52+I52+J52+K52+L52+M52+N52+O52+P52)</f>
        <v>4404</v>
      </c>
    </row>
    <row r="53" spans="1:17" ht="20.25">
      <c r="A53" s="222"/>
      <c r="B53" s="224"/>
      <c r="C53" s="63" t="s">
        <v>54</v>
      </c>
      <c r="D53" s="29">
        <v>2</v>
      </c>
      <c r="E53" s="71">
        <v>2</v>
      </c>
      <c r="F53" s="29">
        <v>0</v>
      </c>
      <c r="G53" s="29">
        <v>2685</v>
      </c>
      <c r="H53" s="29">
        <v>0</v>
      </c>
      <c r="I53" s="30">
        <f t="shared" si="12"/>
        <v>2685</v>
      </c>
      <c r="J53" s="180">
        <f t="shared" si="13"/>
        <v>1880</v>
      </c>
      <c r="K53" s="29">
        <v>6</v>
      </c>
      <c r="L53" s="180">
        <v>806</v>
      </c>
      <c r="M53" s="29">
        <v>48</v>
      </c>
      <c r="N53" s="29">
        <v>0</v>
      </c>
      <c r="O53" s="29">
        <v>0</v>
      </c>
      <c r="P53" s="29">
        <v>0</v>
      </c>
      <c r="Q53" s="30">
        <f t="shared" si="14"/>
        <v>5425</v>
      </c>
    </row>
    <row r="54" spans="1:17" ht="20.25">
      <c r="A54" s="221">
        <v>2</v>
      </c>
      <c r="B54" s="223" t="s">
        <v>10</v>
      </c>
      <c r="C54" s="64" t="s">
        <v>55</v>
      </c>
      <c r="D54" s="29">
        <v>2</v>
      </c>
      <c r="E54" s="71">
        <v>2</v>
      </c>
      <c r="F54" s="29">
        <v>0</v>
      </c>
      <c r="G54" s="29">
        <v>480</v>
      </c>
      <c r="H54" s="29">
        <v>0</v>
      </c>
      <c r="I54" s="30">
        <f t="shared" si="12"/>
        <v>480</v>
      </c>
      <c r="J54" s="180">
        <f t="shared" si="13"/>
        <v>336</v>
      </c>
      <c r="K54" s="29">
        <v>6</v>
      </c>
      <c r="L54" s="180">
        <v>144</v>
      </c>
      <c r="M54" s="29">
        <v>24</v>
      </c>
      <c r="N54" s="29">
        <v>0</v>
      </c>
      <c r="O54" s="29">
        <v>0</v>
      </c>
      <c r="P54" s="29">
        <v>0</v>
      </c>
      <c r="Q54" s="30">
        <f t="shared" si="14"/>
        <v>990</v>
      </c>
    </row>
    <row r="55" spans="1:17" ht="20.25">
      <c r="A55" s="222"/>
      <c r="B55" s="228"/>
      <c r="C55" s="64" t="s">
        <v>136</v>
      </c>
      <c r="D55" s="29">
        <v>4</v>
      </c>
      <c r="E55" s="71">
        <v>4</v>
      </c>
      <c r="F55" s="29">
        <v>0</v>
      </c>
      <c r="G55" s="29">
        <v>2845</v>
      </c>
      <c r="H55" s="29">
        <v>0</v>
      </c>
      <c r="I55" s="30">
        <f t="shared" si="12"/>
        <v>2845</v>
      </c>
      <c r="J55" s="180">
        <f t="shared" si="13"/>
        <v>1992</v>
      </c>
      <c r="K55" s="29">
        <v>9</v>
      </c>
      <c r="L55" s="180">
        <v>854</v>
      </c>
      <c r="M55" s="29">
        <v>48</v>
      </c>
      <c r="N55" s="29">
        <v>0</v>
      </c>
      <c r="O55" s="29">
        <v>0</v>
      </c>
      <c r="P55" s="29">
        <v>0</v>
      </c>
      <c r="Q55" s="30">
        <f t="shared" si="14"/>
        <v>5748</v>
      </c>
    </row>
    <row r="56" spans="1:17" ht="20.25">
      <c r="A56" s="222"/>
      <c r="B56" s="228"/>
      <c r="C56" s="64" t="s">
        <v>137</v>
      </c>
      <c r="D56" s="29">
        <v>2</v>
      </c>
      <c r="E56" s="71">
        <v>2</v>
      </c>
      <c r="F56" s="29">
        <v>0</v>
      </c>
      <c r="G56" s="29">
        <v>882</v>
      </c>
      <c r="H56" s="29">
        <v>0</v>
      </c>
      <c r="I56" s="30">
        <f t="shared" si="12"/>
        <v>882</v>
      </c>
      <c r="J56" s="180">
        <f t="shared" si="13"/>
        <v>617</v>
      </c>
      <c r="K56" s="29">
        <v>8</v>
      </c>
      <c r="L56" s="180">
        <v>265</v>
      </c>
      <c r="M56" s="29">
        <v>36</v>
      </c>
      <c r="N56" s="29">
        <v>0</v>
      </c>
      <c r="O56" s="29">
        <v>0</v>
      </c>
      <c r="P56" s="29">
        <v>0</v>
      </c>
      <c r="Q56" s="30">
        <f t="shared" si="14"/>
        <v>1808</v>
      </c>
    </row>
    <row r="57" spans="1:17" ht="20.25">
      <c r="A57" s="222"/>
      <c r="B57" s="228"/>
      <c r="C57" s="64" t="s">
        <v>57</v>
      </c>
      <c r="D57" s="29">
        <v>2</v>
      </c>
      <c r="E57" s="71">
        <v>2</v>
      </c>
      <c r="F57" s="29">
        <v>0</v>
      </c>
      <c r="G57" s="29">
        <v>488</v>
      </c>
      <c r="H57" s="29">
        <v>0</v>
      </c>
      <c r="I57" s="30">
        <f t="shared" si="12"/>
        <v>488</v>
      </c>
      <c r="J57" s="180">
        <f t="shared" si="13"/>
        <v>342</v>
      </c>
      <c r="K57" s="29">
        <v>2</v>
      </c>
      <c r="L57" s="180">
        <v>146</v>
      </c>
      <c r="M57" s="29">
        <v>24</v>
      </c>
      <c r="N57" s="29">
        <v>0</v>
      </c>
      <c r="O57" s="29">
        <v>0</v>
      </c>
      <c r="P57" s="29">
        <v>0</v>
      </c>
      <c r="Q57" s="30">
        <f t="shared" si="14"/>
        <v>1002</v>
      </c>
    </row>
    <row r="58" spans="1:17" ht="20.25">
      <c r="A58" s="65">
        <v>3</v>
      </c>
      <c r="B58" s="66" t="s">
        <v>11</v>
      </c>
      <c r="C58" s="67" t="s">
        <v>59</v>
      </c>
      <c r="D58" s="29">
        <v>2</v>
      </c>
      <c r="E58" s="71">
        <v>2</v>
      </c>
      <c r="F58" s="29">
        <v>0</v>
      </c>
      <c r="G58" s="29">
        <v>470</v>
      </c>
      <c r="H58" s="29">
        <v>0</v>
      </c>
      <c r="I58" s="30">
        <f t="shared" si="12"/>
        <v>470</v>
      </c>
      <c r="J58" s="180">
        <v>329</v>
      </c>
      <c r="K58" s="29">
        <v>6</v>
      </c>
      <c r="L58" s="180">
        <v>141</v>
      </c>
      <c r="M58" s="29">
        <v>12</v>
      </c>
      <c r="N58" s="29">
        <v>2</v>
      </c>
      <c r="O58" s="29">
        <v>0</v>
      </c>
      <c r="P58" s="29">
        <v>0</v>
      </c>
      <c r="Q58" s="30">
        <f t="shared" si="14"/>
        <v>960</v>
      </c>
    </row>
    <row r="59" spans="1:17" s="38" customFormat="1" ht="21" thickBot="1">
      <c r="A59" s="68" t="s">
        <v>0</v>
      </c>
      <c r="B59" s="70" t="s">
        <v>60</v>
      </c>
      <c r="C59" s="69" t="s">
        <v>6</v>
      </c>
      <c r="D59" s="37">
        <f t="shared" ref="D59:Q59" si="15">SUM(D52:D58)</f>
        <v>15</v>
      </c>
      <c r="E59" s="37">
        <f t="shared" si="15"/>
        <v>15</v>
      </c>
      <c r="F59" s="37">
        <f t="shared" si="15"/>
        <v>0</v>
      </c>
      <c r="G59" s="37">
        <f t="shared" si="15"/>
        <v>10034</v>
      </c>
      <c r="H59" s="37">
        <f t="shared" si="15"/>
        <v>0</v>
      </c>
      <c r="I59" s="37">
        <f t="shared" si="15"/>
        <v>10034</v>
      </c>
      <c r="J59" s="37">
        <f t="shared" si="15"/>
        <v>7025</v>
      </c>
      <c r="K59" s="37">
        <f t="shared" si="15"/>
        <v>41</v>
      </c>
      <c r="L59" s="37">
        <f t="shared" si="15"/>
        <v>3011</v>
      </c>
      <c r="M59" s="37">
        <f t="shared" si="15"/>
        <v>224</v>
      </c>
      <c r="N59" s="37">
        <f t="shared" si="15"/>
        <v>2</v>
      </c>
      <c r="O59" s="37">
        <f t="shared" si="15"/>
        <v>0</v>
      </c>
      <c r="P59" s="37">
        <f t="shared" si="15"/>
        <v>0</v>
      </c>
      <c r="Q59" s="37">
        <f t="shared" si="15"/>
        <v>20337</v>
      </c>
    </row>
    <row r="60" spans="1:17" ht="18.75" thickTop="1"/>
    <row r="61" spans="1:17">
      <c r="A61" s="209" t="s">
        <v>144</v>
      </c>
      <c r="B61" s="210"/>
      <c r="C61" s="210"/>
      <c r="D61" s="210"/>
      <c r="E61" s="210"/>
      <c r="F61" s="210"/>
      <c r="G61" s="210"/>
      <c r="H61" s="210"/>
      <c r="I61" s="210"/>
      <c r="J61" s="210"/>
      <c r="K61" s="210"/>
      <c r="L61" s="210"/>
      <c r="M61" s="210"/>
      <c r="N61" s="210"/>
      <c r="O61" s="210"/>
      <c r="P61" s="210"/>
      <c r="Q61" s="210"/>
    </row>
    <row r="62" spans="1:17">
      <c r="A62" s="211" t="s">
        <v>32</v>
      </c>
      <c r="B62" s="212"/>
      <c r="C62" s="212"/>
      <c r="D62" s="212"/>
      <c r="E62" s="212"/>
      <c r="F62" s="212"/>
      <c r="G62" s="212"/>
      <c r="H62" s="212"/>
      <c r="I62" s="212"/>
      <c r="J62" s="212"/>
      <c r="K62" s="212"/>
      <c r="L62" s="212"/>
      <c r="M62" s="212"/>
      <c r="N62" s="212"/>
      <c r="O62" s="212"/>
      <c r="P62" s="212"/>
      <c r="Q62" s="212"/>
    </row>
    <row r="63" spans="1:17" ht="23.25">
      <c r="A63" s="59" t="s">
        <v>62</v>
      </c>
      <c r="B63" s="60"/>
      <c r="C63" s="60"/>
      <c r="D63" s="28"/>
      <c r="E63" s="28"/>
      <c r="F63" s="28"/>
      <c r="G63" s="28"/>
      <c r="H63" s="28"/>
      <c r="I63" s="28"/>
      <c r="J63" s="28"/>
      <c r="K63" s="28"/>
      <c r="L63" s="28"/>
      <c r="M63" s="28"/>
      <c r="N63" s="28"/>
      <c r="O63" s="213" t="s">
        <v>1</v>
      </c>
      <c r="P63" s="214"/>
      <c r="Q63" s="214"/>
    </row>
    <row r="64" spans="1:17" ht="18.75" customHeight="1">
      <c r="A64" s="215" t="s">
        <v>43</v>
      </c>
      <c r="B64" s="215" t="s">
        <v>8</v>
      </c>
      <c r="C64" s="218" t="s">
        <v>44</v>
      </c>
      <c r="D64" s="61" t="s">
        <v>33</v>
      </c>
      <c r="E64" s="61" t="s">
        <v>33</v>
      </c>
      <c r="F64" s="207" t="s">
        <v>15</v>
      </c>
      <c r="G64" s="207" t="s">
        <v>45</v>
      </c>
      <c r="H64" s="207" t="s">
        <v>46</v>
      </c>
      <c r="I64" s="207" t="s">
        <v>6</v>
      </c>
      <c r="J64" s="207" t="s">
        <v>133</v>
      </c>
      <c r="K64" s="207" t="s">
        <v>47</v>
      </c>
      <c r="L64" s="207" t="s">
        <v>48</v>
      </c>
      <c r="M64" s="207" t="s">
        <v>49</v>
      </c>
      <c r="N64" s="207" t="s">
        <v>50</v>
      </c>
      <c r="O64" s="207" t="s">
        <v>51</v>
      </c>
      <c r="P64" s="207" t="s">
        <v>52</v>
      </c>
      <c r="Q64" s="207" t="s">
        <v>6</v>
      </c>
    </row>
    <row r="65" spans="1:17" ht="18.75" customHeight="1">
      <c r="A65" s="216"/>
      <c r="B65" s="216"/>
      <c r="C65" s="219"/>
      <c r="D65" s="62" t="s">
        <v>123</v>
      </c>
      <c r="E65" s="62" t="s">
        <v>129</v>
      </c>
      <c r="F65" s="220"/>
      <c r="G65" s="220"/>
      <c r="H65" s="220"/>
      <c r="I65" s="220"/>
      <c r="J65" s="220"/>
      <c r="K65" s="208"/>
      <c r="L65" s="208"/>
      <c r="M65" s="208"/>
      <c r="N65" s="208"/>
      <c r="O65" s="208"/>
      <c r="P65" s="208"/>
      <c r="Q65" s="208"/>
    </row>
    <row r="66" spans="1:17">
      <c r="A66" s="217"/>
      <c r="B66" s="217"/>
      <c r="C66" s="225" t="s">
        <v>35</v>
      </c>
      <c r="D66" s="226"/>
      <c r="E66" s="226"/>
      <c r="F66" s="226"/>
      <c r="G66" s="226"/>
      <c r="H66" s="226"/>
      <c r="I66" s="226"/>
      <c r="J66" s="226"/>
      <c r="K66" s="226"/>
      <c r="L66" s="226"/>
      <c r="M66" s="226"/>
      <c r="N66" s="226"/>
      <c r="O66" s="226"/>
      <c r="P66" s="226"/>
      <c r="Q66" s="227"/>
    </row>
    <row r="67" spans="1:17" ht="21" customHeight="1">
      <c r="A67" s="221">
        <v>1</v>
      </c>
      <c r="B67" s="223" t="s">
        <v>9</v>
      </c>
      <c r="C67" s="63" t="s">
        <v>53</v>
      </c>
      <c r="D67" s="29">
        <v>2</v>
      </c>
      <c r="E67" s="71">
        <v>2</v>
      </c>
      <c r="F67" s="29">
        <v>0</v>
      </c>
      <c r="G67" s="29">
        <v>2129</v>
      </c>
      <c r="H67" s="29">
        <v>0</v>
      </c>
      <c r="I67" s="30">
        <f t="shared" ref="I67:I73" si="16">SUM(G67:H67)</f>
        <v>2129</v>
      </c>
      <c r="J67" s="180">
        <f>ROUND(I67*0.7,0)</f>
        <v>1490</v>
      </c>
      <c r="K67" s="29">
        <v>7</v>
      </c>
      <c r="L67" s="29">
        <v>534</v>
      </c>
      <c r="M67" s="29">
        <v>32</v>
      </c>
      <c r="N67" s="29">
        <v>0</v>
      </c>
      <c r="O67" s="29">
        <v>0</v>
      </c>
      <c r="P67" s="29">
        <v>0</v>
      </c>
      <c r="Q67" s="30">
        <f t="shared" ref="Q67:Q73" si="17">SUM(F67+I67+J67+K67+L67+M67+N67+O67+P67)</f>
        <v>4192</v>
      </c>
    </row>
    <row r="68" spans="1:17" ht="20.25">
      <c r="A68" s="222"/>
      <c r="B68" s="224"/>
      <c r="C68" s="63" t="s">
        <v>54</v>
      </c>
      <c r="D68" s="29">
        <v>0</v>
      </c>
      <c r="E68" s="71">
        <v>0</v>
      </c>
      <c r="F68" s="29">
        <v>0</v>
      </c>
      <c r="G68" s="29">
        <v>0</v>
      </c>
      <c r="H68" s="29">
        <v>0</v>
      </c>
      <c r="I68" s="30">
        <f t="shared" si="16"/>
        <v>0</v>
      </c>
      <c r="J68" s="180">
        <f t="shared" ref="J68:J73" si="18">ROUND(I68*0.7,0)</f>
        <v>0</v>
      </c>
      <c r="K68" s="29">
        <v>0</v>
      </c>
      <c r="L68" s="29">
        <v>0</v>
      </c>
      <c r="M68" s="29">
        <v>0</v>
      </c>
      <c r="N68" s="29">
        <v>0</v>
      </c>
      <c r="O68" s="29">
        <v>0</v>
      </c>
      <c r="P68" s="29">
        <v>0</v>
      </c>
      <c r="Q68" s="30">
        <f t="shared" si="17"/>
        <v>0</v>
      </c>
    </row>
    <row r="69" spans="1:17" ht="20.25">
      <c r="A69" s="221">
        <v>2</v>
      </c>
      <c r="B69" s="223" t="s">
        <v>10</v>
      </c>
      <c r="C69" s="64" t="s">
        <v>55</v>
      </c>
      <c r="D69" s="29">
        <v>2</v>
      </c>
      <c r="E69" s="71">
        <v>2</v>
      </c>
      <c r="F69" s="29">
        <v>0</v>
      </c>
      <c r="G69" s="29">
        <v>1600</v>
      </c>
      <c r="H69" s="29">
        <v>0</v>
      </c>
      <c r="I69" s="30">
        <f t="shared" si="16"/>
        <v>1600</v>
      </c>
      <c r="J69" s="180">
        <f t="shared" si="18"/>
        <v>1120</v>
      </c>
      <c r="K69" s="29">
        <v>7</v>
      </c>
      <c r="L69" s="29">
        <v>394</v>
      </c>
      <c r="M69" s="29">
        <v>65</v>
      </c>
      <c r="N69" s="29">
        <v>0</v>
      </c>
      <c r="O69" s="29">
        <v>0</v>
      </c>
      <c r="P69" s="29">
        <v>0</v>
      </c>
      <c r="Q69" s="30">
        <f t="shared" si="17"/>
        <v>3186</v>
      </c>
    </row>
    <row r="70" spans="1:17" ht="20.25">
      <c r="A70" s="222"/>
      <c r="B70" s="228"/>
      <c r="C70" s="64" t="s">
        <v>136</v>
      </c>
      <c r="D70" s="29">
        <v>2</v>
      </c>
      <c r="E70" s="71">
        <v>2</v>
      </c>
      <c r="F70" s="29">
        <v>0</v>
      </c>
      <c r="G70" s="29">
        <v>966</v>
      </c>
      <c r="H70" s="29">
        <v>0</v>
      </c>
      <c r="I70" s="30">
        <f t="shared" si="16"/>
        <v>966</v>
      </c>
      <c r="J70" s="180">
        <f t="shared" si="18"/>
        <v>676</v>
      </c>
      <c r="K70" s="29">
        <v>5</v>
      </c>
      <c r="L70" s="29">
        <v>290</v>
      </c>
      <c r="M70" s="29">
        <v>49</v>
      </c>
      <c r="N70" s="29">
        <v>0</v>
      </c>
      <c r="O70" s="29">
        <v>0</v>
      </c>
      <c r="P70" s="29">
        <v>0</v>
      </c>
      <c r="Q70" s="30">
        <f t="shared" si="17"/>
        <v>1986</v>
      </c>
    </row>
    <row r="71" spans="1:17" ht="20.25">
      <c r="A71" s="222"/>
      <c r="B71" s="228"/>
      <c r="C71" s="64" t="s">
        <v>137</v>
      </c>
      <c r="D71" s="29">
        <v>4</v>
      </c>
      <c r="E71" s="71">
        <v>4</v>
      </c>
      <c r="F71" s="29">
        <v>0</v>
      </c>
      <c r="G71" s="29">
        <v>1466</v>
      </c>
      <c r="H71" s="29">
        <v>0</v>
      </c>
      <c r="I71" s="30">
        <f t="shared" si="16"/>
        <v>1466</v>
      </c>
      <c r="J71" s="180">
        <f t="shared" si="18"/>
        <v>1026</v>
      </c>
      <c r="K71" s="29">
        <v>10</v>
      </c>
      <c r="L71" s="29">
        <v>440</v>
      </c>
      <c r="M71" s="29">
        <v>97</v>
      </c>
      <c r="N71" s="29">
        <v>0</v>
      </c>
      <c r="O71" s="29">
        <v>0</v>
      </c>
      <c r="P71" s="29">
        <v>0</v>
      </c>
      <c r="Q71" s="30">
        <f t="shared" si="17"/>
        <v>3039</v>
      </c>
    </row>
    <row r="72" spans="1:17" ht="20.25">
      <c r="A72" s="222"/>
      <c r="B72" s="228"/>
      <c r="C72" s="64" t="s">
        <v>57</v>
      </c>
      <c r="D72" s="29">
        <v>2</v>
      </c>
      <c r="E72" s="71">
        <v>2</v>
      </c>
      <c r="F72" s="29">
        <v>0</v>
      </c>
      <c r="G72" s="29">
        <v>985</v>
      </c>
      <c r="H72" s="29">
        <v>0</v>
      </c>
      <c r="I72" s="30">
        <f t="shared" si="16"/>
        <v>985</v>
      </c>
      <c r="J72" s="180">
        <v>690</v>
      </c>
      <c r="K72" s="29">
        <v>5</v>
      </c>
      <c r="L72" s="29">
        <v>251</v>
      </c>
      <c r="M72" s="29">
        <v>49</v>
      </c>
      <c r="N72" s="29">
        <v>0</v>
      </c>
      <c r="O72" s="29">
        <v>0</v>
      </c>
      <c r="P72" s="29">
        <v>0</v>
      </c>
      <c r="Q72" s="30">
        <f t="shared" si="17"/>
        <v>1980</v>
      </c>
    </row>
    <row r="73" spans="1:17" ht="20.25">
      <c r="A73" s="65">
        <v>3</v>
      </c>
      <c r="B73" s="66" t="s">
        <v>11</v>
      </c>
      <c r="C73" s="67" t="s">
        <v>59</v>
      </c>
      <c r="D73" s="29">
        <v>4</v>
      </c>
      <c r="E73" s="71">
        <v>4</v>
      </c>
      <c r="F73" s="29">
        <v>0</v>
      </c>
      <c r="G73" s="29">
        <v>1417</v>
      </c>
      <c r="H73" s="29">
        <v>0</v>
      </c>
      <c r="I73" s="30">
        <f t="shared" si="16"/>
        <v>1417</v>
      </c>
      <c r="J73" s="180">
        <f t="shared" si="18"/>
        <v>992</v>
      </c>
      <c r="K73" s="29">
        <v>9</v>
      </c>
      <c r="L73" s="29">
        <v>425</v>
      </c>
      <c r="M73" s="29">
        <v>81</v>
      </c>
      <c r="N73" s="29">
        <v>1</v>
      </c>
      <c r="O73" s="29">
        <v>0</v>
      </c>
      <c r="P73" s="29">
        <v>0</v>
      </c>
      <c r="Q73" s="30">
        <f t="shared" si="17"/>
        <v>2925</v>
      </c>
    </row>
    <row r="74" spans="1:17" s="38" customFormat="1" ht="21" thickBot="1">
      <c r="A74" s="68" t="s">
        <v>0</v>
      </c>
      <c r="B74" s="70" t="s">
        <v>60</v>
      </c>
      <c r="C74" s="69" t="s">
        <v>6</v>
      </c>
      <c r="D74" s="37">
        <f t="shared" ref="D74:Q74" si="19">SUM(D67:D73)</f>
        <v>16</v>
      </c>
      <c r="E74" s="37">
        <f t="shared" si="19"/>
        <v>16</v>
      </c>
      <c r="F74" s="37">
        <f t="shared" si="19"/>
        <v>0</v>
      </c>
      <c r="G74" s="37">
        <f t="shared" si="19"/>
        <v>8563</v>
      </c>
      <c r="H74" s="37">
        <f t="shared" si="19"/>
        <v>0</v>
      </c>
      <c r="I74" s="37">
        <f t="shared" si="19"/>
        <v>8563</v>
      </c>
      <c r="J74" s="37">
        <f t="shared" si="19"/>
        <v>5994</v>
      </c>
      <c r="K74" s="37">
        <f t="shared" si="19"/>
        <v>43</v>
      </c>
      <c r="L74" s="37">
        <f t="shared" si="19"/>
        <v>2334</v>
      </c>
      <c r="M74" s="37">
        <f t="shared" si="19"/>
        <v>373</v>
      </c>
      <c r="N74" s="37">
        <f t="shared" si="19"/>
        <v>1</v>
      </c>
      <c r="O74" s="37">
        <f t="shared" si="19"/>
        <v>0</v>
      </c>
      <c r="P74" s="37">
        <f t="shared" si="19"/>
        <v>0</v>
      </c>
      <c r="Q74" s="37">
        <f t="shared" si="19"/>
        <v>17308</v>
      </c>
    </row>
    <row r="75" spans="1:17" ht="18.75" thickTop="1">
      <c r="A75" s="31"/>
      <c r="B75" s="32"/>
      <c r="C75" s="33"/>
      <c r="D75" s="34"/>
      <c r="E75" s="34"/>
      <c r="F75" s="34"/>
      <c r="G75" s="34"/>
      <c r="H75" s="34"/>
      <c r="I75" s="34"/>
      <c r="J75" s="34"/>
      <c r="K75" s="34"/>
      <c r="L75" s="34"/>
      <c r="M75" s="34"/>
      <c r="N75" s="34"/>
      <c r="O75" s="34"/>
      <c r="P75" s="34"/>
      <c r="Q75" s="34"/>
    </row>
    <row r="76" spans="1:17">
      <c r="A76" s="209" t="s">
        <v>144</v>
      </c>
      <c r="B76" s="210"/>
      <c r="C76" s="210"/>
      <c r="D76" s="210"/>
      <c r="E76" s="210"/>
      <c r="F76" s="210"/>
      <c r="G76" s="210"/>
      <c r="H76" s="210"/>
      <c r="I76" s="210"/>
      <c r="J76" s="210"/>
      <c r="K76" s="210"/>
      <c r="L76" s="210"/>
      <c r="M76" s="210"/>
      <c r="N76" s="210"/>
      <c r="O76" s="210"/>
      <c r="P76" s="210"/>
      <c r="Q76" s="210"/>
    </row>
    <row r="77" spans="1:17">
      <c r="A77" s="211" t="s">
        <v>32</v>
      </c>
      <c r="B77" s="212"/>
      <c r="C77" s="212"/>
      <c r="D77" s="212"/>
      <c r="E77" s="212"/>
      <c r="F77" s="212"/>
      <c r="G77" s="212"/>
      <c r="H77" s="212"/>
      <c r="I77" s="212"/>
      <c r="J77" s="212"/>
      <c r="K77" s="212"/>
      <c r="L77" s="212"/>
      <c r="M77" s="212"/>
      <c r="N77" s="212"/>
      <c r="O77" s="212"/>
      <c r="P77" s="212"/>
      <c r="Q77" s="212"/>
    </row>
    <row r="78" spans="1:17" ht="23.25">
      <c r="A78" s="59" t="s">
        <v>62</v>
      </c>
      <c r="B78" s="60"/>
      <c r="C78" s="60"/>
      <c r="D78" s="28"/>
      <c r="E78" s="28"/>
      <c r="F78" s="28"/>
      <c r="G78" s="28"/>
      <c r="H78" s="28"/>
      <c r="I78" s="28"/>
      <c r="J78" s="28"/>
      <c r="K78" s="28"/>
      <c r="L78" s="28"/>
      <c r="M78" s="28"/>
      <c r="N78" s="28"/>
      <c r="O78" s="213" t="s">
        <v>1</v>
      </c>
      <c r="P78" s="214"/>
      <c r="Q78" s="214"/>
    </row>
    <row r="79" spans="1:17" ht="18.75" customHeight="1">
      <c r="A79" s="215" t="s">
        <v>43</v>
      </c>
      <c r="B79" s="215" t="s">
        <v>8</v>
      </c>
      <c r="C79" s="218" t="s">
        <v>44</v>
      </c>
      <c r="D79" s="61" t="s">
        <v>33</v>
      </c>
      <c r="E79" s="61" t="s">
        <v>33</v>
      </c>
      <c r="F79" s="207" t="s">
        <v>15</v>
      </c>
      <c r="G79" s="207" t="s">
        <v>45</v>
      </c>
      <c r="H79" s="207" t="s">
        <v>46</v>
      </c>
      <c r="I79" s="207" t="s">
        <v>6</v>
      </c>
      <c r="J79" s="207" t="s">
        <v>133</v>
      </c>
      <c r="K79" s="207" t="s">
        <v>47</v>
      </c>
      <c r="L79" s="207" t="s">
        <v>48</v>
      </c>
      <c r="M79" s="207" t="s">
        <v>49</v>
      </c>
      <c r="N79" s="207" t="s">
        <v>50</v>
      </c>
      <c r="O79" s="207" t="s">
        <v>51</v>
      </c>
      <c r="P79" s="207" t="s">
        <v>52</v>
      </c>
      <c r="Q79" s="207" t="s">
        <v>6</v>
      </c>
    </row>
    <row r="80" spans="1:17" ht="18.75" customHeight="1">
      <c r="A80" s="216"/>
      <c r="B80" s="216"/>
      <c r="C80" s="219"/>
      <c r="D80" s="62" t="s">
        <v>123</v>
      </c>
      <c r="E80" s="62" t="s">
        <v>129</v>
      </c>
      <c r="F80" s="220"/>
      <c r="G80" s="220"/>
      <c r="H80" s="220"/>
      <c r="I80" s="220"/>
      <c r="J80" s="220"/>
      <c r="K80" s="208"/>
      <c r="L80" s="208"/>
      <c r="M80" s="208"/>
      <c r="N80" s="208"/>
      <c r="O80" s="208"/>
      <c r="P80" s="208"/>
      <c r="Q80" s="208"/>
    </row>
    <row r="81" spans="1:17">
      <c r="A81" s="217"/>
      <c r="B81" s="217"/>
      <c r="C81" s="225" t="s">
        <v>36</v>
      </c>
      <c r="D81" s="226"/>
      <c r="E81" s="226"/>
      <c r="F81" s="226"/>
      <c r="G81" s="226"/>
      <c r="H81" s="226"/>
      <c r="I81" s="226"/>
      <c r="J81" s="226"/>
      <c r="K81" s="226"/>
      <c r="L81" s="226"/>
      <c r="M81" s="226"/>
      <c r="N81" s="226"/>
      <c r="O81" s="226"/>
      <c r="P81" s="226"/>
      <c r="Q81" s="227"/>
    </row>
    <row r="82" spans="1:17" ht="21" customHeight="1">
      <c r="A82" s="221">
        <v>1</v>
      </c>
      <c r="B82" s="223" t="s">
        <v>9</v>
      </c>
      <c r="C82" s="63" t="s">
        <v>53</v>
      </c>
      <c r="D82" s="29">
        <v>2</v>
      </c>
      <c r="E82" s="71">
        <v>2</v>
      </c>
      <c r="F82" s="29">
        <v>0</v>
      </c>
      <c r="G82" s="29">
        <v>2078</v>
      </c>
      <c r="H82" s="29">
        <v>0</v>
      </c>
      <c r="I82" s="30">
        <f t="shared" ref="I82:I88" si="20">SUM(G82:H82)</f>
        <v>2078</v>
      </c>
      <c r="J82" s="180">
        <f>ROUND(I82*0.7,0)</f>
        <v>1455</v>
      </c>
      <c r="K82" s="29">
        <v>7</v>
      </c>
      <c r="L82" s="29">
        <v>623</v>
      </c>
      <c r="M82" s="29">
        <v>130</v>
      </c>
      <c r="N82" s="29">
        <v>0</v>
      </c>
      <c r="O82" s="29">
        <v>0</v>
      </c>
      <c r="P82" s="29">
        <v>0</v>
      </c>
      <c r="Q82" s="30">
        <f t="shared" ref="Q82:Q88" si="21">SUM(F82+I82+J82+K82+L82+M82+N82+O82+P82)</f>
        <v>4293</v>
      </c>
    </row>
    <row r="83" spans="1:17" ht="20.25">
      <c r="A83" s="222"/>
      <c r="B83" s="224"/>
      <c r="C83" s="63" t="s">
        <v>54</v>
      </c>
      <c r="D83" s="29">
        <v>4</v>
      </c>
      <c r="E83" s="71">
        <v>4</v>
      </c>
      <c r="F83" s="29">
        <v>0</v>
      </c>
      <c r="G83" s="29">
        <v>2576</v>
      </c>
      <c r="H83" s="29">
        <v>0</v>
      </c>
      <c r="I83" s="30">
        <f t="shared" si="20"/>
        <v>2576</v>
      </c>
      <c r="J83" s="180">
        <f t="shared" ref="J83:J88" si="22">ROUND(I83*0.7,0)</f>
        <v>1803</v>
      </c>
      <c r="K83" s="29">
        <v>14</v>
      </c>
      <c r="L83" s="29">
        <v>692</v>
      </c>
      <c r="M83" s="29">
        <v>130</v>
      </c>
      <c r="N83" s="29">
        <v>0</v>
      </c>
      <c r="O83" s="29">
        <v>0</v>
      </c>
      <c r="P83" s="29">
        <v>0</v>
      </c>
      <c r="Q83" s="30">
        <f t="shared" si="21"/>
        <v>5215</v>
      </c>
    </row>
    <row r="84" spans="1:17" ht="20.25">
      <c r="A84" s="221">
        <v>2</v>
      </c>
      <c r="B84" s="223" t="s">
        <v>10</v>
      </c>
      <c r="C84" s="64" t="s">
        <v>55</v>
      </c>
      <c r="D84" s="29">
        <v>2</v>
      </c>
      <c r="E84" s="71">
        <v>2</v>
      </c>
      <c r="F84" s="29">
        <v>0</v>
      </c>
      <c r="G84" s="29">
        <v>1747</v>
      </c>
      <c r="H84" s="29">
        <v>0</v>
      </c>
      <c r="I84" s="30">
        <f t="shared" si="20"/>
        <v>1747</v>
      </c>
      <c r="J84" s="180">
        <f t="shared" si="22"/>
        <v>1223</v>
      </c>
      <c r="K84" s="29">
        <v>7</v>
      </c>
      <c r="L84" s="29">
        <v>524</v>
      </c>
      <c r="M84" s="29">
        <v>65</v>
      </c>
      <c r="N84" s="29">
        <v>0</v>
      </c>
      <c r="O84" s="29">
        <v>0</v>
      </c>
      <c r="P84" s="29">
        <v>0</v>
      </c>
      <c r="Q84" s="30">
        <f t="shared" si="21"/>
        <v>3566</v>
      </c>
    </row>
    <row r="85" spans="1:17" ht="20.25">
      <c r="A85" s="222"/>
      <c r="B85" s="228"/>
      <c r="C85" s="64" t="s">
        <v>136</v>
      </c>
      <c r="D85" s="29">
        <v>6</v>
      </c>
      <c r="E85" s="71">
        <v>6</v>
      </c>
      <c r="F85" s="29">
        <v>0</v>
      </c>
      <c r="G85" s="29">
        <v>3169</v>
      </c>
      <c r="H85" s="29">
        <v>0</v>
      </c>
      <c r="I85" s="30">
        <f t="shared" si="20"/>
        <v>3169</v>
      </c>
      <c r="J85" s="180">
        <f t="shared" si="22"/>
        <v>2218</v>
      </c>
      <c r="K85" s="29">
        <v>17</v>
      </c>
      <c r="L85" s="29">
        <v>898</v>
      </c>
      <c r="M85" s="29">
        <v>178</v>
      </c>
      <c r="N85" s="29">
        <v>0</v>
      </c>
      <c r="O85" s="29">
        <v>0</v>
      </c>
      <c r="P85" s="29">
        <v>0</v>
      </c>
      <c r="Q85" s="30">
        <f t="shared" si="21"/>
        <v>6480</v>
      </c>
    </row>
    <row r="86" spans="1:17" ht="20.25">
      <c r="A86" s="222"/>
      <c r="B86" s="228"/>
      <c r="C86" s="64" t="s">
        <v>137</v>
      </c>
      <c r="D86" s="29">
        <v>4</v>
      </c>
      <c r="E86" s="71">
        <v>4</v>
      </c>
      <c r="F86" s="29">
        <v>0</v>
      </c>
      <c r="G86" s="29">
        <v>1747</v>
      </c>
      <c r="H86" s="29">
        <v>0</v>
      </c>
      <c r="I86" s="30">
        <f t="shared" si="20"/>
        <v>1747</v>
      </c>
      <c r="J86" s="180">
        <f t="shared" si="22"/>
        <v>1223</v>
      </c>
      <c r="K86" s="29">
        <v>12</v>
      </c>
      <c r="L86" s="29">
        <v>524</v>
      </c>
      <c r="M86" s="29">
        <v>130</v>
      </c>
      <c r="N86" s="29">
        <v>0</v>
      </c>
      <c r="O86" s="29">
        <v>0</v>
      </c>
      <c r="P86" s="29">
        <v>0</v>
      </c>
      <c r="Q86" s="30">
        <f t="shared" si="21"/>
        <v>3636</v>
      </c>
    </row>
    <row r="87" spans="1:17" ht="20.25">
      <c r="A87" s="222"/>
      <c r="B87" s="228"/>
      <c r="C87" s="64" t="s">
        <v>57</v>
      </c>
      <c r="D87" s="29">
        <v>2</v>
      </c>
      <c r="E87" s="71">
        <v>2</v>
      </c>
      <c r="F87" s="29">
        <v>0</v>
      </c>
      <c r="G87" s="29">
        <v>924</v>
      </c>
      <c r="H87" s="29">
        <v>0</v>
      </c>
      <c r="I87" s="30">
        <f t="shared" si="20"/>
        <v>924</v>
      </c>
      <c r="J87" s="180">
        <f t="shared" si="22"/>
        <v>647</v>
      </c>
      <c r="K87" s="29">
        <v>6</v>
      </c>
      <c r="L87" s="29">
        <v>277</v>
      </c>
      <c r="M87" s="29">
        <v>65</v>
      </c>
      <c r="N87" s="29">
        <v>0</v>
      </c>
      <c r="O87" s="29">
        <v>0</v>
      </c>
      <c r="P87" s="29">
        <v>0</v>
      </c>
      <c r="Q87" s="30">
        <f t="shared" si="21"/>
        <v>1919</v>
      </c>
    </row>
    <row r="88" spans="1:17" ht="20.25">
      <c r="A88" s="65">
        <v>3</v>
      </c>
      <c r="B88" s="66" t="s">
        <v>11</v>
      </c>
      <c r="C88" s="67" t="s">
        <v>59</v>
      </c>
      <c r="D88" s="29">
        <v>4</v>
      </c>
      <c r="E88" s="71">
        <v>4</v>
      </c>
      <c r="F88" s="29">
        <v>0</v>
      </c>
      <c r="G88" s="29">
        <v>1327</v>
      </c>
      <c r="H88" s="29">
        <v>0</v>
      </c>
      <c r="I88" s="30">
        <f t="shared" si="20"/>
        <v>1327</v>
      </c>
      <c r="J88" s="180">
        <f t="shared" si="22"/>
        <v>929</v>
      </c>
      <c r="K88" s="29">
        <v>10</v>
      </c>
      <c r="L88" s="29">
        <v>398</v>
      </c>
      <c r="M88" s="29">
        <v>89</v>
      </c>
      <c r="N88" s="29">
        <v>0</v>
      </c>
      <c r="O88" s="29">
        <v>0</v>
      </c>
      <c r="P88" s="29">
        <v>0</v>
      </c>
      <c r="Q88" s="30">
        <f t="shared" si="21"/>
        <v>2753</v>
      </c>
    </row>
    <row r="89" spans="1:17" s="38" customFormat="1" ht="21" thickBot="1">
      <c r="A89" s="68" t="s">
        <v>0</v>
      </c>
      <c r="B89" s="70" t="s">
        <v>60</v>
      </c>
      <c r="C89" s="69" t="s">
        <v>6</v>
      </c>
      <c r="D89" s="37">
        <f t="shared" ref="D89:Q89" si="23">SUM(D82:D88)</f>
        <v>24</v>
      </c>
      <c r="E89" s="37">
        <f t="shared" si="23"/>
        <v>24</v>
      </c>
      <c r="F89" s="37">
        <f t="shared" si="23"/>
        <v>0</v>
      </c>
      <c r="G89" s="37">
        <f t="shared" si="23"/>
        <v>13568</v>
      </c>
      <c r="H89" s="37">
        <f t="shared" si="23"/>
        <v>0</v>
      </c>
      <c r="I89" s="37">
        <f t="shared" si="23"/>
        <v>13568</v>
      </c>
      <c r="J89" s="37">
        <f t="shared" si="23"/>
        <v>9498</v>
      </c>
      <c r="K89" s="37">
        <f t="shared" si="23"/>
        <v>73</v>
      </c>
      <c r="L89" s="37">
        <f t="shared" si="23"/>
        <v>3936</v>
      </c>
      <c r="M89" s="37">
        <f t="shared" si="23"/>
        <v>787</v>
      </c>
      <c r="N89" s="37">
        <f t="shared" si="23"/>
        <v>0</v>
      </c>
      <c r="O89" s="37">
        <f t="shared" si="23"/>
        <v>0</v>
      </c>
      <c r="P89" s="37">
        <f t="shared" si="23"/>
        <v>0</v>
      </c>
      <c r="Q89" s="37">
        <f t="shared" si="23"/>
        <v>27862</v>
      </c>
    </row>
    <row r="90" spans="1:17" ht="18.75" thickTop="1"/>
    <row r="91" spans="1:17">
      <c r="A91" s="209" t="s">
        <v>144</v>
      </c>
      <c r="B91" s="210"/>
      <c r="C91" s="210"/>
      <c r="D91" s="210"/>
      <c r="E91" s="210"/>
      <c r="F91" s="210"/>
      <c r="G91" s="210"/>
      <c r="H91" s="210"/>
      <c r="I91" s="210"/>
      <c r="J91" s="210"/>
      <c r="K91" s="210"/>
      <c r="L91" s="210"/>
      <c r="M91" s="210"/>
      <c r="N91" s="210"/>
      <c r="O91" s="210"/>
      <c r="P91" s="210"/>
      <c r="Q91" s="210"/>
    </row>
    <row r="92" spans="1:17">
      <c r="A92" s="211" t="s">
        <v>32</v>
      </c>
      <c r="B92" s="212"/>
      <c r="C92" s="212"/>
      <c r="D92" s="212"/>
      <c r="E92" s="212"/>
      <c r="F92" s="212"/>
      <c r="G92" s="212"/>
      <c r="H92" s="212"/>
      <c r="I92" s="212"/>
      <c r="J92" s="212"/>
      <c r="K92" s="212"/>
      <c r="L92" s="212"/>
      <c r="M92" s="212"/>
      <c r="N92" s="212"/>
      <c r="O92" s="212"/>
      <c r="P92" s="212"/>
      <c r="Q92" s="212"/>
    </row>
    <row r="93" spans="1:17" ht="23.25">
      <c r="A93" s="59" t="s">
        <v>63</v>
      </c>
      <c r="B93" s="60"/>
      <c r="C93" s="60"/>
      <c r="D93" s="28"/>
      <c r="E93" s="28"/>
      <c r="F93" s="28"/>
      <c r="G93" s="28"/>
      <c r="H93" s="28"/>
      <c r="I93" s="28"/>
      <c r="J93" s="28"/>
      <c r="K93" s="28"/>
      <c r="L93" s="28"/>
      <c r="M93" s="28"/>
      <c r="N93" s="28"/>
      <c r="O93" s="213" t="s">
        <v>1</v>
      </c>
      <c r="P93" s="214"/>
      <c r="Q93" s="214"/>
    </row>
    <row r="94" spans="1:17" ht="18.75" customHeight="1">
      <c r="A94" s="215" t="s">
        <v>43</v>
      </c>
      <c r="B94" s="215" t="s">
        <v>8</v>
      </c>
      <c r="C94" s="218" t="s">
        <v>44</v>
      </c>
      <c r="D94" s="61" t="s">
        <v>33</v>
      </c>
      <c r="E94" s="61" t="s">
        <v>33</v>
      </c>
      <c r="F94" s="207" t="s">
        <v>15</v>
      </c>
      <c r="G94" s="207" t="s">
        <v>45</v>
      </c>
      <c r="H94" s="207" t="s">
        <v>46</v>
      </c>
      <c r="I94" s="207" t="s">
        <v>6</v>
      </c>
      <c r="J94" s="207" t="s">
        <v>133</v>
      </c>
      <c r="K94" s="207" t="s">
        <v>47</v>
      </c>
      <c r="L94" s="207" t="s">
        <v>48</v>
      </c>
      <c r="M94" s="207" t="s">
        <v>49</v>
      </c>
      <c r="N94" s="207" t="s">
        <v>50</v>
      </c>
      <c r="O94" s="207" t="s">
        <v>51</v>
      </c>
      <c r="P94" s="207" t="s">
        <v>52</v>
      </c>
      <c r="Q94" s="207" t="s">
        <v>6</v>
      </c>
    </row>
    <row r="95" spans="1:17" ht="18.75" customHeight="1">
      <c r="A95" s="216"/>
      <c r="B95" s="216"/>
      <c r="C95" s="219"/>
      <c r="D95" s="62" t="s">
        <v>123</v>
      </c>
      <c r="E95" s="62" t="s">
        <v>129</v>
      </c>
      <c r="F95" s="220"/>
      <c r="G95" s="220"/>
      <c r="H95" s="220"/>
      <c r="I95" s="220"/>
      <c r="J95" s="220"/>
      <c r="K95" s="208"/>
      <c r="L95" s="208"/>
      <c r="M95" s="208"/>
      <c r="N95" s="208"/>
      <c r="O95" s="208"/>
      <c r="P95" s="208"/>
      <c r="Q95" s="208"/>
    </row>
    <row r="96" spans="1:17">
      <c r="A96" s="217"/>
      <c r="B96" s="217"/>
      <c r="C96" s="225" t="s">
        <v>35</v>
      </c>
      <c r="D96" s="226"/>
      <c r="E96" s="226"/>
      <c r="F96" s="226"/>
      <c r="G96" s="226"/>
      <c r="H96" s="226"/>
      <c r="I96" s="226"/>
      <c r="J96" s="226"/>
      <c r="K96" s="226"/>
      <c r="L96" s="226"/>
      <c r="M96" s="226"/>
      <c r="N96" s="226"/>
      <c r="O96" s="226"/>
      <c r="P96" s="226"/>
      <c r="Q96" s="227"/>
    </row>
    <row r="97" spans="1:18" ht="21" customHeight="1">
      <c r="A97" s="221">
        <v>1</v>
      </c>
      <c r="B97" s="223" t="s">
        <v>9</v>
      </c>
      <c r="C97" s="63" t="s">
        <v>53</v>
      </c>
      <c r="D97" s="29">
        <v>1</v>
      </c>
      <c r="E97" s="71">
        <v>1</v>
      </c>
      <c r="F97" s="29">
        <v>0</v>
      </c>
      <c r="G97" s="29">
        <v>878</v>
      </c>
      <c r="H97" s="29">
        <v>0</v>
      </c>
      <c r="I97" s="30">
        <f t="shared" ref="I97:I103" si="24">SUM(G97:H97)</f>
        <v>878</v>
      </c>
      <c r="J97" s="180">
        <f>ROUND(I97*0.7,0)</f>
        <v>615</v>
      </c>
      <c r="K97" s="29">
        <v>0</v>
      </c>
      <c r="L97" s="29">
        <v>88</v>
      </c>
      <c r="M97" s="29">
        <v>0</v>
      </c>
      <c r="N97" s="29">
        <v>0</v>
      </c>
      <c r="O97" s="29">
        <v>0</v>
      </c>
      <c r="P97" s="29">
        <v>18</v>
      </c>
      <c r="Q97" s="30">
        <f t="shared" ref="Q97:Q103" si="25">SUM(F97+I97+J97+K97+L97+M97+N97+O97+P97)</f>
        <v>1599</v>
      </c>
      <c r="R97" s="27" t="s">
        <v>139</v>
      </c>
    </row>
    <row r="98" spans="1:18" ht="20.25">
      <c r="A98" s="222"/>
      <c r="B98" s="224"/>
      <c r="C98" s="63" t="s">
        <v>54</v>
      </c>
      <c r="D98" s="29">
        <v>0</v>
      </c>
      <c r="E98" s="71">
        <v>0</v>
      </c>
      <c r="F98" s="29">
        <v>0</v>
      </c>
      <c r="G98" s="29">
        <v>0</v>
      </c>
      <c r="H98" s="29">
        <v>0</v>
      </c>
      <c r="I98" s="30">
        <f t="shared" si="24"/>
        <v>0</v>
      </c>
      <c r="J98" s="180">
        <f t="shared" ref="J98:J103" si="26">ROUND(I98*0.7,0)</f>
        <v>0</v>
      </c>
      <c r="K98" s="29">
        <v>0</v>
      </c>
      <c r="L98" s="29">
        <v>0</v>
      </c>
      <c r="M98" s="29">
        <v>0</v>
      </c>
      <c r="N98" s="29">
        <v>0</v>
      </c>
      <c r="O98" s="29">
        <v>0</v>
      </c>
      <c r="P98" s="29">
        <v>0</v>
      </c>
      <c r="Q98" s="30">
        <f t="shared" si="25"/>
        <v>0</v>
      </c>
    </row>
    <row r="99" spans="1:18" ht="20.25">
      <c r="A99" s="221">
        <v>2</v>
      </c>
      <c r="B99" s="223" t="s">
        <v>10</v>
      </c>
      <c r="C99" s="64" t="s">
        <v>55</v>
      </c>
      <c r="D99" s="29">
        <v>1</v>
      </c>
      <c r="E99" s="71">
        <v>1</v>
      </c>
      <c r="F99" s="29">
        <v>0</v>
      </c>
      <c r="G99" s="29">
        <v>582</v>
      </c>
      <c r="H99" s="29">
        <v>0</v>
      </c>
      <c r="I99" s="30">
        <f t="shared" si="24"/>
        <v>582</v>
      </c>
      <c r="J99" s="180">
        <f t="shared" si="26"/>
        <v>407</v>
      </c>
      <c r="K99" s="29">
        <v>11</v>
      </c>
      <c r="L99" s="29">
        <v>58</v>
      </c>
      <c r="M99" s="29">
        <v>16</v>
      </c>
      <c r="N99" s="29">
        <v>0</v>
      </c>
      <c r="O99" s="29">
        <v>0</v>
      </c>
      <c r="P99" s="29">
        <v>18</v>
      </c>
      <c r="Q99" s="30">
        <f t="shared" si="25"/>
        <v>1092</v>
      </c>
    </row>
    <row r="100" spans="1:18" ht="20.25">
      <c r="A100" s="222"/>
      <c r="B100" s="228"/>
      <c r="C100" s="64" t="s">
        <v>136</v>
      </c>
      <c r="D100" s="29">
        <v>1</v>
      </c>
      <c r="E100" s="71">
        <v>1</v>
      </c>
      <c r="F100" s="29">
        <v>0</v>
      </c>
      <c r="G100" s="29">
        <v>538</v>
      </c>
      <c r="H100" s="29">
        <v>0</v>
      </c>
      <c r="I100" s="30">
        <f t="shared" si="24"/>
        <v>538</v>
      </c>
      <c r="J100" s="180">
        <f t="shared" si="26"/>
        <v>377</v>
      </c>
      <c r="K100" s="29">
        <v>11</v>
      </c>
      <c r="L100" s="29">
        <v>54</v>
      </c>
      <c r="M100" s="29">
        <v>16</v>
      </c>
      <c r="N100" s="29">
        <v>0</v>
      </c>
      <c r="O100" s="29">
        <v>0</v>
      </c>
      <c r="P100" s="29">
        <v>18</v>
      </c>
      <c r="Q100" s="30">
        <f t="shared" si="25"/>
        <v>1014</v>
      </c>
    </row>
    <row r="101" spans="1:18" ht="20.25">
      <c r="A101" s="222"/>
      <c r="B101" s="228"/>
      <c r="C101" s="64" t="s">
        <v>137</v>
      </c>
      <c r="D101" s="29">
        <v>2</v>
      </c>
      <c r="E101" s="71">
        <v>2</v>
      </c>
      <c r="F101" s="29">
        <v>0</v>
      </c>
      <c r="G101" s="29">
        <v>1057</v>
      </c>
      <c r="H101" s="29">
        <v>0</v>
      </c>
      <c r="I101" s="30">
        <f t="shared" si="24"/>
        <v>1057</v>
      </c>
      <c r="J101" s="180">
        <f t="shared" si="26"/>
        <v>740</v>
      </c>
      <c r="K101" s="29">
        <v>12</v>
      </c>
      <c r="L101" s="29">
        <v>106</v>
      </c>
      <c r="M101" s="29">
        <v>32</v>
      </c>
      <c r="N101" s="29">
        <v>0</v>
      </c>
      <c r="O101" s="29">
        <v>0</v>
      </c>
      <c r="P101" s="29">
        <v>36</v>
      </c>
      <c r="Q101" s="30">
        <f t="shared" si="25"/>
        <v>1983</v>
      </c>
    </row>
    <row r="102" spans="1:18" ht="20.25">
      <c r="A102" s="222"/>
      <c r="B102" s="228"/>
      <c r="C102" s="64" t="s">
        <v>57</v>
      </c>
      <c r="D102" s="29">
        <v>1</v>
      </c>
      <c r="E102" s="71">
        <v>1</v>
      </c>
      <c r="F102" s="29">
        <v>0</v>
      </c>
      <c r="G102" s="29">
        <v>636</v>
      </c>
      <c r="H102" s="29">
        <v>0</v>
      </c>
      <c r="I102" s="30">
        <f t="shared" si="24"/>
        <v>636</v>
      </c>
      <c r="J102" s="180">
        <f t="shared" si="26"/>
        <v>445</v>
      </c>
      <c r="K102" s="29">
        <v>6</v>
      </c>
      <c r="L102" s="29">
        <v>64</v>
      </c>
      <c r="M102" s="29">
        <v>16</v>
      </c>
      <c r="N102" s="29">
        <v>0</v>
      </c>
      <c r="O102" s="29">
        <v>0</v>
      </c>
      <c r="P102" s="29">
        <v>24</v>
      </c>
      <c r="Q102" s="30">
        <f t="shared" si="25"/>
        <v>1191</v>
      </c>
    </row>
    <row r="103" spans="1:18" ht="20.25">
      <c r="A103" s="65">
        <v>3</v>
      </c>
      <c r="B103" s="66" t="s">
        <v>11</v>
      </c>
      <c r="C103" s="67" t="s">
        <v>59</v>
      </c>
      <c r="D103" s="29">
        <v>2</v>
      </c>
      <c r="E103" s="71">
        <v>2</v>
      </c>
      <c r="F103" s="29">
        <v>0</v>
      </c>
      <c r="G103" s="29">
        <v>568</v>
      </c>
      <c r="H103" s="29">
        <v>0</v>
      </c>
      <c r="I103" s="30">
        <f t="shared" si="24"/>
        <v>568</v>
      </c>
      <c r="J103" s="180">
        <f t="shared" si="26"/>
        <v>398</v>
      </c>
      <c r="K103" s="29">
        <v>4</v>
      </c>
      <c r="L103" s="29">
        <v>57</v>
      </c>
      <c r="M103" s="29">
        <v>16</v>
      </c>
      <c r="N103" s="29">
        <v>0</v>
      </c>
      <c r="O103" s="29">
        <v>0</v>
      </c>
      <c r="P103" s="29">
        <v>20</v>
      </c>
      <c r="Q103" s="30">
        <f t="shared" si="25"/>
        <v>1063</v>
      </c>
    </row>
    <row r="104" spans="1:18" s="38" customFormat="1" ht="21" thickBot="1">
      <c r="A104" s="68" t="s">
        <v>0</v>
      </c>
      <c r="B104" s="70" t="s">
        <v>60</v>
      </c>
      <c r="C104" s="69" t="s">
        <v>6</v>
      </c>
      <c r="D104" s="37">
        <f t="shared" ref="D104:Q104" si="27">SUM(D97:D103)</f>
        <v>8</v>
      </c>
      <c r="E104" s="37">
        <f t="shared" si="27"/>
        <v>8</v>
      </c>
      <c r="F104" s="37">
        <f t="shared" si="27"/>
        <v>0</v>
      </c>
      <c r="G104" s="37">
        <f t="shared" si="27"/>
        <v>4259</v>
      </c>
      <c r="H104" s="37">
        <f t="shared" si="27"/>
        <v>0</v>
      </c>
      <c r="I104" s="37">
        <f t="shared" si="27"/>
        <v>4259</v>
      </c>
      <c r="J104" s="37">
        <f t="shared" si="27"/>
        <v>2982</v>
      </c>
      <c r="K104" s="37">
        <f t="shared" si="27"/>
        <v>44</v>
      </c>
      <c r="L104" s="37">
        <f t="shared" si="27"/>
        <v>427</v>
      </c>
      <c r="M104" s="37">
        <f t="shared" si="27"/>
        <v>96</v>
      </c>
      <c r="N104" s="37">
        <f t="shared" si="27"/>
        <v>0</v>
      </c>
      <c r="O104" s="37">
        <f t="shared" si="27"/>
        <v>0</v>
      </c>
      <c r="P104" s="37">
        <f t="shared" si="27"/>
        <v>134</v>
      </c>
      <c r="Q104" s="37">
        <f t="shared" si="27"/>
        <v>7942</v>
      </c>
    </row>
    <row r="105" spans="1:18" ht="18.75" thickTop="1">
      <c r="A105" s="31"/>
      <c r="B105" s="32"/>
      <c r="C105" s="33"/>
      <c r="D105" s="34"/>
      <c r="E105" s="34"/>
      <c r="F105" s="34"/>
      <c r="G105" s="34"/>
      <c r="H105" s="34"/>
      <c r="I105" s="34"/>
      <c r="J105" s="34"/>
      <c r="K105" s="34"/>
      <c r="L105" s="34"/>
      <c r="M105" s="34"/>
      <c r="N105" s="34"/>
      <c r="O105" s="34"/>
      <c r="P105" s="34"/>
      <c r="Q105" s="34"/>
    </row>
    <row r="106" spans="1:18">
      <c r="A106" s="209" t="s">
        <v>144</v>
      </c>
      <c r="B106" s="210"/>
      <c r="C106" s="210"/>
      <c r="D106" s="210"/>
      <c r="E106" s="210"/>
      <c r="F106" s="210"/>
      <c r="G106" s="210"/>
      <c r="H106" s="210"/>
      <c r="I106" s="210"/>
      <c r="J106" s="210"/>
      <c r="K106" s="210"/>
      <c r="L106" s="210"/>
      <c r="M106" s="210"/>
      <c r="N106" s="210"/>
      <c r="O106" s="210"/>
      <c r="P106" s="210"/>
      <c r="Q106" s="210"/>
    </row>
    <row r="107" spans="1:18">
      <c r="A107" s="211" t="s">
        <v>32</v>
      </c>
      <c r="B107" s="212"/>
      <c r="C107" s="212"/>
      <c r="D107" s="212"/>
      <c r="E107" s="212"/>
      <c r="F107" s="212"/>
      <c r="G107" s="212"/>
      <c r="H107" s="212"/>
      <c r="I107" s="212"/>
      <c r="J107" s="212"/>
      <c r="K107" s="212"/>
      <c r="L107" s="212"/>
      <c r="M107" s="212"/>
      <c r="N107" s="212"/>
      <c r="O107" s="212"/>
      <c r="P107" s="212"/>
      <c r="Q107" s="212"/>
    </row>
    <row r="108" spans="1:18" ht="23.25">
      <c r="A108" s="59" t="s">
        <v>63</v>
      </c>
      <c r="B108" s="60"/>
      <c r="C108" s="60"/>
      <c r="D108" s="28"/>
      <c r="E108" s="28"/>
      <c r="F108" s="28"/>
      <c r="G108" s="28"/>
      <c r="H108" s="28"/>
      <c r="I108" s="28"/>
      <c r="J108" s="28"/>
      <c r="K108" s="28"/>
      <c r="L108" s="28"/>
      <c r="M108" s="28"/>
      <c r="N108" s="28"/>
      <c r="O108" s="213" t="s">
        <v>1</v>
      </c>
      <c r="P108" s="214"/>
      <c r="Q108" s="214"/>
    </row>
    <row r="109" spans="1:18" ht="18.75" customHeight="1">
      <c r="A109" s="215" t="s">
        <v>43</v>
      </c>
      <c r="B109" s="215" t="s">
        <v>8</v>
      </c>
      <c r="C109" s="218" t="s">
        <v>44</v>
      </c>
      <c r="D109" s="61" t="s">
        <v>33</v>
      </c>
      <c r="E109" s="61" t="s">
        <v>33</v>
      </c>
      <c r="F109" s="207" t="s">
        <v>15</v>
      </c>
      <c r="G109" s="207" t="s">
        <v>45</v>
      </c>
      <c r="H109" s="207" t="s">
        <v>46</v>
      </c>
      <c r="I109" s="207" t="s">
        <v>6</v>
      </c>
      <c r="J109" s="207" t="s">
        <v>133</v>
      </c>
      <c r="K109" s="207" t="s">
        <v>47</v>
      </c>
      <c r="L109" s="207" t="s">
        <v>48</v>
      </c>
      <c r="M109" s="207" t="s">
        <v>49</v>
      </c>
      <c r="N109" s="207" t="s">
        <v>50</v>
      </c>
      <c r="O109" s="207" t="s">
        <v>51</v>
      </c>
      <c r="P109" s="207" t="s">
        <v>52</v>
      </c>
      <c r="Q109" s="207" t="s">
        <v>6</v>
      </c>
    </row>
    <row r="110" spans="1:18" ht="18.75" customHeight="1">
      <c r="A110" s="216"/>
      <c r="B110" s="216"/>
      <c r="C110" s="219"/>
      <c r="D110" s="62" t="s">
        <v>123</v>
      </c>
      <c r="E110" s="62" t="s">
        <v>129</v>
      </c>
      <c r="F110" s="220"/>
      <c r="G110" s="220"/>
      <c r="H110" s="220"/>
      <c r="I110" s="220"/>
      <c r="J110" s="220"/>
      <c r="K110" s="208"/>
      <c r="L110" s="208"/>
      <c r="M110" s="208"/>
      <c r="N110" s="208"/>
      <c r="O110" s="208"/>
      <c r="P110" s="208"/>
      <c r="Q110" s="208"/>
    </row>
    <row r="111" spans="1:18">
      <c r="A111" s="217"/>
      <c r="B111" s="217"/>
      <c r="C111" s="225" t="s">
        <v>36</v>
      </c>
      <c r="D111" s="226"/>
      <c r="E111" s="226"/>
      <c r="F111" s="226"/>
      <c r="G111" s="226"/>
      <c r="H111" s="226"/>
      <c r="I111" s="226"/>
      <c r="J111" s="226"/>
      <c r="K111" s="226"/>
      <c r="L111" s="226"/>
      <c r="M111" s="226"/>
      <c r="N111" s="226"/>
      <c r="O111" s="226"/>
      <c r="P111" s="226"/>
      <c r="Q111" s="227"/>
    </row>
    <row r="112" spans="1:18" ht="21" customHeight="1">
      <c r="A112" s="221">
        <v>1</v>
      </c>
      <c r="B112" s="223" t="s">
        <v>9</v>
      </c>
      <c r="C112" s="63" t="s">
        <v>53</v>
      </c>
      <c r="D112" s="29">
        <v>4</v>
      </c>
      <c r="E112" s="71">
        <v>4</v>
      </c>
      <c r="F112" s="29">
        <v>0</v>
      </c>
      <c r="G112" s="29">
        <v>4177</v>
      </c>
      <c r="H112" s="29">
        <v>0</v>
      </c>
      <c r="I112" s="30">
        <f t="shared" ref="I112:I118" si="28">SUM(G112:H112)</f>
        <v>4177</v>
      </c>
      <c r="J112" s="180">
        <f>ROUND(I112*0.7,0)</f>
        <v>2924</v>
      </c>
      <c r="K112" s="29">
        <v>46</v>
      </c>
      <c r="L112" s="29">
        <v>418</v>
      </c>
      <c r="M112" s="29">
        <v>0</v>
      </c>
      <c r="N112" s="29">
        <v>0</v>
      </c>
      <c r="O112" s="29">
        <v>0</v>
      </c>
      <c r="P112" s="29">
        <v>54</v>
      </c>
      <c r="Q112" s="30">
        <f t="shared" ref="Q112:Q118" si="29">SUM(F112+I112+J112+K112+L112+M112+N112+O112+P112)</f>
        <v>7619</v>
      </c>
    </row>
    <row r="113" spans="1:18" ht="20.25">
      <c r="A113" s="222"/>
      <c r="B113" s="224"/>
      <c r="C113" s="63" t="s">
        <v>54</v>
      </c>
      <c r="D113" s="29">
        <v>5</v>
      </c>
      <c r="E113" s="71">
        <v>5</v>
      </c>
      <c r="F113" s="29">
        <v>0</v>
      </c>
      <c r="G113" s="29">
        <v>4075</v>
      </c>
      <c r="H113" s="29">
        <v>0</v>
      </c>
      <c r="I113" s="30">
        <f t="shared" si="28"/>
        <v>4075</v>
      </c>
      <c r="J113" s="180">
        <f t="shared" ref="J113:J118" si="30">ROUND(I113*0.7,0)</f>
        <v>2853</v>
      </c>
      <c r="K113" s="29">
        <v>70</v>
      </c>
      <c r="L113" s="29">
        <v>408</v>
      </c>
      <c r="M113" s="29">
        <v>81</v>
      </c>
      <c r="N113" s="29">
        <v>0</v>
      </c>
      <c r="O113" s="29">
        <v>0</v>
      </c>
      <c r="P113" s="29">
        <v>56</v>
      </c>
      <c r="Q113" s="30">
        <f t="shared" si="29"/>
        <v>7543</v>
      </c>
    </row>
    <row r="114" spans="1:18" ht="20.25">
      <c r="A114" s="221">
        <v>2</v>
      </c>
      <c r="B114" s="223" t="s">
        <v>10</v>
      </c>
      <c r="C114" s="64" t="s">
        <v>55</v>
      </c>
      <c r="D114" s="29">
        <v>4</v>
      </c>
      <c r="E114" s="71">
        <v>4</v>
      </c>
      <c r="F114" s="29">
        <v>0</v>
      </c>
      <c r="G114" s="29">
        <v>2382</v>
      </c>
      <c r="H114" s="29">
        <v>0</v>
      </c>
      <c r="I114" s="30">
        <f t="shared" si="28"/>
        <v>2382</v>
      </c>
      <c r="J114" s="180">
        <f t="shared" si="30"/>
        <v>1667</v>
      </c>
      <c r="K114" s="29">
        <v>42</v>
      </c>
      <c r="L114" s="29">
        <v>238</v>
      </c>
      <c r="M114" s="29">
        <v>65</v>
      </c>
      <c r="N114" s="29">
        <v>0</v>
      </c>
      <c r="O114" s="29">
        <v>0</v>
      </c>
      <c r="P114" s="29">
        <v>21</v>
      </c>
      <c r="Q114" s="30">
        <f t="shared" si="29"/>
        <v>4415</v>
      </c>
    </row>
    <row r="115" spans="1:18" ht="20.25">
      <c r="A115" s="222"/>
      <c r="B115" s="228"/>
      <c r="C115" s="64" t="s">
        <v>136</v>
      </c>
      <c r="D115" s="29">
        <v>9</v>
      </c>
      <c r="E115" s="71">
        <v>9</v>
      </c>
      <c r="F115" s="29">
        <v>0</v>
      </c>
      <c r="G115" s="29">
        <v>5807</v>
      </c>
      <c r="H115" s="29">
        <v>0</v>
      </c>
      <c r="I115" s="30">
        <f>SUM(G115:H115)</f>
        <v>5807</v>
      </c>
      <c r="J115" s="180">
        <f t="shared" si="30"/>
        <v>4065</v>
      </c>
      <c r="K115" s="29">
        <v>78</v>
      </c>
      <c r="L115" s="29">
        <v>581</v>
      </c>
      <c r="M115" s="29">
        <v>146</v>
      </c>
      <c r="N115" s="29">
        <v>0</v>
      </c>
      <c r="O115" s="29">
        <v>0</v>
      </c>
      <c r="P115" s="29">
        <v>59</v>
      </c>
      <c r="Q115" s="30">
        <f>SUM(F115+I115+J115+K115+L115+M115+N115+O115+P115)</f>
        <v>10736</v>
      </c>
    </row>
    <row r="116" spans="1:18" ht="20.25">
      <c r="A116" s="222"/>
      <c r="B116" s="228"/>
      <c r="C116" s="64" t="s">
        <v>137</v>
      </c>
      <c r="D116" s="29">
        <v>8</v>
      </c>
      <c r="E116" s="71">
        <v>8</v>
      </c>
      <c r="F116" s="29">
        <v>0</v>
      </c>
      <c r="G116" s="29">
        <v>4018</v>
      </c>
      <c r="H116" s="29">
        <v>0</v>
      </c>
      <c r="I116" s="30">
        <f t="shared" si="28"/>
        <v>4018</v>
      </c>
      <c r="J116" s="180">
        <f t="shared" si="30"/>
        <v>2813</v>
      </c>
      <c r="K116" s="29">
        <v>48</v>
      </c>
      <c r="L116" s="29">
        <v>402</v>
      </c>
      <c r="M116" s="29">
        <v>130</v>
      </c>
      <c r="N116" s="29">
        <v>0</v>
      </c>
      <c r="O116" s="29">
        <v>0</v>
      </c>
      <c r="P116" s="29">
        <v>30</v>
      </c>
      <c r="Q116" s="30">
        <f t="shared" si="29"/>
        <v>7441</v>
      </c>
    </row>
    <row r="117" spans="1:18" ht="20.25">
      <c r="A117" s="222"/>
      <c r="B117" s="228"/>
      <c r="C117" s="64" t="s">
        <v>57</v>
      </c>
      <c r="D117" s="29">
        <v>4</v>
      </c>
      <c r="E117" s="71">
        <v>4</v>
      </c>
      <c r="F117" s="29">
        <v>0</v>
      </c>
      <c r="G117" s="29">
        <v>1739</v>
      </c>
      <c r="H117" s="29">
        <v>0</v>
      </c>
      <c r="I117" s="30">
        <f t="shared" si="28"/>
        <v>1739</v>
      </c>
      <c r="J117" s="180">
        <f t="shared" si="30"/>
        <v>1217</v>
      </c>
      <c r="K117" s="29">
        <v>24</v>
      </c>
      <c r="L117" s="29">
        <v>174</v>
      </c>
      <c r="M117" s="29">
        <v>65</v>
      </c>
      <c r="N117" s="29">
        <v>0</v>
      </c>
      <c r="O117" s="29">
        <v>0</v>
      </c>
      <c r="P117" s="29">
        <v>27</v>
      </c>
      <c r="Q117" s="30">
        <f t="shared" si="29"/>
        <v>3246</v>
      </c>
    </row>
    <row r="118" spans="1:18" ht="20.25">
      <c r="A118" s="65">
        <v>3</v>
      </c>
      <c r="B118" s="66" t="s">
        <v>11</v>
      </c>
      <c r="C118" s="67" t="s">
        <v>59</v>
      </c>
      <c r="D118" s="29">
        <v>8</v>
      </c>
      <c r="E118" s="71">
        <v>8</v>
      </c>
      <c r="F118" s="29">
        <v>0</v>
      </c>
      <c r="G118" s="29">
        <v>2902</v>
      </c>
      <c r="H118" s="29">
        <v>0</v>
      </c>
      <c r="I118" s="30">
        <f t="shared" si="28"/>
        <v>2902</v>
      </c>
      <c r="J118" s="180">
        <f t="shared" si="30"/>
        <v>2031</v>
      </c>
      <c r="K118" s="29">
        <v>23</v>
      </c>
      <c r="L118" s="29">
        <v>290</v>
      </c>
      <c r="M118" s="29">
        <v>65</v>
      </c>
      <c r="N118" s="29">
        <v>0</v>
      </c>
      <c r="O118" s="29">
        <v>0</v>
      </c>
      <c r="P118" s="29">
        <v>74</v>
      </c>
      <c r="Q118" s="30">
        <f t="shared" si="29"/>
        <v>5385</v>
      </c>
    </row>
    <row r="119" spans="1:18" s="38" customFormat="1" ht="21" thickBot="1">
      <c r="A119" s="68" t="s">
        <v>0</v>
      </c>
      <c r="B119" s="70" t="s">
        <v>60</v>
      </c>
      <c r="C119" s="69" t="s">
        <v>6</v>
      </c>
      <c r="D119" s="37">
        <f t="shared" ref="D119:Q119" si="31">SUM(D112:D118)</f>
        <v>42</v>
      </c>
      <c r="E119" s="37">
        <f t="shared" si="31"/>
        <v>42</v>
      </c>
      <c r="F119" s="37">
        <f t="shared" si="31"/>
        <v>0</v>
      </c>
      <c r="G119" s="37">
        <f t="shared" si="31"/>
        <v>25100</v>
      </c>
      <c r="H119" s="37">
        <f t="shared" si="31"/>
        <v>0</v>
      </c>
      <c r="I119" s="37">
        <f t="shared" si="31"/>
        <v>25100</v>
      </c>
      <c r="J119" s="37">
        <f t="shared" si="31"/>
        <v>17570</v>
      </c>
      <c r="K119" s="37">
        <f t="shared" si="31"/>
        <v>331</v>
      </c>
      <c r="L119" s="37">
        <f t="shared" si="31"/>
        <v>2511</v>
      </c>
      <c r="M119" s="37">
        <f t="shared" si="31"/>
        <v>552</v>
      </c>
      <c r="N119" s="37">
        <f t="shared" si="31"/>
        <v>0</v>
      </c>
      <c r="O119" s="37">
        <f t="shared" si="31"/>
        <v>0</v>
      </c>
      <c r="P119" s="37">
        <f t="shared" si="31"/>
        <v>321</v>
      </c>
      <c r="Q119" s="37">
        <f t="shared" si="31"/>
        <v>46385</v>
      </c>
    </row>
    <row r="120" spans="1:18" ht="18.75" thickTop="1"/>
    <row r="121" spans="1:18">
      <c r="A121" s="209" t="s">
        <v>144</v>
      </c>
      <c r="B121" s="210"/>
      <c r="C121" s="210"/>
      <c r="D121" s="210"/>
      <c r="E121" s="210"/>
      <c r="F121" s="210"/>
      <c r="G121" s="210"/>
      <c r="H121" s="210"/>
      <c r="I121" s="210"/>
      <c r="J121" s="210"/>
      <c r="K121" s="210"/>
      <c r="L121" s="210"/>
      <c r="M121" s="210"/>
      <c r="N121" s="210"/>
      <c r="O121" s="210"/>
      <c r="P121" s="210"/>
      <c r="Q121" s="210"/>
    </row>
    <row r="122" spans="1:18">
      <c r="A122" s="211" t="s">
        <v>32</v>
      </c>
      <c r="B122" s="212"/>
      <c r="C122" s="212"/>
      <c r="D122" s="212"/>
      <c r="E122" s="212"/>
      <c r="F122" s="212"/>
      <c r="G122" s="212"/>
      <c r="H122" s="212"/>
      <c r="I122" s="212"/>
      <c r="J122" s="212"/>
      <c r="K122" s="212"/>
      <c r="L122" s="212"/>
      <c r="M122" s="212"/>
      <c r="N122" s="212"/>
      <c r="O122" s="212"/>
      <c r="P122" s="212"/>
      <c r="Q122" s="212"/>
    </row>
    <row r="123" spans="1:18" ht="23.25">
      <c r="A123" s="59" t="s">
        <v>64</v>
      </c>
      <c r="B123" s="60"/>
      <c r="C123" s="60"/>
      <c r="D123" s="28"/>
      <c r="E123" s="28"/>
      <c r="F123" s="28"/>
      <c r="G123" s="28"/>
      <c r="H123" s="28"/>
      <c r="I123" s="28"/>
      <c r="J123" s="28"/>
      <c r="K123" s="28"/>
      <c r="L123" s="28"/>
      <c r="M123" s="28"/>
      <c r="N123" s="28"/>
      <c r="O123" s="213" t="s">
        <v>1</v>
      </c>
      <c r="P123" s="214"/>
      <c r="Q123" s="214"/>
    </row>
    <row r="124" spans="1:18" ht="18.75" customHeight="1">
      <c r="A124" s="215" t="s">
        <v>43</v>
      </c>
      <c r="B124" s="215" t="s">
        <v>8</v>
      </c>
      <c r="C124" s="218" t="s">
        <v>44</v>
      </c>
      <c r="D124" s="61" t="s">
        <v>33</v>
      </c>
      <c r="E124" s="61" t="s">
        <v>33</v>
      </c>
      <c r="F124" s="207" t="s">
        <v>15</v>
      </c>
      <c r="G124" s="207" t="s">
        <v>45</v>
      </c>
      <c r="H124" s="207" t="s">
        <v>46</v>
      </c>
      <c r="I124" s="207" t="s">
        <v>6</v>
      </c>
      <c r="J124" s="207" t="s">
        <v>133</v>
      </c>
      <c r="K124" s="207" t="s">
        <v>47</v>
      </c>
      <c r="L124" s="207" t="s">
        <v>48</v>
      </c>
      <c r="M124" s="207" t="s">
        <v>49</v>
      </c>
      <c r="N124" s="207" t="s">
        <v>50</v>
      </c>
      <c r="O124" s="207" t="s">
        <v>51</v>
      </c>
      <c r="P124" s="207" t="s">
        <v>52</v>
      </c>
      <c r="Q124" s="207" t="s">
        <v>6</v>
      </c>
    </row>
    <row r="125" spans="1:18" ht="18.75" customHeight="1">
      <c r="A125" s="216"/>
      <c r="B125" s="216"/>
      <c r="C125" s="219"/>
      <c r="D125" s="62" t="s">
        <v>123</v>
      </c>
      <c r="E125" s="62" t="s">
        <v>129</v>
      </c>
      <c r="F125" s="220"/>
      <c r="G125" s="220"/>
      <c r="H125" s="220"/>
      <c r="I125" s="220"/>
      <c r="J125" s="220"/>
      <c r="K125" s="208"/>
      <c r="L125" s="208"/>
      <c r="M125" s="208"/>
      <c r="N125" s="208"/>
      <c r="O125" s="208"/>
      <c r="P125" s="208"/>
      <c r="Q125" s="208"/>
    </row>
    <row r="126" spans="1:18">
      <c r="A126" s="217"/>
      <c r="B126" s="217"/>
      <c r="C126" s="225" t="s">
        <v>35</v>
      </c>
      <c r="D126" s="226"/>
      <c r="E126" s="226"/>
      <c r="F126" s="226"/>
      <c r="G126" s="226"/>
      <c r="H126" s="226"/>
      <c r="I126" s="226"/>
      <c r="J126" s="226"/>
      <c r="K126" s="226"/>
      <c r="L126" s="226"/>
      <c r="M126" s="226"/>
      <c r="N126" s="226"/>
      <c r="O126" s="226"/>
      <c r="P126" s="226"/>
      <c r="Q126" s="227"/>
    </row>
    <row r="127" spans="1:18" ht="21" customHeight="1">
      <c r="A127" s="221">
        <v>1</v>
      </c>
      <c r="B127" s="223" t="s">
        <v>9</v>
      </c>
      <c r="C127" s="63" t="s">
        <v>53</v>
      </c>
      <c r="D127" s="29">
        <v>2</v>
      </c>
      <c r="E127" s="71">
        <v>2</v>
      </c>
      <c r="F127" s="29">
        <v>0</v>
      </c>
      <c r="G127" s="29">
        <v>1835</v>
      </c>
      <c r="H127" s="29">
        <v>0</v>
      </c>
      <c r="I127" s="30">
        <f t="shared" ref="I127:I133" si="32">SUM(G127:H127)</f>
        <v>1835</v>
      </c>
      <c r="J127" s="180">
        <f>ROUND(I127*0.7,0)</f>
        <v>1285</v>
      </c>
      <c r="K127" s="29">
        <v>4</v>
      </c>
      <c r="L127" s="29">
        <v>391</v>
      </c>
      <c r="M127" s="29">
        <v>97</v>
      </c>
      <c r="N127" s="29">
        <v>0</v>
      </c>
      <c r="O127" s="29">
        <v>0</v>
      </c>
      <c r="P127" s="29">
        <v>0</v>
      </c>
      <c r="Q127" s="30">
        <f t="shared" ref="Q127:Q133" si="33">SUM(F127+I127+J127+K127+L127+M127+N127+O127+P127)</f>
        <v>3612</v>
      </c>
      <c r="R127" s="27" t="s">
        <v>140</v>
      </c>
    </row>
    <row r="128" spans="1:18" ht="20.25">
      <c r="A128" s="222"/>
      <c r="B128" s="224"/>
      <c r="C128" s="63" t="s">
        <v>54</v>
      </c>
      <c r="D128" s="29">
        <v>0</v>
      </c>
      <c r="E128" s="71">
        <v>0</v>
      </c>
      <c r="F128" s="29">
        <v>0</v>
      </c>
      <c r="G128" s="29">
        <v>0</v>
      </c>
      <c r="H128" s="29">
        <v>0</v>
      </c>
      <c r="I128" s="30">
        <f t="shared" si="32"/>
        <v>0</v>
      </c>
      <c r="J128" s="180">
        <f t="shared" ref="J128:J133" si="34">ROUND(I128*0.7,0)</f>
        <v>0</v>
      </c>
      <c r="K128" s="29">
        <v>0</v>
      </c>
      <c r="L128" s="29">
        <v>0</v>
      </c>
      <c r="M128" s="29">
        <v>0</v>
      </c>
      <c r="N128" s="29">
        <v>0</v>
      </c>
      <c r="O128" s="29">
        <v>0</v>
      </c>
      <c r="P128" s="29">
        <v>0</v>
      </c>
      <c r="Q128" s="30">
        <f t="shared" si="33"/>
        <v>0</v>
      </c>
    </row>
    <row r="129" spans="1:17" ht="20.25">
      <c r="A129" s="221">
        <v>2</v>
      </c>
      <c r="B129" s="223" t="s">
        <v>10</v>
      </c>
      <c r="C129" s="64" t="s">
        <v>55</v>
      </c>
      <c r="D129" s="29">
        <v>4</v>
      </c>
      <c r="E129" s="71">
        <v>4</v>
      </c>
      <c r="F129" s="29">
        <v>0</v>
      </c>
      <c r="G129" s="29">
        <v>1891</v>
      </c>
      <c r="H129" s="29">
        <v>0</v>
      </c>
      <c r="I129" s="30">
        <f t="shared" si="32"/>
        <v>1891</v>
      </c>
      <c r="J129" s="180">
        <f t="shared" si="34"/>
        <v>1324</v>
      </c>
      <c r="K129" s="29">
        <v>4</v>
      </c>
      <c r="L129" s="29">
        <v>284</v>
      </c>
      <c r="M129" s="29">
        <v>81</v>
      </c>
      <c r="N129" s="29">
        <v>0</v>
      </c>
      <c r="O129" s="29">
        <v>0</v>
      </c>
      <c r="P129" s="29">
        <v>0</v>
      </c>
      <c r="Q129" s="30">
        <f t="shared" si="33"/>
        <v>3584</v>
      </c>
    </row>
    <row r="130" spans="1:17" ht="20.25">
      <c r="A130" s="222"/>
      <c r="B130" s="228"/>
      <c r="C130" s="64" t="s">
        <v>136</v>
      </c>
      <c r="D130" s="29">
        <v>4</v>
      </c>
      <c r="E130" s="71">
        <v>4</v>
      </c>
      <c r="F130" s="29">
        <v>0</v>
      </c>
      <c r="G130" s="29">
        <v>2005</v>
      </c>
      <c r="H130" s="29">
        <v>0</v>
      </c>
      <c r="I130" s="30">
        <f t="shared" si="32"/>
        <v>2005</v>
      </c>
      <c r="J130" s="180">
        <f t="shared" si="34"/>
        <v>1404</v>
      </c>
      <c r="K130" s="29">
        <v>7</v>
      </c>
      <c r="L130" s="29">
        <v>400</v>
      </c>
      <c r="M130" s="29">
        <v>97</v>
      </c>
      <c r="N130" s="29">
        <v>0</v>
      </c>
      <c r="O130" s="29">
        <v>0</v>
      </c>
      <c r="P130" s="29">
        <v>0</v>
      </c>
      <c r="Q130" s="30">
        <f>SUM(F130+I130+J130+K130+L130+M130+N130+O130+P130)</f>
        <v>3913</v>
      </c>
    </row>
    <row r="131" spans="1:17" ht="20.25">
      <c r="A131" s="222"/>
      <c r="B131" s="228"/>
      <c r="C131" s="64" t="s">
        <v>137</v>
      </c>
      <c r="D131" s="29">
        <v>5</v>
      </c>
      <c r="E131" s="71">
        <v>5</v>
      </c>
      <c r="F131" s="29">
        <v>0</v>
      </c>
      <c r="G131" s="29">
        <v>1729</v>
      </c>
      <c r="H131" s="29">
        <v>0</v>
      </c>
      <c r="I131" s="30">
        <f t="shared" si="32"/>
        <v>1729</v>
      </c>
      <c r="J131" s="180">
        <v>1211</v>
      </c>
      <c r="K131" s="29">
        <v>8</v>
      </c>
      <c r="L131" s="29">
        <v>302</v>
      </c>
      <c r="M131" s="29">
        <v>114</v>
      </c>
      <c r="N131" s="29">
        <v>0</v>
      </c>
      <c r="O131" s="29">
        <v>0</v>
      </c>
      <c r="P131" s="29">
        <v>0</v>
      </c>
      <c r="Q131" s="30">
        <f t="shared" si="33"/>
        <v>3364</v>
      </c>
    </row>
    <row r="132" spans="1:17" ht="20.25">
      <c r="A132" s="222"/>
      <c r="B132" s="228"/>
      <c r="C132" s="64" t="s">
        <v>57</v>
      </c>
      <c r="D132" s="29">
        <v>4</v>
      </c>
      <c r="E132" s="71">
        <v>4</v>
      </c>
      <c r="F132" s="29">
        <v>0</v>
      </c>
      <c r="G132" s="29">
        <v>1259</v>
      </c>
      <c r="H132" s="29">
        <v>0</v>
      </c>
      <c r="I132" s="30">
        <f t="shared" si="32"/>
        <v>1259</v>
      </c>
      <c r="J132" s="180">
        <f t="shared" si="34"/>
        <v>881</v>
      </c>
      <c r="K132" s="29">
        <v>4</v>
      </c>
      <c r="L132" s="29">
        <v>174</v>
      </c>
      <c r="M132" s="29">
        <v>81</v>
      </c>
      <c r="N132" s="29">
        <v>4</v>
      </c>
      <c r="O132" s="29">
        <v>0</v>
      </c>
      <c r="P132" s="29">
        <v>0</v>
      </c>
      <c r="Q132" s="30">
        <f t="shared" si="33"/>
        <v>2403</v>
      </c>
    </row>
    <row r="133" spans="1:17" ht="20.25">
      <c r="A133" s="65">
        <v>3</v>
      </c>
      <c r="B133" s="66" t="s">
        <v>11</v>
      </c>
      <c r="C133" s="67" t="s">
        <v>59</v>
      </c>
      <c r="D133" s="29">
        <v>4</v>
      </c>
      <c r="E133" s="71">
        <v>4</v>
      </c>
      <c r="F133" s="29">
        <v>0</v>
      </c>
      <c r="G133" s="29">
        <v>1705</v>
      </c>
      <c r="H133" s="29">
        <v>0</v>
      </c>
      <c r="I133" s="30">
        <f t="shared" si="32"/>
        <v>1705</v>
      </c>
      <c r="J133" s="180">
        <f t="shared" si="34"/>
        <v>1194</v>
      </c>
      <c r="K133" s="29">
        <v>0</v>
      </c>
      <c r="L133" s="29">
        <v>259</v>
      </c>
      <c r="M133" s="29">
        <v>97</v>
      </c>
      <c r="N133" s="29">
        <v>2</v>
      </c>
      <c r="O133" s="29">
        <v>0</v>
      </c>
      <c r="P133" s="29">
        <v>0</v>
      </c>
      <c r="Q133" s="30">
        <f t="shared" si="33"/>
        <v>3257</v>
      </c>
    </row>
    <row r="134" spans="1:17" s="38" customFormat="1" ht="21" thickBot="1">
      <c r="A134" s="68" t="s">
        <v>0</v>
      </c>
      <c r="B134" s="70" t="s">
        <v>60</v>
      </c>
      <c r="C134" s="69" t="s">
        <v>6</v>
      </c>
      <c r="D134" s="37">
        <f t="shared" ref="D134:Q134" si="35">SUM(D127:D133)</f>
        <v>23</v>
      </c>
      <c r="E134" s="37">
        <f t="shared" si="35"/>
        <v>23</v>
      </c>
      <c r="F134" s="37">
        <f t="shared" si="35"/>
        <v>0</v>
      </c>
      <c r="G134" s="37">
        <f t="shared" si="35"/>
        <v>10424</v>
      </c>
      <c r="H134" s="37">
        <f t="shared" si="35"/>
        <v>0</v>
      </c>
      <c r="I134" s="37">
        <f t="shared" si="35"/>
        <v>10424</v>
      </c>
      <c r="J134" s="37">
        <f t="shared" si="35"/>
        <v>7299</v>
      </c>
      <c r="K134" s="37">
        <f t="shared" si="35"/>
        <v>27</v>
      </c>
      <c r="L134" s="37">
        <f t="shared" si="35"/>
        <v>1810</v>
      </c>
      <c r="M134" s="37">
        <f t="shared" si="35"/>
        <v>567</v>
      </c>
      <c r="N134" s="37">
        <f t="shared" si="35"/>
        <v>6</v>
      </c>
      <c r="O134" s="37">
        <f t="shared" si="35"/>
        <v>0</v>
      </c>
      <c r="P134" s="37">
        <f t="shared" si="35"/>
        <v>0</v>
      </c>
      <c r="Q134" s="37">
        <f t="shared" si="35"/>
        <v>20133</v>
      </c>
    </row>
    <row r="135" spans="1:17" ht="18.75" thickTop="1">
      <c r="A135" s="31"/>
      <c r="B135" s="32"/>
      <c r="C135" s="33"/>
      <c r="D135" s="34"/>
      <c r="E135" s="34"/>
      <c r="F135" s="34"/>
      <c r="G135" s="34"/>
      <c r="H135" s="34"/>
      <c r="I135" s="34"/>
      <c r="J135" s="34"/>
      <c r="K135" s="34"/>
      <c r="L135" s="34"/>
      <c r="M135" s="34"/>
      <c r="N135" s="34"/>
      <c r="O135" s="34"/>
      <c r="P135" s="34"/>
      <c r="Q135" s="34"/>
    </row>
    <row r="136" spans="1:17">
      <c r="A136" s="209" t="s">
        <v>144</v>
      </c>
      <c r="B136" s="210"/>
      <c r="C136" s="210"/>
      <c r="D136" s="210"/>
      <c r="E136" s="210"/>
      <c r="F136" s="210"/>
      <c r="G136" s="210"/>
      <c r="H136" s="210"/>
      <c r="I136" s="210"/>
      <c r="J136" s="210"/>
      <c r="K136" s="210"/>
      <c r="L136" s="210"/>
      <c r="M136" s="210"/>
      <c r="N136" s="210"/>
      <c r="O136" s="210"/>
      <c r="P136" s="210"/>
      <c r="Q136" s="210"/>
    </row>
    <row r="137" spans="1:17">
      <c r="A137" s="211" t="s">
        <v>32</v>
      </c>
      <c r="B137" s="212"/>
      <c r="C137" s="212"/>
      <c r="D137" s="212"/>
      <c r="E137" s="212"/>
      <c r="F137" s="212"/>
      <c r="G137" s="212"/>
      <c r="H137" s="212"/>
      <c r="I137" s="212"/>
      <c r="J137" s="212"/>
      <c r="K137" s="212"/>
      <c r="L137" s="212"/>
      <c r="M137" s="212"/>
      <c r="N137" s="212"/>
      <c r="O137" s="212"/>
      <c r="P137" s="212"/>
      <c r="Q137" s="212"/>
    </row>
    <row r="138" spans="1:17" ht="23.25">
      <c r="A138" s="59" t="s">
        <v>64</v>
      </c>
      <c r="B138" s="60"/>
      <c r="C138" s="60"/>
      <c r="D138" s="28"/>
      <c r="E138" s="28"/>
      <c r="F138" s="28"/>
      <c r="G138" s="28"/>
      <c r="H138" s="28"/>
      <c r="I138" s="28"/>
      <c r="J138" s="28"/>
      <c r="K138" s="28"/>
      <c r="L138" s="28"/>
      <c r="M138" s="28"/>
      <c r="N138" s="28"/>
      <c r="O138" s="213" t="s">
        <v>1</v>
      </c>
      <c r="P138" s="214"/>
      <c r="Q138" s="214"/>
    </row>
    <row r="139" spans="1:17" ht="18.75" customHeight="1">
      <c r="A139" s="215" t="s">
        <v>43</v>
      </c>
      <c r="B139" s="215" t="s">
        <v>8</v>
      </c>
      <c r="C139" s="218" t="s">
        <v>44</v>
      </c>
      <c r="D139" s="61" t="s">
        <v>33</v>
      </c>
      <c r="E139" s="61" t="s">
        <v>33</v>
      </c>
      <c r="F139" s="207" t="s">
        <v>15</v>
      </c>
      <c r="G139" s="207" t="s">
        <v>45</v>
      </c>
      <c r="H139" s="207" t="s">
        <v>46</v>
      </c>
      <c r="I139" s="207" t="s">
        <v>6</v>
      </c>
      <c r="J139" s="207" t="s">
        <v>133</v>
      </c>
      <c r="K139" s="207" t="s">
        <v>47</v>
      </c>
      <c r="L139" s="207" t="s">
        <v>48</v>
      </c>
      <c r="M139" s="207" t="s">
        <v>49</v>
      </c>
      <c r="N139" s="207" t="s">
        <v>50</v>
      </c>
      <c r="O139" s="207" t="s">
        <v>51</v>
      </c>
      <c r="P139" s="207" t="s">
        <v>52</v>
      </c>
      <c r="Q139" s="207" t="s">
        <v>6</v>
      </c>
    </row>
    <row r="140" spans="1:17" ht="18.75" customHeight="1">
      <c r="A140" s="216"/>
      <c r="B140" s="216"/>
      <c r="C140" s="219"/>
      <c r="D140" s="62" t="s">
        <v>123</v>
      </c>
      <c r="E140" s="62" t="s">
        <v>129</v>
      </c>
      <c r="F140" s="220"/>
      <c r="G140" s="220"/>
      <c r="H140" s="220"/>
      <c r="I140" s="220"/>
      <c r="J140" s="220"/>
      <c r="K140" s="208"/>
      <c r="L140" s="208"/>
      <c r="M140" s="208"/>
      <c r="N140" s="208"/>
      <c r="O140" s="208"/>
      <c r="P140" s="208"/>
      <c r="Q140" s="208"/>
    </row>
    <row r="141" spans="1:17">
      <c r="A141" s="217"/>
      <c r="B141" s="217"/>
      <c r="C141" s="225" t="s">
        <v>36</v>
      </c>
      <c r="D141" s="226"/>
      <c r="E141" s="226"/>
      <c r="F141" s="226"/>
      <c r="G141" s="226"/>
      <c r="H141" s="226"/>
      <c r="I141" s="226"/>
      <c r="J141" s="226"/>
      <c r="K141" s="226"/>
      <c r="L141" s="226"/>
      <c r="M141" s="226"/>
      <c r="N141" s="226"/>
      <c r="O141" s="226"/>
      <c r="P141" s="226"/>
      <c r="Q141" s="227"/>
    </row>
    <row r="142" spans="1:17" ht="21" customHeight="1">
      <c r="A142" s="221">
        <v>1</v>
      </c>
      <c r="B142" s="223" t="s">
        <v>9</v>
      </c>
      <c r="C142" s="63" t="s">
        <v>53</v>
      </c>
      <c r="D142" s="29">
        <v>6</v>
      </c>
      <c r="E142" s="71">
        <v>6</v>
      </c>
      <c r="F142" s="29">
        <v>0</v>
      </c>
      <c r="G142" s="29">
        <v>6247</v>
      </c>
      <c r="H142" s="29">
        <v>0</v>
      </c>
      <c r="I142" s="30">
        <f t="shared" ref="I142:I148" si="36">SUM(G142:H142)</f>
        <v>6247</v>
      </c>
      <c r="J142" s="180">
        <f>ROUND(I142*0.7,0)</f>
        <v>4373</v>
      </c>
      <c r="K142" s="29">
        <v>0</v>
      </c>
      <c r="L142" s="29">
        <v>625</v>
      </c>
      <c r="M142" s="29">
        <v>194</v>
      </c>
      <c r="N142" s="29">
        <v>0</v>
      </c>
      <c r="O142" s="29">
        <v>0</v>
      </c>
      <c r="P142" s="29">
        <v>0</v>
      </c>
      <c r="Q142" s="30">
        <f t="shared" ref="Q142:Q148" si="37">SUM(F142+I142+J142+K142+L142+M142+N142+O142+P142)</f>
        <v>11439</v>
      </c>
    </row>
    <row r="143" spans="1:17" ht="20.25">
      <c r="A143" s="222"/>
      <c r="B143" s="224"/>
      <c r="C143" s="63" t="s">
        <v>54</v>
      </c>
      <c r="D143" s="29">
        <v>8</v>
      </c>
      <c r="E143" s="71">
        <v>8</v>
      </c>
      <c r="F143" s="29">
        <v>0</v>
      </c>
      <c r="G143" s="29">
        <v>4686</v>
      </c>
      <c r="H143" s="29">
        <v>0</v>
      </c>
      <c r="I143" s="30">
        <f t="shared" si="36"/>
        <v>4686</v>
      </c>
      <c r="J143" s="180">
        <f t="shared" ref="J143:J148" si="38">ROUND(I143*0.7,0)</f>
        <v>3280</v>
      </c>
      <c r="K143" s="29">
        <v>4</v>
      </c>
      <c r="L143" s="29">
        <v>592</v>
      </c>
      <c r="M143" s="29">
        <v>146</v>
      </c>
      <c r="N143" s="29">
        <v>0</v>
      </c>
      <c r="O143" s="29">
        <v>0</v>
      </c>
      <c r="P143" s="29">
        <v>0</v>
      </c>
      <c r="Q143" s="30">
        <f t="shared" si="37"/>
        <v>8708</v>
      </c>
    </row>
    <row r="144" spans="1:17" ht="20.25">
      <c r="A144" s="221">
        <v>2</v>
      </c>
      <c r="B144" s="223" t="s">
        <v>10</v>
      </c>
      <c r="C144" s="64" t="s">
        <v>55</v>
      </c>
      <c r="D144" s="29">
        <v>4</v>
      </c>
      <c r="E144" s="71">
        <v>4</v>
      </c>
      <c r="F144" s="29">
        <v>0</v>
      </c>
      <c r="G144" s="29">
        <v>1891</v>
      </c>
      <c r="H144" s="29">
        <v>0</v>
      </c>
      <c r="I144" s="30">
        <f t="shared" si="36"/>
        <v>1891</v>
      </c>
      <c r="J144" s="180">
        <f t="shared" si="38"/>
        <v>1324</v>
      </c>
      <c r="K144" s="29">
        <v>0</v>
      </c>
      <c r="L144" s="29">
        <v>189</v>
      </c>
      <c r="M144" s="29">
        <v>65</v>
      </c>
      <c r="N144" s="29">
        <v>0</v>
      </c>
      <c r="O144" s="29">
        <v>0</v>
      </c>
      <c r="P144" s="29">
        <v>0</v>
      </c>
      <c r="Q144" s="30">
        <f t="shared" si="37"/>
        <v>3469</v>
      </c>
    </row>
    <row r="145" spans="1:17" ht="20.25">
      <c r="A145" s="222"/>
      <c r="B145" s="228"/>
      <c r="C145" s="64" t="s">
        <v>136</v>
      </c>
      <c r="D145" s="29">
        <v>12</v>
      </c>
      <c r="E145" s="71">
        <v>12</v>
      </c>
      <c r="F145" s="29">
        <v>0</v>
      </c>
      <c r="G145" s="29">
        <v>6247</v>
      </c>
      <c r="H145" s="29">
        <v>0</v>
      </c>
      <c r="I145" s="30">
        <f t="shared" si="36"/>
        <v>6247</v>
      </c>
      <c r="J145" s="180">
        <f t="shared" si="38"/>
        <v>4373</v>
      </c>
      <c r="K145" s="29">
        <v>0</v>
      </c>
      <c r="L145" s="29">
        <v>625</v>
      </c>
      <c r="M145" s="29">
        <v>194</v>
      </c>
      <c r="N145" s="29">
        <v>0</v>
      </c>
      <c r="O145" s="29">
        <v>0</v>
      </c>
      <c r="P145" s="29">
        <v>0</v>
      </c>
      <c r="Q145" s="30">
        <f t="shared" si="37"/>
        <v>11439</v>
      </c>
    </row>
    <row r="146" spans="1:17" ht="20.25">
      <c r="A146" s="222"/>
      <c r="B146" s="228"/>
      <c r="C146" s="64" t="s">
        <v>137</v>
      </c>
      <c r="D146" s="29">
        <v>11</v>
      </c>
      <c r="E146" s="71">
        <v>11</v>
      </c>
      <c r="F146" s="29">
        <v>0</v>
      </c>
      <c r="G146" s="29">
        <v>3982</v>
      </c>
      <c r="H146" s="29">
        <v>0</v>
      </c>
      <c r="I146" s="30">
        <f t="shared" si="36"/>
        <v>3982</v>
      </c>
      <c r="J146" s="180">
        <v>2788</v>
      </c>
      <c r="K146" s="29">
        <v>0</v>
      </c>
      <c r="L146" s="29">
        <v>398</v>
      </c>
      <c r="M146" s="29">
        <v>178</v>
      </c>
      <c r="N146" s="29">
        <v>0</v>
      </c>
      <c r="O146" s="29">
        <v>0</v>
      </c>
      <c r="P146" s="29">
        <v>0</v>
      </c>
      <c r="Q146" s="30">
        <f t="shared" si="37"/>
        <v>7346</v>
      </c>
    </row>
    <row r="147" spans="1:17" ht="20.25">
      <c r="A147" s="222"/>
      <c r="B147" s="228"/>
      <c r="C147" s="64" t="s">
        <v>57</v>
      </c>
      <c r="D147" s="29">
        <v>4</v>
      </c>
      <c r="E147" s="71">
        <v>4</v>
      </c>
      <c r="F147" s="29">
        <v>0</v>
      </c>
      <c r="G147" s="29">
        <v>1378</v>
      </c>
      <c r="H147" s="29">
        <v>0</v>
      </c>
      <c r="I147" s="30">
        <f t="shared" si="36"/>
        <v>1378</v>
      </c>
      <c r="J147" s="180">
        <f t="shared" si="38"/>
        <v>965</v>
      </c>
      <c r="K147" s="29">
        <v>0</v>
      </c>
      <c r="L147" s="29">
        <v>137</v>
      </c>
      <c r="M147" s="29">
        <v>65</v>
      </c>
      <c r="N147" s="29">
        <v>0</v>
      </c>
      <c r="O147" s="29">
        <v>3</v>
      </c>
      <c r="P147" s="29">
        <v>0</v>
      </c>
      <c r="Q147" s="30">
        <f t="shared" si="37"/>
        <v>2548</v>
      </c>
    </row>
    <row r="148" spans="1:17" ht="20.25">
      <c r="A148" s="65">
        <v>3</v>
      </c>
      <c r="B148" s="66" t="s">
        <v>11</v>
      </c>
      <c r="C148" s="67" t="s">
        <v>59</v>
      </c>
      <c r="D148" s="29">
        <v>12</v>
      </c>
      <c r="E148" s="71">
        <v>12</v>
      </c>
      <c r="F148" s="29">
        <v>0</v>
      </c>
      <c r="G148" s="29">
        <v>3978</v>
      </c>
      <c r="H148" s="29">
        <v>0</v>
      </c>
      <c r="I148" s="30">
        <f t="shared" si="36"/>
        <v>3978</v>
      </c>
      <c r="J148" s="180">
        <f t="shared" si="38"/>
        <v>2785</v>
      </c>
      <c r="K148" s="29">
        <v>0</v>
      </c>
      <c r="L148" s="29">
        <v>404</v>
      </c>
      <c r="M148" s="29">
        <v>178</v>
      </c>
      <c r="N148" s="29">
        <v>8</v>
      </c>
      <c r="O148" s="29">
        <v>0</v>
      </c>
      <c r="P148" s="29">
        <v>0</v>
      </c>
      <c r="Q148" s="30">
        <f t="shared" si="37"/>
        <v>7353</v>
      </c>
    </row>
    <row r="149" spans="1:17" s="38" customFormat="1" ht="21" thickBot="1">
      <c r="A149" s="68" t="s">
        <v>0</v>
      </c>
      <c r="B149" s="70" t="s">
        <v>60</v>
      </c>
      <c r="C149" s="69" t="s">
        <v>6</v>
      </c>
      <c r="D149" s="37">
        <f t="shared" ref="D149:Q149" si="39">SUM(D142:D148)</f>
        <v>57</v>
      </c>
      <c r="E149" s="37">
        <f t="shared" si="39"/>
        <v>57</v>
      </c>
      <c r="F149" s="37">
        <f t="shared" si="39"/>
        <v>0</v>
      </c>
      <c r="G149" s="37">
        <f t="shared" si="39"/>
        <v>28409</v>
      </c>
      <c r="H149" s="37">
        <f t="shared" si="39"/>
        <v>0</v>
      </c>
      <c r="I149" s="37">
        <f t="shared" si="39"/>
        <v>28409</v>
      </c>
      <c r="J149" s="37">
        <f t="shared" si="39"/>
        <v>19888</v>
      </c>
      <c r="K149" s="37">
        <f t="shared" si="39"/>
        <v>4</v>
      </c>
      <c r="L149" s="37">
        <f t="shared" si="39"/>
        <v>2970</v>
      </c>
      <c r="M149" s="37">
        <f t="shared" si="39"/>
        <v>1020</v>
      </c>
      <c r="N149" s="37">
        <f t="shared" si="39"/>
        <v>8</v>
      </c>
      <c r="O149" s="37">
        <f t="shared" si="39"/>
        <v>3</v>
      </c>
      <c r="P149" s="37">
        <f t="shared" si="39"/>
        <v>0</v>
      </c>
      <c r="Q149" s="37">
        <f t="shared" si="39"/>
        <v>52302</v>
      </c>
    </row>
    <row r="150" spans="1:17" ht="18.75" thickTop="1"/>
    <row r="151" spans="1:17">
      <c r="A151" s="209" t="s">
        <v>144</v>
      </c>
      <c r="B151" s="210"/>
      <c r="C151" s="210"/>
      <c r="D151" s="210"/>
      <c r="E151" s="210"/>
      <c r="F151" s="210"/>
      <c r="G151" s="210"/>
      <c r="H151" s="210"/>
      <c r="I151" s="210"/>
      <c r="J151" s="210"/>
      <c r="K151" s="210"/>
      <c r="L151" s="210"/>
      <c r="M151" s="210"/>
      <c r="N151" s="210"/>
      <c r="O151" s="210"/>
      <c r="P151" s="210"/>
      <c r="Q151" s="210"/>
    </row>
    <row r="152" spans="1:17">
      <c r="A152" s="211" t="s">
        <v>32</v>
      </c>
      <c r="B152" s="212"/>
      <c r="C152" s="212"/>
      <c r="D152" s="212"/>
      <c r="E152" s="212"/>
      <c r="F152" s="212"/>
      <c r="G152" s="212"/>
      <c r="H152" s="212"/>
      <c r="I152" s="212"/>
      <c r="J152" s="212"/>
      <c r="K152" s="212"/>
      <c r="L152" s="212"/>
      <c r="M152" s="212"/>
      <c r="N152" s="212"/>
      <c r="O152" s="212"/>
      <c r="P152" s="212"/>
      <c r="Q152" s="212"/>
    </row>
    <row r="153" spans="1:17" ht="23.25">
      <c r="A153" s="59" t="s">
        <v>65</v>
      </c>
      <c r="B153" s="60"/>
      <c r="C153" s="60"/>
      <c r="D153" s="28"/>
      <c r="E153" s="28"/>
      <c r="F153" s="28"/>
      <c r="G153" s="28"/>
      <c r="H153" s="28"/>
      <c r="I153" s="28"/>
      <c r="J153" s="28"/>
      <c r="K153" s="28"/>
      <c r="L153" s="28"/>
      <c r="M153" s="28"/>
      <c r="N153" s="28"/>
      <c r="O153" s="213" t="s">
        <v>1</v>
      </c>
      <c r="P153" s="214"/>
      <c r="Q153" s="214"/>
    </row>
    <row r="154" spans="1:17" ht="18.75" customHeight="1">
      <c r="A154" s="215" t="s">
        <v>43</v>
      </c>
      <c r="B154" s="215" t="s">
        <v>8</v>
      </c>
      <c r="C154" s="218" t="s">
        <v>44</v>
      </c>
      <c r="D154" s="61" t="s">
        <v>33</v>
      </c>
      <c r="E154" s="61" t="s">
        <v>33</v>
      </c>
      <c r="F154" s="207" t="s">
        <v>15</v>
      </c>
      <c r="G154" s="207" t="s">
        <v>45</v>
      </c>
      <c r="H154" s="207" t="s">
        <v>46</v>
      </c>
      <c r="I154" s="207" t="s">
        <v>6</v>
      </c>
      <c r="J154" s="207" t="s">
        <v>133</v>
      </c>
      <c r="K154" s="207" t="s">
        <v>47</v>
      </c>
      <c r="L154" s="207" t="s">
        <v>48</v>
      </c>
      <c r="M154" s="207" t="s">
        <v>49</v>
      </c>
      <c r="N154" s="207" t="s">
        <v>50</v>
      </c>
      <c r="O154" s="207" t="s">
        <v>51</v>
      </c>
      <c r="P154" s="207" t="s">
        <v>52</v>
      </c>
      <c r="Q154" s="207" t="s">
        <v>6</v>
      </c>
    </row>
    <row r="155" spans="1:17" ht="18.75" customHeight="1">
      <c r="A155" s="216"/>
      <c r="B155" s="216"/>
      <c r="C155" s="219"/>
      <c r="D155" s="62" t="s">
        <v>123</v>
      </c>
      <c r="E155" s="62" t="s">
        <v>129</v>
      </c>
      <c r="F155" s="220"/>
      <c r="G155" s="220"/>
      <c r="H155" s="220"/>
      <c r="I155" s="220"/>
      <c r="J155" s="220"/>
      <c r="K155" s="208"/>
      <c r="L155" s="208"/>
      <c r="M155" s="208"/>
      <c r="N155" s="208"/>
      <c r="O155" s="208"/>
      <c r="P155" s="208"/>
      <c r="Q155" s="208"/>
    </row>
    <row r="156" spans="1:17">
      <c r="A156" s="217"/>
      <c r="B156" s="217"/>
      <c r="C156" s="225" t="s">
        <v>35</v>
      </c>
      <c r="D156" s="226"/>
      <c r="E156" s="226"/>
      <c r="F156" s="226"/>
      <c r="G156" s="226"/>
      <c r="H156" s="226"/>
      <c r="I156" s="226"/>
      <c r="J156" s="226"/>
      <c r="K156" s="226"/>
      <c r="L156" s="226"/>
      <c r="M156" s="226"/>
      <c r="N156" s="226"/>
      <c r="O156" s="226"/>
      <c r="P156" s="226"/>
      <c r="Q156" s="227"/>
    </row>
    <row r="157" spans="1:17" ht="21" customHeight="1">
      <c r="A157" s="221">
        <v>1</v>
      </c>
      <c r="B157" s="223" t="s">
        <v>9</v>
      </c>
      <c r="C157" s="63" t="s">
        <v>53</v>
      </c>
      <c r="D157" s="29">
        <v>3</v>
      </c>
      <c r="E157" s="71">
        <v>3</v>
      </c>
      <c r="F157" s="29">
        <v>0</v>
      </c>
      <c r="G157" s="29">
        <v>3650</v>
      </c>
      <c r="H157" s="29">
        <v>0</v>
      </c>
      <c r="I157" s="30">
        <f t="shared" ref="I157:I163" si="40">SUM(G157:H157)</f>
        <v>3650</v>
      </c>
      <c r="J157" s="180">
        <f>ROUND(I157*0.7,0)</f>
        <v>2555</v>
      </c>
      <c r="K157" s="29">
        <v>0</v>
      </c>
      <c r="L157" s="29">
        <v>365</v>
      </c>
      <c r="M157" s="29">
        <v>0</v>
      </c>
      <c r="N157" s="29">
        <v>0</v>
      </c>
      <c r="O157" s="29">
        <v>0</v>
      </c>
      <c r="P157" s="29">
        <v>0</v>
      </c>
      <c r="Q157" s="30">
        <f t="shared" ref="Q157:Q163" si="41">SUM(F157+I157+J157+K157+L157+M157+N157+O157+P157)</f>
        <v>6570</v>
      </c>
    </row>
    <row r="158" spans="1:17" ht="20.25">
      <c r="A158" s="222"/>
      <c r="B158" s="224"/>
      <c r="C158" s="63" t="s">
        <v>54</v>
      </c>
      <c r="D158" s="29">
        <v>0</v>
      </c>
      <c r="E158" s="71">
        <v>0</v>
      </c>
      <c r="F158" s="29">
        <v>0</v>
      </c>
      <c r="G158" s="29">
        <v>0</v>
      </c>
      <c r="H158" s="29">
        <v>0</v>
      </c>
      <c r="I158" s="30">
        <f t="shared" si="40"/>
        <v>0</v>
      </c>
      <c r="J158" s="180">
        <f t="shared" ref="J158:J163" si="42">ROUND(I158*0.7,0)</f>
        <v>0</v>
      </c>
      <c r="K158" s="29">
        <v>0</v>
      </c>
      <c r="L158" s="29">
        <v>0</v>
      </c>
      <c r="M158" s="29">
        <v>0</v>
      </c>
      <c r="N158" s="29">
        <v>0</v>
      </c>
      <c r="O158" s="29">
        <v>0</v>
      </c>
      <c r="P158" s="29">
        <v>0</v>
      </c>
      <c r="Q158" s="30">
        <f t="shared" si="41"/>
        <v>0</v>
      </c>
    </row>
    <row r="159" spans="1:17" ht="20.25">
      <c r="A159" s="221">
        <v>2</v>
      </c>
      <c r="B159" s="223" t="s">
        <v>10</v>
      </c>
      <c r="C159" s="64" t="s">
        <v>55</v>
      </c>
      <c r="D159" s="29">
        <v>3</v>
      </c>
      <c r="E159" s="71">
        <v>3</v>
      </c>
      <c r="F159" s="29">
        <v>0</v>
      </c>
      <c r="G159" s="29">
        <v>1696</v>
      </c>
      <c r="H159" s="29">
        <v>0</v>
      </c>
      <c r="I159" s="30">
        <f t="shared" si="40"/>
        <v>1696</v>
      </c>
      <c r="J159" s="180">
        <f t="shared" si="42"/>
        <v>1187</v>
      </c>
      <c r="K159" s="29">
        <v>0</v>
      </c>
      <c r="L159" s="29">
        <v>170</v>
      </c>
      <c r="M159" s="29">
        <v>49</v>
      </c>
      <c r="N159" s="29">
        <v>0</v>
      </c>
      <c r="O159" s="29">
        <v>0</v>
      </c>
      <c r="P159" s="29">
        <v>0</v>
      </c>
      <c r="Q159" s="30">
        <f t="shared" si="41"/>
        <v>3102</v>
      </c>
    </row>
    <row r="160" spans="1:17" ht="20.25">
      <c r="A160" s="222"/>
      <c r="B160" s="228"/>
      <c r="C160" s="64" t="s">
        <v>136</v>
      </c>
      <c r="D160" s="29">
        <v>6</v>
      </c>
      <c r="E160" s="71">
        <v>6</v>
      </c>
      <c r="F160" s="29">
        <v>0</v>
      </c>
      <c r="G160" s="29">
        <v>3600</v>
      </c>
      <c r="H160" s="29">
        <v>0</v>
      </c>
      <c r="I160" s="30">
        <f t="shared" si="40"/>
        <v>3600</v>
      </c>
      <c r="J160" s="180">
        <f t="shared" si="42"/>
        <v>2520</v>
      </c>
      <c r="K160" s="29">
        <v>0</v>
      </c>
      <c r="L160" s="29">
        <v>360</v>
      </c>
      <c r="M160" s="29">
        <v>97</v>
      </c>
      <c r="N160" s="29">
        <v>0</v>
      </c>
      <c r="O160" s="29">
        <v>0</v>
      </c>
      <c r="P160" s="29">
        <v>0</v>
      </c>
      <c r="Q160" s="30">
        <f t="shared" si="41"/>
        <v>6577</v>
      </c>
    </row>
    <row r="161" spans="1:19" ht="20.25">
      <c r="A161" s="222"/>
      <c r="B161" s="228"/>
      <c r="C161" s="64" t="s">
        <v>137</v>
      </c>
      <c r="D161" s="29">
        <v>6</v>
      </c>
      <c r="E161" s="71">
        <v>6</v>
      </c>
      <c r="F161" s="29">
        <v>0</v>
      </c>
      <c r="G161" s="29">
        <v>2678</v>
      </c>
      <c r="H161" s="29">
        <v>0</v>
      </c>
      <c r="I161" s="30">
        <f t="shared" si="40"/>
        <v>2678</v>
      </c>
      <c r="J161" s="180">
        <f t="shared" si="42"/>
        <v>1875</v>
      </c>
      <c r="K161" s="29">
        <v>0</v>
      </c>
      <c r="L161" s="29">
        <v>268</v>
      </c>
      <c r="M161" s="29">
        <v>97</v>
      </c>
      <c r="N161" s="29">
        <v>0</v>
      </c>
      <c r="O161" s="29">
        <v>0</v>
      </c>
      <c r="P161" s="29">
        <v>0</v>
      </c>
      <c r="Q161" s="30">
        <f t="shared" si="41"/>
        <v>4918</v>
      </c>
    </row>
    <row r="162" spans="1:19" ht="20.25">
      <c r="A162" s="222"/>
      <c r="B162" s="228"/>
      <c r="C162" s="64" t="s">
        <v>57</v>
      </c>
      <c r="D162" s="29">
        <v>3</v>
      </c>
      <c r="E162" s="71">
        <v>3</v>
      </c>
      <c r="F162" s="29">
        <v>0</v>
      </c>
      <c r="G162" s="29">
        <v>1195</v>
      </c>
      <c r="H162" s="29">
        <v>0</v>
      </c>
      <c r="I162" s="30">
        <f t="shared" si="40"/>
        <v>1195</v>
      </c>
      <c r="J162" s="180">
        <f t="shared" si="42"/>
        <v>837</v>
      </c>
      <c r="K162" s="29">
        <v>0</v>
      </c>
      <c r="L162" s="29">
        <v>120</v>
      </c>
      <c r="M162" s="29">
        <v>49</v>
      </c>
      <c r="N162" s="29">
        <v>0</v>
      </c>
      <c r="O162" s="29">
        <v>0</v>
      </c>
      <c r="P162" s="29">
        <v>0</v>
      </c>
      <c r="Q162" s="30">
        <f t="shared" si="41"/>
        <v>2201</v>
      </c>
    </row>
    <row r="163" spans="1:19" ht="20.25">
      <c r="A163" s="65">
        <v>3</v>
      </c>
      <c r="B163" s="66" t="s">
        <v>11</v>
      </c>
      <c r="C163" s="67" t="s">
        <v>59</v>
      </c>
      <c r="D163" s="29">
        <v>6</v>
      </c>
      <c r="E163" s="71">
        <v>6</v>
      </c>
      <c r="F163" s="29">
        <v>0</v>
      </c>
      <c r="G163" s="29">
        <v>2386</v>
      </c>
      <c r="H163" s="29">
        <v>0</v>
      </c>
      <c r="I163" s="30">
        <f t="shared" si="40"/>
        <v>2386</v>
      </c>
      <c r="J163" s="180">
        <f t="shared" si="42"/>
        <v>1670</v>
      </c>
      <c r="K163" s="29">
        <v>0</v>
      </c>
      <c r="L163" s="29">
        <v>239</v>
      </c>
      <c r="M163" s="29">
        <v>97</v>
      </c>
      <c r="N163" s="29">
        <v>0</v>
      </c>
      <c r="O163" s="29">
        <v>0</v>
      </c>
      <c r="P163" s="29">
        <v>0</v>
      </c>
      <c r="Q163" s="30">
        <f t="shared" si="41"/>
        <v>4392</v>
      </c>
    </row>
    <row r="164" spans="1:19" s="38" customFormat="1" ht="21" thickBot="1">
      <c r="A164" s="68" t="s">
        <v>0</v>
      </c>
      <c r="B164" s="70" t="s">
        <v>60</v>
      </c>
      <c r="C164" s="69" t="s">
        <v>6</v>
      </c>
      <c r="D164" s="37">
        <f t="shared" ref="D164:Q164" si="43">SUM(D157:D163)</f>
        <v>27</v>
      </c>
      <c r="E164" s="37">
        <f t="shared" si="43"/>
        <v>27</v>
      </c>
      <c r="F164" s="37">
        <f t="shared" si="43"/>
        <v>0</v>
      </c>
      <c r="G164" s="37">
        <f t="shared" si="43"/>
        <v>15205</v>
      </c>
      <c r="H164" s="37">
        <f t="shared" si="43"/>
        <v>0</v>
      </c>
      <c r="I164" s="37">
        <f t="shared" si="43"/>
        <v>15205</v>
      </c>
      <c r="J164" s="37">
        <f t="shared" si="43"/>
        <v>10644</v>
      </c>
      <c r="K164" s="37">
        <f t="shared" si="43"/>
        <v>0</v>
      </c>
      <c r="L164" s="37">
        <f t="shared" si="43"/>
        <v>1522</v>
      </c>
      <c r="M164" s="37">
        <f t="shared" si="43"/>
        <v>389</v>
      </c>
      <c r="N164" s="37">
        <f t="shared" si="43"/>
        <v>0</v>
      </c>
      <c r="O164" s="37">
        <f t="shared" si="43"/>
        <v>0</v>
      </c>
      <c r="P164" s="37">
        <f t="shared" si="43"/>
        <v>0</v>
      </c>
      <c r="Q164" s="37">
        <f t="shared" si="43"/>
        <v>27760</v>
      </c>
    </row>
    <row r="165" spans="1:19" ht="18.75" thickTop="1">
      <c r="A165" s="31"/>
      <c r="B165" s="32"/>
      <c r="C165" s="33"/>
      <c r="D165" s="34"/>
      <c r="E165" s="34"/>
      <c r="F165" s="34"/>
      <c r="G165" s="34"/>
      <c r="H165" s="34"/>
      <c r="I165" s="34"/>
      <c r="J165" s="34"/>
      <c r="K165" s="34"/>
      <c r="L165" s="34"/>
      <c r="M165" s="34"/>
      <c r="N165" s="34"/>
      <c r="O165" s="34"/>
      <c r="P165" s="34"/>
      <c r="Q165" s="34"/>
    </row>
    <row r="166" spans="1:19">
      <c r="A166" s="209" t="s">
        <v>144</v>
      </c>
      <c r="B166" s="210"/>
      <c r="C166" s="210"/>
      <c r="D166" s="210"/>
      <c r="E166" s="210"/>
      <c r="F166" s="210"/>
      <c r="G166" s="210"/>
      <c r="H166" s="210"/>
      <c r="I166" s="210"/>
      <c r="J166" s="210"/>
      <c r="K166" s="210"/>
      <c r="L166" s="210"/>
      <c r="M166" s="210"/>
      <c r="N166" s="210"/>
      <c r="O166" s="210"/>
      <c r="P166" s="210"/>
      <c r="Q166" s="210"/>
      <c r="S166" s="27" t="s">
        <v>125</v>
      </c>
    </row>
    <row r="167" spans="1:19">
      <c r="A167" s="211" t="s">
        <v>32</v>
      </c>
      <c r="B167" s="212"/>
      <c r="C167" s="212"/>
      <c r="D167" s="212"/>
      <c r="E167" s="212"/>
      <c r="F167" s="212"/>
      <c r="G167" s="212"/>
      <c r="H167" s="212"/>
      <c r="I167" s="212"/>
      <c r="J167" s="212"/>
      <c r="K167" s="212"/>
      <c r="L167" s="212"/>
      <c r="M167" s="212"/>
      <c r="N167" s="212"/>
      <c r="O167" s="212"/>
      <c r="P167" s="212"/>
      <c r="Q167" s="212"/>
    </row>
    <row r="168" spans="1:19" ht="23.25">
      <c r="A168" s="59" t="s">
        <v>65</v>
      </c>
      <c r="B168" s="60"/>
      <c r="C168" s="60"/>
      <c r="D168" s="28"/>
      <c r="E168" s="28"/>
      <c r="F168" s="28"/>
      <c r="G168" s="28"/>
      <c r="H168" s="28"/>
      <c r="I168" s="28"/>
      <c r="J168" s="28"/>
      <c r="K168" s="28"/>
      <c r="L168" s="28"/>
      <c r="M168" s="28"/>
      <c r="N168" s="28"/>
      <c r="O168" s="213" t="s">
        <v>1</v>
      </c>
      <c r="P168" s="214"/>
      <c r="Q168" s="214"/>
    </row>
    <row r="169" spans="1:19" ht="18.75" customHeight="1">
      <c r="A169" s="215" t="s">
        <v>43</v>
      </c>
      <c r="B169" s="215" t="s">
        <v>8</v>
      </c>
      <c r="C169" s="218" t="s">
        <v>44</v>
      </c>
      <c r="D169" s="61" t="s">
        <v>33</v>
      </c>
      <c r="E169" s="61" t="s">
        <v>33</v>
      </c>
      <c r="F169" s="207" t="s">
        <v>15</v>
      </c>
      <c r="G169" s="207" t="s">
        <v>45</v>
      </c>
      <c r="H169" s="207" t="s">
        <v>46</v>
      </c>
      <c r="I169" s="207" t="s">
        <v>6</v>
      </c>
      <c r="J169" s="207" t="s">
        <v>133</v>
      </c>
      <c r="K169" s="207" t="s">
        <v>47</v>
      </c>
      <c r="L169" s="207" t="s">
        <v>48</v>
      </c>
      <c r="M169" s="207" t="s">
        <v>49</v>
      </c>
      <c r="N169" s="207" t="s">
        <v>50</v>
      </c>
      <c r="O169" s="207" t="s">
        <v>51</v>
      </c>
      <c r="P169" s="207" t="s">
        <v>52</v>
      </c>
      <c r="Q169" s="207" t="s">
        <v>6</v>
      </c>
    </row>
    <row r="170" spans="1:19" ht="18.75" customHeight="1">
      <c r="A170" s="216"/>
      <c r="B170" s="216"/>
      <c r="C170" s="219"/>
      <c r="D170" s="62" t="s">
        <v>123</v>
      </c>
      <c r="E170" s="62" t="s">
        <v>129</v>
      </c>
      <c r="F170" s="220"/>
      <c r="G170" s="220"/>
      <c r="H170" s="220"/>
      <c r="I170" s="220"/>
      <c r="J170" s="220"/>
      <c r="K170" s="208"/>
      <c r="L170" s="208"/>
      <c r="M170" s="208"/>
      <c r="N170" s="208"/>
      <c r="O170" s="208"/>
      <c r="P170" s="208"/>
      <c r="Q170" s="208"/>
    </row>
    <row r="171" spans="1:19">
      <c r="A171" s="217"/>
      <c r="B171" s="217"/>
      <c r="C171" s="225" t="s">
        <v>36</v>
      </c>
      <c r="D171" s="226"/>
      <c r="E171" s="226"/>
      <c r="F171" s="226"/>
      <c r="G171" s="226"/>
      <c r="H171" s="226"/>
      <c r="I171" s="226"/>
      <c r="J171" s="226"/>
      <c r="K171" s="226"/>
      <c r="L171" s="226"/>
      <c r="M171" s="226"/>
      <c r="N171" s="226"/>
      <c r="O171" s="226"/>
      <c r="P171" s="226"/>
      <c r="Q171" s="227"/>
    </row>
    <row r="172" spans="1:19" ht="21" customHeight="1">
      <c r="A172" s="221">
        <v>1</v>
      </c>
      <c r="B172" s="223" t="s">
        <v>9</v>
      </c>
      <c r="C172" s="63" t="s">
        <v>53</v>
      </c>
      <c r="D172" s="29">
        <v>2</v>
      </c>
      <c r="E172" s="71">
        <v>2</v>
      </c>
      <c r="F172" s="29">
        <v>0</v>
      </c>
      <c r="G172" s="29">
        <v>2434</v>
      </c>
      <c r="H172" s="29">
        <v>0</v>
      </c>
      <c r="I172" s="30">
        <f t="shared" ref="I172:I178" si="44">SUM(G172:H172)</f>
        <v>2434</v>
      </c>
      <c r="J172" s="180">
        <f>ROUND(I172*0.7,0)</f>
        <v>1704</v>
      </c>
      <c r="K172" s="29">
        <v>0</v>
      </c>
      <c r="L172" s="29">
        <v>243</v>
      </c>
      <c r="M172" s="29">
        <v>0</v>
      </c>
      <c r="N172" s="29">
        <v>0</v>
      </c>
      <c r="O172" s="29">
        <v>0</v>
      </c>
      <c r="P172" s="29">
        <v>0</v>
      </c>
      <c r="Q172" s="30">
        <f t="shared" ref="Q172:Q178" si="45">SUM(F172+I172+J172+K172+L172+M172+N172+O172+P172)</f>
        <v>4381</v>
      </c>
    </row>
    <row r="173" spans="1:19" ht="20.25">
      <c r="A173" s="222"/>
      <c r="B173" s="224"/>
      <c r="C173" s="63" t="s">
        <v>54</v>
      </c>
      <c r="D173" s="29">
        <v>5</v>
      </c>
      <c r="E173" s="71">
        <v>5</v>
      </c>
      <c r="F173" s="29">
        <v>0</v>
      </c>
      <c r="G173" s="29">
        <v>3954</v>
      </c>
      <c r="H173" s="29">
        <v>0</v>
      </c>
      <c r="I173" s="30">
        <f t="shared" si="44"/>
        <v>3954</v>
      </c>
      <c r="J173" s="180">
        <f t="shared" ref="J173:J178" si="46">ROUND(I173*0.7,0)</f>
        <v>2768</v>
      </c>
      <c r="K173" s="29">
        <v>0</v>
      </c>
      <c r="L173" s="29">
        <v>395</v>
      </c>
      <c r="M173" s="29">
        <v>81</v>
      </c>
      <c r="N173" s="29">
        <v>0</v>
      </c>
      <c r="O173" s="29">
        <v>0</v>
      </c>
      <c r="P173" s="29">
        <v>0</v>
      </c>
      <c r="Q173" s="30">
        <f t="shared" si="45"/>
        <v>7198</v>
      </c>
    </row>
    <row r="174" spans="1:19" ht="20.25">
      <c r="A174" s="221">
        <v>2</v>
      </c>
      <c r="B174" s="223" t="s">
        <v>10</v>
      </c>
      <c r="C174" s="64" t="s">
        <v>55</v>
      </c>
      <c r="D174" s="29">
        <v>2</v>
      </c>
      <c r="E174" s="71">
        <v>2</v>
      </c>
      <c r="F174" s="29">
        <v>0</v>
      </c>
      <c r="G174" s="29">
        <v>1130</v>
      </c>
      <c r="H174" s="29">
        <v>0</v>
      </c>
      <c r="I174" s="30">
        <f t="shared" si="44"/>
        <v>1130</v>
      </c>
      <c r="J174" s="180">
        <f t="shared" si="46"/>
        <v>791</v>
      </c>
      <c r="K174" s="29">
        <v>0</v>
      </c>
      <c r="L174" s="29">
        <v>113</v>
      </c>
      <c r="M174" s="29">
        <v>32</v>
      </c>
      <c r="N174" s="29">
        <v>0</v>
      </c>
      <c r="O174" s="29">
        <v>0</v>
      </c>
      <c r="P174" s="29">
        <v>0</v>
      </c>
      <c r="Q174" s="30">
        <f t="shared" si="45"/>
        <v>2066</v>
      </c>
    </row>
    <row r="175" spans="1:19" ht="20.25">
      <c r="A175" s="222"/>
      <c r="B175" s="228"/>
      <c r="C175" s="64" t="s">
        <v>136</v>
      </c>
      <c r="D175" s="29">
        <v>4</v>
      </c>
      <c r="E175" s="71">
        <v>4</v>
      </c>
      <c r="F175" s="29">
        <v>0</v>
      </c>
      <c r="G175" s="29">
        <v>2400</v>
      </c>
      <c r="H175" s="29">
        <v>0</v>
      </c>
      <c r="I175" s="30">
        <f t="shared" si="44"/>
        <v>2400</v>
      </c>
      <c r="J175" s="180">
        <f t="shared" si="46"/>
        <v>1680</v>
      </c>
      <c r="K175" s="29">
        <v>0</v>
      </c>
      <c r="L175" s="29">
        <v>240</v>
      </c>
      <c r="M175" s="29">
        <v>65</v>
      </c>
      <c r="N175" s="29">
        <v>0</v>
      </c>
      <c r="O175" s="29">
        <v>0</v>
      </c>
      <c r="P175" s="29">
        <v>0</v>
      </c>
      <c r="Q175" s="30">
        <f t="shared" si="45"/>
        <v>4385</v>
      </c>
    </row>
    <row r="176" spans="1:19" ht="20.25">
      <c r="A176" s="222"/>
      <c r="B176" s="228"/>
      <c r="C176" s="64" t="s">
        <v>137</v>
      </c>
      <c r="D176" s="29">
        <v>4</v>
      </c>
      <c r="E176" s="71">
        <v>4</v>
      </c>
      <c r="F176" s="29">
        <v>0</v>
      </c>
      <c r="G176" s="29">
        <v>1786</v>
      </c>
      <c r="H176" s="29">
        <v>0</v>
      </c>
      <c r="I176" s="30">
        <f t="shared" si="44"/>
        <v>1786</v>
      </c>
      <c r="J176" s="180">
        <f t="shared" si="46"/>
        <v>1250</v>
      </c>
      <c r="K176" s="29">
        <v>0</v>
      </c>
      <c r="L176" s="29">
        <v>179</v>
      </c>
      <c r="M176" s="29">
        <v>65</v>
      </c>
      <c r="N176" s="29">
        <v>0</v>
      </c>
      <c r="O176" s="29">
        <v>0</v>
      </c>
      <c r="P176" s="29">
        <v>0</v>
      </c>
      <c r="Q176" s="30">
        <f t="shared" si="45"/>
        <v>3280</v>
      </c>
    </row>
    <row r="177" spans="1:18" ht="20.25">
      <c r="A177" s="222"/>
      <c r="B177" s="228"/>
      <c r="C177" s="64" t="s">
        <v>57</v>
      </c>
      <c r="D177" s="29">
        <v>2</v>
      </c>
      <c r="E177" s="71">
        <v>2</v>
      </c>
      <c r="F177" s="29">
        <v>0</v>
      </c>
      <c r="G177" s="29">
        <v>749</v>
      </c>
      <c r="H177" s="29">
        <v>0</v>
      </c>
      <c r="I177" s="30">
        <f t="shared" si="44"/>
        <v>749</v>
      </c>
      <c r="J177" s="180">
        <f t="shared" si="46"/>
        <v>524</v>
      </c>
      <c r="K177" s="29">
        <v>0</v>
      </c>
      <c r="L177" s="29">
        <v>75</v>
      </c>
      <c r="M177" s="29">
        <v>32</v>
      </c>
      <c r="N177" s="29">
        <v>0</v>
      </c>
      <c r="O177" s="29">
        <v>0</v>
      </c>
      <c r="P177" s="29">
        <v>0</v>
      </c>
      <c r="Q177" s="30">
        <f t="shared" si="45"/>
        <v>1380</v>
      </c>
    </row>
    <row r="178" spans="1:18" ht="20.25">
      <c r="A178" s="65">
        <v>3</v>
      </c>
      <c r="B178" s="66" t="s">
        <v>11</v>
      </c>
      <c r="C178" s="67" t="s">
        <v>59</v>
      </c>
      <c r="D178" s="29">
        <v>4</v>
      </c>
      <c r="E178" s="71">
        <v>4</v>
      </c>
      <c r="F178" s="29">
        <v>0</v>
      </c>
      <c r="G178" s="29">
        <v>1529</v>
      </c>
      <c r="H178" s="29">
        <v>0</v>
      </c>
      <c r="I178" s="30">
        <f t="shared" si="44"/>
        <v>1529</v>
      </c>
      <c r="J178" s="180">
        <f t="shared" si="46"/>
        <v>1070</v>
      </c>
      <c r="K178" s="29">
        <v>0</v>
      </c>
      <c r="L178" s="29">
        <v>153</v>
      </c>
      <c r="M178" s="29">
        <v>65</v>
      </c>
      <c r="N178" s="29">
        <v>0</v>
      </c>
      <c r="O178" s="29">
        <v>0</v>
      </c>
      <c r="P178" s="29">
        <v>0</v>
      </c>
      <c r="Q178" s="30">
        <f t="shared" si="45"/>
        <v>2817</v>
      </c>
    </row>
    <row r="179" spans="1:18" s="38" customFormat="1" ht="21" thickBot="1">
      <c r="A179" s="68" t="s">
        <v>0</v>
      </c>
      <c r="B179" s="70" t="s">
        <v>60</v>
      </c>
      <c r="C179" s="69" t="s">
        <v>6</v>
      </c>
      <c r="D179" s="37">
        <f t="shared" ref="D179:Q179" si="47">SUM(D172:D178)</f>
        <v>23</v>
      </c>
      <c r="E179" s="37">
        <f t="shared" si="47"/>
        <v>23</v>
      </c>
      <c r="F179" s="37">
        <f t="shared" si="47"/>
        <v>0</v>
      </c>
      <c r="G179" s="37">
        <f t="shared" si="47"/>
        <v>13982</v>
      </c>
      <c r="H179" s="37">
        <f t="shared" si="47"/>
        <v>0</v>
      </c>
      <c r="I179" s="37">
        <f t="shared" si="47"/>
        <v>13982</v>
      </c>
      <c r="J179" s="37">
        <f t="shared" si="47"/>
        <v>9787</v>
      </c>
      <c r="K179" s="37">
        <f t="shared" si="47"/>
        <v>0</v>
      </c>
      <c r="L179" s="37">
        <f t="shared" si="47"/>
        <v>1398</v>
      </c>
      <c r="M179" s="37">
        <f t="shared" si="47"/>
        <v>340</v>
      </c>
      <c r="N179" s="37">
        <f t="shared" si="47"/>
        <v>0</v>
      </c>
      <c r="O179" s="37">
        <f t="shared" si="47"/>
        <v>0</v>
      </c>
      <c r="P179" s="37">
        <f t="shared" si="47"/>
        <v>0</v>
      </c>
      <c r="Q179" s="37">
        <f t="shared" si="47"/>
        <v>25507</v>
      </c>
    </row>
    <row r="180" spans="1:18" ht="18.75" thickTop="1"/>
    <row r="181" spans="1:18">
      <c r="A181" s="209" t="s">
        <v>144</v>
      </c>
      <c r="B181" s="210"/>
      <c r="C181" s="210"/>
      <c r="D181" s="210"/>
      <c r="E181" s="210"/>
      <c r="F181" s="210"/>
      <c r="G181" s="210"/>
      <c r="H181" s="210"/>
      <c r="I181" s="210"/>
      <c r="J181" s="210"/>
      <c r="K181" s="210"/>
      <c r="L181" s="210"/>
      <c r="M181" s="210"/>
      <c r="N181" s="210"/>
      <c r="O181" s="210"/>
      <c r="P181" s="210"/>
      <c r="Q181" s="210"/>
    </row>
    <row r="182" spans="1:18">
      <c r="A182" s="211" t="s">
        <v>32</v>
      </c>
      <c r="B182" s="212"/>
      <c r="C182" s="212"/>
      <c r="D182" s="212"/>
      <c r="E182" s="212"/>
      <c r="F182" s="212"/>
      <c r="G182" s="212"/>
      <c r="H182" s="212"/>
      <c r="I182" s="212"/>
      <c r="J182" s="212"/>
      <c r="K182" s="212"/>
      <c r="L182" s="212"/>
      <c r="M182" s="212"/>
      <c r="N182" s="212"/>
      <c r="O182" s="212"/>
      <c r="P182" s="212"/>
      <c r="Q182" s="212"/>
    </row>
    <row r="183" spans="1:18" ht="23.25">
      <c r="A183" s="59" t="s">
        <v>66</v>
      </c>
      <c r="B183" s="60"/>
      <c r="C183" s="60"/>
      <c r="D183" s="28"/>
      <c r="E183" s="28"/>
      <c r="F183" s="28"/>
      <c r="G183" s="28"/>
      <c r="H183" s="28"/>
      <c r="I183" s="28"/>
      <c r="J183" s="28"/>
      <c r="K183" s="28"/>
      <c r="L183" s="28"/>
      <c r="M183" s="28"/>
      <c r="N183" s="28"/>
      <c r="O183" s="213" t="s">
        <v>1</v>
      </c>
      <c r="P183" s="214"/>
      <c r="Q183" s="214"/>
    </row>
    <row r="184" spans="1:18" ht="18.75" customHeight="1">
      <c r="A184" s="215" t="s">
        <v>43</v>
      </c>
      <c r="B184" s="215" t="s">
        <v>8</v>
      </c>
      <c r="C184" s="218" t="s">
        <v>44</v>
      </c>
      <c r="D184" s="61" t="s">
        <v>33</v>
      </c>
      <c r="E184" s="61" t="s">
        <v>33</v>
      </c>
      <c r="F184" s="207" t="s">
        <v>15</v>
      </c>
      <c r="G184" s="207" t="s">
        <v>45</v>
      </c>
      <c r="H184" s="207" t="s">
        <v>46</v>
      </c>
      <c r="I184" s="207" t="s">
        <v>6</v>
      </c>
      <c r="J184" s="207" t="s">
        <v>133</v>
      </c>
      <c r="K184" s="207" t="s">
        <v>47</v>
      </c>
      <c r="L184" s="207" t="s">
        <v>48</v>
      </c>
      <c r="M184" s="207" t="s">
        <v>49</v>
      </c>
      <c r="N184" s="207" t="s">
        <v>50</v>
      </c>
      <c r="O184" s="207" t="s">
        <v>51</v>
      </c>
      <c r="P184" s="207" t="s">
        <v>52</v>
      </c>
      <c r="Q184" s="207" t="s">
        <v>6</v>
      </c>
    </row>
    <row r="185" spans="1:18" ht="18.75" customHeight="1">
      <c r="A185" s="216"/>
      <c r="B185" s="216"/>
      <c r="C185" s="219"/>
      <c r="D185" s="62" t="s">
        <v>123</v>
      </c>
      <c r="E185" s="62" t="s">
        <v>129</v>
      </c>
      <c r="F185" s="220"/>
      <c r="G185" s="220"/>
      <c r="H185" s="220"/>
      <c r="I185" s="220"/>
      <c r="J185" s="220"/>
      <c r="K185" s="208"/>
      <c r="L185" s="208"/>
      <c r="M185" s="208"/>
      <c r="N185" s="208"/>
      <c r="O185" s="208"/>
      <c r="P185" s="208"/>
      <c r="Q185" s="208"/>
    </row>
    <row r="186" spans="1:18">
      <c r="A186" s="217"/>
      <c r="B186" s="217"/>
      <c r="C186" s="225" t="s">
        <v>35</v>
      </c>
      <c r="D186" s="226"/>
      <c r="E186" s="226"/>
      <c r="F186" s="226"/>
      <c r="G186" s="226"/>
      <c r="H186" s="226"/>
      <c r="I186" s="226"/>
      <c r="J186" s="226"/>
      <c r="K186" s="226"/>
      <c r="L186" s="226"/>
      <c r="M186" s="226"/>
      <c r="N186" s="226"/>
      <c r="O186" s="226"/>
      <c r="P186" s="226"/>
      <c r="Q186" s="227"/>
    </row>
    <row r="187" spans="1:18" ht="21" customHeight="1">
      <c r="A187" s="221">
        <v>1</v>
      </c>
      <c r="B187" s="223" t="s">
        <v>9</v>
      </c>
      <c r="C187" s="63" t="s">
        <v>53</v>
      </c>
      <c r="D187" s="29">
        <v>1</v>
      </c>
      <c r="E187" s="71">
        <v>1</v>
      </c>
      <c r="F187" s="29">
        <v>0</v>
      </c>
      <c r="G187" s="29">
        <v>1328</v>
      </c>
      <c r="H187" s="29">
        <v>0</v>
      </c>
      <c r="I187" s="30">
        <f t="shared" ref="I187:I193" si="48">SUM(G187:H187)</f>
        <v>1328</v>
      </c>
      <c r="J187" s="180">
        <f>ROUND(I187*0.7,0)</f>
        <v>930</v>
      </c>
      <c r="K187" s="29">
        <v>0</v>
      </c>
      <c r="L187" s="29">
        <v>0</v>
      </c>
      <c r="M187" s="29">
        <v>0</v>
      </c>
      <c r="N187" s="29">
        <v>0</v>
      </c>
      <c r="O187" s="29">
        <v>0</v>
      </c>
      <c r="P187" s="29">
        <v>0</v>
      </c>
      <c r="Q187" s="30">
        <f t="shared" ref="Q187:Q193" si="49">SUM(F187+I187+J187+K187+L187+M187+N187+O187+P187)</f>
        <v>2258</v>
      </c>
      <c r="R187" s="27" t="s">
        <v>138</v>
      </c>
    </row>
    <row r="188" spans="1:18" ht="20.25">
      <c r="A188" s="222"/>
      <c r="B188" s="224"/>
      <c r="C188" s="63" t="s">
        <v>54</v>
      </c>
      <c r="D188" s="29">
        <v>0</v>
      </c>
      <c r="E188" s="71">
        <v>0</v>
      </c>
      <c r="F188" s="29">
        <v>0</v>
      </c>
      <c r="G188" s="29">
        <v>0</v>
      </c>
      <c r="H188" s="29">
        <v>0</v>
      </c>
      <c r="I188" s="30">
        <f t="shared" si="48"/>
        <v>0</v>
      </c>
      <c r="J188" s="180">
        <f t="shared" ref="J188:J193" si="50">ROUND(I188*0.7,0)</f>
        <v>0</v>
      </c>
      <c r="K188" s="29">
        <v>0</v>
      </c>
      <c r="L188" s="29">
        <v>0</v>
      </c>
      <c r="M188" s="29">
        <v>0</v>
      </c>
      <c r="N188" s="29">
        <v>0</v>
      </c>
      <c r="O188" s="29">
        <v>0</v>
      </c>
      <c r="P188" s="29">
        <v>0</v>
      </c>
      <c r="Q188" s="30">
        <f t="shared" si="49"/>
        <v>0</v>
      </c>
    </row>
    <row r="189" spans="1:18" ht="20.25">
      <c r="A189" s="221">
        <v>2</v>
      </c>
      <c r="B189" s="223" t="s">
        <v>10</v>
      </c>
      <c r="C189" s="64" t="s">
        <v>55</v>
      </c>
      <c r="D189" s="29">
        <v>1</v>
      </c>
      <c r="E189" s="71">
        <v>1</v>
      </c>
      <c r="F189" s="29">
        <v>0</v>
      </c>
      <c r="G189" s="29">
        <v>815</v>
      </c>
      <c r="H189" s="29">
        <v>0</v>
      </c>
      <c r="I189" s="30">
        <f t="shared" si="48"/>
        <v>815</v>
      </c>
      <c r="J189" s="180">
        <v>570</v>
      </c>
      <c r="K189" s="29">
        <v>0</v>
      </c>
      <c r="L189" s="29">
        <v>82</v>
      </c>
      <c r="M189" s="29">
        <v>17</v>
      </c>
      <c r="N189" s="29">
        <v>0</v>
      </c>
      <c r="O189" s="29">
        <v>0</v>
      </c>
      <c r="P189" s="29">
        <v>0</v>
      </c>
      <c r="Q189" s="30">
        <f t="shared" si="49"/>
        <v>1484</v>
      </c>
    </row>
    <row r="190" spans="1:18" ht="20.25">
      <c r="A190" s="222"/>
      <c r="B190" s="228"/>
      <c r="C190" s="64" t="s">
        <v>136</v>
      </c>
      <c r="D190" s="29">
        <v>2</v>
      </c>
      <c r="E190" s="71">
        <v>2</v>
      </c>
      <c r="F190" s="29">
        <v>0</v>
      </c>
      <c r="G190" s="29">
        <v>1164</v>
      </c>
      <c r="H190" s="29">
        <v>0</v>
      </c>
      <c r="I190" s="30">
        <f t="shared" si="48"/>
        <v>1164</v>
      </c>
      <c r="J190" s="180">
        <v>814</v>
      </c>
      <c r="K190" s="29">
        <v>0</v>
      </c>
      <c r="L190" s="29">
        <v>116</v>
      </c>
      <c r="M190" s="29">
        <v>34</v>
      </c>
      <c r="N190" s="29">
        <v>0</v>
      </c>
      <c r="O190" s="29">
        <v>0</v>
      </c>
      <c r="P190" s="29">
        <v>0</v>
      </c>
      <c r="Q190" s="30">
        <f t="shared" si="49"/>
        <v>2128</v>
      </c>
    </row>
    <row r="191" spans="1:18" ht="20.25">
      <c r="A191" s="222"/>
      <c r="B191" s="228"/>
      <c r="C191" s="64" t="s">
        <v>137</v>
      </c>
      <c r="D191" s="29">
        <v>4</v>
      </c>
      <c r="E191" s="71">
        <v>4</v>
      </c>
      <c r="F191" s="29">
        <v>0</v>
      </c>
      <c r="G191" s="29">
        <v>1644</v>
      </c>
      <c r="H191" s="29">
        <v>0</v>
      </c>
      <c r="I191" s="30">
        <f t="shared" si="48"/>
        <v>1644</v>
      </c>
      <c r="J191" s="180">
        <f t="shared" si="50"/>
        <v>1151</v>
      </c>
      <c r="K191" s="29">
        <v>0</v>
      </c>
      <c r="L191" s="29">
        <v>164</v>
      </c>
      <c r="M191" s="29">
        <v>68</v>
      </c>
      <c r="N191" s="29">
        <v>0</v>
      </c>
      <c r="O191" s="29">
        <v>0</v>
      </c>
      <c r="P191" s="29">
        <v>0</v>
      </c>
      <c r="Q191" s="30">
        <f t="shared" si="49"/>
        <v>3027</v>
      </c>
    </row>
    <row r="192" spans="1:18" ht="20.25">
      <c r="A192" s="222"/>
      <c r="B192" s="228"/>
      <c r="C192" s="64" t="s">
        <v>57</v>
      </c>
      <c r="D192" s="29">
        <v>1</v>
      </c>
      <c r="E192" s="71">
        <v>1</v>
      </c>
      <c r="F192" s="29">
        <v>0</v>
      </c>
      <c r="G192" s="29">
        <v>384</v>
      </c>
      <c r="H192" s="29">
        <v>0</v>
      </c>
      <c r="I192" s="30">
        <f t="shared" si="48"/>
        <v>384</v>
      </c>
      <c r="J192" s="180">
        <f t="shared" si="50"/>
        <v>269</v>
      </c>
      <c r="K192" s="29">
        <v>0</v>
      </c>
      <c r="L192" s="29">
        <v>39</v>
      </c>
      <c r="M192" s="29">
        <v>17</v>
      </c>
      <c r="N192" s="29">
        <v>0</v>
      </c>
      <c r="O192" s="29">
        <v>0</v>
      </c>
      <c r="P192" s="29">
        <v>0</v>
      </c>
      <c r="Q192" s="30">
        <f t="shared" si="49"/>
        <v>709</v>
      </c>
    </row>
    <row r="193" spans="1:17" ht="20.25">
      <c r="A193" s="65">
        <v>3</v>
      </c>
      <c r="B193" s="66" t="s">
        <v>11</v>
      </c>
      <c r="C193" s="67" t="s">
        <v>59</v>
      </c>
      <c r="D193" s="29">
        <v>4</v>
      </c>
      <c r="E193" s="71">
        <v>4</v>
      </c>
      <c r="F193" s="29">
        <v>0</v>
      </c>
      <c r="G193" s="29">
        <v>1548</v>
      </c>
      <c r="H193" s="29">
        <v>0</v>
      </c>
      <c r="I193" s="30">
        <f t="shared" si="48"/>
        <v>1548</v>
      </c>
      <c r="J193" s="180">
        <f t="shared" si="50"/>
        <v>1084</v>
      </c>
      <c r="K193" s="29">
        <v>0</v>
      </c>
      <c r="L193" s="29">
        <v>154</v>
      </c>
      <c r="M193" s="29">
        <v>68</v>
      </c>
      <c r="N193" s="29">
        <v>0</v>
      </c>
      <c r="O193" s="29">
        <v>0</v>
      </c>
      <c r="P193" s="29">
        <v>12</v>
      </c>
      <c r="Q193" s="30">
        <f t="shared" si="49"/>
        <v>2866</v>
      </c>
    </row>
    <row r="194" spans="1:17" s="38" customFormat="1" ht="21" thickBot="1">
      <c r="A194" s="68" t="s">
        <v>0</v>
      </c>
      <c r="B194" s="70" t="s">
        <v>60</v>
      </c>
      <c r="C194" s="69" t="s">
        <v>6</v>
      </c>
      <c r="D194" s="37">
        <f t="shared" ref="D194:Q194" si="51">SUM(D187:D193)</f>
        <v>13</v>
      </c>
      <c r="E194" s="37">
        <f t="shared" si="51"/>
        <v>13</v>
      </c>
      <c r="F194" s="37">
        <f t="shared" si="51"/>
        <v>0</v>
      </c>
      <c r="G194" s="37">
        <f t="shared" si="51"/>
        <v>6883</v>
      </c>
      <c r="H194" s="37">
        <f t="shared" si="51"/>
        <v>0</v>
      </c>
      <c r="I194" s="37">
        <f t="shared" si="51"/>
        <v>6883</v>
      </c>
      <c r="J194" s="37">
        <f t="shared" si="51"/>
        <v>4818</v>
      </c>
      <c r="K194" s="37">
        <f t="shared" si="51"/>
        <v>0</v>
      </c>
      <c r="L194" s="37">
        <f t="shared" si="51"/>
        <v>555</v>
      </c>
      <c r="M194" s="37">
        <f t="shared" si="51"/>
        <v>204</v>
      </c>
      <c r="N194" s="37">
        <f t="shared" si="51"/>
        <v>0</v>
      </c>
      <c r="O194" s="37">
        <f t="shared" si="51"/>
        <v>0</v>
      </c>
      <c r="P194" s="37">
        <f t="shared" si="51"/>
        <v>12</v>
      </c>
      <c r="Q194" s="37">
        <f t="shared" si="51"/>
        <v>12472</v>
      </c>
    </row>
    <row r="195" spans="1:17" ht="18.75" thickTop="1">
      <c r="A195" s="31"/>
      <c r="B195" s="32"/>
      <c r="C195" s="33"/>
      <c r="D195" s="34"/>
      <c r="E195" s="34"/>
      <c r="F195" s="34"/>
      <c r="G195" s="34"/>
      <c r="H195" s="34"/>
      <c r="I195" s="34"/>
      <c r="J195" s="34"/>
      <c r="K195" s="34"/>
      <c r="L195" s="34"/>
      <c r="M195" s="34"/>
      <c r="N195" s="34"/>
      <c r="O195" s="34"/>
      <c r="P195" s="34"/>
      <c r="Q195" s="34"/>
    </row>
    <row r="196" spans="1:17">
      <c r="A196" s="209" t="s">
        <v>144</v>
      </c>
      <c r="B196" s="210"/>
      <c r="C196" s="210"/>
      <c r="D196" s="210"/>
      <c r="E196" s="210"/>
      <c r="F196" s="210"/>
      <c r="G196" s="210"/>
      <c r="H196" s="210"/>
      <c r="I196" s="210"/>
      <c r="J196" s="210"/>
      <c r="K196" s="210"/>
      <c r="L196" s="210"/>
      <c r="M196" s="210"/>
      <c r="N196" s="210"/>
      <c r="O196" s="210"/>
      <c r="P196" s="210"/>
      <c r="Q196" s="210"/>
    </row>
    <row r="197" spans="1:17">
      <c r="A197" s="211" t="s">
        <v>32</v>
      </c>
      <c r="B197" s="212"/>
      <c r="C197" s="212"/>
      <c r="D197" s="212"/>
      <c r="E197" s="212"/>
      <c r="F197" s="212"/>
      <c r="G197" s="212"/>
      <c r="H197" s="212"/>
      <c r="I197" s="212"/>
      <c r="J197" s="212"/>
      <c r="K197" s="212"/>
      <c r="L197" s="212"/>
      <c r="M197" s="212"/>
      <c r="N197" s="212"/>
      <c r="O197" s="212"/>
      <c r="P197" s="212"/>
      <c r="Q197" s="212"/>
    </row>
    <row r="198" spans="1:17" ht="23.25">
      <c r="A198" s="59" t="s">
        <v>66</v>
      </c>
      <c r="B198" s="60"/>
      <c r="C198" s="60"/>
      <c r="D198" s="28"/>
      <c r="E198" s="28"/>
      <c r="F198" s="28"/>
      <c r="G198" s="28"/>
      <c r="H198" s="28"/>
      <c r="I198" s="28"/>
      <c r="J198" s="28"/>
      <c r="K198" s="28"/>
      <c r="L198" s="28"/>
      <c r="M198" s="28"/>
      <c r="N198" s="28"/>
      <c r="O198" s="213" t="s">
        <v>1</v>
      </c>
      <c r="P198" s="214"/>
      <c r="Q198" s="214"/>
    </row>
    <row r="199" spans="1:17" ht="18.75" customHeight="1">
      <c r="A199" s="215" t="s">
        <v>43</v>
      </c>
      <c r="B199" s="215" t="s">
        <v>8</v>
      </c>
      <c r="C199" s="218" t="s">
        <v>44</v>
      </c>
      <c r="D199" s="61" t="s">
        <v>33</v>
      </c>
      <c r="E199" s="61" t="s">
        <v>33</v>
      </c>
      <c r="F199" s="207" t="s">
        <v>15</v>
      </c>
      <c r="G199" s="207" t="s">
        <v>45</v>
      </c>
      <c r="H199" s="207" t="s">
        <v>46</v>
      </c>
      <c r="I199" s="207" t="s">
        <v>6</v>
      </c>
      <c r="J199" s="207" t="s">
        <v>133</v>
      </c>
      <c r="K199" s="207" t="s">
        <v>47</v>
      </c>
      <c r="L199" s="207" t="s">
        <v>48</v>
      </c>
      <c r="M199" s="207" t="s">
        <v>49</v>
      </c>
      <c r="N199" s="207" t="s">
        <v>50</v>
      </c>
      <c r="O199" s="207" t="s">
        <v>51</v>
      </c>
      <c r="P199" s="207" t="s">
        <v>52</v>
      </c>
      <c r="Q199" s="207" t="s">
        <v>6</v>
      </c>
    </row>
    <row r="200" spans="1:17" ht="18.75" customHeight="1">
      <c r="A200" s="216"/>
      <c r="B200" s="216"/>
      <c r="C200" s="219"/>
      <c r="D200" s="62" t="s">
        <v>123</v>
      </c>
      <c r="E200" s="62" t="s">
        <v>129</v>
      </c>
      <c r="F200" s="220"/>
      <c r="G200" s="220"/>
      <c r="H200" s="220"/>
      <c r="I200" s="220"/>
      <c r="J200" s="220"/>
      <c r="K200" s="208"/>
      <c r="L200" s="208"/>
      <c r="M200" s="208"/>
      <c r="N200" s="208"/>
      <c r="O200" s="208"/>
      <c r="P200" s="208"/>
      <c r="Q200" s="208"/>
    </row>
    <row r="201" spans="1:17">
      <c r="A201" s="217"/>
      <c r="B201" s="217"/>
      <c r="C201" s="225" t="s">
        <v>36</v>
      </c>
      <c r="D201" s="226"/>
      <c r="E201" s="226"/>
      <c r="F201" s="226"/>
      <c r="G201" s="226"/>
      <c r="H201" s="226"/>
      <c r="I201" s="226"/>
      <c r="J201" s="226"/>
      <c r="K201" s="226"/>
      <c r="L201" s="226"/>
      <c r="M201" s="226"/>
      <c r="N201" s="226"/>
      <c r="O201" s="226"/>
      <c r="P201" s="226"/>
      <c r="Q201" s="227"/>
    </row>
    <row r="202" spans="1:17" ht="21" customHeight="1">
      <c r="A202" s="221">
        <v>1</v>
      </c>
      <c r="B202" s="223" t="s">
        <v>9</v>
      </c>
      <c r="C202" s="63" t="s">
        <v>53</v>
      </c>
      <c r="D202" s="29">
        <v>2</v>
      </c>
      <c r="E202" s="71">
        <v>2</v>
      </c>
      <c r="F202" s="29">
        <v>0</v>
      </c>
      <c r="G202" s="29">
        <v>2268</v>
      </c>
      <c r="H202" s="29">
        <v>0</v>
      </c>
      <c r="I202" s="30">
        <f t="shared" ref="I202:I208" si="52">SUM(G202:H202)</f>
        <v>2268</v>
      </c>
      <c r="J202" s="180">
        <f>ROUND(I202*0.7,0)</f>
        <v>1588</v>
      </c>
      <c r="K202" s="29">
        <v>0</v>
      </c>
      <c r="L202" s="29">
        <v>0</v>
      </c>
      <c r="M202" s="29">
        <v>0</v>
      </c>
      <c r="N202" s="29">
        <v>0</v>
      </c>
      <c r="O202" s="29">
        <v>0</v>
      </c>
      <c r="P202" s="29">
        <v>0</v>
      </c>
      <c r="Q202" s="30">
        <f t="shared" ref="Q202:Q208" si="53">SUM(F202+I202+J202+K202+L202+M202+N202+O202+P202)</f>
        <v>3856</v>
      </c>
    </row>
    <row r="203" spans="1:17" ht="20.25">
      <c r="A203" s="222"/>
      <c r="B203" s="224"/>
      <c r="C203" s="63" t="s">
        <v>54</v>
      </c>
      <c r="D203" s="29">
        <v>3</v>
      </c>
      <c r="E203" s="71">
        <v>3</v>
      </c>
      <c r="F203" s="29">
        <v>0</v>
      </c>
      <c r="G203" s="29">
        <v>2400</v>
      </c>
      <c r="H203" s="29">
        <v>0</v>
      </c>
      <c r="I203" s="30">
        <f t="shared" si="52"/>
        <v>2400</v>
      </c>
      <c r="J203" s="180">
        <f t="shared" ref="J203:J208" si="54">ROUND(I203*0.7,0)</f>
        <v>1680</v>
      </c>
      <c r="K203" s="29">
        <v>0</v>
      </c>
      <c r="L203" s="29">
        <v>240</v>
      </c>
      <c r="M203" s="29">
        <v>51</v>
      </c>
      <c r="N203" s="29">
        <v>0</v>
      </c>
      <c r="O203" s="29">
        <v>0</v>
      </c>
      <c r="P203" s="29">
        <v>0</v>
      </c>
      <c r="Q203" s="30">
        <f t="shared" si="53"/>
        <v>4371</v>
      </c>
    </row>
    <row r="204" spans="1:17" ht="20.25">
      <c r="A204" s="221">
        <v>2</v>
      </c>
      <c r="B204" s="223" t="s">
        <v>10</v>
      </c>
      <c r="C204" s="64" t="s">
        <v>55</v>
      </c>
      <c r="D204" s="29">
        <v>2</v>
      </c>
      <c r="E204" s="71">
        <v>2</v>
      </c>
      <c r="F204" s="29">
        <v>0</v>
      </c>
      <c r="G204" s="29">
        <v>1440</v>
      </c>
      <c r="H204" s="29">
        <v>0</v>
      </c>
      <c r="I204" s="30">
        <f t="shared" si="52"/>
        <v>1440</v>
      </c>
      <c r="J204" s="180">
        <f t="shared" si="54"/>
        <v>1008</v>
      </c>
      <c r="K204" s="29">
        <v>0</v>
      </c>
      <c r="L204" s="29">
        <v>144</v>
      </c>
      <c r="M204" s="29">
        <v>34</v>
      </c>
      <c r="N204" s="29">
        <v>0</v>
      </c>
      <c r="O204" s="29">
        <v>0</v>
      </c>
      <c r="P204" s="29">
        <v>0</v>
      </c>
      <c r="Q204" s="30">
        <f t="shared" si="53"/>
        <v>2626</v>
      </c>
    </row>
    <row r="205" spans="1:17" ht="20.25">
      <c r="A205" s="222"/>
      <c r="B205" s="228"/>
      <c r="C205" s="64" t="s">
        <v>136</v>
      </c>
      <c r="D205" s="29">
        <v>4</v>
      </c>
      <c r="E205" s="71">
        <v>4</v>
      </c>
      <c r="F205" s="29">
        <v>0</v>
      </c>
      <c r="G205" s="29">
        <v>2136</v>
      </c>
      <c r="H205" s="29">
        <v>0</v>
      </c>
      <c r="I205" s="30">
        <f t="shared" si="52"/>
        <v>2136</v>
      </c>
      <c r="J205" s="180">
        <f t="shared" si="54"/>
        <v>1495</v>
      </c>
      <c r="K205" s="29">
        <v>0</v>
      </c>
      <c r="L205" s="29">
        <v>160</v>
      </c>
      <c r="M205" s="29">
        <v>68</v>
      </c>
      <c r="N205" s="29">
        <v>0</v>
      </c>
      <c r="O205" s="29">
        <v>0</v>
      </c>
      <c r="P205" s="29">
        <v>0</v>
      </c>
      <c r="Q205" s="30">
        <f t="shared" si="53"/>
        <v>3859</v>
      </c>
    </row>
    <row r="206" spans="1:17" ht="20.25">
      <c r="A206" s="222"/>
      <c r="B206" s="228"/>
      <c r="C206" s="64" t="s">
        <v>137</v>
      </c>
      <c r="D206" s="29">
        <v>2</v>
      </c>
      <c r="E206" s="71">
        <v>2</v>
      </c>
      <c r="F206" s="29">
        <v>0</v>
      </c>
      <c r="G206" s="29">
        <v>732</v>
      </c>
      <c r="H206" s="29">
        <v>0</v>
      </c>
      <c r="I206" s="30">
        <f t="shared" si="52"/>
        <v>732</v>
      </c>
      <c r="J206" s="180">
        <f t="shared" si="54"/>
        <v>512</v>
      </c>
      <c r="K206" s="29">
        <v>0</v>
      </c>
      <c r="L206" s="29">
        <v>73</v>
      </c>
      <c r="M206" s="29">
        <v>34</v>
      </c>
      <c r="N206" s="29">
        <v>0</v>
      </c>
      <c r="O206" s="29">
        <v>0</v>
      </c>
      <c r="P206" s="29">
        <v>0</v>
      </c>
      <c r="Q206" s="30">
        <f t="shared" si="53"/>
        <v>1351</v>
      </c>
    </row>
    <row r="207" spans="1:17" ht="20.25">
      <c r="A207" s="222"/>
      <c r="B207" s="228"/>
      <c r="C207" s="64" t="s">
        <v>57</v>
      </c>
      <c r="D207" s="29">
        <v>2</v>
      </c>
      <c r="E207" s="71">
        <v>2</v>
      </c>
      <c r="F207" s="29">
        <v>0</v>
      </c>
      <c r="G207" s="29">
        <v>1068</v>
      </c>
      <c r="H207" s="29">
        <v>0</v>
      </c>
      <c r="I207" s="30">
        <f t="shared" si="52"/>
        <v>1068</v>
      </c>
      <c r="J207" s="180">
        <v>747</v>
      </c>
      <c r="K207" s="29">
        <v>0</v>
      </c>
      <c r="L207" s="29">
        <v>107</v>
      </c>
      <c r="M207" s="29">
        <v>34</v>
      </c>
      <c r="N207" s="29">
        <v>0</v>
      </c>
      <c r="O207" s="29">
        <v>0</v>
      </c>
      <c r="P207" s="29">
        <v>0</v>
      </c>
      <c r="Q207" s="30">
        <f t="shared" si="53"/>
        <v>1956</v>
      </c>
    </row>
    <row r="208" spans="1:17" ht="20.25">
      <c r="A208" s="65">
        <v>3</v>
      </c>
      <c r="B208" s="66" t="s">
        <v>11</v>
      </c>
      <c r="C208" s="67" t="s">
        <v>59</v>
      </c>
      <c r="D208" s="29">
        <v>2</v>
      </c>
      <c r="E208" s="71">
        <v>2</v>
      </c>
      <c r="F208" s="29">
        <v>0</v>
      </c>
      <c r="G208" s="29">
        <v>708</v>
      </c>
      <c r="H208" s="29">
        <v>0</v>
      </c>
      <c r="I208" s="30">
        <f t="shared" si="52"/>
        <v>708</v>
      </c>
      <c r="J208" s="180">
        <f t="shared" si="54"/>
        <v>496</v>
      </c>
      <c r="K208" s="29">
        <v>0</v>
      </c>
      <c r="L208" s="29">
        <v>44</v>
      </c>
      <c r="M208" s="29">
        <v>34</v>
      </c>
      <c r="N208" s="29">
        <v>0</v>
      </c>
      <c r="O208" s="29">
        <v>0</v>
      </c>
      <c r="P208" s="29">
        <v>6</v>
      </c>
      <c r="Q208" s="30">
        <f t="shared" si="53"/>
        <v>1288</v>
      </c>
    </row>
    <row r="209" spans="1:17" s="38" customFormat="1" ht="21" thickBot="1">
      <c r="A209" s="68" t="s">
        <v>0</v>
      </c>
      <c r="B209" s="70" t="s">
        <v>60</v>
      </c>
      <c r="C209" s="69" t="s">
        <v>6</v>
      </c>
      <c r="D209" s="37">
        <f t="shared" ref="D209:Q209" si="55">SUM(D202:D208)</f>
        <v>17</v>
      </c>
      <c r="E209" s="37">
        <f t="shared" si="55"/>
        <v>17</v>
      </c>
      <c r="F209" s="37">
        <f t="shared" si="55"/>
        <v>0</v>
      </c>
      <c r="G209" s="37">
        <f t="shared" si="55"/>
        <v>10752</v>
      </c>
      <c r="H209" s="37">
        <f t="shared" si="55"/>
        <v>0</v>
      </c>
      <c r="I209" s="37">
        <f t="shared" si="55"/>
        <v>10752</v>
      </c>
      <c r="J209" s="37">
        <f t="shared" si="55"/>
        <v>7526</v>
      </c>
      <c r="K209" s="37">
        <f t="shared" si="55"/>
        <v>0</v>
      </c>
      <c r="L209" s="37">
        <f t="shared" si="55"/>
        <v>768</v>
      </c>
      <c r="M209" s="37">
        <f t="shared" si="55"/>
        <v>255</v>
      </c>
      <c r="N209" s="37">
        <f t="shared" si="55"/>
        <v>0</v>
      </c>
      <c r="O209" s="37">
        <f t="shared" si="55"/>
        <v>0</v>
      </c>
      <c r="P209" s="37">
        <f t="shared" si="55"/>
        <v>6</v>
      </c>
      <c r="Q209" s="37">
        <f t="shared" si="55"/>
        <v>19307</v>
      </c>
    </row>
    <row r="210" spans="1:17" ht="18.75" thickTop="1"/>
    <row r="211" spans="1:17">
      <c r="A211" s="209" t="s">
        <v>144</v>
      </c>
      <c r="B211" s="210"/>
      <c r="C211" s="210"/>
      <c r="D211" s="210"/>
      <c r="E211" s="210"/>
      <c r="F211" s="210"/>
      <c r="G211" s="210"/>
      <c r="H211" s="210"/>
      <c r="I211" s="210"/>
      <c r="J211" s="210"/>
      <c r="K211" s="210"/>
      <c r="L211" s="210"/>
      <c r="M211" s="210"/>
      <c r="N211" s="210"/>
      <c r="O211" s="210"/>
      <c r="P211" s="210"/>
      <c r="Q211" s="210"/>
    </row>
    <row r="212" spans="1:17">
      <c r="A212" s="232" t="s">
        <v>32</v>
      </c>
      <c r="B212" s="233"/>
      <c r="C212" s="233"/>
      <c r="D212" s="233"/>
      <c r="E212" s="233"/>
      <c r="F212" s="233"/>
      <c r="G212" s="233"/>
      <c r="H212" s="233"/>
      <c r="I212" s="233"/>
      <c r="J212" s="233"/>
      <c r="K212" s="233"/>
      <c r="L212" s="233"/>
      <c r="M212" s="233"/>
      <c r="N212" s="233"/>
      <c r="O212" s="233"/>
      <c r="P212" s="233"/>
      <c r="Q212" s="233"/>
    </row>
    <row r="213" spans="1:17" s="75" customFormat="1" ht="23.25">
      <c r="A213" s="92" t="s">
        <v>67</v>
      </c>
      <c r="B213" s="93"/>
      <c r="C213" s="93"/>
      <c r="D213" s="94"/>
      <c r="E213" s="94"/>
      <c r="F213" s="94"/>
      <c r="G213" s="94"/>
      <c r="H213" s="94"/>
      <c r="I213" s="94"/>
      <c r="J213" s="94"/>
      <c r="K213" s="94"/>
      <c r="L213" s="94"/>
      <c r="M213" s="94"/>
      <c r="N213" s="94"/>
      <c r="O213" s="234" t="s">
        <v>1</v>
      </c>
      <c r="P213" s="235"/>
      <c r="Q213" s="235"/>
    </row>
    <row r="214" spans="1:17" ht="18.75" customHeight="1">
      <c r="A214" s="236" t="s">
        <v>43</v>
      </c>
      <c r="B214" s="236" t="s">
        <v>8</v>
      </c>
      <c r="C214" s="239" t="s">
        <v>44</v>
      </c>
      <c r="D214" s="95" t="s">
        <v>33</v>
      </c>
      <c r="E214" s="95" t="s">
        <v>33</v>
      </c>
      <c r="F214" s="229" t="s">
        <v>15</v>
      </c>
      <c r="G214" s="229" t="s">
        <v>45</v>
      </c>
      <c r="H214" s="229" t="s">
        <v>46</v>
      </c>
      <c r="I214" s="229" t="s">
        <v>6</v>
      </c>
      <c r="J214" s="229" t="s">
        <v>133</v>
      </c>
      <c r="K214" s="229" t="s">
        <v>47</v>
      </c>
      <c r="L214" s="229" t="s">
        <v>48</v>
      </c>
      <c r="M214" s="229" t="s">
        <v>49</v>
      </c>
      <c r="N214" s="229" t="s">
        <v>50</v>
      </c>
      <c r="O214" s="229" t="s">
        <v>51</v>
      </c>
      <c r="P214" s="229" t="s">
        <v>52</v>
      </c>
      <c r="Q214" s="229" t="s">
        <v>6</v>
      </c>
    </row>
    <row r="215" spans="1:17" ht="18.75" customHeight="1">
      <c r="A215" s="237"/>
      <c r="B215" s="237"/>
      <c r="C215" s="240"/>
      <c r="D215" s="96" t="s">
        <v>121</v>
      </c>
      <c r="E215" s="96" t="s">
        <v>122</v>
      </c>
      <c r="F215" s="230"/>
      <c r="G215" s="230"/>
      <c r="H215" s="230"/>
      <c r="I215" s="230"/>
      <c r="J215" s="230"/>
      <c r="K215" s="230"/>
      <c r="L215" s="230"/>
      <c r="M215" s="230"/>
      <c r="N215" s="230"/>
      <c r="O215" s="230"/>
      <c r="P215" s="230"/>
      <c r="Q215" s="230"/>
    </row>
    <row r="216" spans="1:17">
      <c r="A216" s="238"/>
      <c r="B216" s="238"/>
      <c r="C216" s="246" t="s">
        <v>35</v>
      </c>
      <c r="D216" s="247"/>
      <c r="E216" s="247"/>
      <c r="F216" s="247"/>
      <c r="G216" s="247"/>
      <c r="H216" s="247"/>
      <c r="I216" s="247"/>
      <c r="J216" s="247"/>
      <c r="K216" s="247"/>
      <c r="L216" s="247"/>
      <c r="M216" s="247"/>
      <c r="N216" s="247"/>
      <c r="O216" s="247"/>
      <c r="P216" s="247"/>
      <c r="Q216" s="248"/>
    </row>
    <row r="217" spans="1:17" ht="21" customHeight="1">
      <c r="A217" s="241">
        <v>1</v>
      </c>
      <c r="B217" s="243" t="s">
        <v>9</v>
      </c>
      <c r="C217" s="97" t="s">
        <v>53</v>
      </c>
      <c r="D217" s="98">
        <v>0</v>
      </c>
      <c r="E217" s="99">
        <v>0</v>
      </c>
      <c r="F217" s="98">
        <v>0</v>
      </c>
      <c r="G217" s="98">
        <v>0</v>
      </c>
      <c r="H217" s="98">
        <v>0</v>
      </c>
      <c r="I217" s="100">
        <f t="shared" ref="I217:I223" si="56">SUM(G217:H217)</f>
        <v>0</v>
      </c>
      <c r="J217" s="98">
        <f>ROUND(I217*1.6,0)</f>
        <v>0</v>
      </c>
      <c r="K217" s="98">
        <v>0</v>
      </c>
      <c r="L217" s="98">
        <v>0</v>
      </c>
      <c r="M217" s="98">
        <v>0</v>
      </c>
      <c r="N217" s="98">
        <v>0</v>
      </c>
      <c r="O217" s="98">
        <v>0</v>
      </c>
      <c r="P217" s="98">
        <v>0</v>
      </c>
      <c r="Q217" s="100">
        <f t="shared" ref="Q217:Q223" si="57">SUM(F217+I217+J217+K217+L217+M217+N217+O217+P217)</f>
        <v>0</v>
      </c>
    </row>
    <row r="218" spans="1:17" ht="20.25">
      <c r="A218" s="242"/>
      <c r="B218" s="244"/>
      <c r="C218" s="97" t="s">
        <v>54</v>
      </c>
      <c r="D218" s="98">
        <v>0</v>
      </c>
      <c r="E218" s="99">
        <v>0</v>
      </c>
      <c r="F218" s="98">
        <v>0</v>
      </c>
      <c r="G218" s="98">
        <v>0</v>
      </c>
      <c r="H218" s="98">
        <v>0</v>
      </c>
      <c r="I218" s="100">
        <f t="shared" si="56"/>
        <v>0</v>
      </c>
      <c r="J218" s="98">
        <f t="shared" ref="J218:J223" si="58">ROUND(I218*1.6,0)</f>
        <v>0</v>
      </c>
      <c r="K218" s="98">
        <v>0</v>
      </c>
      <c r="L218" s="98">
        <v>0</v>
      </c>
      <c r="M218" s="98">
        <v>0</v>
      </c>
      <c r="N218" s="98">
        <v>0</v>
      </c>
      <c r="O218" s="98">
        <v>0</v>
      </c>
      <c r="P218" s="98">
        <v>0</v>
      </c>
      <c r="Q218" s="100">
        <f t="shared" si="57"/>
        <v>0</v>
      </c>
    </row>
    <row r="219" spans="1:17" ht="20.25">
      <c r="A219" s="241">
        <v>2</v>
      </c>
      <c r="B219" s="243" t="s">
        <v>10</v>
      </c>
      <c r="C219" s="101" t="s">
        <v>55</v>
      </c>
      <c r="D219" s="98">
        <v>0</v>
      </c>
      <c r="E219" s="99">
        <v>0</v>
      </c>
      <c r="F219" s="98">
        <v>0</v>
      </c>
      <c r="G219" s="98">
        <v>0</v>
      </c>
      <c r="H219" s="98">
        <v>0</v>
      </c>
      <c r="I219" s="100">
        <f t="shared" si="56"/>
        <v>0</v>
      </c>
      <c r="J219" s="98">
        <f t="shared" si="58"/>
        <v>0</v>
      </c>
      <c r="K219" s="98">
        <v>0</v>
      </c>
      <c r="L219" s="98">
        <v>0</v>
      </c>
      <c r="M219" s="98">
        <v>0</v>
      </c>
      <c r="N219" s="98">
        <v>0</v>
      </c>
      <c r="O219" s="98">
        <v>0</v>
      </c>
      <c r="P219" s="98">
        <v>0</v>
      </c>
      <c r="Q219" s="100">
        <f t="shared" si="57"/>
        <v>0</v>
      </c>
    </row>
    <row r="220" spans="1:17" ht="20.25">
      <c r="A220" s="242"/>
      <c r="B220" s="245"/>
      <c r="C220" s="101" t="s">
        <v>56</v>
      </c>
      <c r="D220" s="98">
        <v>0</v>
      </c>
      <c r="E220" s="99">
        <v>0</v>
      </c>
      <c r="F220" s="98">
        <v>0</v>
      </c>
      <c r="G220" s="98">
        <v>0</v>
      </c>
      <c r="H220" s="98">
        <v>0</v>
      </c>
      <c r="I220" s="100">
        <f t="shared" si="56"/>
        <v>0</v>
      </c>
      <c r="J220" s="98">
        <f t="shared" si="58"/>
        <v>0</v>
      </c>
      <c r="K220" s="98">
        <v>0</v>
      </c>
      <c r="L220" s="98">
        <v>0</v>
      </c>
      <c r="M220" s="98">
        <v>0</v>
      </c>
      <c r="N220" s="98">
        <v>0</v>
      </c>
      <c r="O220" s="98">
        <v>0</v>
      </c>
      <c r="P220" s="98">
        <v>0</v>
      </c>
      <c r="Q220" s="100">
        <f t="shared" si="57"/>
        <v>0</v>
      </c>
    </row>
    <row r="221" spans="1:17" ht="20.25">
      <c r="A221" s="242"/>
      <c r="B221" s="245"/>
      <c r="C221" s="101" t="s">
        <v>58</v>
      </c>
      <c r="D221" s="98">
        <v>0</v>
      </c>
      <c r="E221" s="99">
        <v>0</v>
      </c>
      <c r="F221" s="98">
        <v>0</v>
      </c>
      <c r="G221" s="98">
        <v>0</v>
      </c>
      <c r="H221" s="98">
        <v>0</v>
      </c>
      <c r="I221" s="100">
        <f t="shared" si="56"/>
        <v>0</v>
      </c>
      <c r="J221" s="98">
        <f t="shared" si="58"/>
        <v>0</v>
      </c>
      <c r="K221" s="98">
        <v>0</v>
      </c>
      <c r="L221" s="98">
        <v>0</v>
      </c>
      <c r="M221" s="98">
        <v>0</v>
      </c>
      <c r="N221" s="98">
        <v>0</v>
      </c>
      <c r="O221" s="98">
        <v>0</v>
      </c>
      <c r="P221" s="98">
        <v>0</v>
      </c>
      <c r="Q221" s="100">
        <f t="shared" si="57"/>
        <v>0</v>
      </c>
    </row>
    <row r="222" spans="1:17" ht="20.25">
      <c r="A222" s="242"/>
      <c r="B222" s="245"/>
      <c r="C222" s="101" t="s">
        <v>57</v>
      </c>
      <c r="D222" s="98">
        <v>0</v>
      </c>
      <c r="E222" s="99">
        <v>0</v>
      </c>
      <c r="F222" s="98">
        <v>0</v>
      </c>
      <c r="G222" s="98">
        <v>0</v>
      </c>
      <c r="H222" s="98">
        <v>0</v>
      </c>
      <c r="I222" s="100">
        <f t="shared" si="56"/>
        <v>0</v>
      </c>
      <c r="J222" s="98">
        <f t="shared" si="58"/>
        <v>0</v>
      </c>
      <c r="K222" s="98">
        <v>0</v>
      </c>
      <c r="L222" s="98">
        <v>0</v>
      </c>
      <c r="M222" s="98">
        <v>0</v>
      </c>
      <c r="N222" s="98">
        <v>0</v>
      </c>
      <c r="O222" s="98">
        <v>0</v>
      </c>
      <c r="P222" s="98">
        <v>0</v>
      </c>
      <c r="Q222" s="100">
        <f t="shared" si="57"/>
        <v>0</v>
      </c>
    </row>
    <row r="223" spans="1:17" ht="20.25">
      <c r="A223" s="102">
        <v>3</v>
      </c>
      <c r="B223" s="103" t="s">
        <v>11</v>
      </c>
      <c r="C223" s="104" t="s">
        <v>59</v>
      </c>
      <c r="D223" s="98">
        <v>0</v>
      </c>
      <c r="E223" s="99">
        <v>0</v>
      </c>
      <c r="F223" s="98">
        <v>0</v>
      </c>
      <c r="G223" s="98">
        <v>0</v>
      </c>
      <c r="H223" s="98">
        <v>0</v>
      </c>
      <c r="I223" s="100">
        <f t="shared" si="56"/>
        <v>0</v>
      </c>
      <c r="J223" s="98">
        <f t="shared" si="58"/>
        <v>0</v>
      </c>
      <c r="K223" s="98">
        <v>0</v>
      </c>
      <c r="L223" s="98">
        <v>0</v>
      </c>
      <c r="M223" s="98">
        <v>0</v>
      </c>
      <c r="N223" s="98">
        <v>0</v>
      </c>
      <c r="O223" s="98">
        <v>0</v>
      </c>
      <c r="P223" s="98">
        <v>0</v>
      </c>
      <c r="Q223" s="100">
        <f t="shared" si="57"/>
        <v>0</v>
      </c>
    </row>
    <row r="224" spans="1:17" s="38" customFormat="1" ht="21" thickBot="1">
      <c r="A224" s="105" t="s">
        <v>0</v>
      </c>
      <c r="B224" s="106" t="s">
        <v>60</v>
      </c>
      <c r="C224" s="107" t="s">
        <v>6</v>
      </c>
      <c r="D224" s="108">
        <f t="shared" ref="D224:Q224" si="59">SUM(D217:D223)</f>
        <v>0</v>
      </c>
      <c r="E224" s="108">
        <f t="shared" si="59"/>
        <v>0</v>
      </c>
      <c r="F224" s="108">
        <f t="shared" si="59"/>
        <v>0</v>
      </c>
      <c r="G224" s="108">
        <f t="shared" si="59"/>
        <v>0</v>
      </c>
      <c r="H224" s="108">
        <f t="shared" si="59"/>
        <v>0</v>
      </c>
      <c r="I224" s="108">
        <f t="shared" si="59"/>
        <v>0</v>
      </c>
      <c r="J224" s="108">
        <f t="shared" si="59"/>
        <v>0</v>
      </c>
      <c r="K224" s="108">
        <f t="shared" si="59"/>
        <v>0</v>
      </c>
      <c r="L224" s="108">
        <f t="shared" si="59"/>
        <v>0</v>
      </c>
      <c r="M224" s="108">
        <f t="shared" si="59"/>
        <v>0</v>
      </c>
      <c r="N224" s="108">
        <f t="shared" si="59"/>
        <v>0</v>
      </c>
      <c r="O224" s="108">
        <f t="shared" si="59"/>
        <v>0</v>
      </c>
      <c r="P224" s="108">
        <f t="shared" si="59"/>
        <v>0</v>
      </c>
      <c r="Q224" s="108">
        <f t="shared" si="59"/>
        <v>0</v>
      </c>
    </row>
    <row r="225" spans="1:17" ht="18.75" thickTop="1">
      <c r="A225" s="109"/>
      <c r="B225" s="110"/>
      <c r="C225" s="111"/>
      <c r="D225" s="112"/>
      <c r="E225" s="112"/>
      <c r="F225" s="112"/>
      <c r="G225" s="112"/>
      <c r="H225" s="112"/>
      <c r="I225" s="112"/>
      <c r="J225" s="112"/>
      <c r="K225" s="112"/>
      <c r="L225" s="112"/>
      <c r="M225" s="112"/>
      <c r="N225" s="112"/>
      <c r="O225" s="112"/>
      <c r="P225" s="112"/>
      <c r="Q225" s="112"/>
    </row>
    <row r="226" spans="1:17">
      <c r="A226" s="209" t="s">
        <v>113</v>
      </c>
      <c r="B226" s="210"/>
      <c r="C226" s="210"/>
      <c r="D226" s="210"/>
      <c r="E226" s="210"/>
      <c r="F226" s="210"/>
      <c r="G226" s="210"/>
      <c r="H226" s="210"/>
      <c r="I226" s="210"/>
      <c r="J226" s="210"/>
      <c r="K226" s="210"/>
      <c r="L226" s="210"/>
      <c r="M226" s="210"/>
      <c r="N226" s="210"/>
      <c r="O226" s="210"/>
      <c r="P226" s="210"/>
      <c r="Q226" s="210"/>
    </row>
    <row r="227" spans="1:17">
      <c r="A227" s="232" t="s">
        <v>32</v>
      </c>
      <c r="B227" s="233"/>
      <c r="C227" s="233"/>
      <c r="D227" s="233"/>
      <c r="E227" s="233"/>
      <c r="F227" s="233"/>
      <c r="G227" s="233"/>
      <c r="H227" s="233"/>
      <c r="I227" s="233"/>
      <c r="J227" s="233"/>
      <c r="K227" s="233"/>
      <c r="L227" s="233"/>
      <c r="M227" s="233"/>
      <c r="N227" s="233"/>
      <c r="O227" s="233"/>
      <c r="P227" s="233"/>
      <c r="Q227" s="233"/>
    </row>
    <row r="228" spans="1:17" s="75" customFormat="1" ht="23.25">
      <c r="A228" s="92" t="s">
        <v>67</v>
      </c>
      <c r="B228" s="93"/>
      <c r="C228" s="93"/>
      <c r="D228" s="94"/>
      <c r="E228" s="94"/>
      <c r="F228" s="94"/>
      <c r="G228" s="94"/>
      <c r="H228" s="94"/>
      <c r="I228" s="94"/>
      <c r="J228" s="94"/>
      <c r="K228" s="94"/>
      <c r="L228" s="94"/>
      <c r="M228" s="94"/>
      <c r="N228" s="94"/>
      <c r="O228" s="234" t="s">
        <v>1</v>
      </c>
      <c r="P228" s="235"/>
      <c r="Q228" s="235"/>
    </row>
    <row r="229" spans="1:17" ht="18.75" customHeight="1">
      <c r="A229" s="236" t="s">
        <v>43</v>
      </c>
      <c r="B229" s="236" t="s">
        <v>8</v>
      </c>
      <c r="C229" s="239" t="s">
        <v>44</v>
      </c>
      <c r="D229" s="95" t="s">
        <v>33</v>
      </c>
      <c r="E229" s="95" t="s">
        <v>33</v>
      </c>
      <c r="F229" s="229" t="s">
        <v>15</v>
      </c>
      <c r="G229" s="229" t="s">
        <v>45</v>
      </c>
      <c r="H229" s="229" t="s">
        <v>46</v>
      </c>
      <c r="I229" s="229" t="s">
        <v>6</v>
      </c>
      <c r="J229" s="229" t="s">
        <v>133</v>
      </c>
      <c r="K229" s="229" t="s">
        <v>47</v>
      </c>
      <c r="L229" s="229" t="s">
        <v>48</v>
      </c>
      <c r="M229" s="229" t="s">
        <v>49</v>
      </c>
      <c r="N229" s="229" t="s">
        <v>50</v>
      </c>
      <c r="O229" s="229" t="s">
        <v>51</v>
      </c>
      <c r="P229" s="229" t="s">
        <v>52</v>
      </c>
      <c r="Q229" s="229" t="s">
        <v>6</v>
      </c>
    </row>
    <row r="230" spans="1:17" ht="18.75" customHeight="1">
      <c r="A230" s="237"/>
      <c r="B230" s="237"/>
      <c r="C230" s="240"/>
      <c r="D230" s="96" t="s">
        <v>121</v>
      </c>
      <c r="E230" s="96" t="s">
        <v>122</v>
      </c>
      <c r="F230" s="230"/>
      <c r="G230" s="230"/>
      <c r="H230" s="230"/>
      <c r="I230" s="230"/>
      <c r="J230" s="230"/>
      <c r="K230" s="230"/>
      <c r="L230" s="230"/>
      <c r="M230" s="230"/>
      <c r="N230" s="230"/>
      <c r="O230" s="230"/>
      <c r="P230" s="230"/>
      <c r="Q230" s="230"/>
    </row>
    <row r="231" spans="1:17">
      <c r="A231" s="238"/>
      <c r="B231" s="238"/>
      <c r="C231" s="246" t="s">
        <v>36</v>
      </c>
      <c r="D231" s="247"/>
      <c r="E231" s="247"/>
      <c r="F231" s="247"/>
      <c r="G231" s="247"/>
      <c r="H231" s="247"/>
      <c r="I231" s="247"/>
      <c r="J231" s="247"/>
      <c r="K231" s="247"/>
      <c r="L231" s="247"/>
      <c r="M231" s="247"/>
      <c r="N231" s="247"/>
      <c r="O231" s="247"/>
      <c r="P231" s="247"/>
      <c r="Q231" s="248"/>
    </row>
    <row r="232" spans="1:17" ht="21" customHeight="1">
      <c r="A232" s="241">
        <v>1</v>
      </c>
      <c r="B232" s="243" t="s">
        <v>9</v>
      </c>
      <c r="C232" s="97" t="s">
        <v>53</v>
      </c>
      <c r="D232" s="98">
        <v>0</v>
      </c>
      <c r="E232" s="99">
        <v>0</v>
      </c>
      <c r="F232" s="98">
        <v>0</v>
      </c>
      <c r="G232" s="98">
        <v>0</v>
      </c>
      <c r="H232" s="98">
        <v>0</v>
      </c>
      <c r="I232" s="100">
        <f t="shared" ref="I232:I238" si="60">SUM(G232:H232)</f>
        <v>0</v>
      </c>
      <c r="J232" s="98">
        <f>ROUND(I232*1.6,0)</f>
        <v>0</v>
      </c>
      <c r="K232" s="98">
        <v>0</v>
      </c>
      <c r="L232" s="98">
        <v>0</v>
      </c>
      <c r="M232" s="98">
        <v>0</v>
      </c>
      <c r="N232" s="98">
        <v>0</v>
      </c>
      <c r="O232" s="98">
        <v>0</v>
      </c>
      <c r="P232" s="98">
        <v>0</v>
      </c>
      <c r="Q232" s="100">
        <f t="shared" ref="Q232:Q238" si="61">SUM(F232+I232+J232+K232+L232+M232+N232+O232+P232)</f>
        <v>0</v>
      </c>
    </row>
    <row r="233" spans="1:17" ht="20.25">
      <c r="A233" s="242"/>
      <c r="B233" s="244"/>
      <c r="C233" s="97" t="s">
        <v>54</v>
      </c>
      <c r="D233" s="98">
        <v>0</v>
      </c>
      <c r="E233" s="99">
        <v>0</v>
      </c>
      <c r="F233" s="98">
        <v>0</v>
      </c>
      <c r="G233" s="98">
        <v>0</v>
      </c>
      <c r="H233" s="98">
        <v>0</v>
      </c>
      <c r="I233" s="100">
        <f t="shared" si="60"/>
        <v>0</v>
      </c>
      <c r="J233" s="98">
        <f t="shared" ref="J233:J238" si="62">ROUND(I233*1.6,0)</f>
        <v>0</v>
      </c>
      <c r="K233" s="98">
        <v>0</v>
      </c>
      <c r="L233" s="98">
        <v>0</v>
      </c>
      <c r="M233" s="98">
        <v>0</v>
      </c>
      <c r="N233" s="98">
        <v>0</v>
      </c>
      <c r="O233" s="98">
        <v>0</v>
      </c>
      <c r="P233" s="98">
        <v>0</v>
      </c>
      <c r="Q233" s="100">
        <f t="shared" si="61"/>
        <v>0</v>
      </c>
    </row>
    <row r="234" spans="1:17" ht="20.25">
      <c r="A234" s="241">
        <v>2</v>
      </c>
      <c r="B234" s="243" t="s">
        <v>10</v>
      </c>
      <c r="C234" s="101" t="s">
        <v>55</v>
      </c>
      <c r="D234" s="98">
        <v>0</v>
      </c>
      <c r="E234" s="99">
        <v>0</v>
      </c>
      <c r="F234" s="98">
        <v>0</v>
      </c>
      <c r="G234" s="98">
        <v>0</v>
      </c>
      <c r="H234" s="98">
        <v>0</v>
      </c>
      <c r="I234" s="100">
        <f t="shared" si="60"/>
        <v>0</v>
      </c>
      <c r="J234" s="98">
        <f t="shared" si="62"/>
        <v>0</v>
      </c>
      <c r="K234" s="98">
        <v>0</v>
      </c>
      <c r="L234" s="98">
        <v>0</v>
      </c>
      <c r="M234" s="98">
        <v>0</v>
      </c>
      <c r="N234" s="98">
        <v>0</v>
      </c>
      <c r="O234" s="98">
        <v>0</v>
      </c>
      <c r="P234" s="98">
        <v>0</v>
      </c>
      <c r="Q234" s="100">
        <f t="shared" si="61"/>
        <v>0</v>
      </c>
    </row>
    <row r="235" spans="1:17" ht="20.25">
      <c r="A235" s="242"/>
      <c r="B235" s="245"/>
      <c r="C235" s="101" t="s">
        <v>56</v>
      </c>
      <c r="D235" s="98">
        <v>0</v>
      </c>
      <c r="E235" s="99">
        <v>0</v>
      </c>
      <c r="F235" s="98">
        <v>0</v>
      </c>
      <c r="G235" s="98">
        <v>0</v>
      </c>
      <c r="H235" s="98">
        <v>0</v>
      </c>
      <c r="I235" s="100">
        <f t="shared" si="60"/>
        <v>0</v>
      </c>
      <c r="J235" s="98">
        <f t="shared" si="62"/>
        <v>0</v>
      </c>
      <c r="K235" s="98">
        <v>0</v>
      </c>
      <c r="L235" s="98">
        <v>0</v>
      </c>
      <c r="M235" s="98">
        <v>0</v>
      </c>
      <c r="N235" s="98">
        <v>0</v>
      </c>
      <c r="O235" s="98">
        <v>0</v>
      </c>
      <c r="P235" s="98">
        <v>0</v>
      </c>
      <c r="Q235" s="100">
        <f t="shared" si="61"/>
        <v>0</v>
      </c>
    </row>
    <row r="236" spans="1:17" ht="20.25">
      <c r="A236" s="242"/>
      <c r="B236" s="245"/>
      <c r="C236" s="101" t="s">
        <v>58</v>
      </c>
      <c r="D236" s="98">
        <v>0</v>
      </c>
      <c r="E236" s="99">
        <v>0</v>
      </c>
      <c r="F236" s="98">
        <v>0</v>
      </c>
      <c r="G236" s="98">
        <v>0</v>
      </c>
      <c r="H236" s="98">
        <v>0</v>
      </c>
      <c r="I236" s="100">
        <f t="shared" si="60"/>
        <v>0</v>
      </c>
      <c r="J236" s="98">
        <f t="shared" si="62"/>
        <v>0</v>
      </c>
      <c r="K236" s="98">
        <v>0</v>
      </c>
      <c r="L236" s="98">
        <v>0</v>
      </c>
      <c r="M236" s="98">
        <v>0</v>
      </c>
      <c r="N236" s="98">
        <v>0</v>
      </c>
      <c r="O236" s="98">
        <v>0</v>
      </c>
      <c r="P236" s="98">
        <v>0</v>
      </c>
      <c r="Q236" s="100">
        <f t="shared" si="61"/>
        <v>0</v>
      </c>
    </row>
    <row r="237" spans="1:17" ht="20.25">
      <c r="A237" s="242"/>
      <c r="B237" s="245"/>
      <c r="C237" s="101" t="s">
        <v>57</v>
      </c>
      <c r="D237" s="98">
        <v>0</v>
      </c>
      <c r="E237" s="99">
        <v>0</v>
      </c>
      <c r="F237" s="98">
        <v>0</v>
      </c>
      <c r="G237" s="98">
        <v>0</v>
      </c>
      <c r="H237" s="98">
        <v>0</v>
      </c>
      <c r="I237" s="100">
        <f t="shared" si="60"/>
        <v>0</v>
      </c>
      <c r="J237" s="98">
        <f t="shared" si="62"/>
        <v>0</v>
      </c>
      <c r="K237" s="98">
        <v>0</v>
      </c>
      <c r="L237" s="98">
        <v>0</v>
      </c>
      <c r="M237" s="98">
        <v>0</v>
      </c>
      <c r="N237" s="98">
        <v>0</v>
      </c>
      <c r="O237" s="98">
        <v>0</v>
      </c>
      <c r="P237" s="98">
        <v>0</v>
      </c>
      <c r="Q237" s="100">
        <f t="shared" si="61"/>
        <v>0</v>
      </c>
    </row>
    <row r="238" spans="1:17" ht="20.25">
      <c r="A238" s="102">
        <v>3</v>
      </c>
      <c r="B238" s="103" t="s">
        <v>11</v>
      </c>
      <c r="C238" s="104" t="s">
        <v>59</v>
      </c>
      <c r="D238" s="98">
        <v>0</v>
      </c>
      <c r="E238" s="99">
        <v>0</v>
      </c>
      <c r="F238" s="98">
        <v>0</v>
      </c>
      <c r="G238" s="98">
        <v>0</v>
      </c>
      <c r="H238" s="98">
        <v>0</v>
      </c>
      <c r="I238" s="100">
        <f t="shared" si="60"/>
        <v>0</v>
      </c>
      <c r="J238" s="98">
        <f t="shared" si="62"/>
        <v>0</v>
      </c>
      <c r="K238" s="98">
        <v>0</v>
      </c>
      <c r="L238" s="98">
        <v>0</v>
      </c>
      <c r="M238" s="98">
        <v>0</v>
      </c>
      <c r="N238" s="98">
        <v>0</v>
      </c>
      <c r="O238" s="98">
        <v>0</v>
      </c>
      <c r="P238" s="98">
        <v>0</v>
      </c>
      <c r="Q238" s="100">
        <f t="shared" si="61"/>
        <v>0</v>
      </c>
    </row>
    <row r="239" spans="1:17" s="38" customFormat="1" ht="21" thickBot="1">
      <c r="A239" s="105" t="s">
        <v>0</v>
      </c>
      <c r="B239" s="106" t="s">
        <v>60</v>
      </c>
      <c r="C239" s="107" t="s">
        <v>6</v>
      </c>
      <c r="D239" s="108">
        <f t="shared" ref="D239:Q239" si="63">SUM(D232:D238)</f>
        <v>0</v>
      </c>
      <c r="E239" s="108">
        <f t="shared" si="63"/>
        <v>0</v>
      </c>
      <c r="F239" s="108">
        <f t="shared" si="63"/>
        <v>0</v>
      </c>
      <c r="G239" s="108">
        <f t="shared" si="63"/>
        <v>0</v>
      </c>
      <c r="H239" s="108">
        <f t="shared" si="63"/>
        <v>0</v>
      </c>
      <c r="I239" s="108">
        <f t="shared" si="63"/>
        <v>0</v>
      </c>
      <c r="J239" s="108">
        <f t="shared" si="63"/>
        <v>0</v>
      </c>
      <c r="K239" s="108">
        <f t="shared" si="63"/>
        <v>0</v>
      </c>
      <c r="L239" s="108">
        <f t="shared" si="63"/>
        <v>0</v>
      </c>
      <c r="M239" s="108">
        <f t="shared" si="63"/>
        <v>0</v>
      </c>
      <c r="N239" s="108">
        <f t="shared" si="63"/>
        <v>0</v>
      </c>
      <c r="O239" s="108">
        <f t="shared" si="63"/>
        <v>0</v>
      </c>
      <c r="P239" s="108">
        <f t="shared" si="63"/>
        <v>0</v>
      </c>
      <c r="Q239" s="108">
        <f t="shared" si="63"/>
        <v>0</v>
      </c>
    </row>
    <row r="240" spans="1:17" ht="18.75" thickTop="1">
      <c r="A240" s="113"/>
      <c r="B240" s="114"/>
      <c r="C240" s="113"/>
      <c r="D240" s="115"/>
      <c r="E240" s="115"/>
      <c r="F240" s="115"/>
      <c r="G240" s="115"/>
      <c r="H240" s="115"/>
      <c r="I240" s="115"/>
      <c r="J240" s="115"/>
      <c r="K240" s="115"/>
      <c r="L240" s="115"/>
      <c r="M240" s="115"/>
      <c r="N240" s="115"/>
      <c r="O240" s="115"/>
      <c r="P240" s="115"/>
      <c r="Q240" s="115"/>
    </row>
    <row r="241" spans="1:17">
      <c r="A241" s="209" t="s">
        <v>144</v>
      </c>
      <c r="B241" s="210"/>
      <c r="C241" s="210"/>
      <c r="D241" s="210"/>
      <c r="E241" s="210"/>
      <c r="F241" s="210"/>
      <c r="G241" s="210"/>
      <c r="H241" s="210"/>
      <c r="I241" s="210"/>
      <c r="J241" s="210"/>
      <c r="K241" s="210"/>
      <c r="L241" s="210"/>
      <c r="M241" s="210"/>
      <c r="N241" s="210"/>
      <c r="O241" s="210"/>
      <c r="P241" s="210"/>
      <c r="Q241" s="210"/>
    </row>
    <row r="242" spans="1:17">
      <c r="A242" s="211" t="s">
        <v>32</v>
      </c>
      <c r="B242" s="212"/>
      <c r="C242" s="212"/>
      <c r="D242" s="212"/>
      <c r="E242" s="212"/>
      <c r="F242" s="212"/>
      <c r="G242" s="212"/>
      <c r="H242" s="212"/>
      <c r="I242" s="212"/>
      <c r="J242" s="212"/>
      <c r="K242" s="212"/>
      <c r="L242" s="212"/>
      <c r="M242" s="212"/>
      <c r="N242" s="212"/>
      <c r="O242" s="212"/>
      <c r="P242" s="212"/>
      <c r="Q242" s="212"/>
    </row>
    <row r="243" spans="1:17" s="75" customFormat="1" ht="23.25">
      <c r="A243" s="72" t="s">
        <v>31</v>
      </c>
      <c r="B243" s="73"/>
      <c r="C243" s="73"/>
      <c r="D243" s="74"/>
      <c r="E243" s="74"/>
      <c r="F243" s="74"/>
      <c r="G243" s="74"/>
      <c r="H243" s="74"/>
      <c r="I243" s="74"/>
      <c r="J243" s="74"/>
      <c r="K243" s="74"/>
      <c r="L243" s="74"/>
      <c r="M243" s="74"/>
      <c r="N243" s="74"/>
      <c r="O243" s="249" t="s">
        <v>1</v>
      </c>
      <c r="P243" s="250"/>
      <c r="Q243" s="250"/>
    </row>
    <row r="244" spans="1:17" ht="18.75" customHeight="1">
      <c r="A244" s="215" t="s">
        <v>43</v>
      </c>
      <c r="B244" s="215" t="s">
        <v>8</v>
      </c>
      <c r="C244" s="218" t="s">
        <v>44</v>
      </c>
      <c r="D244" s="61" t="s">
        <v>33</v>
      </c>
      <c r="E244" s="61" t="s">
        <v>33</v>
      </c>
      <c r="F244" s="207" t="s">
        <v>15</v>
      </c>
      <c r="G244" s="207" t="s">
        <v>45</v>
      </c>
      <c r="H244" s="207" t="s">
        <v>46</v>
      </c>
      <c r="I244" s="207" t="s">
        <v>6</v>
      </c>
      <c r="J244" s="207" t="s">
        <v>133</v>
      </c>
      <c r="K244" s="207" t="s">
        <v>47</v>
      </c>
      <c r="L244" s="207" t="s">
        <v>48</v>
      </c>
      <c r="M244" s="207" t="s">
        <v>49</v>
      </c>
      <c r="N244" s="207" t="s">
        <v>50</v>
      </c>
      <c r="O244" s="207" t="s">
        <v>51</v>
      </c>
      <c r="P244" s="207" t="s">
        <v>52</v>
      </c>
      <c r="Q244" s="207" t="s">
        <v>6</v>
      </c>
    </row>
    <row r="245" spans="1:17" ht="18.75" customHeight="1">
      <c r="A245" s="216"/>
      <c r="B245" s="216"/>
      <c r="C245" s="219"/>
      <c r="D245" s="62" t="s">
        <v>123</v>
      </c>
      <c r="E245" s="62" t="s">
        <v>129</v>
      </c>
      <c r="F245" s="220"/>
      <c r="G245" s="220"/>
      <c r="H245" s="220"/>
      <c r="I245" s="220"/>
      <c r="J245" s="220"/>
      <c r="K245" s="208"/>
      <c r="L245" s="208"/>
      <c r="M245" s="208"/>
      <c r="N245" s="208"/>
      <c r="O245" s="208"/>
      <c r="P245" s="208"/>
      <c r="Q245" s="208"/>
    </row>
    <row r="246" spans="1:17">
      <c r="A246" s="217"/>
      <c r="B246" s="217"/>
      <c r="C246" s="225" t="s">
        <v>35</v>
      </c>
      <c r="D246" s="226"/>
      <c r="E246" s="226"/>
      <c r="F246" s="226"/>
      <c r="G246" s="226"/>
      <c r="H246" s="226"/>
      <c r="I246" s="226"/>
      <c r="J246" s="226"/>
      <c r="K246" s="226"/>
      <c r="L246" s="226"/>
      <c r="M246" s="226"/>
      <c r="N246" s="226"/>
      <c r="O246" s="226"/>
      <c r="P246" s="226"/>
      <c r="Q246" s="227"/>
    </row>
    <row r="247" spans="1:17" ht="21" customHeight="1">
      <c r="A247" s="221">
        <v>1</v>
      </c>
      <c r="B247" s="223" t="s">
        <v>9</v>
      </c>
      <c r="C247" s="63" t="s">
        <v>53</v>
      </c>
      <c r="D247" s="29">
        <f>SUM(D7+D37+D67+D97+D127+D157+D187+D217)</f>
        <v>10</v>
      </c>
      <c r="E247" s="71">
        <f>SUM(E7+E37+E67+E97+E127+E157+E187+E217)</f>
        <v>10</v>
      </c>
      <c r="F247" s="29">
        <f>SUM(F7+F37+F67+F97+F127+F157+F187+F217)</f>
        <v>0</v>
      </c>
      <c r="G247" s="29">
        <f>SUM(G7+G37+G67+G97+G127+G157+G187+G217)</f>
        <v>11124</v>
      </c>
      <c r="H247" s="29">
        <f>SUM(H7+H37+H67+H97+H127+H157+H187+H217)</f>
        <v>0</v>
      </c>
      <c r="I247" s="30">
        <f t="shared" ref="I247:I253" si="64">SUM(G247:H247)</f>
        <v>11124</v>
      </c>
      <c r="J247" s="29">
        <f t="shared" ref="J247:P247" si="65">SUM(J7+J37+J67+J97+J127+J157+J187+J217)</f>
        <v>7788</v>
      </c>
      <c r="K247" s="29">
        <f t="shared" si="65"/>
        <v>15</v>
      </c>
      <c r="L247" s="29">
        <f t="shared" si="65"/>
        <v>1769</v>
      </c>
      <c r="M247" s="29">
        <f t="shared" si="65"/>
        <v>165</v>
      </c>
      <c r="N247" s="29">
        <f t="shared" si="65"/>
        <v>0</v>
      </c>
      <c r="O247" s="29">
        <f t="shared" si="65"/>
        <v>0</v>
      </c>
      <c r="P247" s="29">
        <f t="shared" si="65"/>
        <v>18</v>
      </c>
      <c r="Q247" s="30">
        <f t="shared" ref="Q247:Q253" si="66">SUM(F247+I247+J247+K247+L247+M247+N247+O247+P247)</f>
        <v>20879</v>
      </c>
    </row>
    <row r="248" spans="1:17" ht="20.25">
      <c r="A248" s="222"/>
      <c r="B248" s="224"/>
      <c r="C248" s="63" t="s">
        <v>54</v>
      </c>
      <c r="D248" s="29">
        <f t="shared" ref="D248:E253" si="67">SUM(D8+D38+D68+D98+D128+D158+D188+D218)</f>
        <v>0</v>
      </c>
      <c r="E248" s="71">
        <f t="shared" si="67"/>
        <v>0</v>
      </c>
      <c r="F248" s="29">
        <f t="shared" ref="F248:H253" si="68">SUM(F8+F38+F68+F98+F128+F158+F188+F218)</f>
        <v>0</v>
      </c>
      <c r="G248" s="29">
        <f t="shared" si="68"/>
        <v>0</v>
      </c>
      <c r="H248" s="29">
        <f t="shared" si="68"/>
        <v>0</v>
      </c>
      <c r="I248" s="30">
        <f t="shared" si="64"/>
        <v>0</v>
      </c>
      <c r="J248" s="29">
        <f t="shared" ref="J248:P248" si="69">SUM(J8+J38+J68+J98+J128+J158+J188+J218)</f>
        <v>0</v>
      </c>
      <c r="K248" s="29">
        <f t="shared" si="69"/>
        <v>0</v>
      </c>
      <c r="L248" s="29">
        <f t="shared" si="69"/>
        <v>0</v>
      </c>
      <c r="M248" s="29">
        <f t="shared" si="69"/>
        <v>0</v>
      </c>
      <c r="N248" s="29">
        <f t="shared" si="69"/>
        <v>0</v>
      </c>
      <c r="O248" s="29">
        <f t="shared" si="69"/>
        <v>0</v>
      </c>
      <c r="P248" s="29">
        <f t="shared" si="69"/>
        <v>0</v>
      </c>
      <c r="Q248" s="30">
        <f t="shared" si="66"/>
        <v>0</v>
      </c>
    </row>
    <row r="249" spans="1:17" ht="20.25">
      <c r="A249" s="221">
        <v>2</v>
      </c>
      <c r="B249" s="223" t="s">
        <v>10</v>
      </c>
      <c r="C249" s="64" t="s">
        <v>55</v>
      </c>
      <c r="D249" s="29">
        <f t="shared" si="67"/>
        <v>11</v>
      </c>
      <c r="E249" s="71">
        <f t="shared" si="67"/>
        <v>11</v>
      </c>
      <c r="F249" s="29">
        <f t="shared" si="68"/>
        <v>0</v>
      </c>
      <c r="G249" s="29">
        <f t="shared" si="68"/>
        <v>6584</v>
      </c>
      <c r="H249" s="29">
        <f t="shared" si="68"/>
        <v>0</v>
      </c>
      <c r="I249" s="30">
        <f t="shared" si="64"/>
        <v>6584</v>
      </c>
      <c r="J249" s="29">
        <f t="shared" ref="J249:P249" si="70">SUM(J9+J39+J69+J99+J129+J159+J189+J219)</f>
        <v>4608</v>
      </c>
      <c r="K249" s="29">
        <f t="shared" si="70"/>
        <v>22</v>
      </c>
      <c r="L249" s="29">
        <f t="shared" si="70"/>
        <v>988</v>
      </c>
      <c r="M249" s="29">
        <f t="shared" si="70"/>
        <v>228</v>
      </c>
      <c r="N249" s="29">
        <f t="shared" si="70"/>
        <v>0</v>
      </c>
      <c r="O249" s="29">
        <f t="shared" si="70"/>
        <v>0</v>
      </c>
      <c r="P249" s="29">
        <f t="shared" si="70"/>
        <v>18</v>
      </c>
      <c r="Q249" s="30">
        <f t="shared" si="66"/>
        <v>12448</v>
      </c>
    </row>
    <row r="250" spans="1:17" ht="20.25">
      <c r="A250" s="222"/>
      <c r="B250" s="228"/>
      <c r="C250" s="64" t="s">
        <v>136</v>
      </c>
      <c r="D250" s="29">
        <f t="shared" si="67"/>
        <v>15</v>
      </c>
      <c r="E250" s="71">
        <f t="shared" si="67"/>
        <v>15</v>
      </c>
      <c r="F250" s="29">
        <f t="shared" si="68"/>
        <v>0</v>
      </c>
      <c r="G250" s="29">
        <f t="shared" si="68"/>
        <v>8273</v>
      </c>
      <c r="H250" s="29">
        <f t="shared" si="68"/>
        <v>0</v>
      </c>
      <c r="I250" s="30">
        <f t="shared" si="64"/>
        <v>8273</v>
      </c>
      <c r="J250" s="29">
        <f t="shared" ref="J250:P250" si="71">SUM(J10+J40+J70+J100+J130+J160+J190+J220)</f>
        <v>5791</v>
      </c>
      <c r="K250" s="29">
        <f t="shared" si="71"/>
        <v>23</v>
      </c>
      <c r="L250" s="29">
        <f t="shared" si="71"/>
        <v>1220</v>
      </c>
      <c r="M250" s="29">
        <f t="shared" si="71"/>
        <v>293</v>
      </c>
      <c r="N250" s="29">
        <f t="shared" si="71"/>
        <v>0</v>
      </c>
      <c r="O250" s="29">
        <f t="shared" si="71"/>
        <v>0</v>
      </c>
      <c r="P250" s="29">
        <f t="shared" si="71"/>
        <v>18</v>
      </c>
      <c r="Q250" s="30">
        <f t="shared" si="66"/>
        <v>15618</v>
      </c>
    </row>
    <row r="251" spans="1:17" ht="20.25">
      <c r="A251" s="222"/>
      <c r="B251" s="228"/>
      <c r="C251" s="64" t="s">
        <v>137</v>
      </c>
      <c r="D251" s="29">
        <f t="shared" si="67"/>
        <v>23</v>
      </c>
      <c r="E251" s="71">
        <f t="shared" si="67"/>
        <v>23</v>
      </c>
      <c r="F251" s="29">
        <f t="shared" si="68"/>
        <v>0</v>
      </c>
      <c r="G251" s="29">
        <f t="shared" si="68"/>
        <v>9142</v>
      </c>
      <c r="H251" s="29">
        <f t="shared" si="68"/>
        <v>0</v>
      </c>
      <c r="I251" s="30">
        <f t="shared" si="64"/>
        <v>9142</v>
      </c>
      <c r="J251" s="29">
        <f t="shared" ref="J251:P251" si="72">SUM(J11+J41+J71+J101+J131+J161+J191+J221)</f>
        <v>6401</v>
      </c>
      <c r="K251" s="29">
        <f t="shared" si="72"/>
        <v>34</v>
      </c>
      <c r="L251" s="29">
        <f t="shared" si="72"/>
        <v>1450</v>
      </c>
      <c r="M251" s="29">
        <f t="shared" si="72"/>
        <v>432</v>
      </c>
      <c r="N251" s="29">
        <f t="shared" si="72"/>
        <v>0</v>
      </c>
      <c r="O251" s="29">
        <f t="shared" si="72"/>
        <v>0</v>
      </c>
      <c r="P251" s="29">
        <f t="shared" si="72"/>
        <v>36</v>
      </c>
      <c r="Q251" s="30">
        <f t="shared" si="66"/>
        <v>17495</v>
      </c>
    </row>
    <row r="252" spans="1:17" ht="20.25">
      <c r="A252" s="222"/>
      <c r="B252" s="228"/>
      <c r="C252" s="64" t="s">
        <v>57</v>
      </c>
      <c r="D252" s="29">
        <f t="shared" si="67"/>
        <v>11</v>
      </c>
      <c r="E252" s="71">
        <f t="shared" si="67"/>
        <v>11</v>
      </c>
      <c r="F252" s="29">
        <f t="shared" si="68"/>
        <v>0</v>
      </c>
      <c r="G252" s="29">
        <f t="shared" si="68"/>
        <v>4459</v>
      </c>
      <c r="H252" s="29">
        <f t="shared" si="68"/>
        <v>0</v>
      </c>
      <c r="I252" s="30">
        <f t="shared" si="64"/>
        <v>4459</v>
      </c>
      <c r="J252" s="29">
        <f t="shared" ref="J252:P252" si="73">SUM(J12+J42+J72+J102+J132+J162+J192+J222)</f>
        <v>3122</v>
      </c>
      <c r="K252" s="29">
        <f t="shared" si="73"/>
        <v>15</v>
      </c>
      <c r="L252" s="29">
        <f t="shared" si="73"/>
        <v>648</v>
      </c>
      <c r="M252" s="29">
        <f t="shared" si="73"/>
        <v>212</v>
      </c>
      <c r="N252" s="29">
        <f t="shared" si="73"/>
        <v>4</v>
      </c>
      <c r="O252" s="29">
        <f t="shared" si="73"/>
        <v>0</v>
      </c>
      <c r="P252" s="29">
        <f t="shared" si="73"/>
        <v>24</v>
      </c>
      <c r="Q252" s="30">
        <f t="shared" si="66"/>
        <v>8484</v>
      </c>
    </row>
    <row r="253" spans="1:17" ht="20.25">
      <c r="A253" s="65">
        <v>3</v>
      </c>
      <c r="B253" s="66" t="s">
        <v>11</v>
      </c>
      <c r="C253" s="67" t="s">
        <v>59</v>
      </c>
      <c r="D253" s="29">
        <f t="shared" si="67"/>
        <v>22</v>
      </c>
      <c r="E253" s="71">
        <f t="shared" si="67"/>
        <v>22</v>
      </c>
      <c r="F253" s="29">
        <f t="shared" si="68"/>
        <v>0</v>
      </c>
      <c r="G253" s="29">
        <f t="shared" si="68"/>
        <v>8473</v>
      </c>
      <c r="H253" s="29">
        <f t="shared" si="68"/>
        <v>0</v>
      </c>
      <c r="I253" s="30">
        <f t="shared" si="64"/>
        <v>8473</v>
      </c>
      <c r="J253" s="29">
        <f t="shared" ref="J253:P253" si="74">SUM(J13+J43+J73+J103+J133+J163+J193+J223)</f>
        <v>5932</v>
      </c>
      <c r="K253" s="29">
        <f t="shared" si="74"/>
        <v>17</v>
      </c>
      <c r="L253" s="29">
        <f t="shared" si="74"/>
        <v>1389</v>
      </c>
      <c r="M253" s="29">
        <f t="shared" si="74"/>
        <v>383</v>
      </c>
      <c r="N253" s="29">
        <f t="shared" si="74"/>
        <v>5</v>
      </c>
      <c r="O253" s="29">
        <f t="shared" si="74"/>
        <v>0</v>
      </c>
      <c r="P253" s="29">
        <f t="shared" si="74"/>
        <v>32</v>
      </c>
      <c r="Q253" s="30">
        <f t="shared" si="66"/>
        <v>16231</v>
      </c>
    </row>
    <row r="254" spans="1:17" s="38" customFormat="1" ht="21" thickBot="1">
      <c r="A254" s="68" t="s">
        <v>0</v>
      </c>
      <c r="B254" s="70" t="s">
        <v>60</v>
      </c>
      <c r="C254" s="69" t="s">
        <v>6</v>
      </c>
      <c r="D254" s="37">
        <f t="shared" ref="D254:Q254" si="75">SUM(D247:D253)</f>
        <v>92</v>
      </c>
      <c r="E254" s="37">
        <f t="shared" si="75"/>
        <v>92</v>
      </c>
      <c r="F254" s="37">
        <f t="shared" si="75"/>
        <v>0</v>
      </c>
      <c r="G254" s="37">
        <f t="shared" si="75"/>
        <v>48055</v>
      </c>
      <c r="H254" s="37">
        <f t="shared" si="75"/>
        <v>0</v>
      </c>
      <c r="I254" s="37">
        <f t="shared" si="75"/>
        <v>48055</v>
      </c>
      <c r="J254" s="37">
        <f t="shared" si="75"/>
        <v>33642</v>
      </c>
      <c r="K254" s="37">
        <f t="shared" si="75"/>
        <v>126</v>
      </c>
      <c r="L254" s="37">
        <f t="shared" si="75"/>
        <v>7464</v>
      </c>
      <c r="M254" s="37">
        <f t="shared" si="75"/>
        <v>1713</v>
      </c>
      <c r="N254" s="37">
        <f t="shared" si="75"/>
        <v>9</v>
      </c>
      <c r="O254" s="37">
        <f t="shared" si="75"/>
        <v>0</v>
      </c>
      <c r="P254" s="37">
        <f t="shared" si="75"/>
        <v>146</v>
      </c>
      <c r="Q254" s="37">
        <f t="shared" si="75"/>
        <v>91155</v>
      </c>
    </row>
    <row r="255" spans="1:17" ht="18.75" thickTop="1">
      <c r="A255" s="31"/>
      <c r="B255" s="32"/>
      <c r="C255" s="33"/>
      <c r="D255" s="34"/>
      <c r="E255" s="34"/>
      <c r="F255" s="34"/>
      <c r="G255" s="34"/>
      <c r="H255" s="34"/>
      <c r="I255" s="34"/>
      <c r="J255" s="34"/>
      <c r="K255" s="34"/>
      <c r="L255" s="34"/>
      <c r="M255" s="34"/>
      <c r="N255" s="34"/>
      <c r="O255" s="34"/>
      <c r="P255" s="34"/>
      <c r="Q255" s="34"/>
    </row>
    <row r="256" spans="1:17">
      <c r="A256" s="31"/>
      <c r="B256" s="32"/>
      <c r="C256" s="33"/>
      <c r="D256" s="34"/>
      <c r="E256" s="34"/>
      <c r="F256" s="34"/>
      <c r="G256" s="34"/>
      <c r="H256" s="34"/>
      <c r="I256" s="34"/>
      <c r="J256" s="34"/>
      <c r="K256" s="34"/>
      <c r="L256" s="34"/>
      <c r="M256" s="34"/>
      <c r="N256" s="34"/>
      <c r="O256" s="34"/>
      <c r="P256" s="34"/>
      <c r="Q256" s="34"/>
    </row>
    <row r="257" spans="1:17">
      <c r="A257" s="31"/>
      <c r="B257" s="32"/>
      <c r="C257" s="33"/>
      <c r="D257" s="34"/>
      <c r="E257" s="34"/>
      <c r="F257" s="34"/>
      <c r="G257" s="34"/>
      <c r="H257" s="34"/>
      <c r="I257" s="34"/>
      <c r="J257" s="34"/>
      <c r="K257" s="34"/>
      <c r="L257" s="34"/>
      <c r="M257" s="34"/>
      <c r="N257" s="34"/>
      <c r="O257" s="34"/>
      <c r="P257" s="34"/>
      <c r="Q257" s="34"/>
    </row>
    <row r="258" spans="1:17">
      <c r="A258" s="31"/>
      <c r="B258" s="32"/>
      <c r="C258" s="33"/>
      <c r="D258" s="34"/>
      <c r="E258" s="34"/>
      <c r="F258" s="34"/>
      <c r="G258" s="34"/>
      <c r="H258" s="34"/>
      <c r="I258" s="34"/>
      <c r="J258" s="34"/>
      <c r="K258" s="34"/>
      <c r="L258" s="34"/>
      <c r="M258" s="34"/>
      <c r="N258" s="34"/>
      <c r="O258" s="34"/>
      <c r="P258" s="34"/>
      <c r="Q258" s="34"/>
    </row>
    <row r="259" spans="1:17">
      <c r="M259" s="164" t="s">
        <v>120</v>
      </c>
      <c r="N259" s="164"/>
      <c r="O259" s="164"/>
    </row>
    <row r="260" spans="1:17">
      <c r="A260" s="209" t="s">
        <v>144</v>
      </c>
      <c r="B260" s="210"/>
      <c r="C260" s="210"/>
      <c r="D260" s="210"/>
      <c r="E260" s="210"/>
      <c r="F260" s="210"/>
      <c r="G260" s="210"/>
      <c r="H260" s="210"/>
      <c r="I260" s="210"/>
      <c r="J260" s="210"/>
      <c r="K260" s="210"/>
      <c r="L260" s="210"/>
      <c r="M260" s="210"/>
      <c r="N260" s="210"/>
      <c r="O260" s="210"/>
      <c r="P260" s="210"/>
      <c r="Q260" s="210"/>
    </row>
    <row r="261" spans="1:17">
      <c r="A261" s="211" t="s">
        <v>32</v>
      </c>
      <c r="B261" s="212"/>
      <c r="C261" s="212"/>
      <c r="D261" s="212"/>
      <c r="E261" s="212"/>
      <c r="F261" s="212"/>
      <c r="G261" s="212"/>
      <c r="H261" s="212"/>
      <c r="I261" s="212"/>
      <c r="J261" s="212"/>
      <c r="K261" s="212"/>
      <c r="L261" s="212"/>
      <c r="M261" s="212"/>
      <c r="N261" s="212"/>
      <c r="O261" s="212"/>
      <c r="P261" s="212"/>
      <c r="Q261" s="212"/>
    </row>
    <row r="262" spans="1:17" s="75" customFormat="1" ht="23.25">
      <c r="A262" s="72" t="s">
        <v>31</v>
      </c>
      <c r="B262" s="73"/>
      <c r="C262" s="73"/>
      <c r="D262" s="74"/>
      <c r="E262" s="74"/>
      <c r="F262" s="74"/>
      <c r="G262" s="74"/>
      <c r="H262" s="74"/>
      <c r="I262" s="74"/>
      <c r="J262" s="74"/>
      <c r="K262" s="74"/>
      <c r="L262" s="74"/>
      <c r="M262" s="74"/>
      <c r="N262" s="74"/>
      <c r="O262" s="249" t="s">
        <v>1</v>
      </c>
      <c r="P262" s="250"/>
      <c r="Q262" s="250"/>
    </row>
    <row r="263" spans="1:17" ht="18.75" customHeight="1">
      <c r="A263" s="215" t="s">
        <v>43</v>
      </c>
      <c r="B263" s="215" t="s">
        <v>8</v>
      </c>
      <c r="C263" s="218" t="s">
        <v>44</v>
      </c>
      <c r="D263" s="61" t="s">
        <v>33</v>
      </c>
      <c r="E263" s="61" t="s">
        <v>33</v>
      </c>
      <c r="F263" s="207" t="s">
        <v>15</v>
      </c>
      <c r="G263" s="207" t="s">
        <v>45</v>
      </c>
      <c r="H263" s="207" t="s">
        <v>46</v>
      </c>
      <c r="I263" s="207" t="s">
        <v>6</v>
      </c>
      <c r="J263" s="207" t="s">
        <v>133</v>
      </c>
      <c r="K263" s="207" t="s">
        <v>47</v>
      </c>
      <c r="L263" s="207" t="s">
        <v>48</v>
      </c>
      <c r="M263" s="207" t="s">
        <v>49</v>
      </c>
      <c r="N263" s="207" t="s">
        <v>50</v>
      </c>
      <c r="O263" s="207" t="s">
        <v>51</v>
      </c>
      <c r="P263" s="207" t="s">
        <v>52</v>
      </c>
      <c r="Q263" s="207" t="s">
        <v>6</v>
      </c>
    </row>
    <row r="264" spans="1:17" ht="18.75" customHeight="1">
      <c r="A264" s="216"/>
      <c r="B264" s="216"/>
      <c r="C264" s="219"/>
      <c r="D264" s="62" t="s">
        <v>123</v>
      </c>
      <c r="E264" s="62" t="s">
        <v>129</v>
      </c>
      <c r="F264" s="220"/>
      <c r="G264" s="220"/>
      <c r="H264" s="220"/>
      <c r="I264" s="220"/>
      <c r="J264" s="220"/>
      <c r="K264" s="208"/>
      <c r="L264" s="208"/>
      <c r="M264" s="208"/>
      <c r="N264" s="208"/>
      <c r="O264" s="208"/>
      <c r="P264" s="208"/>
      <c r="Q264" s="208"/>
    </row>
    <row r="265" spans="1:17">
      <c r="A265" s="217"/>
      <c r="B265" s="217"/>
      <c r="C265" s="225" t="s">
        <v>36</v>
      </c>
      <c r="D265" s="226"/>
      <c r="E265" s="226"/>
      <c r="F265" s="226"/>
      <c r="G265" s="226"/>
      <c r="H265" s="226"/>
      <c r="I265" s="226"/>
      <c r="J265" s="226"/>
      <c r="K265" s="226"/>
      <c r="L265" s="226"/>
      <c r="M265" s="226"/>
      <c r="N265" s="226"/>
      <c r="O265" s="226"/>
      <c r="P265" s="226"/>
      <c r="Q265" s="227"/>
    </row>
    <row r="266" spans="1:17" ht="21" customHeight="1">
      <c r="A266" s="221">
        <v>1</v>
      </c>
      <c r="B266" s="223" t="s">
        <v>9</v>
      </c>
      <c r="C266" s="63" t="s">
        <v>53</v>
      </c>
      <c r="D266" s="29">
        <f t="shared" ref="D266:H272" si="76">SUM(D22+D52+D82+D112+D142+D172+D202+D232)</f>
        <v>17</v>
      </c>
      <c r="E266" s="71">
        <f t="shared" si="76"/>
        <v>17</v>
      </c>
      <c r="F266" s="29">
        <f t="shared" si="76"/>
        <v>0</v>
      </c>
      <c r="G266" s="29">
        <f t="shared" si="76"/>
        <v>19388</v>
      </c>
      <c r="H266" s="29">
        <f t="shared" si="76"/>
        <v>0</v>
      </c>
      <c r="I266" s="30">
        <f>SUM(G266:H266)</f>
        <v>19388</v>
      </c>
      <c r="J266" s="29">
        <f t="shared" ref="J266:P266" si="77">SUM(J22+J52+J82+J112+J142+J172+J202+J232)</f>
        <v>13573</v>
      </c>
      <c r="K266" s="29">
        <f t="shared" si="77"/>
        <v>57</v>
      </c>
      <c r="L266" s="29">
        <f t="shared" si="77"/>
        <v>2564</v>
      </c>
      <c r="M266" s="29">
        <f t="shared" si="77"/>
        <v>356</v>
      </c>
      <c r="N266" s="29">
        <f t="shared" si="77"/>
        <v>0</v>
      </c>
      <c r="O266" s="29">
        <f t="shared" si="77"/>
        <v>0</v>
      </c>
      <c r="P266" s="29">
        <f t="shared" si="77"/>
        <v>54</v>
      </c>
      <c r="Q266" s="30">
        <f>SUM(F266+I266+J266+K266+L266+M266+N266+O266+P266)</f>
        <v>35992</v>
      </c>
    </row>
    <row r="267" spans="1:17" ht="20.25">
      <c r="A267" s="222"/>
      <c r="B267" s="224"/>
      <c r="C267" s="63" t="s">
        <v>54</v>
      </c>
      <c r="D267" s="29">
        <f t="shared" si="76"/>
        <v>27</v>
      </c>
      <c r="E267" s="71">
        <f t="shared" si="76"/>
        <v>27</v>
      </c>
      <c r="F267" s="29">
        <f t="shared" si="76"/>
        <v>0</v>
      </c>
      <c r="G267" s="29">
        <f t="shared" si="76"/>
        <v>20376</v>
      </c>
      <c r="H267" s="29">
        <f t="shared" si="76"/>
        <v>0</v>
      </c>
      <c r="I267" s="30">
        <f t="shared" ref="I267:I272" si="78">SUM(G267:H267)</f>
        <v>20376</v>
      </c>
      <c r="J267" s="29">
        <f t="shared" ref="J267:P267" si="79">SUM(J23+J53+J83+J113+J143+J173+J203+J233)</f>
        <v>14264</v>
      </c>
      <c r="K267" s="29">
        <f t="shared" si="79"/>
        <v>94</v>
      </c>
      <c r="L267" s="29">
        <f t="shared" si="79"/>
        <v>3133</v>
      </c>
      <c r="M267" s="29">
        <f t="shared" si="79"/>
        <v>537</v>
      </c>
      <c r="N267" s="29">
        <f t="shared" si="79"/>
        <v>0</v>
      </c>
      <c r="O267" s="29">
        <f t="shared" si="79"/>
        <v>0</v>
      </c>
      <c r="P267" s="29">
        <f t="shared" si="79"/>
        <v>56</v>
      </c>
      <c r="Q267" s="30">
        <f t="shared" ref="Q267:Q272" si="80">SUM(F267+I267+J267+K267+L267+M267+N267+O267+P267)</f>
        <v>38460</v>
      </c>
    </row>
    <row r="268" spans="1:17" ht="20.25">
      <c r="A268" s="221">
        <v>2</v>
      </c>
      <c r="B268" s="223" t="s">
        <v>10</v>
      </c>
      <c r="C268" s="64" t="s">
        <v>55</v>
      </c>
      <c r="D268" s="29">
        <f t="shared" si="76"/>
        <v>16</v>
      </c>
      <c r="E268" s="71">
        <f t="shared" si="76"/>
        <v>16</v>
      </c>
      <c r="F268" s="29">
        <f t="shared" si="76"/>
        <v>0</v>
      </c>
      <c r="G268" s="29">
        <f t="shared" si="76"/>
        <v>9070</v>
      </c>
      <c r="H268" s="29">
        <f t="shared" si="76"/>
        <v>0</v>
      </c>
      <c r="I268" s="30">
        <f t="shared" si="78"/>
        <v>9070</v>
      </c>
      <c r="J268" s="29">
        <f t="shared" ref="J268:P268" si="81">SUM(J24+J54+J84+J114+J144+J174+J204+J234)</f>
        <v>6349</v>
      </c>
      <c r="K268" s="29">
        <f t="shared" si="81"/>
        <v>55</v>
      </c>
      <c r="L268" s="29">
        <f t="shared" si="81"/>
        <v>1352</v>
      </c>
      <c r="M268" s="29">
        <f t="shared" si="81"/>
        <v>285</v>
      </c>
      <c r="N268" s="29">
        <f t="shared" si="81"/>
        <v>0</v>
      </c>
      <c r="O268" s="29">
        <f t="shared" si="81"/>
        <v>0</v>
      </c>
      <c r="P268" s="29">
        <f t="shared" si="81"/>
        <v>21</v>
      </c>
      <c r="Q268" s="30">
        <f t="shared" si="80"/>
        <v>17132</v>
      </c>
    </row>
    <row r="269" spans="1:17" ht="20.25">
      <c r="A269" s="222"/>
      <c r="B269" s="228"/>
      <c r="C269" s="64" t="s">
        <v>136</v>
      </c>
      <c r="D269" s="29">
        <f t="shared" si="76"/>
        <v>39</v>
      </c>
      <c r="E269" s="71">
        <f t="shared" si="76"/>
        <v>39</v>
      </c>
      <c r="F269" s="29">
        <f t="shared" si="76"/>
        <v>0</v>
      </c>
      <c r="G269" s="29">
        <f t="shared" si="76"/>
        <v>22604</v>
      </c>
      <c r="H269" s="29">
        <f t="shared" si="76"/>
        <v>0</v>
      </c>
      <c r="I269" s="30">
        <f t="shared" si="78"/>
        <v>22604</v>
      </c>
      <c r="J269" s="29">
        <f t="shared" ref="J269:P269" si="82">SUM(J25+J55+J85+J115+J145+J175+J205+J235)</f>
        <v>15823</v>
      </c>
      <c r="K269" s="29">
        <f t="shared" si="82"/>
        <v>104</v>
      </c>
      <c r="L269" s="29">
        <f t="shared" si="82"/>
        <v>3358</v>
      </c>
      <c r="M269" s="29">
        <f t="shared" si="82"/>
        <v>699</v>
      </c>
      <c r="N269" s="29">
        <f t="shared" si="82"/>
        <v>0</v>
      </c>
      <c r="O269" s="29">
        <f t="shared" si="82"/>
        <v>0</v>
      </c>
      <c r="P269" s="29">
        <f t="shared" si="82"/>
        <v>59</v>
      </c>
      <c r="Q269" s="30">
        <f t="shared" si="80"/>
        <v>42647</v>
      </c>
    </row>
    <row r="270" spans="1:17" ht="20.25">
      <c r="A270" s="222"/>
      <c r="B270" s="228"/>
      <c r="C270" s="64" t="s">
        <v>137</v>
      </c>
      <c r="D270" s="29">
        <f t="shared" si="76"/>
        <v>31</v>
      </c>
      <c r="E270" s="71">
        <f t="shared" si="76"/>
        <v>31</v>
      </c>
      <c r="F270" s="29">
        <f t="shared" si="76"/>
        <v>0</v>
      </c>
      <c r="G270" s="29">
        <f t="shared" si="76"/>
        <v>13147</v>
      </c>
      <c r="H270" s="29">
        <f t="shared" si="76"/>
        <v>0</v>
      </c>
      <c r="I270" s="30">
        <f t="shared" si="78"/>
        <v>13147</v>
      </c>
      <c r="J270" s="29">
        <f t="shared" ref="J270:P270" si="83">SUM(J26+J56+J86+J116+J146+J176+J206+J236)</f>
        <v>9203</v>
      </c>
      <c r="K270" s="29">
        <f t="shared" si="83"/>
        <v>68</v>
      </c>
      <c r="L270" s="29">
        <f t="shared" si="83"/>
        <v>1841</v>
      </c>
      <c r="M270" s="29">
        <f t="shared" si="83"/>
        <v>573</v>
      </c>
      <c r="N270" s="29">
        <f t="shared" si="83"/>
        <v>0</v>
      </c>
      <c r="O270" s="29">
        <f t="shared" si="83"/>
        <v>0</v>
      </c>
      <c r="P270" s="29">
        <f t="shared" si="83"/>
        <v>30</v>
      </c>
      <c r="Q270" s="30">
        <f t="shared" si="80"/>
        <v>24862</v>
      </c>
    </row>
    <row r="271" spans="1:17" ht="20.25">
      <c r="A271" s="222"/>
      <c r="B271" s="228"/>
      <c r="C271" s="64" t="s">
        <v>57</v>
      </c>
      <c r="D271" s="29">
        <f t="shared" si="76"/>
        <v>16</v>
      </c>
      <c r="E271" s="71">
        <f t="shared" si="76"/>
        <v>16</v>
      </c>
      <c r="F271" s="29">
        <f t="shared" si="76"/>
        <v>0</v>
      </c>
      <c r="G271" s="29">
        <f t="shared" si="76"/>
        <v>6346</v>
      </c>
      <c r="H271" s="29">
        <f t="shared" si="76"/>
        <v>0</v>
      </c>
      <c r="I271" s="30">
        <f t="shared" si="78"/>
        <v>6346</v>
      </c>
      <c r="J271" s="29">
        <f t="shared" ref="J271:P271" si="84">SUM(J27+J57+J87+J117+J147+J177+J207+J237)</f>
        <v>4442</v>
      </c>
      <c r="K271" s="29">
        <f t="shared" si="84"/>
        <v>32</v>
      </c>
      <c r="L271" s="29">
        <f t="shared" si="84"/>
        <v>916</v>
      </c>
      <c r="M271" s="29">
        <f t="shared" si="84"/>
        <v>285</v>
      </c>
      <c r="N271" s="29">
        <f t="shared" si="84"/>
        <v>0</v>
      </c>
      <c r="O271" s="29">
        <f t="shared" si="84"/>
        <v>3</v>
      </c>
      <c r="P271" s="29">
        <f t="shared" si="84"/>
        <v>27</v>
      </c>
      <c r="Q271" s="30">
        <f t="shared" si="80"/>
        <v>12051</v>
      </c>
    </row>
    <row r="272" spans="1:17" ht="20.25">
      <c r="A272" s="65">
        <v>3</v>
      </c>
      <c r="B272" s="66" t="s">
        <v>11</v>
      </c>
      <c r="C272" s="67" t="s">
        <v>59</v>
      </c>
      <c r="D272" s="29">
        <f t="shared" si="76"/>
        <v>32</v>
      </c>
      <c r="E272" s="71">
        <f t="shared" si="76"/>
        <v>32</v>
      </c>
      <c r="F272" s="29">
        <f t="shared" si="76"/>
        <v>0</v>
      </c>
      <c r="G272" s="29">
        <f t="shared" si="76"/>
        <v>10914</v>
      </c>
      <c r="H272" s="29">
        <f t="shared" si="76"/>
        <v>0</v>
      </c>
      <c r="I272" s="30">
        <f t="shared" si="78"/>
        <v>10914</v>
      </c>
      <c r="J272" s="29">
        <f t="shared" ref="J272:P272" si="85">SUM(J28+J58+J88+J118+J148+J178+J208+J238)</f>
        <v>7640</v>
      </c>
      <c r="K272" s="29">
        <f t="shared" si="85"/>
        <v>39</v>
      </c>
      <c r="L272" s="29">
        <f t="shared" si="85"/>
        <v>1430</v>
      </c>
      <c r="M272" s="29">
        <f t="shared" si="85"/>
        <v>443</v>
      </c>
      <c r="N272" s="29">
        <f t="shared" si="85"/>
        <v>10</v>
      </c>
      <c r="O272" s="29">
        <f t="shared" si="85"/>
        <v>0</v>
      </c>
      <c r="P272" s="29">
        <f t="shared" si="85"/>
        <v>80</v>
      </c>
      <c r="Q272" s="30">
        <f t="shared" si="80"/>
        <v>20556</v>
      </c>
    </row>
    <row r="273" spans="1:17" s="38" customFormat="1" ht="21" thickBot="1">
      <c r="A273" s="68" t="s">
        <v>0</v>
      </c>
      <c r="B273" s="70" t="s">
        <v>60</v>
      </c>
      <c r="C273" s="69" t="s">
        <v>6</v>
      </c>
      <c r="D273" s="37">
        <f t="shared" ref="D273:Q273" si="86">SUM(D266:D272)</f>
        <v>178</v>
      </c>
      <c r="E273" s="37">
        <f t="shared" si="86"/>
        <v>178</v>
      </c>
      <c r="F273" s="37">
        <f t="shared" si="86"/>
        <v>0</v>
      </c>
      <c r="G273" s="37">
        <f t="shared" si="86"/>
        <v>101845</v>
      </c>
      <c r="H273" s="37">
        <f t="shared" si="86"/>
        <v>0</v>
      </c>
      <c r="I273" s="37">
        <f t="shared" si="86"/>
        <v>101845</v>
      </c>
      <c r="J273" s="37">
        <f t="shared" si="86"/>
        <v>71294</v>
      </c>
      <c r="K273" s="37">
        <f t="shared" si="86"/>
        <v>449</v>
      </c>
      <c r="L273" s="37">
        <f t="shared" si="86"/>
        <v>14594</v>
      </c>
      <c r="M273" s="37">
        <f t="shared" si="86"/>
        <v>3178</v>
      </c>
      <c r="N273" s="37">
        <f t="shared" si="86"/>
        <v>10</v>
      </c>
      <c r="O273" s="37">
        <f t="shared" si="86"/>
        <v>3</v>
      </c>
      <c r="P273" s="37">
        <f t="shared" si="86"/>
        <v>327</v>
      </c>
      <c r="Q273" s="37">
        <f t="shared" si="86"/>
        <v>191700</v>
      </c>
    </row>
    <row r="274" spans="1:17" ht="18.75" thickTop="1"/>
    <row r="277" spans="1:17">
      <c r="M277" s="164" t="s">
        <v>120</v>
      </c>
      <c r="N277" s="164"/>
      <c r="O277" s="164"/>
    </row>
  </sheetData>
  <mergeCells count="414">
    <mergeCell ref="A1:Q1"/>
    <mergeCell ref="A2:Q2"/>
    <mergeCell ref="O3:Q3"/>
    <mergeCell ref="A4:A6"/>
    <mergeCell ref="B4:B6"/>
    <mergeCell ref="C4:C5"/>
    <mergeCell ref="F4:F5"/>
    <mergeCell ref="I4:I5"/>
    <mergeCell ref="P4:P5"/>
    <mergeCell ref="K4:K5"/>
    <mergeCell ref="L4:L5"/>
    <mergeCell ref="M4:M5"/>
    <mergeCell ref="Q4:Q5"/>
    <mergeCell ref="J4:J5"/>
    <mergeCell ref="O4:O5"/>
    <mergeCell ref="C6:Q6"/>
    <mergeCell ref="G4:G5"/>
    <mergeCell ref="H4:H5"/>
    <mergeCell ref="N4:N5"/>
    <mergeCell ref="A268:A271"/>
    <mergeCell ref="B268:B271"/>
    <mergeCell ref="A9:A12"/>
    <mergeCell ref="B9:B12"/>
    <mergeCell ref="A7:A8"/>
    <mergeCell ref="B7:B8"/>
    <mergeCell ref="A234:A237"/>
    <mergeCell ref="B234:B237"/>
    <mergeCell ref="A241:Q241"/>
    <mergeCell ref="A242:Q242"/>
    <mergeCell ref="Q263:Q264"/>
    <mergeCell ref="C265:Q265"/>
    <mergeCell ref="A266:A267"/>
    <mergeCell ref="B266:B267"/>
    <mergeCell ref="H263:H264"/>
    <mergeCell ref="I263:I264"/>
    <mergeCell ref="J263:J264"/>
    <mergeCell ref="C263:C264"/>
    <mergeCell ref="F263:F264"/>
    <mergeCell ref="G263:G264"/>
    <mergeCell ref="A249:A252"/>
    <mergeCell ref="B249:B252"/>
    <mergeCell ref="A260:Q260"/>
    <mergeCell ref="A261:Q261"/>
    <mergeCell ref="O262:Q262"/>
    <mergeCell ref="A263:A265"/>
    <mergeCell ref="B263:B265"/>
    <mergeCell ref="N263:N264"/>
    <mergeCell ref="O263:O264"/>
    <mergeCell ref="P263:P264"/>
    <mergeCell ref="N244:N245"/>
    <mergeCell ref="O244:O245"/>
    <mergeCell ref="P244:P245"/>
    <mergeCell ref="K263:K264"/>
    <mergeCell ref="L263:L264"/>
    <mergeCell ref="M263:M264"/>
    <mergeCell ref="A247:A248"/>
    <mergeCell ref="B247:B248"/>
    <mergeCell ref="H244:H245"/>
    <mergeCell ref="I244:I245"/>
    <mergeCell ref="J244:J245"/>
    <mergeCell ref="K244:K245"/>
    <mergeCell ref="O243:Q243"/>
    <mergeCell ref="A244:A246"/>
    <mergeCell ref="B244:B246"/>
    <mergeCell ref="C244:C245"/>
    <mergeCell ref="F244:F245"/>
    <mergeCell ref="G244:G245"/>
    <mergeCell ref="Q244:Q245"/>
    <mergeCell ref="C246:Q246"/>
    <mergeCell ref="L244:L245"/>
    <mergeCell ref="M244:M245"/>
    <mergeCell ref="Q229:Q230"/>
    <mergeCell ref="C231:Q231"/>
    <mergeCell ref="A232:A233"/>
    <mergeCell ref="B232:B233"/>
    <mergeCell ref="H229:H230"/>
    <mergeCell ref="I229:I230"/>
    <mergeCell ref="J229:J230"/>
    <mergeCell ref="C229:C230"/>
    <mergeCell ref="F229:F230"/>
    <mergeCell ref="G229:G230"/>
    <mergeCell ref="A219:A222"/>
    <mergeCell ref="B219:B222"/>
    <mergeCell ref="A226:Q226"/>
    <mergeCell ref="A227:Q227"/>
    <mergeCell ref="O228:Q228"/>
    <mergeCell ref="A229:A231"/>
    <mergeCell ref="B229:B231"/>
    <mergeCell ref="N229:N230"/>
    <mergeCell ref="O229:O230"/>
    <mergeCell ref="P229:P230"/>
    <mergeCell ref="N214:N215"/>
    <mergeCell ref="O214:O215"/>
    <mergeCell ref="P214:P215"/>
    <mergeCell ref="K229:K230"/>
    <mergeCell ref="L229:L230"/>
    <mergeCell ref="M229:M230"/>
    <mergeCell ref="Q214:Q215"/>
    <mergeCell ref="C216:Q216"/>
    <mergeCell ref="A217:A218"/>
    <mergeCell ref="B217:B218"/>
    <mergeCell ref="H214:H215"/>
    <mergeCell ref="I214:I215"/>
    <mergeCell ref="J214:J215"/>
    <mergeCell ref="K214:K215"/>
    <mergeCell ref="L214:L215"/>
    <mergeCell ref="M214:M215"/>
    <mergeCell ref="A204:A207"/>
    <mergeCell ref="B204:B207"/>
    <mergeCell ref="A211:Q211"/>
    <mergeCell ref="A212:Q212"/>
    <mergeCell ref="O213:Q213"/>
    <mergeCell ref="A214:A216"/>
    <mergeCell ref="B214:B216"/>
    <mergeCell ref="C214:C215"/>
    <mergeCell ref="F214:F215"/>
    <mergeCell ref="G214:G215"/>
    <mergeCell ref="Q199:Q200"/>
    <mergeCell ref="C201:Q201"/>
    <mergeCell ref="A202:A203"/>
    <mergeCell ref="B202:B203"/>
    <mergeCell ref="H199:H200"/>
    <mergeCell ref="I199:I200"/>
    <mergeCell ref="J199:J200"/>
    <mergeCell ref="C199:C200"/>
    <mergeCell ref="F199:F200"/>
    <mergeCell ref="G199:G200"/>
    <mergeCell ref="A189:A192"/>
    <mergeCell ref="B189:B192"/>
    <mergeCell ref="A196:Q196"/>
    <mergeCell ref="A197:Q197"/>
    <mergeCell ref="O198:Q198"/>
    <mergeCell ref="A199:A201"/>
    <mergeCell ref="B199:B201"/>
    <mergeCell ref="N199:N200"/>
    <mergeCell ref="O199:O200"/>
    <mergeCell ref="P199:P200"/>
    <mergeCell ref="N184:N185"/>
    <mergeCell ref="O184:O185"/>
    <mergeCell ref="P184:P185"/>
    <mergeCell ref="K199:K200"/>
    <mergeCell ref="L199:L200"/>
    <mergeCell ref="M199:M200"/>
    <mergeCell ref="Q184:Q185"/>
    <mergeCell ref="C186:Q186"/>
    <mergeCell ref="A187:A188"/>
    <mergeCell ref="B187:B188"/>
    <mergeCell ref="H184:H185"/>
    <mergeCell ref="I184:I185"/>
    <mergeCell ref="J184:J185"/>
    <mergeCell ref="K184:K185"/>
    <mergeCell ref="L184:L185"/>
    <mergeCell ref="M184:M185"/>
    <mergeCell ref="A174:A177"/>
    <mergeCell ref="B174:B177"/>
    <mergeCell ref="A181:Q181"/>
    <mergeCell ref="A182:Q182"/>
    <mergeCell ref="O183:Q183"/>
    <mergeCell ref="A184:A186"/>
    <mergeCell ref="B184:B186"/>
    <mergeCell ref="C184:C185"/>
    <mergeCell ref="F184:F185"/>
    <mergeCell ref="G184:G185"/>
    <mergeCell ref="P19:P20"/>
    <mergeCell ref="C171:Q171"/>
    <mergeCell ref="A172:A173"/>
    <mergeCell ref="B172:B173"/>
    <mergeCell ref="A24:A27"/>
    <mergeCell ref="B24:B27"/>
    <mergeCell ref="P169:P170"/>
    <mergeCell ref="Q169:Q170"/>
    <mergeCell ref="Q19:Q20"/>
    <mergeCell ref="C21:Q21"/>
    <mergeCell ref="A22:A23"/>
    <mergeCell ref="B22:B23"/>
    <mergeCell ref="H19:H20"/>
    <mergeCell ref="I19:I20"/>
    <mergeCell ref="J19:J20"/>
    <mergeCell ref="K19:K20"/>
    <mergeCell ref="N19:N20"/>
    <mergeCell ref="O19:O20"/>
    <mergeCell ref="A16:Q16"/>
    <mergeCell ref="A17:Q17"/>
    <mergeCell ref="O18:Q18"/>
    <mergeCell ref="A19:A21"/>
    <mergeCell ref="B19:B21"/>
    <mergeCell ref="C19:C20"/>
    <mergeCell ref="F19:F20"/>
    <mergeCell ref="G19:G20"/>
    <mergeCell ref="L19:L20"/>
    <mergeCell ref="M19:M20"/>
    <mergeCell ref="J169:J170"/>
    <mergeCell ref="K169:K170"/>
    <mergeCell ref="L169:L170"/>
    <mergeCell ref="M169:M170"/>
    <mergeCell ref="K154:K155"/>
    <mergeCell ref="L154:L155"/>
    <mergeCell ref="M154:M155"/>
    <mergeCell ref="A136:Q136"/>
    <mergeCell ref="N169:N170"/>
    <mergeCell ref="O169:O170"/>
    <mergeCell ref="A166:Q166"/>
    <mergeCell ref="A167:Q167"/>
    <mergeCell ref="O168:Q168"/>
    <mergeCell ref="A169:A171"/>
    <mergeCell ref="B169:B171"/>
    <mergeCell ref="C169:C170"/>
    <mergeCell ref="F169:F170"/>
    <mergeCell ref="G169:G170"/>
    <mergeCell ref="H169:H170"/>
    <mergeCell ref="I169:I170"/>
    <mergeCell ref="P154:P155"/>
    <mergeCell ref="Q154:Q155"/>
    <mergeCell ref="C156:Q156"/>
    <mergeCell ref="A157:A158"/>
    <mergeCell ref="B157:B158"/>
    <mergeCell ref="A159:A162"/>
    <mergeCell ref="B159:B162"/>
    <mergeCell ref="J154:J155"/>
    <mergeCell ref="B154:B156"/>
    <mergeCell ref="C154:C155"/>
    <mergeCell ref="F154:F155"/>
    <mergeCell ref="G154:G155"/>
    <mergeCell ref="H154:H155"/>
    <mergeCell ref="I154:I155"/>
    <mergeCell ref="Q139:Q140"/>
    <mergeCell ref="C141:Q141"/>
    <mergeCell ref="L139:L140"/>
    <mergeCell ref="M139:M140"/>
    <mergeCell ref="N139:N140"/>
    <mergeCell ref="O139:O140"/>
    <mergeCell ref="J139:J140"/>
    <mergeCell ref="K139:K140"/>
    <mergeCell ref="N154:N155"/>
    <mergeCell ref="O154:O155"/>
    <mergeCell ref="A142:A143"/>
    <mergeCell ref="B142:B143"/>
    <mergeCell ref="A144:A147"/>
    <mergeCell ref="B144:B147"/>
    <mergeCell ref="A151:Q151"/>
    <mergeCell ref="A152:Q152"/>
    <mergeCell ref="O153:Q153"/>
    <mergeCell ref="A154:A156"/>
    <mergeCell ref="A137:Q137"/>
    <mergeCell ref="O138:Q138"/>
    <mergeCell ref="A139:A141"/>
    <mergeCell ref="B139:B141"/>
    <mergeCell ref="C139:C140"/>
    <mergeCell ref="F139:F140"/>
    <mergeCell ref="G139:G140"/>
    <mergeCell ref="H139:H140"/>
    <mergeCell ref="I139:I140"/>
    <mergeCell ref="P139:P140"/>
    <mergeCell ref="P124:P125"/>
    <mergeCell ref="Q124:Q125"/>
    <mergeCell ref="C126:Q126"/>
    <mergeCell ref="A127:A128"/>
    <mergeCell ref="B127:B128"/>
    <mergeCell ref="A129:A132"/>
    <mergeCell ref="B129:B132"/>
    <mergeCell ref="J124:J125"/>
    <mergeCell ref="K124:K125"/>
    <mergeCell ref="L124:L125"/>
    <mergeCell ref="M124:M125"/>
    <mergeCell ref="N124:N125"/>
    <mergeCell ref="O124:O125"/>
    <mergeCell ref="A121:Q121"/>
    <mergeCell ref="A122:Q122"/>
    <mergeCell ref="O123:Q123"/>
    <mergeCell ref="A124:A126"/>
    <mergeCell ref="B124:B126"/>
    <mergeCell ref="C124:C125"/>
    <mergeCell ref="F124:F125"/>
    <mergeCell ref="G124:G125"/>
    <mergeCell ref="H124:H125"/>
    <mergeCell ref="I124:I125"/>
    <mergeCell ref="P109:P110"/>
    <mergeCell ref="Q109:Q110"/>
    <mergeCell ref="C111:Q111"/>
    <mergeCell ref="L109:L110"/>
    <mergeCell ref="M109:M110"/>
    <mergeCell ref="N109:N110"/>
    <mergeCell ref="O109:O110"/>
    <mergeCell ref="A112:A113"/>
    <mergeCell ref="B112:B113"/>
    <mergeCell ref="A114:A117"/>
    <mergeCell ref="B114:B117"/>
    <mergeCell ref="J109:J110"/>
    <mergeCell ref="K109:K110"/>
    <mergeCell ref="A106:Q106"/>
    <mergeCell ref="A107:Q107"/>
    <mergeCell ref="O108:Q108"/>
    <mergeCell ref="A109:A111"/>
    <mergeCell ref="B109:B111"/>
    <mergeCell ref="C109:C110"/>
    <mergeCell ref="F109:F110"/>
    <mergeCell ref="G109:G110"/>
    <mergeCell ref="H109:H110"/>
    <mergeCell ref="I109:I110"/>
    <mergeCell ref="P94:P95"/>
    <mergeCell ref="Q94:Q95"/>
    <mergeCell ref="C96:Q96"/>
    <mergeCell ref="A97:A98"/>
    <mergeCell ref="B97:B98"/>
    <mergeCell ref="A99:A102"/>
    <mergeCell ref="B99:B102"/>
    <mergeCell ref="J94:J95"/>
    <mergeCell ref="K94:K95"/>
    <mergeCell ref="L94:L95"/>
    <mergeCell ref="M94:M95"/>
    <mergeCell ref="N94:N95"/>
    <mergeCell ref="O94:O95"/>
    <mergeCell ref="A91:Q91"/>
    <mergeCell ref="A92:Q92"/>
    <mergeCell ref="O93:Q93"/>
    <mergeCell ref="A94:A96"/>
    <mergeCell ref="B94:B96"/>
    <mergeCell ref="C94:C95"/>
    <mergeCell ref="F94:F95"/>
    <mergeCell ref="G94:G95"/>
    <mergeCell ref="H94:H95"/>
    <mergeCell ref="I94:I95"/>
    <mergeCell ref="P79:P80"/>
    <mergeCell ref="Q79:Q80"/>
    <mergeCell ref="C81:Q81"/>
    <mergeCell ref="L79:L80"/>
    <mergeCell ref="M79:M80"/>
    <mergeCell ref="N79:N80"/>
    <mergeCell ref="O79:O80"/>
    <mergeCell ref="A82:A83"/>
    <mergeCell ref="B82:B83"/>
    <mergeCell ref="A84:A87"/>
    <mergeCell ref="B84:B87"/>
    <mergeCell ref="J79:J80"/>
    <mergeCell ref="K79:K80"/>
    <mergeCell ref="A77:Q77"/>
    <mergeCell ref="O78:Q78"/>
    <mergeCell ref="A79:A81"/>
    <mergeCell ref="B79:B81"/>
    <mergeCell ref="C79:C80"/>
    <mergeCell ref="F79:F80"/>
    <mergeCell ref="G79:G80"/>
    <mergeCell ref="H79:H80"/>
    <mergeCell ref="I79:I80"/>
    <mergeCell ref="A69:A72"/>
    <mergeCell ref="B69:B72"/>
    <mergeCell ref="J64:J65"/>
    <mergeCell ref="K64:K65"/>
    <mergeCell ref="L64:L65"/>
    <mergeCell ref="A76:Q76"/>
    <mergeCell ref="F64:F65"/>
    <mergeCell ref="P64:P65"/>
    <mergeCell ref="Q64:Q65"/>
    <mergeCell ref="C66:Q66"/>
    <mergeCell ref="A67:A68"/>
    <mergeCell ref="B67:B68"/>
    <mergeCell ref="O49:O50"/>
    <mergeCell ref="M64:M65"/>
    <mergeCell ref="N64:N65"/>
    <mergeCell ref="O64:O65"/>
    <mergeCell ref="A61:Q61"/>
    <mergeCell ref="A62:Q62"/>
    <mergeCell ref="O63:Q63"/>
    <mergeCell ref="A64:A66"/>
    <mergeCell ref="B64:B66"/>
    <mergeCell ref="C64:C65"/>
    <mergeCell ref="K49:K50"/>
    <mergeCell ref="G64:G65"/>
    <mergeCell ref="H64:H65"/>
    <mergeCell ref="I64:I65"/>
    <mergeCell ref="P49:P50"/>
    <mergeCell ref="Q49:Q50"/>
    <mergeCell ref="C51:Q51"/>
    <mergeCell ref="L49:L50"/>
    <mergeCell ref="M49:M50"/>
    <mergeCell ref="N49:N50"/>
    <mergeCell ref="I49:I50"/>
    <mergeCell ref="H49:H50"/>
    <mergeCell ref="A52:A53"/>
    <mergeCell ref="B52:B53"/>
    <mergeCell ref="A54:A57"/>
    <mergeCell ref="B54:B57"/>
    <mergeCell ref="J49:J50"/>
    <mergeCell ref="A49:A51"/>
    <mergeCell ref="B49:B51"/>
    <mergeCell ref="C49:C50"/>
    <mergeCell ref="F49:F50"/>
    <mergeCell ref="G49:G50"/>
    <mergeCell ref="A37:A38"/>
    <mergeCell ref="B37:B38"/>
    <mergeCell ref="A46:Q46"/>
    <mergeCell ref="A47:Q47"/>
    <mergeCell ref="O48:Q48"/>
    <mergeCell ref="Q34:Q35"/>
    <mergeCell ref="C36:Q36"/>
    <mergeCell ref="M34:M35"/>
    <mergeCell ref="A39:A42"/>
    <mergeCell ref="B39:B42"/>
    <mergeCell ref="J34:J35"/>
    <mergeCell ref="K34:K35"/>
    <mergeCell ref="G34:G35"/>
    <mergeCell ref="H34:H35"/>
    <mergeCell ref="I34:I35"/>
    <mergeCell ref="F34:F35"/>
    <mergeCell ref="N34:N35"/>
    <mergeCell ref="O34:O35"/>
    <mergeCell ref="L34:L35"/>
    <mergeCell ref="A31:Q31"/>
    <mergeCell ref="A32:Q32"/>
    <mergeCell ref="O33:Q33"/>
    <mergeCell ref="A34:A36"/>
    <mergeCell ref="B34:B36"/>
    <mergeCell ref="C34:C35"/>
    <mergeCell ref="P34:P35"/>
  </mergeCells>
  <phoneticPr fontId="0" type="noConversion"/>
  <pageMargins left="0.78740157480314965" right="0.15748031496062992" top="0.19685039370078741" bottom="0.35433070866141736" header="0.15748031496062992" footer="0.15748031496062992"/>
  <pageSetup paperSize="5" scale="91" orientation="landscape" r:id="rId1"/>
  <headerFooter>
    <oddFooter>&amp;Z&amp;F&amp;RPage &amp;P</oddFooter>
  </headerFooter>
  <rowBreaks count="9" manualBreakCount="9">
    <brk id="30" max="16" man="1"/>
    <brk id="59" max="16" man="1"/>
    <brk id="89" max="16" man="1"/>
    <brk id="120" max="16" man="1"/>
    <brk id="150" max="16" man="1"/>
    <brk id="180" max="16" man="1"/>
    <brk id="209" max="16" man="1"/>
    <brk id="240" max="16" man="1"/>
    <brk id="259"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7"/>
  <sheetViews>
    <sheetView view="pageBreakPreview" topLeftCell="A211" zoomScaleNormal="75" zoomScaleSheetLayoutView="100" workbookViewId="0">
      <selection activeCell="G220" sqref="G220"/>
    </sheetView>
  </sheetViews>
  <sheetFormatPr defaultRowHeight="20.25"/>
  <cols>
    <col min="1" max="1" width="9.7109375" style="2" customWidth="1"/>
    <col min="2" max="2" width="14.5703125" style="2" customWidth="1"/>
    <col min="3" max="3" width="11.85546875" style="2" customWidth="1"/>
    <col min="4" max="4" width="12.28515625" style="2" customWidth="1"/>
    <col min="5" max="5" width="12.42578125" style="2" customWidth="1"/>
    <col min="6" max="6" width="13.7109375" style="2" customWidth="1"/>
    <col min="7" max="7" width="12.5703125" style="2" customWidth="1"/>
    <col min="8" max="8" width="13" style="2" customWidth="1"/>
    <col min="9" max="9" width="12.7109375" style="2" customWidth="1"/>
    <col min="10" max="10" width="12.28515625" style="2" customWidth="1"/>
    <col min="11" max="11" width="11.5703125" style="2" customWidth="1"/>
    <col min="12" max="12" width="2.7109375" style="2" customWidth="1"/>
    <col min="13" max="13" width="13.140625" style="2" customWidth="1"/>
    <col min="14" max="14" width="13.28515625" style="2" customWidth="1"/>
    <col min="15" max="15" width="12.28515625" style="2" customWidth="1"/>
    <col min="16" max="16" width="11.7109375" style="2" customWidth="1"/>
    <col min="17" max="16384" width="9.140625" style="2"/>
  </cols>
  <sheetData>
    <row r="1" spans="1:17">
      <c r="A1" s="265" t="s">
        <v>143</v>
      </c>
      <c r="B1" s="266"/>
      <c r="C1" s="266"/>
      <c r="D1" s="266"/>
      <c r="E1" s="266"/>
      <c r="F1" s="266"/>
      <c r="G1" s="266"/>
      <c r="H1" s="266"/>
      <c r="I1" s="266"/>
      <c r="J1" s="266"/>
      <c r="K1" s="266"/>
      <c r="L1" s="266"/>
      <c r="M1" s="266"/>
      <c r="N1" s="266"/>
      <c r="O1" s="266"/>
      <c r="P1" s="266"/>
    </row>
    <row r="2" spans="1:17" ht="24" customHeight="1">
      <c r="A2" s="232" t="s">
        <v>32</v>
      </c>
      <c r="B2" s="233"/>
      <c r="C2" s="233"/>
      <c r="D2" s="233"/>
      <c r="E2" s="233"/>
      <c r="F2" s="233"/>
      <c r="G2" s="233"/>
      <c r="H2" s="233"/>
      <c r="I2" s="233"/>
      <c r="J2" s="233"/>
      <c r="K2" s="233"/>
      <c r="L2" s="233"/>
      <c r="M2" s="233"/>
      <c r="N2" s="233"/>
      <c r="O2" s="233"/>
      <c r="P2" s="233"/>
      <c r="Q2" s="39"/>
    </row>
    <row r="3" spans="1:17" ht="21" customHeight="1">
      <c r="A3" s="234" t="s">
        <v>1</v>
      </c>
      <c r="B3" s="235"/>
      <c r="C3" s="235"/>
      <c r="D3" s="235"/>
      <c r="E3" s="235"/>
      <c r="F3" s="235"/>
      <c r="G3" s="235"/>
      <c r="H3" s="235"/>
      <c r="I3" s="235"/>
      <c r="J3" s="235"/>
      <c r="K3" s="235"/>
      <c r="L3" s="116"/>
      <c r="M3" s="116"/>
      <c r="N3" s="116"/>
      <c r="O3" s="116"/>
      <c r="P3" s="116"/>
    </row>
    <row r="4" spans="1:17">
      <c r="A4" s="254" t="s">
        <v>2</v>
      </c>
      <c r="B4" s="259" t="s">
        <v>3</v>
      </c>
      <c r="C4" s="260"/>
      <c r="D4" s="260"/>
      <c r="E4" s="260"/>
      <c r="F4" s="260"/>
      <c r="G4" s="260"/>
      <c r="H4" s="260"/>
      <c r="I4" s="260"/>
      <c r="J4" s="260"/>
      <c r="K4" s="261"/>
      <c r="L4" s="116"/>
      <c r="M4" s="116"/>
      <c r="N4" s="116"/>
      <c r="O4" s="116"/>
      <c r="P4" s="116"/>
    </row>
    <row r="5" spans="1:17">
      <c r="A5" s="255"/>
      <c r="B5" s="117"/>
      <c r="C5" s="254" t="s">
        <v>4</v>
      </c>
      <c r="D5" s="255"/>
      <c r="E5" s="255"/>
      <c r="F5" s="255"/>
      <c r="G5" s="254" t="s">
        <v>5</v>
      </c>
      <c r="H5" s="255"/>
      <c r="I5" s="255"/>
      <c r="J5" s="255"/>
      <c r="K5" s="118" t="s">
        <v>6</v>
      </c>
      <c r="L5" s="116"/>
      <c r="M5" s="116"/>
      <c r="N5" s="116"/>
      <c r="O5" s="116"/>
      <c r="P5" s="116"/>
    </row>
    <row r="6" spans="1:17">
      <c r="A6" s="256" t="s">
        <v>7</v>
      </c>
      <c r="B6" s="119" t="s">
        <v>8</v>
      </c>
      <c r="C6" s="120" t="s">
        <v>9</v>
      </c>
      <c r="D6" s="120" t="s">
        <v>10</v>
      </c>
      <c r="E6" s="120" t="s">
        <v>11</v>
      </c>
      <c r="F6" s="120" t="s">
        <v>6</v>
      </c>
      <c r="G6" s="120" t="s">
        <v>9</v>
      </c>
      <c r="H6" s="120" t="s">
        <v>10</v>
      </c>
      <c r="I6" s="120" t="s">
        <v>11</v>
      </c>
      <c r="J6" s="120" t="s">
        <v>6</v>
      </c>
      <c r="K6" s="120" t="s">
        <v>6</v>
      </c>
      <c r="L6" s="116"/>
      <c r="M6" s="116"/>
      <c r="N6" s="116"/>
      <c r="O6" s="116"/>
      <c r="P6" s="116"/>
    </row>
    <row r="7" spans="1:17">
      <c r="A7" s="257"/>
      <c r="B7" s="121" t="s">
        <v>12</v>
      </c>
      <c r="C7" s="122">
        <v>0</v>
      </c>
      <c r="D7" s="122">
        <v>0</v>
      </c>
      <c r="E7" s="122">
        <v>0</v>
      </c>
      <c r="F7" s="123">
        <f t="shared" ref="F7:F16" si="0">SUM(C7:E7)</f>
        <v>0</v>
      </c>
      <c r="G7" s="122">
        <v>0</v>
      </c>
      <c r="H7" s="122">
        <v>0</v>
      </c>
      <c r="I7" s="122">
        <v>0</v>
      </c>
      <c r="J7" s="123">
        <f>SUM(G7:I7)</f>
        <v>0</v>
      </c>
      <c r="K7" s="123">
        <f>SUM(J7,F7)</f>
        <v>0</v>
      </c>
      <c r="L7" s="116"/>
      <c r="M7" s="116"/>
      <c r="N7" s="116"/>
      <c r="O7" s="116"/>
      <c r="P7" s="116"/>
    </row>
    <row r="8" spans="1:17">
      <c r="A8" s="257"/>
      <c r="B8" s="119" t="s">
        <v>13</v>
      </c>
      <c r="C8" s="122">
        <v>0</v>
      </c>
      <c r="D8" s="122">
        <v>0</v>
      </c>
      <c r="E8" s="122">
        <v>0</v>
      </c>
      <c r="F8" s="123">
        <f t="shared" si="0"/>
        <v>0</v>
      </c>
      <c r="G8" s="122">
        <v>0</v>
      </c>
      <c r="H8" s="122">
        <v>0</v>
      </c>
      <c r="I8" s="122">
        <v>0</v>
      </c>
      <c r="J8" s="123">
        <f t="shared" ref="J8:J16" si="1">SUM(G8:I8)</f>
        <v>0</v>
      </c>
      <c r="K8" s="123">
        <f t="shared" ref="K8:K16" si="2">SUM(J8,F8)</f>
        <v>0</v>
      </c>
      <c r="L8" s="116"/>
      <c r="M8" s="116"/>
      <c r="N8" s="116"/>
      <c r="O8" s="116"/>
      <c r="P8" s="116"/>
    </row>
    <row r="9" spans="1:17">
      <c r="A9" s="257"/>
      <c r="B9" s="119" t="s">
        <v>14</v>
      </c>
      <c r="C9" s="122">
        <v>0</v>
      </c>
      <c r="D9" s="122">
        <v>0</v>
      </c>
      <c r="E9" s="122">
        <v>0</v>
      </c>
      <c r="F9" s="123">
        <f t="shared" si="0"/>
        <v>0</v>
      </c>
      <c r="G9" s="122">
        <v>0</v>
      </c>
      <c r="H9" s="122">
        <v>0</v>
      </c>
      <c r="I9" s="122">
        <v>0</v>
      </c>
      <c r="J9" s="123">
        <f t="shared" si="1"/>
        <v>0</v>
      </c>
      <c r="K9" s="123">
        <f t="shared" si="2"/>
        <v>0</v>
      </c>
      <c r="L9" s="116"/>
      <c r="M9" s="116"/>
      <c r="N9" s="116"/>
      <c r="O9" s="116"/>
      <c r="P9" s="116"/>
    </row>
    <row r="10" spans="1:17" ht="21" thickBot="1">
      <c r="A10" s="257"/>
      <c r="B10" s="124" t="s">
        <v>6</v>
      </c>
      <c r="C10" s="125">
        <f>SUM(C8:C9)</f>
        <v>0</v>
      </c>
      <c r="D10" s="125">
        <f>SUM(D8:D9)</f>
        <v>0</v>
      </c>
      <c r="E10" s="125">
        <f>SUM(E8:E9)</f>
        <v>0</v>
      </c>
      <c r="F10" s="125">
        <f t="shared" si="0"/>
        <v>0</v>
      </c>
      <c r="G10" s="125">
        <f>SUM(G8:G9)</f>
        <v>0</v>
      </c>
      <c r="H10" s="125">
        <f>SUM(H8:H9)</f>
        <v>0</v>
      </c>
      <c r="I10" s="125">
        <f>SUM(I8:I9)</f>
        <v>0</v>
      </c>
      <c r="J10" s="125">
        <f>SUM(J8:J9)</f>
        <v>0</v>
      </c>
      <c r="K10" s="125">
        <f>SUM(K8:K9)</f>
        <v>0</v>
      </c>
      <c r="L10" s="116"/>
      <c r="M10" s="116"/>
      <c r="N10" s="116"/>
      <c r="O10" s="116"/>
      <c r="P10" s="116"/>
    </row>
    <row r="11" spans="1:17" ht="21" thickTop="1">
      <c r="A11" s="257"/>
      <c r="B11" s="126" t="s">
        <v>15</v>
      </c>
      <c r="C11" s="122">
        <v>0</v>
      </c>
      <c r="D11" s="122">
        <v>0</v>
      </c>
      <c r="E11" s="122">
        <v>0</v>
      </c>
      <c r="F11" s="123">
        <f t="shared" si="0"/>
        <v>0</v>
      </c>
      <c r="G11" s="127">
        <v>0</v>
      </c>
      <c r="H11" s="122">
        <v>0</v>
      </c>
      <c r="I11" s="127">
        <v>0</v>
      </c>
      <c r="J11" s="123">
        <f t="shared" si="1"/>
        <v>0</v>
      </c>
      <c r="K11" s="123">
        <f t="shared" si="2"/>
        <v>0</v>
      </c>
      <c r="L11" s="116"/>
      <c r="M11" s="116"/>
      <c r="N11" s="116"/>
      <c r="O11" s="116"/>
      <c r="P11" s="116"/>
    </row>
    <row r="12" spans="1:17">
      <c r="A12" s="257"/>
      <c r="B12" s="119" t="s">
        <v>16</v>
      </c>
      <c r="C12" s="122">
        <v>0</v>
      </c>
      <c r="D12" s="122">
        <v>0</v>
      </c>
      <c r="E12" s="122">
        <v>0</v>
      </c>
      <c r="F12" s="123">
        <f t="shared" si="0"/>
        <v>0</v>
      </c>
      <c r="G12" s="122">
        <v>0</v>
      </c>
      <c r="H12" s="122">
        <v>0</v>
      </c>
      <c r="I12" s="122">
        <v>0</v>
      </c>
      <c r="J12" s="123">
        <f t="shared" si="1"/>
        <v>0</v>
      </c>
      <c r="K12" s="123">
        <f t="shared" si="2"/>
        <v>0</v>
      </c>
      <c r="L12" s="116"/>
      <c r="M12" s="116"/>
      <c r="N12" s="116"/>
      <c r="O12" s="116"/>
      <c r="P12" s="116"/>
    </row>
    <row r="13" spans="1:17">
      <c r="A13" s="257"/>
      <c r="B13" s="119" t="s">
        <v>17</v>
      </c>
      <c r="C13" s="122">
        <v>0</v>
      </c>
      <c r="D13" s="122">
        <v>0</v>
      </c>
      <c r="E13" s="122">
        <v>0</v>
      </c>
      <c r="F13" s="123">
        <f t="shared" si="0"/>
        <v>0</v>
      </c>
      <c r="G13" s="122">
        <v>0</v>
      </c>
      <c r="H13" s="122">
        <v>0</v>
      </c>
      <c r="I13" s="122">
        <v>0</v>
      </c>
      <c r="J13" s="123">
        <f t="shared" si="1"/>
        <v>0</v>
      </c>
      <c r="K13" s="123">
        <f t="shared" si="2"/>
        <v>0</v>
      </c>
      <c r="L13" s="116"/>
      <c r="M13" s="116"/>
      <c r="N13" s="116"/>
      <c r="O13" s="116"/>
      <c r="P13" s="116"/>
    </row>
    <row r="14" spans="1:17">
      <c r="A14" s="257"/>
      <c r="B14" s="119" t="s">
        <v>18</v>
      </c>
      <c r="C14" s="122">
        <v>0</v>
      </c>
      <c r="D14" s="122">
        <v>0</v>
      </c>
      <c r="E14" s="122">
        <v>0</v>
      </c>
      <c r="F14" s="123">
        <f t="shared" si="0"/>
        <v>0</v>
      </c>
      <c r="G14" s="122">
        <v>0</v>
      </c>
      <c r="H14" s="122">
        <v>0</v>
      </c>
      <c r="I14" s="122">
        <v>0</v>
      </c>
      <c r="J14" s="123">
        <f t="shared" si="1"/>
        <v>0</v>
      </c>
      <c r="K14" s="123">
        <f t="shared" si="2"/>
        <v>0</v>
      </c>
      <c r="L14" s="116"/>
      <c r="M14" s="116"/>
      <c r="N14" s="116"/>
      <c r="O14" s="116"/>
      <c r="P14" s="116"/>
    </row>
    <row r="15" spans="1:17">
      <c r="A15" s="257"/>
      <c r="B15" s="119" t="s">
        <v>19</v>
      </c>
      <c r="C15" s="122">
        <v>0</v>
      </c>
      <c r="D15" s="122">
        <v>0</v>
      </c>
      <c r="E15" s="122">
        <v>0</v>
      </c>
      <c r="F15" s="123">
        <f t="shared" si="0"/>
        <v>0</v>
      </c>
      <c r="G15" s="122">
        <v>0</v>
      </c>
      <c r="H15" s="122">
        <v>0</v>
      </c>
      <c r="I15" s="122">
        <v>0</v>
      </c>
      <c r="J15" s="123">
        <f t="shared" si="1"/>
        <v>0</v>
      </c>
      <c r="K15" s="123">
        <f t="shared" si="2"/>
        <v>0</v>
      </c>
      <c r="L15" s="116"/>
      <c r="M15" s="116"/>
      <c r="N15" s="116"/>
      <c r="O15" s="116"/>
      <c r="P15" s="116"/>
    </row>
    <row r="16" spans="1:17">
      <c r="A16" s="257"/>
      <c r="B16" s="119" t="s">
        <v>20</v>
      </c>
      <c r="C16" s="122">
        <v>0</v>
      </c>
      <c r="D16" s="122">
        <v>0</v>
      </c>
      <c r="E16" s="122">
        <v>0</v>
      </c>
      <c r="F16" s="123">
        <f t="shared" si="0"/>
        <v>0</v>
      </c>
      <c r="G16" s="122">
        <v>0</v>
      </c>
      <c r="H16" s="122">
        <v>0</v>
      </c>
      <c r="I16" s="122">
        <v>0</v>
      </c>
      <c r="J16" s="123">
        <f t="shared" si="1"/>
        <v>0</v>
      </c>
      <c r="K16" s="123">
        <f t="shared" si="2"/>
        <v>0</v>
      </c>
      <c r="L16" s="116"/>
      <c r="M16" s="116"/>
      <c r="N16" s="116"/>
      <c r="O16" s="116"/>
      <c r="P16" s="116"/>
    </row>
    <row r="17" spans="1:16" ht="21" thickBot="1">
      <c r="A17" s="258"/>
      <c r="B17" s="128" t="s">
        <v>6</v>
      </c>
      <c r="C17" s="125">
        <f>SUM(C10:C16)</f>
        <v>0</v>
      </c>
      <c r="D17" s="125">
        <f t="shared" ref="D17:K17" si="3">SUM(D10:D16)</f>
        <v>0</v>
      </c>
      <c r="E17" s="125">
        <f t="shared" si="3"/>
        <v>0</v>
      </c>
      <c r="F17" s="125">
        <f t="shared" si="3"/>
        <v>0</v>
      </c>
      <c r="G17" s="125">
        <f t="shared" si="3"/>
        <v>0</v>
      </c>
      <c r="H17" s="125">
        <f t="shared" si="3"/>
        <v>0</v>
      </c>
      <c r="I17" s="125">
        <f t="shared" si="3"/>
        <v>0</v>
      </c>
      <c r="J17" s="125">
        <f t="shared" si="3"/>
        <v>0</v>
      </c>
      <c r="K17" s="125">
        <f t="shared" si="3"/>
        <v>0</v>
      </c>
      <c r="L17" s="116"/>
      <c r="M17" s="116"/>
      <c r="N17" s="116"/>
      <c r="O17" s="116"/>
      <c r="P17" s="116"/>
    </row>
    <row r="18" spans="1:16" ht="17.25" customHeight="1" thickTop="1">
      <c r="A18" s="116"/>
      <c r="B18" s="116"/>
      <c r="C18" s="116"/>
      <c r="D18" s="116"/>
      <c r="E18" s="116"/>
      <c r="F18" s="116"/>
      <c r="G18" s="116"/>
      <c r="H18" s="116"/>
      <c r="I18" s="116"/>
      <c r="J18" s="116"/>
      <c r="K18" s="116"/>
      <c r="L18" s="116"/>
      <c r="M18" s="116"/>
      <c r="N18" s="116"/>
      <c r="O18" s="116"/>
      <c r="P18" s="116"/>
    </row>
    <row r="19" spans="1:16">
      <c r="A19" s="254" t="s">
        <v>2</v>
      </c>
      <c r="B19" s="259" t="s">
        <v>21</v>
      </c>
      <c r="C19" s="260"/>
      <c r="D19" s="260"/>
      <c r="E19" s="260"/>
      <c r="F19" s="260"/>
      <c r="G19" s="260"/>
      <c r="H19" s="260"/>
      <c r="I19" s="260"/>
      <c r="J19" s="260"/>
      <c r="K19" s="261"/>
      <c r="L19" s="116"/>
      <c r="M19" s="251" t="s">
        <v>22</v>
      </c>
      <c r="N19" s="252"/>
      <c r="O19" s="252"/>
      <c r="P19" s="253"/>
    </row>
    <row r="20" spans="1:16" ht="21" thickBot="1">
      <c r="A20" s="255"/>
      <c r="B20" s="117"/>
      <c r="C20" s="254" t="s">
        <v>4</v>
      </c>
      <c r="D20" s="255"/>
      <c r="E20" s="255"/>
      <c r="F20" s="255"/>
      <c r="G20" s="254" t="s">
        <v>5</v>
      </c>
      <c r="H20" s="255"/>
      <c r="I20" s="255"/>
      <c r="J20" s="255"/>
      <c r="K20" s="118" t="s">
        <v>6</v>
      </c>
      <c r="L20" s="116"/>
      <c r="M20" s="119" t="s">
        <v>8</v>
      </c>
      <c r="N20" s="119" t="s">
        <v>3</v>
      </c>
      <c r="O20" s="119" t="s">
        <v>21</v>
      </c>
      <c r="P20" s="128" t="s">
        <v>6</v>
      </c>
    </row>
    <row r="21" spans="1:16" ht="21" customHeight="1" thickTop="1">
      <c r="A21" s="256" t="s">
        <v>7</v>
      </c>
      <c r="B21" s="119" t="s">
        <v>8</v>
      </c>
      <c r="C21" s="120" t="s">
        <v>9</v>
      </c>
      <c r="D21" s="120" t="s">
        <v>10</v>
      </c>
      <c r="E21" s="120" t="s">
        <v>11</v>
      </c>
      <c r="F21" s="120" t="s">
        <v>6</v>
      </c>
      <c r="G21" s="120" t="s">
        <v>9</v>
      </c>
      <c r="H21" s="120" t="s">
        <v>10</v>
      </c>
      <c r="I21" s="120" t="s">
        <v>11</v>
      </c>
      <c r="J21" s="120" t="s">
        <v>6</v>
      </c>
      <c r="K21" s="120" t="s">
        <v>6</v>
      </c>
      <c r="L21" s="116"/>
      <c r="M21" s="121" t="s">
        <v>12</v>
      </c>
      <c r="N21" s="129">
        <f>K7</f>
        <v>0</v>
      </c>
      <c r="O21" s="129">
        <f>K22</f>
        <v>0</v>
      </c>
      <c r="P21" s="130">
        <f>SUM(N21:O21)</f>
        <v>0</v>
      </c>
    </row>
    <row r="22" spans="1:16">
      <c r="A22" s="257"/>
      <c r="B22" s="121" t="s">
        <v>12</v>
      </c>
      <c r="C22" s="122">
        <v>0</v>
      </c>
      <c r="D22" s="122">
        <v>0</v>
      </c>
      <c r="E22" s="122">
        <v>0</v>
      </c>
      <c r="F22" s="123">
        <f t="shared" ref="F22:F31" si="4">SUM(C22:E22)</f>
        <v>0</v>
      </c>
      <c r="G22" s="122">
        <v>0</v>
      </c>
      <c r="H22" s="122">
        <v>0</v>
      </c>
      <c r="I22" s="122">
        <v>0</v>
      </c>
      <c r="J22" s="123">
        <f>SUM(G22:I22)</f>
        <v>0</v>
      </c>
      <c r="K22" s="123">
        <f>SUM(J22,F22)</f>
        <v>0</v>
      </c>
      <c r="L22" s="116"/>
      <c r="M22" s="119" t="s">
        <v>13</v>
      </c>
      <c r="N22" s="129">
        <f>K8</f>
        <v>0</v>
      </c>
      <c r="O22" s="129">
        <f t="shared" ref="O22:O30" si="5">K23</f>
        <v>0</v>
      </c>
      <c r="P22" s="130">
        <f t="shared" ref="P22:P30" si="6">SUM(N22:O22)</f>
        <v>0</v>
      </c>
    </row>
    <row r="23" spans="1:16">
      <c r="A23" s="257"/>
      <c r="B23" s="119" t="s">
        <v>13</v>
      </c>
      <c r="C23" s="122">
        <v>0</v>
      </c>
      <c r="D23" s="122">
        <v>0</v>
      </c>
      <c r="E23" s="122">
        <v>0</v>
      </c>
      <c r="F23" s="123">
        <f t="shared" si="4"/>
        <v>0</v>
      </c>
      <c r="G23" s="122">
        <v>0</v>
      </c>
      <c r="H23" s="122">
        <v>0</v>
      </c>
      <c r="I23" s="122">
        <v>0</v>
      </c>
      <c r="J23" s="123">
        <f>SUM(G23:I23)</f>
        <v>0</v>
      </c>
      <c r="K23" s="123">
        <f>SUM(J23,F23)</f>
        <v>0</v>
      </c>
      <c r="L23" s="116"/>
      <c r="M23" s="119" t="s">
        <v>14</v>
      </c>
      <c r="N23" s="129">
        <f>K9</f>
        <v>0</v>
      </c>
      <c r="O23" s="129">
        <f t="shared" si="5"/>
        <v>0</v>
      </c>
      <c r="P23" s="130">
        <f t="shared" si="6"/>
        <v>0</v>
      </c>
    </row>
    <row r="24" spans="1:16" ht="21" thickBot="1">
      <c r="A24" s="257"/>
      <c r="B24" s="119" t="s">
        <v>14</v>
      </c>
      <c r="C24" s="122">
        <v>0</v>
      </c>
      <c r="D24" s="122">
        <v>0</v>
      </c>
      <c r="E24" s="122">
        <v>0</v>
      </c>
      <c r="F24" s="123">
        <f t="shared" si="4"/>
        <v>0</v>
      </c>
      <c r="G24" s="122">
        <v>0</v>
      </c>
      <c r="H24" s="122">
        <v>0</v>
      </c>
      <c r="I24" s="122">
        <v>0</v>
      </c>
      <c r="J24" s="123">
        <f>SUM(G24:I24)</f>
        <v>0</v>
      </c>
      <c r="K24" s="123">
        <f>SUM(J24,F24)</f>
        <v>0</v>
      </c>
      <c r="L24" s="116"/>
      <c r="M24" s="124" t="s">
        <v>6</v>
      </c>
      <c r="N24" s="131">
        <f>K10</f>
        <v>0</v>
      </c>
      <c r="O24" s="131">
        <f t="shared" si="5"/>
        <v>0</v>
      </c>
      <c r="P24" s="131">
        <f t="shared" si="6"/>
        <v>0</v>
      </c>
    </row>
    <row r="25" spans="1:16" ht="21.75" thickTop="1" thickBot="1">
      <c r="A25" s="257"/>
      <c r="B25" s="124" t="s">
        <v>6</v>
      </c>
      <c r="C25" s="125">
        <f>SUM(C23:C24)</f>
        <v>0</v>
      </c>
      <c r="D25" s="125">
        <f>SUM(D23:D24)</f>
        <v>0</v>
      </c>
      <c r="E25" s="125">
        <f>SUM(E23:E24)</f>
        <v>0</v>
      </c>
      <c r="F25" s="125">
        <f t="shared" si="4"/>
        <v>0</v>
      </c>
      <c r="G25" s="125">
        <f>SUM(G23:G24)</f>
        <v>0</v>
      </c>
      <c r="H25" s="125">
        <f>SUM(H23:H24)</f>
        <v>0</v>
      </c>
      <c r="I25" s="125">
        <f>SUM(I23:I24)</f>
        <v>0</v>
      </c>
      <c r="J25" s="125">
        <f>SUM(J23:J24)</f>
        <v>0</v>
      </c>
      <c r="K25" s="125">
        <f>SUM(K23:K24)</f>
        <v>0</v>
      </c>
      <c r="L25" s="116"/>
      <c r="M25" s="126" t="s">
        <v>16</v>
      </c>
      <c r="N25" s="132">
        <f>K12</f>
        <v>0</v>
      </c>
      <c r="O25" s="132">
        <f>K27</f>
        <v>0</v>
      </c>
      <c r="P25" s="133">
        <f t="shared" si="6"/>
        <v>0</v>
      </c>
    </row>
    <row r="26" spans="1:16" ht="21" thickTop="1">
      <c r="A26" s="257"/>
      <c r="B26" s="126" t="s">
        <v>15</v>
      </c>
      <c r="C26" s="122">
        <v>0</v>
      </c>
      <c r="D26" s="122">
        <v>0</v>
      </c>
      <c r="E26" s="122">
        <v>0</v>
      </c>
      <c r="F26" s="123">
        <f t="shared" si="4"/>
        <v>0</v>
      </c>
      <c r="G26" s="127">
        <v>0</v>
      </c>
      <c r="H26" s="122">
        <v>0</v>
      </c>
      <c r="I26" s="127">
        <v>0</v>
      </c>
      <c r="J26" s="123">
        <f t="shared" ref="J26:J31" si="7">SUM(G26:I26)</f>
        <v>0</v>
      </c>
      <c r="K26" s="123">
        <f t="shared" ref="K26:K31" si="8">SUM(J26,F26)</f>
        <v>0</v>
      </c>
      <c r="L26" s="116"/>
      <c r="M26" s="126" t="s">
        <v>15</v>
      </c>
      <c r="N26" s="129">
        <f>$K$11</f>
        <v>0</v>
      </c>
      <c r="O26" s="129">
        <f>SUM(K26)</f>
        <v>0</v>
      </c>
      <c r="P26" s="133">
        <f t="shared" si="6"/>
        <v>0</v>
      </c>
    </row>
    <row r="27" spans="1:16">
      <c r="A27" s="257"/>
      <c r="B27" s="119" t="s">
        <v>16</v>
      </c>
      <c r="C27" s="122">
        <v>0</v>
      </c>
      <c r="D27" s="122">
        <v>0</v>
      </c>
      <c r="E27" s="122">
        <v>0</v>
      </c>
      <c r="F27" s="123">
        <f t="shared" si="4"/>
        <v>0</v>
      </c>
      <c r="G27" s="122">
        <v>0</v>
      </c>
      <c r="H27" s="122">
        <v>0</v>
      </c>
      <c r="I27" s="122">
        <v>0</v>
      </c>
      <c r="J27" s="123">
        <f t="shared" si="7"/>
        <v>0</v>
      </c>
      <c r="K27" s="123">
        <f t="shared" si="8"/>
        <v>0</v>
      </c>
      <c r="L27" s="116"/>
      <c r="M27" s="119" t="s">
        <v>17</v>
      </c>
      <c r="N27" s="129">
        <f>K13</f>
        <v>0</v>
      </c>
      <c r="O27" s="129">
        <f t="shared" si="5"/>
        <v>0</v>
      </c>
      <c r="P27" s="130">
        <f t="shared" si="6"/>
        <v>0</v>
      </c>
    </row>
    <row r="28" spans="1:16">
      <c r="A28" s="257"/>
      <c r="B28" s="119" t="s">
        <v>17</v>
      </c>
      <c r="C28" s="122">
        <v>0</v>
      </c>
      <c r="D28" s="122">
        <v>0</v>
      </c>
      <c r="E28" s="122">
        <v>0</v>
      </c>
      <c r="F28" s="123">
        <f t="shared" si="4"/>
        <v>0</v>
      </c>
      <c r="G28" s="122">
        <v>0</v>
      </c>
      <c r="H28" s="122">
        <v>0</v>
      </c>
      <c r="I28" s="122">
        <v>0</v>
      </c>
      <c r="J28" s="123">
        <f t="shared" si="7"/>
        <v>0</v>
      </c>
      <c r="K28" s="123">
        <f t="shared" si="8"/>
        <v>0</v>
      </c>
      <c r="L28" s="116"/>
      <c r="M28" s="119" t="s">
        <v>18</v>
      </c>
      <c r="N28" s="129">
        <f>K14</f>
        <v>0</v>
      </c>
      <c r="O28" s="129">
        <f t="shared" si="5"/>
        <v>0</v>
      </c>
      <c r="P28" s="130">
        <f t="shared" si="6"/>
        <v>0</v>
      </c>
    </row>
    <row r="29" spans="1:16">
      <c r="A29" s="257"/>
      <c r="B29" s="119" t="s">
        <v>18</v>
      </c>
      <c r="C29" s="122">
        <v>0</v>
      </c>
      <c r="D29" s="122">
        <v>0</v>
      </c>
      <c r="E29" s="122">
        <v>0</v>
      </c>
      <c r="F29" s="123">
        <f t="shared" si="4"/>
        <v>0</v>
      </c>
      <c r="G29" s="122">
        <v>0</v>
      </c>
      <c r="H29" s="122">
        <v>0</v>
      </c>
      <c r="I29" s="122">
        <v>0</v>
      </c>
      <c r="J29" s="123">
        <f t="shared" si="7"/>
        <v>0</v>
      </c>
      <c r="K29" s="123">
        <f t="shared" si="8"/>
        <v>0</v>
      </c>
      <c r="L29" s="116"/>
      <c r="M29" s="119" t="s">
        <v>19</v>
      </c>
      <c r="N29" s="129">
        <f>K15</f>
        <v>0</v>
      </c>
      <c r="O29" s="129">
        <f t="shared" si="5"/>
        <v>0</v>
      </c>
      <c r="P29" s="130">
        <f t="shared" si="6"/>
        <v>0</v>
      </c>
    </row>
    <row r="30" spans="1:16">
      <c r="A30" s="257"/>
      <c r="B30" s="119" t="s">
        <v>19</v>
      </c>
      <c r="C30" s="122">
        <v>0</v>
      </c>
      <c r="D30" s="122">
        <v>0</v>
      </c>
      <c r="E30" s="122">
        <v>0</v>
      </c>
      <c r="F30" s="123">
        <f t="shared" si="4"/>
        <v>0</v>
      </c>
      <c r="G30" s="122">
        <v>0</v>
      </c>
      <c r="H30" s="122">
        <v>0</v>
      </c>
      <c r="I30" s="122">
        <v>0</v>
      </c>
      <c r="J30" s="123">
        <f t="shared" si="7"/>
        <v>0</v>
      </c>
      <c r="K30" s="123">
        <f t="shared" si="8"/>
        <v>0</v>
      </c>
      <c r="L30" s="116"/>
      <c r="M30" s="119" t="s">
        <v>20</v>
      </c>
      <c r="N30" s="129">
        <f>K16</f>
        <v>0</v>
      </c>
      <c r="O30" s="129">
        <f t="shared" si="5"/>
        <v>0</v>
      </c>
      <c r="P30" s="130">
        <f t="shared" si="6"/>
        <v>0</v>
      </c>
    </row>
    <row r="31" spans="1:16" ht="21" thickBot="1">
      <c r="A31" s="257"/>
      <c r="B31" s="119" t="s">
        <v>20</v>
      </c>
      <c r="C31" s="122">
        <v>0</v>
      </c>
      <c r="D31" s="122">
        <v>0</v>
      </c>
      <c r="E31" s="122">
        <v>0</v>
      </c>
      <c r="F31" s="123">
        <f t="shared" si="4"/>
        <v>0</v>
      </c>
      <c r="G31" s="122">
        <v>0</v>
      </c>
      <c r="H31" s="122">
        <v>0</v>
      </c>
      <c r="I31" s="122">
        <v>0</v>
      </c>
      <c r="J31" s="123">
        <f t="shared" si="7"/>
        <v>0</v>
      </c>
      <c r="K31" s="123">
        <f t="shared" si="8"/>
        <v>0</v>
      </c>
      <c r="L31" s="116"/>
      <c r="M31" s="128" t="s">
        <v>6</v>
      </c>
      <c r="N31" s="131">
        <f>SUM(N24:N30)</f>
        <v>0</v>
      </c>
      <c r="O31" s="131">
        <f>SUM(O24:O30)</f>
        <v>0</v>
      </c>
      <c r="P31" s="131">
        <f>SUM(P24:P30)</f>
        <v>0</v>
      </c>
    </row>
    <row r="32" spans="1:16" ht="21.75" thickTop="1" thickBot="1">
      <c r="A32" s="258"/>
      <c r="B32" s="128" t="s">
        <v>6</v>
      </c>
      <c r="C32" s="125">
        <f>SUM(C25:C31)</f>
        <v>0</v>
      </c>
      <c r="D32" s="125">
        <f t="shared" ref="D32:K32" si="9">SUM(D25:D31)</f>
        <v>0</v>
      </c>
      <c r="E32" s="125">
        <f t="shared" si="9"/>
        <v>0</v>
      </c>
      <c r="F32" s="125">
        <f t="shared" si="9"/>
        <v>0</v>
      </c>
      <c r="G32" s="125">
        <f t="shared" si="9"/>
        <v>0</v>
      </c>
      <c r="H32" s="125">
        <f t="shared" si="9"/>
        <v>0</v>
      </c>
      <c r="I32" s="125">
        <f t="shared" si="9"/>
        <v>0</v>
      </c>
      <c r="J32" s="125">
        <f t="shared" si="9"/>
        <v>0</v>
      </c>
      <c r="K32" s="125">
        <f t="shared" si="9"/>
        <v>0</v>
      </c>
      <c r="L32" s="116"/>
      <c r="M32" s="134"/>
      <c r="N32" s="134"/>
      <c r="O32" s="134"/>
      <c r="P32" s="134"/>
    </row>
    <row r="33" spans="1:17" ht="18" customHeight="1" thickTop="1">
      <c r="A33" s="135"/>
      <c r="B33" s="136"/>
      <c r="C33" s="137"/>
      <c r="D33" s="137"/>
      <c r="E33" s="137"/>
      <c r="F33" s="137"/>
      <c r="G33" s="137"/>
      <c r="H33" s="137"/>
      <c r="I33" s="137"/>
      <c r="J33" s="137"/>
      <c r="K33" s="137"/>
      <c r="L33" s="116"/>
      <c r="M33" s="134"/>
      <c r="N33" s="134"/>
      <c r="O33" s="134"/>
      <c r="P33" s="134"/>
    </row>
    <row r="34" spans="1:17">
      <c r="A34" s="275" t="s">
        <v>143</v>
      </c>
      <c r="B34" s="275"/>
      <c r="C34" s="275"/>
      <c r="D34" s="275"/>
      <c r="E34" s="275"/>
      <c r="F34" s="275"/>
      <c r="G34" s="275"/>
      <c r="H34" s="275"/>
      <c r="I34" s="275"/>
      <c r="J34" s="275"/>
      <c r="K34" s="275"/>
      <c r="L34" s="275"/>
      <c r="M34" s="275"/>
      <c r="N34" s="275"/>
      <c r="O34" s="275"/>
      <c r="P34" s="275"/>
    </row>
    <row r="35" spans="1:17" ht="24" customHeight="1">
      <c r="A35" s="276" t="s">
        <v>32</v>
      </c>
      <c r="B35" s="277"/>
      <c r="C35" s="277"/>
      <c r="D35" s="277"/>
      <c r="E35" s="277"/>
      <c r="F35" s="277"/>
      <c r="G35" s="277"/>
      <c r="H35" s="277"/>
      <c r="I35" s="277"/>
      <c r="J35" s="277"/>
      <c r="K35" s="277"/>
      <c r="L35" s="277"/>
      <c r="M35" s="277"/>
      <c r="N35" s="277"/>
      <c r="O35" s="277"/>
      <c r="P35" s="277"/>
      <c r="Q35" s="39"/>
    </row>
    <row r="36" spans="1:17" ht="21" customHeight="1">
      <c r="A36" s="249" t="s">
        <v>1</v>
      </c>
      <c r="B36" s="250"/>
      <c r="C36" s="250"/>
      <c r="D36" s="250"/>
      <c r="E36" s="250"/>
      <c r="F36" s="250"/>
      <c r="G36" s="250"/>
      <c r="H36" s="250"/>
      <c r="I36" s="250"/>
      <c r="J36" s="250"/>
      <c r="K36" s="250"/>
    </row>
    <row r="37" spans="1:17">
      <c r="A37" s="267" t="s">
        <v>2</v>
      </c>
      <c r="B37" s="269" t="s">
        <v>3</v>
      </c>
      <c r="C37" s="270"/>
      <c r="D37" s="270"/>
      <c r="E37" s="270"/>
      <c r="F37" s="270"/>
      <c r="G37" s="270"/>
      <c r="H37" s="270"/>
      <c r="I37" s="270"/>
      <c r="J37" s="270"/>
      <c r="K37" s="271"/>
    </row>
    <row r="38" spans="1:17">
      <c r="A38" s="268"/>
      <c r="B38" s="41"/>
      <c r="C38" s="267" t="s">
        <v>4</v>
      </c>
      <c r="D38" s="268"/>
      <c r="E38" s="268"/>
      <c r="F38" s="268"/>
      <c r="G38" s="267" t="s">
        <v>5</v>
      </c>
      <c r="H38" s="268"/>
      <c r="I38" s="268"/>
      <c r="J38" s="268"/>
      <c r="K38" s="40" t="s">
        <v>6</v>
      </c>
    </row>
    <row r="39" spans="1:17">
      <c r="A39" s="262" t="s">
        <v>23</v>
      </c>
      <c r="B39" s="42" t="s">
        <v>8</v>
      </c>
      <c r="C39" s="43" t="s">
        <v>9</v>
      </c>
      <c r="D39" s="43" t="s">
        <v>10</v>
      </c>
      <c r="E39" s="43" t="s">
        <v>11</v>
      </c>
      <c r="F39" s="43" t="s">
        <v>6</v>
      </c>
      <c r="G39" s="43" t="s">
        <v>9</v>
      </c>
      <c r="H39" s="43" t="s">
        <v>10</v>
      </c>
      <c r="I39" s="43" t="s">
        <v>11</v>
      </c>
      <c r="J39" s="43" t="s">
        <v>6</v>
      </c>
      <c r="K39" s="43" t="s">
        <v>6</v>
      </c>
    </row>
    <row r="40" spans="1:17">
      <c r="A40" s="263"/>
      <c r="B40" s="44" t="s">
        <v>12</v>
      </c>
      <c r="C40" s="4">
        <v>1</v>
      </c>
      <c r="D40" s="4">
        <v>2</v>
      </c>
      <c r="E40" s="4">
        <v>1</v>
      </c>
      <c r="F40" s="3">
        <f t="shared" ref="F40:F49" si="10">SUM(C40:E40)</f>
        <v>4</v>
      </c>
      <c r="G40" s="4">
        <v>0</v>
      </c>
      <c r="H40" s="4">
        <v>0</v>
      </c>
      <c r="I40" s="4">
        <v>1</v>
      </c>
      <c r="J40" s="3">
        <f>SUM(G40:I40)</f>
        <v>1</v>
      </c>
      <c r="K40" s="3">
        <f>SUM(J40,F40)</f>
        <v>5</v>
      </c>
    </row>
    <row r="41" spans="1:17">
      <c r="A41" s="263"/>
      <c r="B41" s="42" t="s">
        <v>13</v>
      </c>
      <c r="C41" s="4">
        <v>1304</v>
      </c>
      <c r="D41" s="4">
        <v>568</v>
      </c>
      <c r="E41" s="4">
        <v>629</v>
      </c>
      <c r="F41" s="3">
        <f t="shared" si="10"/>
        <v>2501</v>
      </c>
      <c r="G41" s="4">
        <v>0</v>
      </c>
      <c r="H41" s="4">
        <v>0</v>
      </c>
      <c r="I41" s="4">
        <v>220</v>
      </c>
      <c r="J41" s="3">
        <f>SUM(G41:I41)</f>
        <v>220</v>
      </c>
      <c r="K41" s="3">
        <f>SUM(J41,F41)</f>
        <v>2721</v>
      </c>
    </row>
    <row r="42" spans="1:17">
      <c r="A42" s="263"/>
      <c r="B42" s="42" t="s">
        <v>14</v>
      </c>
      <c r="C42" s="4">
        <v>0</v>
      </c>
      <c r="D42" s="4">
        <v>0</v>
      </c>
      <c r="E42" s="4">
        <v>0</v>
      </c>
      <c r="F42" s="3">
        <f t="shared" si="10"/>
        <v>0</v>
      </c>
      <c r="G42" s="4">
        <v>0</v>
      </c>
      <c r="H42" s="4">
        <v>0</v>
      </c>
      <c r="I42" s="4">
        <v>0</v>
      </c>
      <c r="J42" s="3">
        <f>SUM(G42:I42)</f>
        <v>0</v>
      </c>
      <c r="K42" s="3">
        <f>SUM(J42,F42)</f>
        <v>0</v>
      </c>
    </row>
    <row r="43" spans="1:17" ht="21" thickBot="1">
      <c r="A43" s="263"/>
      <c r="B43" s="45" t="s">
        <v>6</v>
      </c>
      <c r="C43" s="6">
        <f>SUM(C41:C42)</f>
        <v>1304</v>
      </c>
      <c r="D43" s="6">
        <f>SUM(D41:D42)</f>
        <v>568</v>
      </c>
      <c r="E43" s="6">
        <f>SUM(E41:E42)</f>
        <v>629</v>
      </c>
      <c r="F43" s="6">
        <f t="shared" si="10"/>
        <v>2501</v>
      </c>
      <c r="G43" s="6">
        <f>SUM(G41:G42)</f>
        <v>0</v>
      </c>
      <c r="H43" s="6">
        <f>SUM(H41:H42)</f>
        <v>0</v>
      </c>
      <c r="I43" s="6">
        <f>SUM(I41:I42)</f>
        <v>220</v>
      </c>
      <c r="J43" s="6">
        <f>SUM(J41:J42)</f>
        <v>220</v>
      </c>
      <c r="K43" s="6">
        <f>SUM(K41:K42)</f>
        <v>2721</v>
      </c>
    </row>
    <row r="44" spans="1:17" ht="21" thickTop="1">
      <c r="A44" s="263"/>
      <c r="B44" s="46" t="s">
        <v>15</v>
      </c>
      <c r="C44" s="4">
        <v>0</v>
      </c>
      <c r="D44" s="4">
        <v>0</v>
      </c>
      <c r="E44" s="4">
        <v>0</v>
      </c>
      <c r="F44" s="3">
        <f t="shared" si="10"/>
        <v>0</v>
      </c>
      <c r="G44" s="4">
        <v>0</v>
      </c>
      <c r="H44" s="4">
        <v>0</v>
      </c>
      <c r="I44" s="4">
        <v>0</v>
      </c>
      <c r="J44" s="3">
        <f t="shared" ref="J44:J49" si="11">SUM(G44:I44)</f>
        <v>0</v>
      </c>
      <c r="K44" s="3">
        <f t="shared" ref="K44:K49" si="12">SUM(J44,F44)</f>
        <v>0</v>
      </c>
    </row>
    <row r="45" spans="1:17">
      <c r="A45" s="263"/>
      <c r="B45" s="42" t="s">
        <v>16</v>
      </c>
      <c r="C45" s="4">
        <v>913</v>
      </c>
      <c r="D45" s="4">
        <v>398</v>
      </c>
      <c r="E45" s="4">
        <v>440</v>
      </c>
      <c r="F45" s="3">
        <f t="shared" si="10"/>
        <v>1751</v>
      </c>
      <c r="G45" s="4">
        <v>0</v>
      </c>
      <c r="H45" s="4">
        <v>0</v>
      </c>
      <c r="I45" s="4">
        <v>154</v>
      </c>
      <c r="J45" s="3">
        <f t="shared" si="11"/>
        <v>154</v>
      </c>
      <c r="K45" s="3">
        <f t="shared" si="12"/>
        <v>1905</v>
      </c>
    </row>
    <row r="46" spans="1:17">
      <c r="A46" s="263"/>
      <c r="B46" s="42" t="s">
        <v>17</v>
      </c>
      <c r="C46" s="4">
        <v>4</v>
      </c>
      <c r="D46" s="4">
        <v>4</v>
      </c>
      <c r="E46" s="4">
        <v>4</v>
      </c>
      <c r="F46" s="3">
        <f t="shared" si="10"/>
        <v>12</v>
      </c>
      <c r="G46" s="4">
        <v>0</v>
      </c>
      <c r="H46" s="4">
        <v>0</v>
      </c>
      <c r="I46" s="4">
        <v>0</v>
      </c>
      <c r="J46" s="3">
        <f t="shared" si="11"/>
        <v>0</v>
      </c>
      <c r="K46" s="3">
        <f t="shared" si="12"/>
        <v>12</v>
      </c>
    </row>
    <row r="47" spans="1:17">
      <c r="A47" s="263"/>
      <c r="B47" s="42" t="s">
        <v>18</v>
      </c>
      <c r="C47" s="4">
        <v>391</v>
      </c>
      <c r="D47" s="4">
        <v>170</v>
      </c>
      <c r="E47" s="4">
        <v>189</v>
      </c>
      <c r="F47" s="3">
        <f t="shared" si="10"/>
        <v>750</v>
      </c>
      <c r="G47" s="4">
        <v>0</v>
      </c>
      <c r="H47" s="4">
        <v>0</v>
      </c>
      <c r="I47" s="4">
        <v>66</v>
      </c>
      <c r="J47" s="3">
        <f t="shared" si="11"/>
        <v>66</v>
      </c>
      <c r="K47" s="3">
        <f t="shared" si="12"/>
        <v>816</v>
      </c>
    </row>
    <row r="48" spans="1:17">
      <c r="A48" s="263"/>
      <c r="B48" s="42" t="s">
        <v>19</v>
      </c>
      <c r="C48" s="4">
        <v>36</v>
      </c>
      <c r="D48" s="4">
        <v>24</v>
      </c>
      <c r="E48" s="4">
        <v>12</v>
      </c>
      <c r="F48" s="3">
        <f t="shared" si="10"/>
        <v>72</v>
      </c>
      <c r="G48" s="4">
        <v>0</v>
      </c>
      <c r="H48" s="4">
        <v>0</v>
      </c>
      <c r="I48" s="4">
        <v>12</v>
      </c>
      <c r="J48" s="3">
        <f t="shared" si="11"/>
        <v>12</v>
      </c>
      <c r="K48" s="3">
        <f t="shared" si="12"/>
        <v>84</v>
      </c>
    </row>
    <row r="49" spans="1:16">
      <c r="A49" s="263"/>
      <c r="B49" s="42" t="s">
        <v>20</v>
      </c>
      <c r="C49" s="4">
        <v>0</v>
      </c>
      <c r="D49" s="4">
        <v>0</v>
      </c>
      <c r="E49" s="4">
        <v>1</v>
      </c>
      <c r="F49" s="3">
        <f t="shared" si="10"/>
        <v>1</v>
      </c>
      <c r="G49" s="4">
        <v>0</v>
      </c>
      <c r="H49" s="4">
        <v>0</v>
      </c>
      <c r="I49" s="4">
        <v>1</v>
      </c>
      <c r="J49" s="3">
        <f t="shared" si="11"/>
        <v>1</v>
      </c>
      <c r="K49" s="3">
        <f t="shared" si="12"/>
        <v>2</v>
      </c>
    </row>
    <row r="50" spans="1:16" ht="21" thickBot="1">
      <c r="A50" s="264"/>
      <c r="B50" s="47" t="s">
        <v>6</v>
      </c>
      <c r="C50" s="6">
        <f>SUM(C43:C49)</f>
        <v>2648</v>
      </c>
      <c r="D50" s="6">
        <f t="shared" ref="D50:K50" si="13">SUM(D43:D49)</f>
        <v>1164</v>
      </c>
      <c r="E50" s="6">
        <f t="shared" si="13"/>
        <v>1275</v>
      </c>
      <c r="F50" s="6">
        <f t="shared" si="13"/>
        <v>5087</v>
      </c>
      <c r="G50" s="6">
        <f t="shared" si="13"/>
        <v>0</v>
      </c>
      <c r="H50" s="6">
        <f t="shared" si="13"/>
        <v>0</v>
      </c>
      <c r="I50" s="6">
        <f t="shared" si="13"/>
        <v>453</v>
      </c>
      <c r="J50" s="6">
        <f t="shared" si="13"/>
        <v>453</v>
      </c>
      <c r="K50" s="6">
        <f t="shared" si="13"/>
        <v>5540</v>
      </c>
    </row>
    <row r="51" spans="1:16" ht="17.25" customHeight="1" thickTop="1"/>
    <row r="52" spans="1:16">
      <c r="A52" s="267" t="s">
        <v>2</v>
      </c>
      <c r="B52" s="269" t="s">
        <v>21</v>
      </c>
      <c r="C52" s="270"/>
      <c r="D52" s="270"/>
      <c r="E52" s="270"/>
      <c r="F52" s="270"/>
      <c r="G52" s="270"/>
      <c r="H52" s="270"/>
      <c r="I52" s="270"/>
      <c r="J52" s="270"/>
      <c r="K52" s="271"/>
      <c r="M52" s="272" t="s">
        <v>22</v>
      </c>
      <c r="N52" s="273"/>
      <c r="O52" s="273"/>
      <c r="P52" s="274"/>
    </row>
    <row r="53" spans="1:16" ht="21" thickBot="1">
      <c r="A53" s="268"/>
      <c r="B53" s="41"/>
      <c r="C53" s="267" t="s">
        <v>4</v>
      </c>
      <c r="D53" s="268"/>
      <c r="E53" s="268"/>
      <c r="F53" s="268"/>
      <c r="G53" s="267" t="s">
        <v>5</v>
      </c>
      <c r="H53" s="268"/>
      <c r="I53" s="268"/>
      <c r="J53" s="268"/>
      <c r="K53" s="40" t="s">
        <v>6</v>
      </c>
      <c r="M53" s="42" t="s">
        <v>8</v>
      </c>
      <c r="N53" s="42" t="s">
        <v>3</v>
      </c>
      <c r="O53" s="42" t="s">
        <v>21</v>
      </c>
      <c r="P53" s="47" t="s">
        <v>6</v>
      </c>
    </row>
    <row r="54" spans="1:16" ht="21" customHeight="1" thickTop="1">
      <c r="A54" s="262" t="s">
        <v>23</v>
      </c>
      <c r="B54" s="42" t="s">
        <v>8</v>
      </c>
      <c r="C54" s="43" t="s">
        <v>9</v>
      </c>
      <c r="D54" s="43" t="s">
        <v>10</v>
      </c>
      <c r="E54" s="43" t="s">
        <v>11</v>
      </c>
      <c r="F54" s="43" t="s">
        <v>6</v>
      </c>
      <c r="G54" s="43" t="s">
        <v>9</v>
      </c>
      <c r="H54" s="43" t="s">
        <v>10</v>
      </c>
      <c r="I54" s="43" t="s">
        <v>11</v>
      </c>
      <c r="J54" s="43" t="s">
        <v>6</v>
      </c>
      <c r="K54" s="43" t="s">
        <v>6</v>
      </c>
      <c r="M54" s="44" t="s">
        <v>12</v>
      </c>
      <c r="N54" s="1">
        <f>K40</f>
        <v>5</v>
      </c>
      <c r="O54" s="1">
        <f>K55</f>
        <v>15</v>
      </c>
      <c r="P54" s="8">
        <f>SUM(N54:O54)</f>
        <v>20</v>
      </c>
    </row>
    <row r="55" spans="1:16">
      <c r="A55" s="263"/>
      <c r="B55" s="44" t="s">
        <v>12</v>
      </c>
      <c r="C55" s="4">
        <v>3</v>
      </c>
      <c r="D55" s="4">
        <v>6</v>
      </c>
      <c r="E55" s="4">
        <v>1</v>
      </c>
      <c r="F55" s="3">
        <f t="shared" ref="F55:F64" si="14">SUM(C55:E55)</f>
        <v>10</v>
      </c>
      <c r="G55" s="4">
        <v>0</v>
      </c>
      <c r="H55" s="4">
        <v>4</v>
      </c>
      <c r="I55" s="4">
        <v>1</v>
      </c>
      <c r="J55" s="3">
        <f>SUM(G55:I55)</f>
        <v>5</v>
      </c>
      <c r="K55" s="3">
        <f>SUM(J55,F55)</f>
        <v>15</v>
      </c>
      <c r="M55" s="42" t="s">
        <v>13</v>
      </c>
      <c r="N55" s="1">
        <f>K41</f>
        <v>2721</v>
      </c>
      <c r="O55" s="1">
        <f>K56</f>
        <v>10034</v>
      </c>
      <c r="P55" s="8">
        <f t="shared" ref="P55:P63" si="15">SUM(N55:O55)</f>
        <v>12755</v>
      </c>
    </row>
    <row r="56" spans="1:16">
      <c r="A56" s="263"/>
      <c r="B56" s="42" t="s">
        <v>13</v>
      </c>
      <c r="C56" s="4">
        <v>4869</v>
      </c>
      <c r="D56" s="4">
        <v>2966</v>
      </c>
      <c r="E56" s="4">
        <v>250</v>
      </c>
      <c r="F56" s="3">
        <f t="shared" si="14"/>
        <v>8085</v>
      </c>
      <c r="G56" s="4">
        <v>0</v>
      </c>
      <c r="H56" s="4">
        <v>1729</v>
      </c>
      <c r="I56" s="4">
        <v>220</v>
      </c>
      <c r="J56" s="3">
        <f>SUM(G56:I56)</f>
        <v>1949</v>
      </c>
      <c r="K56" s="3">
        <f>SUM(J56,F56)</f>
        <v>10034</v>
      </c>
      <c r="M56" s="42" t="s">
        <v>14</v>
      </c>
      <c r="N56" s="1">
        <f>K42</f>
        <v>0</v>
      </c>
      <c r="O56" s="1">
        <f>K57</f>
        <v>0</v>
      </c>
      <c r="P56" s="8">
        <f t="shared" si="15"/>
        <v>0</v>
      </c>
    </row>
    <row r="57" spans="1:16" ht="21" thickBot="1">
      <c r="A57" s="263"/>
      <c r="B57" s="42" t="s">
        <v>14</v>
      </c>
      <c r="C57" s="4">
        <v>0</v>
      </c>
      <c r="D57" s="4">
        <v>0</v>
      </c>
      <c r="E57" s="4">
        <v>0</v>
      </c>
      <c r="F57" s="3">
        <f t="shared" si="14"/>
        <v>0</v>
      </c>
      <c r="G57" s="4">
        <v>0</v>
      </c>
      <c r="H57" s="4">
        <v>0</v>
      </c>
      <c r="I57" s="4">
        <v>0</v>
      </c>
      <c r="J57" s="3">
        <f>SUM(G57:I57)</f>
        <v>0</v>
      </c>
      <c r="K57" s="3">
        <f>SUM(J57,F57)</f>
        <v>0</v>
      </c>
      <c r="M57" s="45" t="s">
        <v>6</v>
      </c>
      <c r="N57" s="9">
        <f>K43</f>
        <v>2721</v>
      </c>
      <c r="O57" s="9">
        <f>K58</f>
        <v>10034</v>
      </c>
      <c r="P57" s="9">
        <f t="shared" si="15"/>
        <v>12755</v>
      </c>
    </row>
    <row r="58" spans="1:16" ht="21.75" thickTop="1" thickBot="1">
      <c r="A58" s="263"/>
      <c r="B58" s="45" t="s">
        <v>6</v>
      </c>
      <c r="C58" s="6">
        <f>SUM(C56:C57)</f>
        <v>4869</v>
      </c>
      <c r="D58" s="6">
        <f>SUM(D56:D57)</f>
        <v>2966</v>
      </c>
      <c r="E58" s="6">
        <f>SUM(E56:E57)</f>
        <v>250</v>
      </c>
      <c r="F58" s="6">
        <f t="shared" si="14"/>
        <v>8085</v>
      </c>
      <c r="G58" s="6">
        <f>SUM(G56:G57)</f>
        <v>0</v>
      </c>
      <c r="H58" s="6">
        <f>SUM(H56:H57)</f>
        <v>1729</v>
      </c>
      <c r="I58" s="6">
        <f>SUM(I56:I57)</f>
        <v>220</v>
      </c>
      <c r="J58" s="6">
        <f>SUM(J56:J57)</f>
        <v>1949</v>
      </c>
      <c r="K58" s="6">
        <f>SUM(K56:K57)</f>
        <v>10034</v>
      </c>
      <c r="M58" s="46" t="s">
        <v>16</v>
      </c>
      <c r="N58" s="11">
        <f>K45</f>
        <v>1905</v>
      </c>
      <c r="O58" s="11">
        <f>K60</f>
        <v>7025</v>
      </c>
      <c r="P58" s="12">
        <f t="shared" si="15"/>
        <v>8930</v>
      </c>
    </row>
    <row r="59" spans="1:16" ht="21" thickTop="1">
      <c r="A59" s="263"/>
      <c r="B59" s="46" t="s">
        <v>15</v>
      </c>
      <c r="C59" s="4">
        <v>0</v>
      </c>
      <c r="D59" s="4">
        <v>0</v>
      </c>
      <c r="E59" s="4">
        <v>0</v>
      </c>
      <c r="F59" s="3">
        <f t="shared" si="14"/>
        <v>0</v>
      </c>
      <c r="G59" s="4">
        <v>0</v>
      </c>
      <c r="H59" s="4">
        <v>0</v>
      </c>
      <c r="I59" s="4">
        <v>0</v>
      </c>
      <c r="J59" s="3">
        <f t="shared" ref="J59:J64" si="16">SUM(G59:I59)</f>
        <v>0</v>
      </c>
      <c r="K59" s="3">
        <f t="shared" ref="K59:K64" si="17">SUM(J59,F59)</f>
        <v>0</v>
      </c>
      <c r="M59" s="46" t="s">
        <v>15</v>
      </c>
      <c r="N59" s="1">
        <f>$K$11</f>
        <v>0</v>
      </c>
      <c r="O59" s="1">
        <f>SUM(K59)</f>
        <v>0</v>
      </c>
      <c r="P59" s="12">
        <f t="shared" si="15"/>
        <v>0</v>
      </c>
    </row>
    <row r="60" spans="1:16">
      <c r="A60" s="263"/>
      <c r="B60" s="42" t="s">
        <v>16</v>
      </c>
      <c r="C60" s="4">
        <v>3409</v>
      </c>
      <c r="D60" s="4">
        <v>2076</v>
      </c>
      <c r="E60" s="4">
        <v>175</v>
      </c>
      <c r="F60" s="3">
        <f t="shared" si="14"/>
        <v>5660</v>
      </c>
      <c r="G60" s="4">
        <v>0</v>
      </c>
      <c r="H60" s="4">
        <v>1211</v>
      </c>
      <c r="I60" s="4">
        <v>154</v>
      </c>
      <c r="J60" s="3">
        <f t="shared" si="16"/>
        <v>1365</v>
      </c>
      <c r="K60" s="3">
        <f t="shared" si="17"/>
        <v>7025</v>
      </c>
      <c r="M60" s="42" t="s">
        <v>17</v>
      </c>
      <c r="N60" s="1">
        <f>K46</f>
        <v>12</v>
      </c>
      <c r="O60" s="1">
        <f>K61</f>
        <v>41</v>
      </c>
      <c r="P60" s="8">
        <f t="shared" si="15"/>
        <v>53</v>
      </c>
    </row>
    <row r="61" spans="1:16">
      <c r="A61" s="263"/>
      <c r="B61" s="42" t="s">
        <v>17</v>
      </c>
      <c r="C61" s="4">
        <v>10</v>
      </c>
      <c r="D61" s="4">
        <v>17</v>
      </c>
      <c r="E61" s="4">
        <v>3</v>
      </c>
      <c r="F61" s="3">
        <f t="shared" si="14"/>
        <v>30</v>
      </c>
      <c r="G61" s="4">
        <v>0</v>
      </c>
      <c r="H61" s="4">
        <v>8</v>
      </c>
      <c r="I61" s="4">
        <v>3</v>
      </c>
      <c r="J61" s="3">
        <f t="shared" si="16"/>
        <v>11</v>
      </c>
      <c r="K61" s="3">
        <f t="shared" si="17"/>
        <v>41</v>
      </c>
      <c r="M61" s="42" t="s">
        <v>18</v>
      </c>
      <c r="N61" s="1">
        <f>K47</f>
        <v>816</v>
      </c>
      <c r="O61" s="1">
        <f>K62</f>
        <v>3011</v>
      </c>
      <c r="P61" s="8">
        <f t="shared" si="15"/>
        <v>3827</v>
      </c>
    </row>
    <row r="62" spans="1:16">
      <c r="A62" s="263"/>
      <c r="B62" s="42" t="s">
        <v>18</v>
      </c>
      <c r="C62" s="4">
        <v>1461</v>
      </c>
      <c r="D62" s="4">
        <v>890</v>
      </c>
      <c r="E62" s="4">
        <v>75</v>
      </c>
      <c r="F62" s="3">
        <f t="shared" si="14"/>
        <v>2426</v>
      </c>
      <c r="G62" s="4">
        <v>0</v>
      </c>
      <c r="H62" s="4">
        <v>519</v>
      </c>
      <c r="I62" s="4">
        <v>66</v>
      </c>
      <c r="J62" s="3">
        <f t="shared" si="16"/>
        <v>585</v>
      </c>
      <c r="K62" s="3">
        <f t="shared" si="17"/>
        <v>3011</v>
      </c>
      <c r="M62" s="42" t="s">
        <v>19</v>
      </c>
      <c r="N62" s="1">
        <f>K48</f>
        <v>84</v>
      </c>
      <c r="O62" s="1">
        <f>K63</f>
        <v>224</v>
      </c>
      <c r="P62" s="8">
        <f t="shared" si="15"/>
        <v>308</v>
      </c>
    </row>
    <row r="63" spans="1:16">
      <c r="A63" s="263"/>
      <c r="B63" s="42" t="s">
        <v>19</v>
      </c>
      <c r="C63" s="4">
        <v>80</v>
      </c>
      <c r="D63" s="4">
        <v>72</v>
      </c>
      <c r="E63" s="4">
        <v>6</v>
      </c>
      <c r="F63" s="3">
        <f t="shared" si="14"/>
        <v>158</v>
      </c>
      <c r="G63" s="4">
        <v>0</v>
      </c>
      <c r="H63" s="4">
        <v>60</v>
      </c>
      <c r="I63" s="4">
        <v>6</v>
      </c>
      <c r="J63" s="3">
        <f t="shared" si="16"/>
        <v>66</v>
      </c>
      <c r="K63" s="3">
        <f t="shared" si="17"/>
        <v>224</v>
      </c>
      <c r="M63" s="42" t="s">
        <v>20</v>
      </c>
      <c r="N63" s="1">
        <f>K49</f>
        <v>2</v>
      </c>
      <c r="O63" s="1">
        <f>K64</f>
        <v>2</v>
      </c>
      <c r="P63" s="8">
        <f t="shared" si="15"/>
        <v>4</v>
      </c>
    </row>
    <row r="64" spans="1:16" ht="21" thickBot="1">
      <c r="A64" s="263"/>
      <c r="B64" s="42" t="s">
        <v>20</v>
      </c>
      <c r="C64" s="4">
        <v>0</v>
      </c>
      <c r="D64" s="4">
        <v>0</v>
      </c>
      <c r="E64" s="4">
        <v>0</v>
      </c>
      <c r="F64" s="3">
        <f t="shared" si="14"/>
        <v>0</v>
      </c>
      <c r="G64" s="4">
        <v>0</v>
      </c>
      <c r="H64" s="4">
        <v>0</v>
      </c>
      <c r="I64" s="4">
        <v>2</v>
      </c>
      <c r="J64" s="3">
        <f t="shared" si="16"/>
        <v>2</v>
      </c>
      <c r="K64" s="3">
        <f t="shared" si="17"/>
        <v>2</v>
      </c>
      <c r="M64" s="47" t="s">
        <v>6</v>
      </c>
      <c r="N64" s="9">
        <f>SUM(N57:N63)</f>
        <v>5540</v>
      </c>
      <c r="O64" s="9">
        <f>SUM(O57:O63)</f>
        <v>20337</v>
      </c>
      <c r="P64" s="9">
        <f>SUM(P57:P63)</f>
        <v>25877</v>
      </c>
    </row>
    <row r="65" spans="1:17" ht="21.75" thickTop="1" thickBot="1">
      <c r="A65" s="264"/>
      <c r="B65" s="47" t="s">
        <v>6</v>
      </c>
      <c r="C65" s="6">
        <f>SUM(C58:C64)</f>
        <v>9829</v>
      </c>
      <c r="D65" s="6">
        <f t="shared" ref="D65:K65" si="18">SUM(D58:D64)</f>
        <v>6021</v>
      </c>
      <c r="E65" s="6">
        <f t="shared" si="18"/>
        <v>509</v>
      </c>
      <c r="F65" s="6">
        <f t="shared" si="18"/>
        <v>16359</v>
      </c>
      <c r="G65" s="6">
        <f t="shared" si="18"/>
        <v>0</v>
      </c>
      <c r="H65" s="6">
        <f t="shared" si="18"/>
        <v>3527</v>
      </c>
      <c r="I65" s="6">
        <f t="shared" si="18"/>
        <v>451</v>
      </c>
      <c r="J65" s="6">
        <f t="shared" si="18"/>
        <v>3978</v>
      </c>
      <c r="K65" s="6">
        <f t="shared" si="18"/>
        <v>20337</v>
      </c>
      <c r="M65" s="5"/>
      <c r="N65" s="5"/>
      <c r="O65" s="5"/>
      <c r="P65" s="5"/>
    </row>
    <row r="66" spans="1:17" ht="21" thickTop="1">
      <c r="A66" s="13"/>
      <c r="B66" s="14"/>
      <c r="C66" s="15"/>
      <c r="D66" s="15"/>
      <c r="E66" s="15"/>
      <c r="F66" s="15"/>
      <c r="G66" s="15"/>
      <c r="H66" s="15"/>
      <c r="I66" s="15"/>
      <c r="J66" s="15"/>
      <c r="K66" s="15"/>
      <c r="M66" s="5"/>
      <c r="N66" s="5"/>
      <c r="O66" s="5"/>
      <c r="P66" s="5"/>
    </row>
    <row r="67" spans="1:17">
      <c r="A67" s="275" t="s">
        <v>143</v>
      </c>
      <c r="B67" s="275"/>
      <c r="C67" s="275"/>
      <c r="D67" s="275"/>
      <c r="E67" s="275"/>
      <c r="F67" s="275"/>
      <c r="G67" s="275"/>
      <c r="H67" s="275"/>
      <c r="I67" s="275"/>
      <c r="J67" s="275"/>
      <c r="K67" s="275"/>
      <c r="L67" s="275"/>
      <c r="M67" s="275"/>
      <c r="N67" s="275"/>
      <c r="O67" s="275"/>
      <c r="P67" s="275"/>
    </row>
    <row r="68" spans="1:17" ht="24" customHeight="1">
      <c r="A68" s="276" t="s">
        <v>32</v>
      </c>
      <c r="B68" s="277"/>
      <c r="C68" s="277"/>
      <c r="D68" s="277"/>
      <c r="E68" s="277"/>
      <c r="F68" s="277"/>
      <c r="G68" s="277"/>
      <c r="H68" s="277"/>
      <c r="I68" s="277"/>
      <c r="J68" s="277"/>
      <c r="K68" s="277"/>
      <c r="L68" s="277"/>
      <c r="M68" s="277"/>
      <c r="N68" s="277"/>
      <c r="O68" s="277"/>
      <c r="P68" s="277"/>
      <c r="Q68" s="39"/>
    </row>
    <row r="69" spans="1:17" ht="21" customHeight="1">
      <c r="A69" s="249" t="s">
        <v>1</v>
      </c>
      <c r="B69" s="250"/>
      <c r="C69" s="250"/>
      <c r="D69" s="250"/>
      <c r="E69" s="250"/>
      <c r="F69" s="250"/>
      <c r="G69" s="250"/>
      <c r="H69" s="250"/>
      <c r="I69" s="250"/>
      <c r="J69" s="250"/>
      <c r="K69" s="250"/>
    </row>
    <row r="70" spans="1:17">
      <c r="A70" s="267" t="s">
        <v>2</v>
      </c>
      <c r="B70" s="269" t="s">
        <v>3</v>
      </c>
      <c r="C70" s="270"/>
      <c r="D70" s="270"/>
      <c r="E70" s="270"/>
      <c r="F70" s="270"/>
      <c r="G70" s="270"/>
      <c r="H70" s="270"/>
      <c r="I70" s="270"/>
      <c r="J70" s="270"/>
      <c r="K70" s="271"/>
    </row>
    <row r="71" spans="1:17">
      <c r="A71" s="268"/>
      <c r="B71" s="41"/>
      <c r="C71" s="267" t="s">
        <v>4</v>
      </c>
      <c r="D71" s="268"/>
      <c r="E71" s="268"/>
      <c r="F71" s="268"/>
      <c r="G71" s="267" t="s">
        <v>5</v>
      </c>
      <c r="H71" s="268"/>
      <c r="I71" s="268"/>
      <c r="J71" s="268"/>
      <c r="K71" s="40" t="s">
        <v>6</v>
      </c>
    </row>
    <row r="72" spans="1:17">
      <c r="A72" s="262" t="s">
        <v>24</v>
      </c>
      <c r="B72" s="42" t="s">
        <v>8</v>
      </c>
      <c r="C72" s="43" t="s">
        <v>9</v>
      </c>
      <c r="D72" s="43" t="s">
        <v>10</v>
      </c>
      <c r="E72" s="43" t="s">
        <v>11</v>
      </c>
      <c r="F72" s="43" t="s">
        <v>6</v>
      </c>
      <c r="G72" s="43" t="s">
        <v>9</v>
      </c>
      <c r="H72" s="43" t="s">
        <v>10</v>
      </c>
      <c r="I72" s="43" t="s">
        <v>11</v>
      </c>
      <c r="J72" s="43" t="s">
        <v>6</v>
      </c>
      <c r="K72" s="43" t="s">
        <v>6</v>
      </c>
    </row>
    <row r="73" spans="1:17">
      <c r="A73" s="263"/>
      <c r="B73" s="44" t="s">
        <v>12</v>
      </c>
      <c r="C73" s="4">
        <v>2</v>
      </c>
      <c r="D73" s="4">
        <v>7</v>
      </c>
      <c r="E73" s="4">
        <v>4</v>
      </c>
      <c r="F73" s="3">
        <f t="shared" ref="F73:F82" si="19">SUM(C73:E73)</f>
        <v>13</v>
      </c>
      <c r="G73" s="4">
        <v>0</v>
      </c>
      <c r="H73" s="4">
        <v>3</v>
      </c>
      <c r="I73" s="4">
        <v>0</v>
      </c>
      <c r="J73" s="3">
        <f>SUM(G73:I73)</f>
        <v>3</v>
      </c>
      <c r="K73" s="3">
        <f>SUM(J73,F73)</f>
        <v>16</v>
      </c>
    </row>
    <row r="74" spans="1:17">
      <c r="A74" s="263"/>
      <c r="B74" s="42" t="s">
        <v>13</v>
      </c>
      <c r="C74" s="4">
        <v>2129</v>
      </c>
      <c r="D74" s="4">
        <v>2971</v>
      </c>
      <c r="E74" s="4">
        <v>1417</v>
      </c>
      <c r="F74" s="3">
        <f t="shared" si="19"/>
        <v>6517</v>
      </c>
      <c r="G74" s="4">
        <v>0</v>
      </c>
      <c r="H74" s="4">
        <v>2046</v>
      </c>
      <c r="I74" s="4">
        <v>0</v>
      </c>
      <c r="J74" s="3">
        <f>SUM(G74:I74)</f>
        <v>2046</v>
      </c>
      <c r="K74" s="3">
        <f>SUM(J74,F74)</f>
        <v>8563</v>
      </c>
    </row>
    <row r="75" spans="1:17">
      <c r="A75" s="263"/>
      <c r="B75" s="42" t="s">
        <v>14</v>
      </c>
      <c r="C75" s="4">
        <v>0</v>
      </c>
      <c r="D75" s="4">
        <v>0</v>
      </c>
      <c r="E75" s="4">
        <v>0</v>
      </c>
      <c r="F75" s="3">
        <f t="shared" si="19"/>
        <v>0</v>
      </c>
      <c r="G75" s="4">
        <v>0</v>
      </c>
      <c r="H75" s="4">
        <v>0</v>
      </c>
      <c r="I75" s="4">
        <v>0</v>
      </c>
      <c r="J75" s="3">
        <f>SUM(G75:I75)</f>
        <v>0</v>
      </c>
      <c r="K75" s="3">
        <f>SUM(J75,F75)</f>
        <v>0</v>
      </c>
    </row>
    <row r="76" spans="1:17" ht="21" thickBot="1">
      <c r="A76" s="263"/>
      <c r="B76" s="45" t="s">
        <v>6</v>
      </c>
      <c r="C76" s="6">
        <f>SUM(C74:C75)</f>
        <v>2129</v>
      </c>
      <c r="D76" s="6">
        <f>SUM(D74:D75)</f>
        <v>2971</v>
      </c>
      <c r="E76" s="6">
        <f>SUM(E74:E75)</f>
        <v>1417</v>
      </c>
      <c r="F76" s="6">
        <f t="shared" si="19"/>
        <v>6517</v>
      </c>
      <c r="G76" s="6">
        <f>SUM(G74:G75)</f>
        <v>0</v>
      </c>
      <c r="H76" s="6">
        <f>SUM(H74:H75)</f>
        <v>2046</v>
      </c>
      <c r="I76" s="6">
        <f>SUM(I74:I75)</f>
        <v>0</v>
      </c>
      <c r="J76" s="6">
        <f>SUM(J74:J75)</f>
        <v>2046</v>
      </c>
      <c r="K76" s="6">
        <f>SUM(K74:K75)</f>
        <v>8563</v>
      </c>
    </row>
    <row r="77" spans="1:17" ht="21" thickTop="1">
      <c r="A77" s="263"/>
      <c r="B77" s="46" t="s">
        <v>15</v>
      </c>
      <c r="C77" s="4">
        <v>0</v>
      </c>
      <c r="D77" s="4">
        <v>0</v>
      </c>
      <c r="E77" s="4">
        <v>0</v>
      </c>
      <c r="F77" s="3">
        <f t="shared" si="19"/>
        <v>0</v>
      </c>
      <c r="G77" s="4">
        <v>0</v>
      </c>
      <c r="H77" s="4">
        <v>0</v>
      </c>
      <c r="I77" s="4">
        <v>0</v>
      </c>
      <c r="J77" s="3">
        <f t="shared" ref="J77:J82" si="20">SUM(G77:I77)</f>
        <v>0</v>
      </c>
      <c r="K77" s="3">
        <f t="shared" ref="K77:K82" si="21">SUM(J77,F77)</f>
        <v>0</v>
      </c>
    </row>
    <row r="78" spans="1:17">
      <c r="A78" s="263"/>
      <c r="B78" s="42" t="s">
        <v>16</v>
      </c>
      <c r="C78" s="4">
        <v>1490</v>
      </c>
      <c r="D78" s="4">
        <v>2080</v>
      </c>
      <c r="E78" s="4">
        <v>992</v>
      </c>
      <c r="F78" s="3">
        <f t="shared" si="19"/>
        <v>4562</v>
      </c>
      <c r="G78" s="4">
        <v>0</v>
      </c>
      <c r="H78" s="4">
        <v>1432</v>
      </c>
      <c r="I78" s="4">
        <v>0</v>
      </c>
      <c r="J78" s="3">
        <f t="shared" si="20"/>
        <v>1432</v>
      </c>
      <c r="K78" s="3">
        <f t="shared" si="21"/>
        <v>5994</v>
      </c>
    </row>
    <row r="79" spans="1:17">
      <c r="A79" s="263"/>
      <c r="B79" s="42" t="s">
        <v>17</v>
      </c>
      <c r="C79" s="4">
        <v>7</v>
      </c>
      <c r="D79" s="4">
        <v>18</v>
      </c>
      <c r="E79" s="4">
        <v>9</v>
      </c>
      <c r="F79" s="3">
        <f t="shared" si="19"/>
        <v>34</v>
      </c>
      <c r="G79" s="4">
        <v>0</v>
      </c>
      <c r="H79" s="4">
        <v>9</v>
      </c>
      <c r="I79" s="4">
        <v>0</v>
      </c>
      <c r="J79" s="3">
        <f t="shared" si="20"/>
        <v>9</v>
      </c>
      <c r="K79" s="3">
        <f t="shared" si="21"/>
        <v>43</v>
      </c>
    </row>
    <row r="80" spans="1:17">
      <c r="A80" s="263"/>
      <c r="B80" s="42" t="s">
        <v>18</v>
      </c>
      <c r="C80" s="4">
        <v>534</v>
      </c>
      <c r="D80" s="4">
        <v>891</v>
      </c>
      <c r="E80" s="4">
        <v>425</v>
      </c>
      <c r="F80" s="3">
        <f t="shared" si="19"/>
        <v>1850</v>
      </c>
      <c r="G80" s="4">
        <v>0</v>
      </c>
      <c r="H80" s="4">
        <v>484</v>
      </c>
      <c r="I80" s="4">
        <v>0</v>
      </c>
      <c r="J80" s="3">
        <f t="shared" si="20"/>
        <v>484</v>
      </c>
      <c r="K80" s="3">
        <f t="shared" si="21"/>
        <v>2334</v>
      </c>
    </row>
    <row r="81" spans="1:16">
      <c r="A81" s="263"/>
      <c r="B81" s="42" t="s">
        <v>19</v>
      </c>
      <c r="C81" s="4">
        <v>32</v>
      </c>
      <c r="D81" s="4">
        <v>179</v>
      </c>
      <c r="E81" s="4">
        <v>81</v>
      </c>
      <c r="F81" s="3">
        <f t="shared" si="19"/>
        <v>292</v>
      </c>
      <c r="G81" s="4">
        <v>0</v>
      </c>
      <c r="H81" s="4">
        <v>81</v>
      </c>
      <c r="I81" s="4">
        <v>0</v>
      </c>
      <c r="J81" s="3">
        <f t="shared" si="20"/>
        <v>81</v>
      </c>
      <c r="K81" s="3">
        <f t="shared" si="21"/>
        <v>373</v>
      </c>
    </row>
    <row r="82" spans="1:16">
      <c r="A82" s="263"/>
      <c r="B82" s="42" t="s">
        <v>20</v>
      </c>
      <c r="C82" s="4">
        <v>0</v>
      </c>
      <c r="D82" s="4">
        <v>0</v>
      </c>
      <c r="E82" s="4">
        <v>1</v>
      </c>
      <c r="F82" s="3">
        <f t="shared" si="19"/>
        <v>1</v>
      </c>
      <c r="G82" s="4">
        <v>0</v>
      </c>
      <c r="H82" s="4">
        <v>0</v>
      </c>
      <c r="I82" s="4">
        <v>0</v>
      </c>
      <c r="J82" s="3">
        <f t="shared" si="20"/>
        <v>0</v>
      </c>
      <c r="K82" s="3">
        <f t="shared" si="21"/>
        <v>1</v>
      </c>
    </row>
    <row r="83" spans="1:16" ht="21" thickBot="1">
      <c r="A83" s="264"/>
      <c r="B83" s="47" t="s">
        <v>6</v>
      </c>
      <c r="C83" s="6">
        <f>SUM(C76:C82)</f>
        <v>4192</v>
      </c>
      <c r="D83" s="6">
        <f t="shared" ref="D83:K83" si="22">SUM(D76:D82)</f>
        <v>6139</v>
      </c>
      <c r="E83" s="6">
        <f t="shared" si="22"/>
        <v>2925</v>
      </c>
      <c r="F83" s="6">
        <f t="shared" si="22"/>
        <v>13256</v>
      </c>
      <c r="G83" s="6">
        <f t="shared" si="22"/>
        <v>0</v>
      </c>
      <c r="H83" s="6">
        <f t="shared" si="22"/>
        <v>4052</v>
      </c>
      <c r="I83" s="6">
        <f t="shared" si="22"/>
        <v>0</v>
      </c>
      <c r="J83" s="6">
        <f t="shared" si="22"/>
        <v>4052</v>
      </c>
      <c r="K83" s="6">
        <f t="shared" si="22"/>
        <v>17308</v>
      </c>
    </row>
    <row r="84" spans="1:16" ht="17.25" customHeight="1" thickTop="1"/>
    <row r="85" spans="1:16">
      <c r="A85" s="267" t="s">
        <v>2</v>
      </c>
      <c r="B85" s="269" t="s">
        <v>21</v>
      </c>
      <c r="C85" s="270"/>
      <c r="D85" s="270"/>
      <c r="E85" s="270"/>
      <c r="F85" s="270"/>
      <c r="G85" s="270"/>
      <c r="H85" s="270"/>
      <c r="I85" s="270"/>
      <c r="J85" s="270"/>
      <c r="K85" s="271"/>
      <c r="M85" s="272" t="s">
        <v>22</v>
      </c>
      <c r="N85" s="273"/>
      <c r="O85" s="273"/>
      <c r="P85" s="274"/>
    </row>
    <row r="86" spans="1:16" ht="21" thickBot="1">
      <c r="A86" s="268"/>
      <c r="B86" s="41"/>
      <c r="C86" s="267" t="s">
        <v>4</v>
      </c>
      <c r="D86" s="268"/>
      <c r="E86" s="268"/>
      <c r="F86" s="268"/>
      <c r="G86" s="267" t="s">
        <v>5</v>
      </c>
      <c r="H86" s="268"/>
      <c r="I86" s="268"/>
      <c r="J86" s="268"/>
      <c r="K86" s="40" t="s">
        <v>6</v>
      </c>
      <c r="M86" s="42" t="s">
        <v>8</v>
      </c>
      <c r="N86" s="42" t="s">
        <v>3</v>
      </c>
      <c r="O86" s="42" t="s">
        <v>21</v>
      </c>
      <c r="P86" s="47" t="s">
        <v>6</v>
      </c>
    </row>
    <row r="87" spans="1:16" ht="21" customHeight="1" thickTop="1">
      <c r="A87" s="262" t="s">
        <v>24</v>
      </c>
      <c r="B87" s="42" t="s">
        <v>8</v>
      </c>
      <c r="C87" s="43" t="s">
        <v>9</v>
      </c>
      <c r="D87" s="43" t="s">
        <v>10</v>
      </c>
      <c r="E87" s="43" t="s">
        <v>11</v>
      </c>
      <c r="F87" s="43" t="s">
        <v>6</v>
      </c>
      <c r="G87" s="43" t="s">
        <v>9</v>
      </c>
      <c r="H87" s="43" t="s">
        <v>10</v>
      </c>
      <c r="I87" s="43" t="s">
        <v>11</v>
      </c>
      <c r="J87" s="43" t="s">
        <v>6</v>
      </c>
      <c r="K87" s="43" t="s">
        <v>6</v>
      </c>
      <c r="M87" s="44" t="s">
        <v>12</v>
      </c>
      <c r="N87" s="1">
        <f>K73</f>
        <v>16</v>
      </c>
      <c r="O87" s="1">
        <f>K88</f>
        <v>24</v>
      </c>
      <c r="P87" s="8">
        <f>SUM(N87:O87)</f>
        <v>40</v>
      </c>
    </row>
    <row r="88" spans="1:16">
      <c r="A88" s="263"/>
      <c r="B88" s="44" t="s">
        <v>12</v>
      </c>
      <c r="C88" s="4">
        <v>6</v>
      </c>
      <c r="D88" s="4">
        <v>14</v>
      </c>
      <c r="E88" s="4">
        <v>4</v>
      </c>
      <c r="F88" s="3">
        <f t="shared" ref="F88:F97" si="23">SUM(C88:E88)</f>
        <v>24</v>
      </c>
      <c r="G88" s="4">
        <v>0</v>
      </c>
      <c r="H88" s="4">
        <v>0</v>
      </c>
      <c r="I88" s="4">
        <v>0</v>
      </c>
      <c r="J88" s="3">
        <f>SUM(G88:I88)</f>
        <v>0</v>
      </c>
      <c r="K88" s="3">
        <f>SUM(J88,F88)</f>
        <v>24</v>
      </c>
      <c r="M88" s="42" t="s">
        <v>13</v>
      </c>
      <c r="N88" s="1">
        <f>K74</f>
        <v>8563</v>
      </c>
      <c r="O88" s="1">
        <f>K89</f>
        <v>13568</v>
      </c>
      <c r="P88" s="8">
        <f t="shared" ref="P88:P96" si="24">SUM(N88:O88)</f>
        <v>22131</v>
      </c>
    </row>
    <row r="89" spans="1:16">
      <c r="A89" s="263"/>
      <c r="B89" s="42" t="s">
        <v>13</v>
      </c>
      <c r="C89" s="4">
        <v>4654</v>
      </c>
      <c r="D89" s="4">
        <v>7587</v>
      </c>
      <c r="E89" s="4">
        <v>1327</v>
      </c>
      <c r="F89" s="3">
        <f t="shared" si="23"/>
        <v>13568</v>
      </c>
      <c r="G89" s="4">
        <v>0</v>
      </c>
      <c r="H89" s="4">
        <v>0</v>
      </c>
      <c r="I89" s="4">
        <v>0</v>
      </c>
      <c r="J89" s="3">
        <f>SUM(G89:I89)</f>
        <v>0</v>
      </c>
      <c r="K89" s="3">
        <f>SUM(J89,F89)</f>
        <v>13568</v>
      </c>
      <c r="M89" s="42" t="s">
        <v>14</v>
      </c>
      <c r="N89" s="1">
        <f>K75</f>
        <v>0</v>
      </c>
      <c r="O89" s="1">
        <f>K90</f>
        <v>0</v>
      </c>
      <c r="P89" s="8">
        <f t="shared" si="24"/>
        <v>0</v>
      </c>
    </row>
    <row r="90" spans="1:16" ht="21" thickBot="1">
      <c r="A90" s="263"/>
      <c r="B90" s="42" t="s">
        <v>14</v>
      </c>
      <c r="C90" s="4">
        <v>0</v>
      </c>
      <c r="D90" s="4">
        <v>0</v>
      </c>
      <c r="E90" s="4">
        <v>0</v>
      </c>
      <c r="F90" s="3">
        <f t="shared" si="23"/>
        <v>0</v>
      </c>
      <c r="G90" s="4">
        <v>0</v>
      </c>
      <c r="H90" s="4">
        <v>0</v>
      </c>
      <c r="I90" s="4">
        <v>0</v>
      </c>
      <c r="J90" s="3">
        <f>SUM(G90:I90)</f>
        <v>0</v>
      </c>
      <c r="K90" s="3">
        <f>SUM(J90,F90)</f>
        <v>0</v>
      </c>
      <c r="M90" s="45" t="s">
        <v>6</v>
      </c>
      <c r="N90" s="9">
        <f>K76</f>
        <v>8563</v>
      </c>
      <c r="O90" s="9">
        <f>K91</f>
        <v>13568</v>
      </c>
      <c r="P90" s="9">
        <f t="shared" si="24"/>
        <v>22131</v>
      </c>
    </row>
    <row r="91" spans="1:16" ht="21.75" thickTop="1" thickBot="1">
      <c r="A91" s="263"/>
      <c r="B91" s="45" t="s">
        <v>6</v>
      </c>
      <c r="C91" s="6">
        <f>SUM(C89:C90)</f>
        <v>4654</v>
      </c>
      <c r="D91" s="6">
        <f>SUM(D89:D90)</f>
        <v>7587</v>
      </c>
      <c r="E91" s="6">
        <f>SUM(E89:E90)</f>
        <v>1327</v>
      </c>
      <c r="F91" s="6">
        <f t="shared" si="23"/>
        <v>13568</v>
      </c>
      <c r="G91" s="6">
        <f>SUM(G89:G90)</f>
        <v>0</v>
      </c>
      <c r="H91" s="6">
        <f>SUM(H89:H90)</f>
        <v>0</v>
      </c>
      <c r="I91" s="6">
        <f>SUM(I89:I90)</f>
        <v>0</v>
      </c>
      <c r="J91" s="6">
        <f>SUM(J89:J90)</f>
        <v>0</v>
      </c>
      <c r="K91" s="6">
        <f>SUM(K89:K90)</f>
        <v>13568</v>
      </c>
      <c r="M91" s="46" t="s">
        <v>16</v>
      </c>
      <c r="N91" s="11">
        <f>K78</f>
        <v>5994</v>
      </c>
      <c r="O91" s="11">
        <f>K93</f>
        <v>9498</v>
      </c>
      <c r="P91" s="12">
        <f t="shared" si="24"/>
        <v>15492</v>
      </c>
    </row>
    <row r="92" spans="1:16" ht="21" thickTop="1">
      <c r="A92" s="263"/>
      <c r="B92" s="46" t="s">
        <v>15</v>
      </c>
      <c r="C92" s="4">
        <v>0</v>
      </c>
      <c r="D92" s="4">
        <v>0</v>
      </c>
      <c r="E92" s="4">
        <v>0</v>
      </c>
      <c r="F92" s="3">
        <f t="shared" si="23"/>
        <v>0</v>
      </c>
      <c r="G92" s="4">
        <v>0</v>
      </c>
      <c r="H92" s="4">
        <v>0</v>
      </c>
      <c r="I92" s="4">
        <v>0</v>
      </c>
      <c r="J92" s="3">
        <f t="shared" ref="J92:J97" si="25">SUM(G92:I92)</f>
        <v>0</v>
      </c>
      <c r="K92" s="3">
        <f t="shared" ref="K92:K97" si="26">SUM(J92,F92)</f>
        <v>0</v>
      </c>
      <c r="M92" s="46" t="s">
        <v>15</v>
      </c>
      <c r="N92" s="1">
        <f>$K$11</f>
        <v>0</v>
      </c>
      <c r="O92" s="1">
        <f>SUM(K92)</f>
        <v>0</v>
      </c>
      <c r="P92" s="12">
        <f t="shared" si="24"/>
        <v>0</v>
      </c>
    </row>
    <row r="93" spans="1:16">
      <c r="A93" s="263"/>
      <c r="B93" s="42" t="s">
        <v>16</v>
      </c>
      <c r="C93" s="4">
        <v>3258</v>
      </c>
      <c r="D93" s="4">
        <v>5311</v>
      </c>
      <c r="E93" s="4">
        <v>929</v>
      </c>
      <c r="F93" s="3">
        <f t="shared" si="23"/>
        <v>9498</v>
      </c>
      <c r="G93" s="4">
        <v>0</v>
      </c>
      <c r="H93" s="4">
        <v>0</v>
      </c>
      <c r="I93" s="4">
        <v>0</v>
      </c>
      <c r="J93" s="3">
        <f t="shared" si="25"/>
        <v>0</v>
      </c>
      <c r="K93" s="3">
        <f t="shared" si="26"/>
        <v>9498</v>
      </c>
      <c r="M93" s="42" t="s">
        <v>17</v>
      </c>
      <c r="N93" s="1">
        <f>K79</f>
        <v>43</v>
      </c>
      <c r="O93" s="1">
        <f>K94</f>
        <v>73</v>
      </c>
      <c r="P93" s="8">
        <f t="shared" si="24"/>
        <v>116</v>
      </c>
    </row>
    <row r="94" spans="1:16">
      <c r="A94" s="263"/>
      <c r="B94" s="42" t="s">
        <v>17</v>
      </c>
      <c r="C94" s="4">
        <v>21</v>
      </c>
      <c r="D94" s="4">
        <v>42</v>
      </c>
      <c r="E94" s="4">
        <v>10</v>
      </c>
      <c r="F94" s="3">
        <f t="shared" si="23"/>
        <v>73</v>
      </c>
      <c r="G94" s="4">
        <v>0</v>
      </c>
      <c r="H94" s="4">
        <v>0</v>
      </c>
      <c r="I94" s="4">
        <v>0</v>
      </c>
      <c r="J94" s="3">
        <f t="shared" si="25"/>
        <v>0</v>
      </c>
      <c r="K94" s="3">
        <f t="shared" si="26"/>
        <v>73</v>
      </c>
      <c r="M94" s="42" t="s">
        <v>18</v>
      </c>
      <c r="N94" s="1">
        <f>K80</f>
        <v>2334</v>
      </c>
      <c r="O94" s="1">
        <f>K95</f>
        <v>3936</v>
      </c>
      <c r="P94" s="8">
        <f t="shared" si="24"/>
        <v>6270</v>
      </c>
    </row>
    <row r="95" spans="1:16">
      <c r="A95" s="263"/>
      <c r="B95" s="42" t="s">
        <v>18</v>
      </c>
      <c r="C95" s="4">
        <v>1315</v>
      </c>
      <c r="D95" s="4">
        <v>2223</v>
      </c>
      <c r="E95" s="4">
        <v>398</v>
      </c>
      <c r="F95" s="3">
        <f t="shared" si="23"/>
        <v>3936</v>
      </c>
      <c r="G95" s="4">
        <v>0</v>
      </c>
      <c r="H95" s="4">
        <v>0</v>
      </c>
      <c r="I95" s="4">
        <v>0</v>
      </c>
      <c r="J95" s="3">
        <f t="shared" si="25"/>
        <v>0</v>
      </c>
      <c r="K95" s="3">
        <f t="shared" si="26"/>
        <v>3936</v>
      </c>
      <c r="M95" s="42" t="s">
        <v>19</v>
      </c>
      <c r="N95" s="1">
        <f>K81</f>
        <v>373</v>
      </c>
      <c r="O95" s="1">
        <f>K96</f>
        <v>787</v>
      </c>
      <c r="P95" s="8">
        <f t="shared" si="24"/>
        <v>1160</v>
      </c>
    </row>
    <row r="96" spans="1:16">
      <c r="A96" s="263"/>
      <c r="B96" s="42" t="s">
        <v>19</v>
      </c>
      <c r="C96" s="4">
        <v>260</v>
      </c>
      <c r="D96" s="4">
        <v>438</v>
      </c>
      <c r="E96" s="4">
        <v>89</v>
      </c>
      <c r="F96" s="3">
        <f t="shared" si="23"/>
        <v>787</v>
      </c>
      <c r="G96" s="4">
        <v>0</v>
      </c>
      <c r="H96" s="4">
        <v>0</v>
      </c>
      <c r="I96" s="4">
        <v>0</v>
      </c>
      <c r="J96" s="3">
        <f t="shared" si="25"/>
        <v>0</v>
      </c>
      <c r="K96" s="3">
        <f t="shared" si="26"/>
        <v>787</v>
      </c>
      <c r="M96" s="42" t="s">
        <v>20</v>
      </c>
      <c r="N96" s="1">
        <f>K82</f>
        <v>1</v>
      </c>
      <c r="O96" s="1">
        <f>K97</f>
        <v>0</v>
      </c>
      <c r="P96" s="8">
        <f t="shared" si="24"/>
        <v>1</v>
      </c>
    </row>
    <row r="97" spans="1:17" ht="21" thickBot="1">
      <c r="A97" s="263"/>
      <c r="B97" s="42" t="s">
        <v>20</v>
      </c>
      <c r="C97" s="4">
        <v>0</v>
      </c>
      <c r="D97" s="4">
        <v>0</v>
      </c>
      <c r="E97" s="4">
        <v>0</v>
      </c>
      <c r="F97" s="3">
        <f t="shared" si="23"/>
        <v>0</v>
      </c>
      <c r="G97" s="4">
        <v>0</v>
      </c>
      <c r="H97" s="4">
        <v>0</v>
      </c>
      <c r="I97" s="4">
        <v>0</v>
      </c>
      <c r="J97" s="3">
        <f t="shared" si="25"/>
        <v>0</v>
      </c>
      <c r="K97" s="3">
        <f t="shared" si="26"/>
        <v>0</v>
      </c>
      <c r="M97" s="47" t="s">
        <v>6</v>
      </c>
      <c r="N97" s="9">
        <f>SUM(N90:N96)</f>
        <v>17308</v>
      </c>
      <c r="O97" s="9">
        <f>SUM(O90:O96)</f>
        <v>27862</v>
      </c>
      <c r="P97" s="9">
        <f>SUM(P90:P96)</f>
        <v>45170</v>
      </c>
    </row>
    <row r="98" spans="1:17" ht="21.75" thickTop="1" thickBot="1">
      <c r="A98" s="264"/>
      <c r="B98" s="47" t="s">
        <v>6</v>
      </c>
      <c r="C98" s="6">
        <f>SUM(C91:C97)</f>
        <v>9508</v>
      </c>
      <c r="D98" s="6">
        <f t="shared" ref="D98:K98" si="27">SUM(D91:D97)</f>
        <v>15601</v>
      </c>
      <c r="E98" s="6">
        <f t="shared" si="27"/>
        <v>2753</v>
      </c>
      <c r="F98" s="6">
        <f t="shared" si="27"/>
        <v>27862</v>
      </c>
      <c r="G98" s="6">
        <f t="shared" si="27"/>
        <v>0</v>
      </c>
      <c r="H98" s="6">
        <f t="shared" si="27"/>
        <v>0</v>
      </c>
      <c r="I98" s="6">
        <f t="shared" si="27"/>
        <v>0</v>
      </c>
      <c r="J98" s="6">
        <f t="shared" si="27"/>
        <v>0</v>
      </c>
      <c r="K98" s="6">
        <f t="shared" si="27"/>
        <v>27862</v>
      </c>
      <c r="M98" s="5"/>
      <c r="N98" s="5"/>
      <c r="O98" s="5"/>
      <c r="P98" s="5"/>
    </row>
    <row r="99" spans="1:17" ht="21" thickTop="1">
      <c r="A99" s="13"/>
      <c r="B99" s="14"/>
      <c r="C99" s="15"/>
      <c r="D99" s="15"/>
      <c r="E99" s="15"/>
      <c r="F99" s="15"/>
      <c r="G99" s="15"/>
      <c r="H99" s="15"/>
      <c r="I99" s="15"/>
      <c r="J99" s="15"/>
      <c r="K99" s="15"/>
      <c r="M99" s="5"/>
      <c r="N99" s="5"/>
      <c r="O99" s="5"/>
      <c r="P99" s="5"/>
    </row>
    <row r="100" spans="1:17">
      <c r="A100" s="275" t="s">
        <v>143</v>
      </c>
      <c r="B100" s="275"/>
      <c r="C100" s="275"/>
      <c r="D100" s="275"/>
      <c r="E100" s="275"/>
      <c r="F100" s="275"/>
      <c r="G100" s="275"/>
      <c r="H100" s="275"/>
      <c r="I100" s="275"/>
      <c r="J100" s="275"/>
      <c r="K100" s="275"/>
      <c r="L100" s="275"/>
      <c r="M100" s="275"/>
      <c r="N100" s="275"/>
      <c r="O100" s="275"/>
      <c r="P100" s="275"/>
    </row>
    <row r="101" spans="1:17" ht="24" customHeight="1">
      <c r="A101" s="276" t="s">
        <v>32</v>
      </c>
      <c r="B101" s="277"/>
      <c r="C101" s="277"/>
      <c r="D101" s="277"/>
      <c r="E101" s="277"/>
      <c r="F101" s="277"/>
      <c r="G101" s="277"/>
      <c r="H101" s="277"/>
      <c r="I101" s="277"/>
      <c r="J101" s="277"/>
      <c r="K101" s="277"/>
      <c r="L101" s="277"/>
      <c r="M101" s="277"/>
      <c r="N101" s="277"/>
      <c r="O101" s="277"/>
      <c r="P101" s="277"/>
      <c r="Q101" s="39"/>
    </row>
    <row r="102" spans="1:17" ht="21" customHeight="1">
      <c r="A102" s="249" t="s">
        <v>1</v>
      </c>
      <c r="B102" s="250"/>
      <c r="C102" s="250"/>
      <c r="D102" s="250"/>
      <c r="E102" s="250"/>
      <c r="F102" s="250"/>
      <c r="G102" s="250"/>
      <c r="H102" s="250"/>
      <c r="I102" s="250"/>
      <c r="J102" s="250"/>
      <c r="K102" s="250"/>
    </row>
    <row r="103" spans="1:17">
      <c r="A103" s="267" t="s">
        <v>2</v>
      </c>
      <c r="B103" s="269" t="s">
        <v>3</v>
      </c>
      <c r="C103" s="270"/>
      <c r="D103" s="270"/>
      <c r="E103" s="270"/>
      <c r="F103" s="270"/>
      <c r="G103" s="270"/>
      <c r="H103" s="270"/>
      <c r="I103" s="270"/>
      <c r="J103" s="270"/>
      <c r="K103" s="271"/>
    </row>
    <row r="104" spans="1:17">
      <c r="A104" s="268"/>
      <c r="B104" s="41"/>
      <c r="C104" s="267" t="s">
        <v>4</v>
      </c>
      <c r="D104" s="268"/>
      <c r="E104" s="268"/>
      <c r="F104" s="268"/>
      <c r="G104" s="267" t="s">
        <v>5</v>
      </c>
      <c r="H104" s="268"/>
      <c r="I104" s="268"/>
      <c r="J104" s="268"/>
      <c r="K104" s="40" t="s">
        <v>6</v>
      </c>
    </row>
    <row r="105" spans="1:17">
      <c r="A105" s="262" t="s">
        <v>25</v>
      </c>
      <c r="B105" s="42" t="s">
        <v>8</v>
      </c>
      <c r="C105" s="43" t="s">
        <v>9</v>
      </c>
      <c r="D105" s="43" t="s">
        <v>10</v>
      </c>
      <c r="E105" s="43" t="s">
        <v>11</v>
      </c>
      <c r="F105" s="43" t="s">
        <v>6</v>
      </c>
      <c r="G105" s="43" t="s">
        <v>9</v>
      </c>
      <c r="H105" s="43" t="s">
        <v>10</v>
      </c>
      <c r="I105" s="43" t="s">
        <v>11</v>
      </c>
      <c r="J105" s="43" t="s">
        <v>6</v>
      </c>
      <c r="K105" s="43" t="s">
        <v>6</v>
      </c>
    </row>
    <row r="106" spans="1:17">
      <c r="A106" s="263"/>
      <c r="B106" s="44" t="s">
        <v>12</v>
      </c>
      <c r="C106" s="4">
        <v>0</v>
      </c>
      <c r="D106" s="4">
        <v>2</v>
      </c>
      <c r="E106" s="4">
        <v>1</v>
      </c>
      <c r="F106" s="3">
        <f t="shared" ref="F106:F115" si="28">SUM(C106:E106)</f>
        <v>3</v>
      </c>
      <c r="G106" s="4">
        <v>1</v>
      </c>
      <c r="H106" s="4">
        <v>3</v>
      </c>
      <c r="I106" s="4">
        <v>1</v>
      </c>
      <c r="J106" s="3">
        <f>SUM(G106:I106)</f>
        <v>5</v>
      </c>
      <c r="K106" s="3">
        <f>SUM(J106,F106)</f>
        <v>8</v>
      </c>
    </row>
    <row r="107" spans="1:17">
      <c r="A107" s="263"/>
      <c r="B107" s="42" t="s">
        <v>13</v>
      </c>
      <c r="C107" s="4">
        <v>0</v>
      </c>
      <c r="D107" s="4">
        <v>1756</v>
      </c>
      <c r="E107" s="4">
        <v>377</v>
      </c>
      <c r="F107" s="3">
        <f t="shared" si="28"/>
        <v>2133</v>
      </c>
      <c r="G107" s="4">
        <v>878</v>
      </c>
      <c r="H107" s="4">
        <v>1057</v>
      </c>
      <c r="I107" s="4">
        <v>191</v>
      </c>
      <c r="J107" s="3">
        <f>SUM(G107:I107)</f>
        <v>2126</v>
      </c>
      <c r="K107" s="3">
        <f>SUM(J107,F107)</f>
        <v>4259</v>
      </c>
    </row>
    <row r="108" spans="1:17">
      <c r="A108" s="263"/>
      <c r="B108" s="42" t="s">
        <v>14</v>
      </c>
      <c r="C108" s="4">
        <v>0</v>
      </c>
      <c r="D108" s="4">
        <v>0</v>
      </c>
      <c r="E108" s="4">
        <v>0</v>
      </c>
      <c r="F108" s="3">
        <f t="shared" si="28"/>
        <v>0</v>
      </c>
      <c r="G108" s="4">
        <v>0</v>
      </c>
      <c r="H108" s="4">
        <v>0</v>
      </c>
      <c r="I108" s="4">
        <v>0</v>
      </c>
      <c r="J108" s="3">
        <f>SUM(G108:I108)</f>
        <v>0</v>
      </c>
      <c r="K108" s="3">
        <f>SUM(J108,F108)</f>
        <v>0</v>
      </c>
    </row>
    <row r="109" spans="1:17" ht="21" thickBot="1">
      <c r="A109" s="263"/>
      <c r="B109" s="45" t="s">
        <v>6</v>
      </c>
      <c r="C109" s="6">
        <f>SUM(C107:C108)</f>
        <v>0</v>
      </c>
      <c r="D109" s="6">
        <f>SUM(D107:D108)</f>
        <v>1756</v>
      </c>
      <c r="E109" s="6">
        <f>SUM(E107:E108)</f>
        <v>377</v>
      </c>
      <c r="F109" s="6">
        <f t="shared" si="28"/>
        <v>2133</v>
      </c>
      <c r="G109" s="6">
        <f>SUM(G107:G108)</f>
        <v>878</v>
      </c>
      <c r="H109" s="6">
        <f>SUM(H107:H108)</f>
        <v>1057</v>
      </c>
      <c r="I109" s="6">
        <f>SUM(I107:I108)</f>
        <v>191</v>
      </c>
      <c r="J109" s="6">
        <f>SUM(J107:J108)</f>
        <v>2126</v>
      </c>
      <c r="K109" s="6">
        <f>SUM(K107:K108)</f>
        <v>4259</v>
      </c>
    </row>
    <row r="110" spans="1:17" ht="21" thickTop="1">
      <c r="A110" s="263"/>
      <c r="B110" s="46" t="s">
        <v>15</v>
      </c>
      <c r="C110" s="4">
        <v>0</v>
      </c>
      <c r="D110" s="4">
        <v>0</v>
      </c>
      <c r="E110" s="4">
        <v>0</v>
      </c>
      <c r="F110" s="3">
        <f t="shared" si="28"/>
        <v>0</v>
      </c>
      <c r="G110" s="4">
        <v>0</v>
      </c>
      <c r="H110" s="4">
        <v>0</v>
      </c>
      <c r="I110" s="4">
        <v>0</v>
      </c>
      <c r="J110" s="3">
        <f t="shared" ref="J110:J115" si="29">SUM(G110:I110)</f>
        <v>0</v>
      </c>
      <c r="K110" s="3">
        <f t="shared" ref="K110:K115" si="30">SUM(J110,F110)</f>
        <v>0</v>
      </c>
    </row>
    <row r="111" spans="1:17">
      <c r="A111" s="263"/>
      <c r="B111" s="42" t="s">
        <v>16</v>
      </c>
      <c r="C111" s="4">
        <v>0</v>
      </c>
      <c r="D111" s="4">
        <v>1229</v>
      </c>
      <c r="E111" s="4">
        <v>264</v>
      </c>
      <c r="F111" s="3">
        <f t="shared" si="28"/>
        <v>1493</v>
      </c>
      <c r="G111" s="4">
        <v>615</v>
      </c>
      <c r="H111" s="4">
        <v>740</v>
      </c>
      <c r="I111" s="4">
        <v>134</v>
      </c>
      <c r="J111" s="3">
        <f t="shared" si="29"/>
        <v>1489</v>
      </c>
      <c r="K111" s="3">
        <f t="shared" si="30"/>
        <v>2982</v>
      </c>
    </row>
    <row r="112" spans="1:17">
      <c r="A112" s="263"/>
      <c r="B112" s="42" t="s">
        <v>17</v>
      </c>
      <c r="C112" s="4">
        <v>0</v>
      </c>
      <c r="D112" s="4">
        <v>18</v>
      </c>
      <c r="E112" s="4">
        <v>2</v>
      </c>
      <c r="F112" s="3">
        <f t="shared" si="28"/>
        <v>20</v>
      </c>
      <c r="G112" s="4">
        <v>0</v>
      </c>
      <c r="H112" s="4">
        <v>22</v>
      </c>
      <c r="I112" s="4">
        <v>2</v>
      </c>
      <c r="J112" s="3">
        <f t="shared" si="29"/>
        <v>24</v>
      </c>
      <c r="K112" s="3">
        <f t="shared" si="30"/>
        <v>44</v>
      </c>
    </row>
    <row r="113" spans="1:16">
      <c r="A113" s="263"/>
      <c r="B113" s="42" t="s">
        <v>18</v>
      </c>
      <c r="C113" s="4">
        <v>0</v>
      </c>
      <c r="D113" s="4">
        <v>176</v>
      </c>
      <c r="E113" s="4">
        <v>37</v>
      </c>
      <c r="F113" s="3">
        <f t="shared" si="28"/>
        <v>213</v>
      </c>
      <c r="G113" s="4">
        <v>88</v>
      </c>
      <c r="H113" s="4">
        <v>106</v>
      </c>
      <c r="I113" s="4">
        <v>20</v>
      </c>
      <c r="J113" s="3">
        <f t="shared" si="29"/>
        <v>214</v>
      </c>
      <c r="K113" s="3">
        <f t="shared" si="30"/>
        <v>427</v>
      </c>
    </row>
    <row r="114" spans="1:16">
      <c r="A114" s="263"/>
      <c r="B114" s="42" t="s">
        <v>19</v>
      </c>
      <c r="C114" s="4">
        <v>0</v>
      </c>
      <c r="D114" s="4">
        <v>48</v>
      </c>
      <c r="E114" s="4">
        <v>8</v>
      </c>
      <c r="F114" s="3">
        <f t="shared" si="28"/>
        <v>56</v>
      </c>
      <c r="G114" s="4">
        <v>0</v>
      </c>
      <c r="H114" s="4">
        <v>32</v>
      </c>
      <c r="I114" s="4">
        <v>8</v>
      </c>
      <c r="J114" s="3">
        <f t="shared" si="29"/>
        <v>40</v>
      </c>
      <c r="K114" s="3">
        <f t="shared" si="30"/>
        <v>96</v>
      </c>
    </row>
    <row r="115" spans="1:16">
      <c r="A115" s="263"/>
      <c r="B115" s="42" t="s">
        <v>20</v>
      </c>
      <c r="C115" s="4">
        <v>0</v>
      </c>
      <c r="D115" s="4">
        <v>60</v>
      </c>
      <c r="E115" s="4">
        <v>10</v>
      </c>
      <c r="F115" s="3">
        <f t="shared" si="28"/>
        <v>70</v>
      </c>
      <c r="G115" s="4">
        <v>18</v>
      </c>
      <c r="H115" s="4">
        <v>36</v>
      </c>
      <c r="I115" s="4">
        <v>10</v>
      </c>
      <c r="J115" s="3">
        <f t="shared" si="29"/>
        <v>64</v>
      </c>
      <c r="K115" s="3">
        <f t="shared" si="30"/>
        <v>134</v>
      </c>
    </row>
    <row r="116" spans="1:16" ht="21" thickBot="1">
      <c r="A116" s="264"/>
      <c r="B116" s="47" t="s">
        <v>6</v>
      </c>
      <c r="C116" s="6">
        <f>SUM(C109:C115)</f>
        <v>0</v>
      </c>
      <c r="D116" s="6">
        <f t="shared" ref="D116:K116" si="31">SUM(D109:D115)</f>
        <v>3287</v>
      </c>
      <c r="E116" s="6">
        <f t="shared" si="31"/>
        <v>698</v>
      </c>
      <c r="F116" s="6">
        <f t="shared" si="31"/>
        <v>3985</v>
      </c>
      <c r="G116" s="6">
        <f t="shared" si="31"/>
        <v>1599</v>
      </c>
      <c r="H116" s="6">
        <f t="shared" si="31"/>
        <v>1993</v>
      </c>
      <c r="I116" s="6">
        <f t="shared" si="31"/>
        <v>365</v>
      </c>
      <c r="J116" s="6">
        <f t="shared" si="31"/>
        <v>3957</v>
      </c>
      <c r="K116" s="6">
        <f t="shared" si="31"/>
        <v>7942</v>
      </c>
    </row>
    <row r="117" spans="1:16" ht="17.25" customHeight="1" thickTop="1"/>
    <row r="118" spans="1:16">
      <c r="A118" s="267" t="s">
        <v>2</v>
      </c>
      <c r="B118" s="269" t="s">
        <v>21</v>
      </c>
      <c r="C118" s="270"/>
      <c r="D118" s="270"/>
      <c r="E118" s="270"/>
      <c r="F118" s="270"/>
      <c r="G118" s="270"/>
      <c r="H118" s="270"/>
      <c r="I118" s="270"/>
      <c r="J118" s="270"/>
      <c r="K118" s="271"/>
      <c r="M118" s="272" t="s">
        <v>22</v>
      </c>
      <c r="N118" s="273"/>
      <c r="O118" s="273"/>
      <c r="P118" s="274"/>
    </row>
    <row r="119" spans="1:16" ht="21" thickBot="1">
      <c r="A119" s="268"/>
      <c r="B119" s="41"/>
      <c r="C119" s="267" t="s">
        <v>4</v>
      </c>
      <c r="D119" s="268"/>
      <c r="E119" s="268"/>
      <c r="F119" s="268"/>
      <c r="G119" s="267" t="s">
        <v>5</v>
      </c>
      <c r="H119" s="268"/>
      <c r="I119" s="268"/>
      <c r="J119" s="268"/>
      <c r="K119" s="40" t="s">
        <v>6</v>
      </c>
      <c r="M119" s="42" t="s">
        <v>8</v>
      </c>
      <c r="N119" s="42" t="s">
        <v>3</v>
      </c>
      <c r="O119" s="42" t="s">
        <v>21</v>
      </c>
      <c r="P119" s="47" t="s">
        <v>6</v>
      </c>
    </row>
    <row r="120" spans="1:16" ht="21" customHeight="1" thickTop="1">
      <c r="A120" s="262" t="s">
        <v>25</v>
      </c>
      <c r="B120" s="42" t="s">
        <v>8</v>
      </c>
      <c r="C120" s="43" t="s">
        <v>9</v>
      </c>
      <c r="D120" s="43" t="s">
        <v>10</v>
      </c>
      <c r="E120" s="43" t="s">
        <v>11</v>
      </c>
      <c r="F120" s="43" t="s">
        <v>6</v>
      </c>
      <c r="G120" s="43" t="s">
        <v>9</v>
      </c>
      <c r="H120" s="43" t="s">
        <v>10</v>
      </c>
      <c r="I120" s="43" t="s">
        <v>11</v>
      </c>
      <c r="J120" s="43" t="s">
        <v>6</v>
      </c>
      <c r="K120" s="43" t="s">
        <v>6</v>
      </c>
      <c r="M120" s="44" t="s">
        <v>12</v>
      </c>
      <c r="N120" s="1">
        <f>K106</f>
        <v>8</v>
      </c>
      <c r="O120" s="1">
        <f>K121</f>
        <v>42</v>
      </c>
      <c r="P120" s="8">
        <f>SUM(N120:O120)</f>
        <v>50</v>
      </c>
    </row>
    <row r="121" spans="1:16">
      <c r="A121" s="263"/>
      <c r="B121" s="44" t="s">
        <v>12</v>
      </c>
      <c r="C121" s="4">
        <v>7</v>
      </c>
      <c r="D121" s="4">
        <v>13</v>
      </c>
      <c r="E121" s="4">
        <v>5</v>
      </c>
      <c r="F121" s="3">
        <f t="shared" ref="F121:F130" si="32">SUM(C121:E121)</f>
        <v>25</v>
      </c>
      <c r="G121" s="4">
        <v>2</v>
      </c>
      <c r="H121" s="4">
        <v>12</v>
      </c>
      <c r="I121" s="4">
        <v>3</v>
      </c>
      <c r="J121" s="3">
        <f>SUM(G121:I121)</f>
        <v>17</v>
      </c>
      <c r="K121" s="3">
        <f>SUM(J121,F121)</f>
        <v>42</v>
      </c>
      <c r="M121" s="42" t="s">
        <v>13</v>
      </c>
      <c r="N121" s="1">
        <f>K107</f>
        <v>4259</v>
      </c>
      <c r="O121" s="1">
        <f>K122</f>
        <v>25100</v>
      </c>
      <c r="P121" s="8">
        <f t="shared" ref="P121:P129" si="33">SUM(N121:O121)</f>
        <v>29359</v>
      </c>
    </row>
    <row r="122" spans="1:16">
      <c r="A122" s="263"/>
      <c r="B122" s="42" t="s">
        <v>13</v>
      </c>
      <c r="C122" s="4">
        <v>7380</v>
      </c>
      <c r="D122" s="4">
        <v>8331</v>
      </c>
      <c r="E122" s="4">
        <v>1570</v>
      </c>
      <c r="F122" s="3">
        <f t="shared" si="32"/>
        <v>17281</v>
      </c>
      <c r="G122" s="4">
        <v>872</v>
      </c>
      <c r="H122" s="4">
        <v>5615</v>
      </c>
      <c r="I122" s="4">
        <v>1332</v>
      </c>
      <c r="J122" s="3">
        <f>SUM(G122:I122)</f>
        <v>7819</v>
      </c>
      <c r="K122" s="3">
        <f>SUM(J122,F122)</f>
        <v>25100</v>
      </c>
      <c r="M122" s="42" t="s">
        <v>14</v>
      </c>
      <c r="N122" s="1">
        <f>K108</f>
        <v>0</v>
      </c>
      <c r="O122" s="1">
        <f>K123</f>
        <v>0</v>
      </c>
      <c r="P122" s="8">
        <f t="shared" si="33"/>
        <v>0</v>
      </c>
    </row>
    <row r="123" spans="1:16" ht="21" thickBot="1">
      <c r="A123" s="263"/>
      <c r="B123" s="42" t="s">
        <v>14</v>
      </c>
      <c r="C123" s="4">
        <v>0</v>
      </c>
      <c r="D123" s="4">
        <v>0</v>
      </c>
      <c r="E123" s="4">
        <v>0</v>
      </c>
      <c r="F123" s="3">
        <f t="shared" si="32"/>
        <v>0</v>
      </c>
      <c r="G123" s="4">
        <v>0</v>
      </c>
      <c r="H123" s="4">
        <v>0</v>
      </c>
      <c r="I123" s="4">
        <v>0</v>
      </c>
      <c r="J123" s="3">
        <f>SUM(G123:I123)</f>
        <v>0</v>
      </c>
      <c r="K123" s="3">
        <f>SUM(J123,F123)</f>
        <v>0</v>
      </c>
      <c r="M123" s="45" t="s">
        <v>6</v>
      </c>
      <c r="N123" s="9">
        <f>K109</f>
        <v>4259</v>
      </c>
      <c r="O123" s="9">
        <f>K124</f>
        <v>25100</v>
      </c>
      <c r="P123" s="9">
        <f t="shared" si="33"/>
        <v>29359</v>
      </c>
    </row>
    <row r="124" spans="1:16" ht="21.75" thickTop="1" thickBot="1">
      <c r="A124" s="263"/>
      <c r="B124" s="45" t="s">
        <v>6</v>
      </c>
      <c r="C124" s="6">
        <f>SUM(C122:C123)</f>
        <v>7380</v>
      </c>
      <c r="D124" s="6">
        <f>SUM(D122:D123)</f>
        <v>8331</v>
      </c>
      <c r="E124" s="6">
        <f>SUM(E122:E123)</f>
        <v>1570</v>
      </c>
      <c r="F124" s="6">
        <f t="shared" si="32"/>
        <v>17281</v>
      </c>
      <c r="G124" s="6">
        <f>SUM(G122:G123)</f>
        <v>872</v>
      </c>
      <c r="H124" s="6">
        <f>SUM(H122:H123)</f>
        <v>5615</v>
      </c>
      <c r="I124" s="6">
        <f>SUM(I122:I123)</f>
        <v>1332</v>
      </c>
      <c r="J124" s="6">
        <f>SUM(J122:J123)</f>
        <v>7819</v>
      </c>
      <c r="K124" s="6">
        <f>SUM(K122:K123)</f>
        <v>25100</v>
      </c>
      <c r="M124" s="46" t="s">
        <v>16</v>
      </c>
      <c r="N124" s="11">
        <f>K111</f>
        <v>2982</v>
      </c>
      <c r="O124" s="11">
        <f>K126</f>
        <v>17570</v>
      </c>
      <c r="P124" s="12">
        <f t="shared" si="33"/>
        <v>20552</v>
      </c>
    </row>
    <row r="125" spans="1:16" ht="21" thickTop="1">
      <c r="A125" s="263"/>
      <c r="B125" s="46" t="s">
        <v>15</v>
      </c>
      <c r="C125" s="4">
        <v>0</v>
      </c>
      <c r="D125" s="4">
        <v>0</v>
      </c>
      <c r="E125" s="4">
        <v>0</v>
      </c>
      <c r="F125" s="3">
        <f t="shared" si="32"/>
        <v>0</v>
      </c>
      <c r="G125" s="4">
        <v>0</v>
      </c>
      <c r="H125" s="4">
        <v>0</v>
      </c>
      <c r="I125" s="4">
        <v>0</v>
      </c>
      <c r="J125" s="3">
        <f t="shared" ref="J125:J130" si="34">SUM(G125:I125)</f>
        <v>0</v>
      </c>
      <c r="K125" s="3">
        <f t="shared" ref="K125:K130" si="35">SUM(J125,F125)</f>
        <v>0</v>
      </c>
      <c r="M125" s="46" t="s">
        <v>15</v>
      </c>
      <c r="N125" s="1">
        <f>$K$11</f>
        <v>0</v>
      </c>
      <c r="O125" s="1">
        <f>SUM(K125)</f>
        <v>0</v>
      </c>
      <c r="P125" s="12">
        <f t="shared" si="33"/>
        <v>0</v>
      </c>
    </row>
    <row r="126" spans="1:16">
      <c r="A126" s="263"/>
      <c r="B126" s="42" t="s">
        <v>16</v>
      </c>
      <c r="C126" s="4">
        <v>5166</v>
      </c>
      <c r="D126" s="4">
        <v>5832</v>
      </c>
      <c r="E126" s="4">
        <v>1099</v>
      </c>
      <c r="F126" s="3">
        <f t="shared" si="32"/>
        <v>12097</v>
      </c>
      <c r="G126" s="4">
        <v>611</v>
      </c>
      <c r="H126" s="4">
        <v>3930</v>
      </c>
      <c r="I126" s="4">
        <v>932</v>
      </c>
      <c r="J126" s="3">
        <f t="shared" si="34"/>
        <v>5473</v>
      </c>
      <c r="K126" s="3">
        <f t="shared" si="35"/>
        <v>17570</v>
      </c>
      <c r="M126" s="42" t="s">
        <v>17</v>
      </c>
      <c r="N126" s="1">
        <f>K112</f>
        <v>44</v>
      </c>
      <c r="O126" s="1">
        <f>K127</f>
        <v>331</v>
      </c>
      <c r="P126" s="8">
        <f t="shared" si="33"/>
        <v>375</v>
      </c>
    </row>
    <row r="127" spans="1:16">
      <c r="A127" s="263"/>
      <c r="B127" s="42" t="s">
        <v>17</v>
      </c>
      <c r="C127" s="4">
        <v>88</v>
      </c>
      <c r="D127" s="4">
        <v>137</v>
      </c>
      <c r="E127" s="4">
        <v>16</v>
      </c>
      <c r="F127" s="3">
        <f t="shared" si="32"/>
        <v>241</v>
      </c>
      <c r="G127" s="4">
        <v>28</v>
      </c>
      <c r="H127" s="4">
        <v>55</v>
      </c>
      <c r="I127" s="4">
        <v>7</v>
      </c>
      <c r="J127" s="3">
        <f t="shared" si="34"/>
        <v>90</v>
      </c>
      <c r="K127" s="3">
        <f t="shared" si="35"/>
        <v>331</v>
      </c>
      <c r="M127" s="42" t="s">
        <v>18</v>
      </c>
      <c r="N127" s="1">
        <f>K113</f>
        <v>427</v>
      </c>
      <c r="O127" s="1">
        <f>K128</f>
        <v>2511</v>
      </c>
      <c r="P127" s="8">
        <f t="shared" si="33"/>
        <v>2938</v>
      </c>
    </row>
    <row r="128" spans="1:16">
      <c r="A128" s="263"/>
      <c r="B128" s="42" t="s">
        <v>18</v>
      </c>
      <c r="C128" s="4">
        <v>738</v>
      </c>
      <c r="D128" s="4">
        <v>834</v>
      </c>
      <c r="E128" s="4">
        <v>157</v>
      </c>
      <c r="F128" s="3">
        <f t="shared" si="32"/>
        <v>1729</v>
      </c>
      <c r="G128" s="4">
        <v>88</v>
      </c>
      <c r="H128" s="4">
        <v>561</v>
      </c>
      <c r="I128" s="4">
        <v>133</v>
      </c>
      <c r="J128" s="3">
        <f t="shared" si="34"/>
        <v>782</v>
      </c>
      <c r="K128" s="3">
        <f t="shared" si="35"/>
        <v>2511</v>
      </c>
      <c r="M128" s="42" t="s">
        <v>19</v>
      </c>
      <c r="N128" s="1">
        <f>K114</f>
        <v>96</v>
      </c>
      <c r="O128" s="1">
        <f>K129</f>
        <v>552</v>
      </c>
      <c r="P128" s="8">
        <f t="shared" si="33"/>
        <v>648</v>
      </c>
    </row>
    <row r="129" spans="1:17">
      <c r="A129" s="263"/>
      <c r="B129" s="42" t="s">
        <v>19</v>
      </c>
      <c r="C129" s="4">
        <v>81</v>
      </c>
      <c r="D129" s="4">
        <v>211</v>
      </c>
      <c r="E129" s="4">
        <v>33</v>
      </c>
      <c r="F129" s="3">
        <f t="shared" si="32"/>
        <v>325</v>
      </c>
      <c r="G129" s="4">
        <v>0</v>
      </c>
      <c r="H129" s="4">
        <v>195</v>
      </c>
      <c r="I129" s="4">
        <v>32</v>
      </c>
      <c r="J129" s="3">
        <f t="shared" si="34"/>
        <v>227</v>
      </c>
      <c r="K129" s="3">
        <f t="shared" si="35"/>
        <v>552</v>
      </c>
      <c r="M129" s="42" t="s">
        <v>20</v>
      </c>
      <c r="N129" s="1">
        <f>K115</f>
        <v>134</v>
      </c>
      <c r="O129" s="1">
        <f>K130</f>
        <v>321</v>
      </c>
      <c r="P129" s="8">
        <f t="shared" si="33"/>
        <v>455</v>
      </c>
    </row>
    <row r="130" spans="1:17" ht="21" thickBot="1">
      <c r="A130" s="263"/>
      <c r="B130" s="42" t="s">
        <v>20</v>
      </c>
      <c r="C130" s="4">
        <v>98</v>
      </c>
      <c r="D130" s="4">
        <v>71</v>
      </c>
      <c r="E130" s="4">
        <v>46</v>
      </c>
      <c r="F130" s="3">
        <f t="shared" si="32"/>
        <v>215</v>
      </c>
      <c r="G130" s="4">
        <v>12</v>
      </c>
      <c r="H130" s="4">
        <v>66</v>
      </c>
      <c r="I130" s="4">
        <v>28</v>
      </c>
      <c r="J130" s="3">
        <f t="shared" si="34"/>
        <v>106</v>
      </c>
      <c r="K130" s="3">
        <f t="shared" si="35"/>
        <v>321</v>
      </c>
      <c r="M130" s="47" t="s">
        <v>6</v>
      </c>
      <c r="N130" s="9">
        <f>SUM(N123:N129)</f>
        <v>7942</v>
      </c>
      <c r="O130" s="9">
        <f>SUM(O123:O129)</f>
        <v>46385</v>
      </c>
      <c r="P130" s="9">
        <f>SUM(P123:P129)</f>
        <v>54327</v>
      </c>
    </row>
    <row r="131" spans="1:17" ht="21.75" thickTop="1" thickBot="1">
      <c r="A131" s="264"/>
      <c r="B131" s="47" t="s">
        <v>6</v>
      </c>
      <c r="C131" s="6">
        <f>SUM(C124:C130)</f>
        <v>13551</v>
      </c>
      <c r="D131" s="6">
        <f t="shared" ref="D131:K131" si="36">SUM(D124:D130)</f>
        <v>15416</v>
      </c>
      <c r="E131" s="6">
        <f t="shared" si="36"/>
        <v>2921</v>
      </c>
      <c r="F131" s="6">
        <f t="shared" si="36"/>
        <v>31888</v>
      </c>
      <c r="G131" s="6">
        <f t="shared" si="36"/>
        <v>1611</v>
      </c>
      <c r="H131" s="6">
        <f t="shared" si="36"/>
        <v>10422</v>
      </c>
      <c r="I131" s="6">
        <f t="shared" si="36"/>
        <v>2464</v>
      </c>
      <c r="J131" s="6">
        <f t="shared" si="36"/>
        <v>14497</v>
      </c>
      <c r="K131" s="6">
        <f t="shared" si="36"/>
        <v>46385</v>
      </c>
      <c r="M131" s="5"/>
      <c r="N131" s="5"/>
      <c r="O131" s="5"/>
      <c r="P131" s="5"/>
    </row>
    <row r="132" spans="1:17" ht="21" thickTop="1">
      <c r="A132" s="13"/>
      <c r="B132" s="14"/>
      <c r="C132" s="15"/>
      <c r="D132" s="15"/>
      <c r="E132" s="15"/>
      <c r="F132" s="15"/>
      <c r="G132" s="15"/>
      <c r="H132" s="15"/>
      <c r="I132" s="15"/>
      <c r="J132" s="15"/>
      <c r="K132" s="15"/>
      <c r="M132" s="5"/>
      <c r="N132" s="5"/>
      <c r="O132" s="5"/>
      <c r="P132" s="5"/>
    </row>
    <row r="133" spans="1:17">
      <c r="A133" s="275" t="s">
        <v>143</v>
      </c>
      <c r="B133" s="275"/>
      <c r="C133" s="275"/>
      <c r="D133" s="275"/>
      <c r="E133" s="275"/>
      <c r="F133" s="275"/>
      <c r="G133" s="275"/>
      <c r="H133" s="275"/>
      <c r="I133" s="275"/>
      <c r="J133" s="275"/>
      <c r="K133" s="275"/>
      <c r="L133" s="275"/>
      <c r="M133" s="275"/>
      <c r="N133" s="275"/>
      <c r="O133" s="275"/>
      <c r="P133" s="275"/>
    </row>
    <row r="134" spans="1:17" ht="24" customHeight="1">
      <c r="A134" s="276" t="s">
        <v>32</v>
      </c>
      <c r="B134" s="277"/>
      <c r="C134" s="277"/>
      <c r="D134" s="277"/>
      <c r="E134" s="277"/>
      <c r="F134" s="277"/>
      <c r="G134" s="277"/>
      <c r="H134" s="277"/>
      <c r="I134" s="277"/>
      <c r="J134" s="277"/>
      <c r="K134" s="277"/>
      <c r="L134" s="277"/>
      <c r="M134" s="277"/>
      <c r="N134" s="277"/>
      <c r="O134" s="277"/>
      <c r="P134" s="277"/>
      <c r="Q134" s="39"/>
    </row>
    <row r="135" spans="1:17" ht="21" customHeight="1">
      <c r="A135" s="249" t="s">
        <v>1</v>
      </c>
      <c r="B135" s="250"/>
      <c r="C135" s="250"/>
      <c r="D135" s="250"/>
      <c r="E135" s="250"/>
      <c r="F135" s="250"/>
      <c r="G135" s="250"/>
      <c r="H135" s="250"/>
      <c r="I135" s="250"/>
      <c r="J135" s="250"/>
      <c r="K135" s="250"/>
    </row>
    <row r="136" spans="1:17">
      <c r="A136" s="267" t="s">
        <v>2</v>
      </c>
      <c r="B136" s="269" t="s">
        <v>3</v>
      </c>
      <c r="C136" s="270"/>
      <c r="D136" s="270"/>
      <c r="E136" s="270"/>
      <c r="F136" s="270"/>
      <c r="G136" s="270"/>
      <c r="H136" s="270"/>
      <c r="I136" s="270"/>
      <c r="J136" s="270"/>
      <c r="K136" s="271"/>
    </row>
    <row r="137" spans="1:17">
      <c r="A137" s="268"/>
      <c r="B137" s="41"/>
      <c r="C137" s="267" t="s">
        <v>4</v>
      </c>
      <c r="D137" s="268"/>
      <c r="E137" s="268"/>
      <c r="F137" s="268"/>
      <c r="G137" s="267" t="s">
        <v>5</v>
      </c>
      <c r="H137" s="268"/>
      <c r="I137" s="268"/>
      <c r="J137" s="268"/>
      <c r="K137" s="40" t="s">
        <v>6</v>
      </c>
    </row>
    <row r="138" spans="1:17">
      <c r="A138" s="262" t="s">
        <v>26</v>
      </c>
      <c r="B138" s="42" t="s">
        <v>8</v>
      </c>
      <c r="C138" s="43" t="s">
        <v>9</v>
      </c>
      <c r="D138" s="43" t="s">
        <v>10</v>
      </c>
      <c r="E138" s="43" t="s">
        <v>11</v>
      </c>
      <c r="F138" s="43" t="s">
        <v>6</v>
      </c>
      <c r="G138" s="43" t="s">
        <v>9</v>
      </c>
      <c r="H138" s="43" t="s">
        <v>10</v>
      </c>
      <c r="I138" s="43" t="s">
        <v>11</v>
      </c>
      <c r="J138" s="43" t="s">
        <v>6</v>
      </c>
      <c r="K138" s="43" t="s">
        <v>6</v>
      </c>
    </row>
    <row r="139" spans="1:17">
      <c r="A139" s="263"/>
      <c r="B139" s="44" t="s">
        <v>12</v>
      </c>
      <c r="C139" s="4">
        <v>2</v>
      </c>
      <c r="D139" s="4">
        <v>8</v>
      </c>
      <c r="E139" s="4">
        <v>4</v>
      </c>
      <c r="F139" s="3">
        <f t="shared" ref="F139:F148" si="37">SUM(C139:E139)</f>
        <v>14</v>
      </c>
      <c r="G139" s="4">
        <v>0</v>
      </c>
      <c r="H139" s="4">
        <v>9</v>
      </c>
      <c r="I139" s="4">
        <v>0</v>
      </c>
      <c r="J139" s="3">
        <f>SUM(G139:I139)</f>
        <v>9</v>
      </c>
      <c r="K139" s="3">
        <f>SUM(J139,F139)</f>
        <v>23</v>
      </c>
    </row>
    <row r="140" spans="1:17">
      <c r="A140" s="263"/>
      <c r="B140" s="42" t="s">
        <v>13</v>
      </c>
      <c r="C140" s="4">
        <v>1835</v>
      </c>
      <c r="D140" s="4">
        <v>3775</v>
      </c>
      <c r="E140" s="4">
        <v>1705</v>
      </c>
      <c r="F140" s="3">
        <f t="shared" si="37"/>
        <v>7315</v>
      </c>
      <c r="G140" s="4">
        <v>0</v>
      </c>
      <c r="H140" s="4">
        <v>3109</v>
      </c>
      <c r="I140" s="4">
        <v>0</v>
      </c>
      <c r="J140" s="3">
        <f>SUM(G140:I140)</f>
        <v>3109</v>
      </c>
      <c r="K140" s="3">
        <f>SUM(J140,F140)</f>
        <v>10424</v>
      </c>
    </row>
    <row r="141" spans="1:17">
      <c r="A141" s="263"/>
      <c r="B141" s="42" t="s">
        <v>14</v>
      </c>
      <c r="C141" s="4">
        <v>0</v>
      </c>
      <c r="D141" s="4">
        <v>0</v>
      </c>
      <c r="E141" s="4">
        <v>0</v>
      </c>
      <c r="F141" s="3">
        <f t="shared" si="37"/>
        <v>0</v>
      </c>
      <c r="G141" s="4">
        <v>0</v>
      </c>
      <c r="H141" s="4">
        <v>0</v>
      </c>
      <c r="I141" s="4">
        <v>0</v>
      </c>
      <c r="J141" s="3">
        <f>SUM(G141:I141)</f>
        <v>0</v>
      </c>
      <c r="K141" s="3">
        <f>SUM(J141,F141)</f>
        <v>0</v>
      </c>
    </row>
    <row r="142" spans="1:17" ht="21" thickBot="1">
      <c r="A142" s="263"/>
      <c r="B142" s="45" t="s">
        <v>6</v>
      </c>
      <c r="C142" s="6">
        <f>SUM(C140:C141)</f>
        <v>1835</v>
      </c>
      <c r="D142" s="6">
        <f>SUM(D140:D141)</f>
        <v>3775</v>
      </c>
      <c r="E142" s="6">
        <f>SUM(E140:E141)</f>
        <v>1705</v>
      </c>
      <c r="F142" s="6">
        <f t="shared" si="37"/>
        <v>7315</v>
      </c>
      <c r="G142" s="6">
        <f>SUM(G140:G141)</f>
        <v>0</v>
      </c>
      <c r="H142" s="6">
        <f>SUM(H140:H141)</f>
        <v>3109</v>
      </c>
      <c r="I142" s="6">
        <f>SUM(I140:I141)</f>
        <v>0</v>
      </c>
      <c r="J142" s="6">
        <f>SUM(J140:J141)</f>
        <v>3109</v>
      </c>
      <c r="K142" s="6">
        <f>SUM(K140:K141)</f>
        <v>10424</v>
      </c>
    </row>
    <row r="143" spans="1:17" ht="21" thickTop="1">
      <c r="A143" s="263"/>
      <c r="B143" s="46" t="s">
        <v>15</v>
      </c>
      <c r="C143" s="4">
        <v>0</v>
      </c>
      <c r="D143" s="4">
        <v>0</v>
      </c>
      <c r="E143" s="4">
        <v>0</v>
      </c>
      <c r="F143" s="3">
        <f t="shared" si="37"/>
        <v>0</v>
      </c>
      <c r="G143" s="4">
        <v>0</v>
      </c>
      <c r="H143" s="4">
        <v>0</v>
      </c>
      <c r="I143" s="4">
        <v>0</v>
      </c>
      <c r="J143" s="3">
        <f t="shared" ref="J143:J148" si="38">SUM(G143:I143)</f>
        <v>0</v>
      </c>
      <c r="K143" s="3">
        <f t="shared" ref="K143:K148" si="39">SUM(J143,F143)</f>
        <v>0</v>
      </c>
    </row>
    <row r="144" spans="1:17">
      <c r="A144" s="263"/>
      <c r="B144" s="42" t="s">
        <v>16</v>
      </c>
      <c r="C144" s="4">
        <v>1285</v>
      </c>
      <c r="D144" s="4">
        <v>2643</v>
      </c>
      <c r="E144" s="4">
        <v>1194</v>
      </c>
      <c r="F144" s="3">
        <f t="shared" si="37"/>
        <v>5122</v>
      </c>
      <c r="G144" s="4">
        <v>0</v>
      </c>
      <c r="H144" s="4">
        <v>2177</v>
      </c>
      <c r="I144" s="4">
        <v>0</v>
      </c>
      <c r="J144" s="3">
        <f t="shared" si="38"/>
        <v>2177</v>
      </c>
      <c r="K144" s="3">
        <f t="shared" si="39"/>
        <v>7299</v>
      </c>
    </row>
    <row r="145" spans="1:16">
      <c r="A145" s="263"/>
      <c r="B145" s="42" t="s">
        <v>17</v>
      </c>
      <c r="C145" s="4">
        <v>4</v>
      </c>
      <c r="D145" s="4">
        <v>11</v>
      </c>
      <c r="E145" s="4">
        <v>0</v>
      </c>
      <c r="F145" s="3">
        <f t="shared" si="37"/>
        <v>15</v>
      </c>
      <c r="G145" s="4">
        <v>0</v>
      </c>
      <c r="H145" s="4">
        <v>12</v>
      </c>
      <c r="I145" s="4">
        <v>0</v>
      </c>
      <c r="J145" s="3">
        <f t="shared" si="38"/>
        <v>12</v>
      </c>
      <c r="K145" s="3">
        <f t="shared" si="39"/>
        <v>27</v>
      </c>
    </row>
    <row r="146" spans="1:16">
      <c r="A146" s="263"/>
      <c r="B146" s="42" t="s">
        <v>18</v>
      </c>
      <c r="C146" s="4">
        <v>391</v>
      </c>
      <c r="D146" s="4">
        <v>657</v>
      </c>
      <c r="E146" s="4">
        <v>259</v>
      </c>
      <c r="F146" s="3">
        <f t="shared" si="37"/>
        <v>1307</v>
      </c>
      <c r="G146" s="4">
        <v>0</v>
      </c>
      <c r="H146" s="4">
        <v>503</v>
      </c>
      <c r="I146" s="4">
        <v>0</v>
      </c>
      <c r="J146" s="3">
        <f t="shared" si="38"/>
        <v>503</v>
      </c>
      <c r="K146" s="3">
        <f t="shared" si="39"/>
        <v>1810</v>
      </c>
    </row>
    <row r="147" spans="1:16">
      <c r="A147" s="263"/>
      <c r="B147" s="42" t="s">
        <v>19</v>
      </c>
      <c r="C147" s="4">
        <v>97</v>
      </c>
      <c r="D147" s="4">
        <v>178</v>
      </c>
      <c r="E147" s="4">
        <v>97</v>
      </c>
      <c r="F147" s="3">
        <f t="shared" si="37"/>
        <v>372</v>
      </c>
      <c r="G147" s="4">
        <v>0</v>
      </c>
      <c r="H147" s="4">
        <v>195</v>
      </c>
      <c r="I147" s="4">
        <v>0</v>
      </c>
      <c r="J147" s="3">
        <f t="shared" si="38"/>
        <v>195</v>
      </c>
      <c r="K147" s="3">
        <f t="shared" si="39"/>
        <v>567</v>
      </c>
    </row>
    <row r="148" spans="1:16">
      <c r="A148" s="263"/>
      <c r="B148" s="42" t="s">
        <v>20</v>
      </c>
      <c r="C148" s="4">
        <v>0</v>
      </c>
      <c r="D148" s="4">
        <v>2</v>
      </c>
      <c r="E148" s="4">
        <v>2</v>
      </c>
      <c r="F148" s="3">
        <f t="shared" si="37"/>
        <v>4</v>
      </c>
      <c r="G148" s="4">
        <v>0</v>
      </c>
      <c r="H148" s="4">
        <v>2</v>
      </c>
      <c r="I148" s="4">
        <v>0</v>
      </c>
      <c r="J148" s="3">
        <f t="shared" si="38"/>
        <v>2</v>
      </c>
      <c r="K148" s="3">
        <f t="shared" si="39"/>
        <v>6</v>
      </c>
    </row>
    <row r="149" spans="1:16" ht="21" thickBot="1">
      <c r="A149" s="264"/>
      <c r="B149" s="47" t="s">
        <v>6</v>
      </c>
      <c r="C149" s="6">
        <f>SUM(C142:C148)</f>
        <v>3612</v>
      </c>
      <c r="D149" s="6">
        <f t="shared" ref="D149:K149" si="40">SUM(D142:D148)</f>
        <v>7266</v>
      </c>
      <c r="E149" s="6">
        <f t="shared" si="40"/>
        <v>3257</v>
      </c>
      <c r="F149" s="6">
        <f t="shared" si="40"/>
        <v>14135</v>
      </c>
      <c r="G149" s="6">
        <f t="shared" si="40"/>
        <v>0</v>
      </c>
      <c r="H149" s="6">
        <f t="shared" si="40"/>
        <v>5998</v>
      </c>
      <c r="I149" s="6">
        <f t="shared" si="40"/>
        <v>0</v>
      </c>
      <c r="J149" s="6">
        <f t="shared" si="40"/>
        <v>5998</v>
      </c>
      <c r="K149" s="6">
        <f t="shared" si="40"/>
        <v>20133</v>
      </c>
    </row>
    <row r="150" spans="1:16" ht="17.25" customHeight="1" thickTop="1"/>
    <row r="151" spans="1:16">
      <c r="A151" s="267" t="s">
        <v>2</v>
      </c>
      <c r="B151" s="269" t="s">
        <v>21</v>
      </c>
      <c r="C151" s="270"/>
      <c r="D151" s="270"/>
      <c r="E151" s="270"/>
      <c r="F151" s="270"/>
      <c r="G151" s="270"/>
      <c r="H151" s="270"/>
      <c r="I151" s="270"/>
      <c r="J151" s="270"/>
      <c r="K151" s="271"/>
      <c r="M151" s="272" t="s">
        <v>22</v>
      </c>
      <c r="N151" s="273"/>
      <c r="O151" s="273"/>
      <c r="P151" s="274"/>
    </row>
    <row r="152" spans="1:16" ht="21" thickBot="1">
      <c r="A152" s="268"/>
      <c r="B152" s="41"/>
      <c r="C152" s="267" t="s">
        <v>4</v>
      </c>
      <c r="D152" s="268"/>
      <c r="E152" s="268"/>
      <c r="F152" s="268"/>
      <c r="G152" s="267" t="s">
        <v>5</v>
      </c>
      <c r="H152" s="268"/>
      <c r="I152" s="268"/>
      <c r="J152" s="268"/>
      <c r="K152" s="40" t="s">
        <v>6</v>
      </c>
      <c r="M152" s="42" t="s">
        <v>8</v>
      </c>
      <c r="N152" s="40" t="s">
        <v>3</v>
      </c>
      <c r="O152" s="42" t="s">
        <v>21</v>
      </c>
      <c r="P152" s="47" t="s">
        <v>6</v>
      </c>
    </row>
    <row r="153" spans="1:16" ht="21" customHeight="1" thickTop="1">
      <c r="A153" s="262" t="s">
        <v>26</v>
      </c>
      <c r="B153" s="42" t="s">
        <v>8</v>
      </c>
      <c r="C153" s="43" t="s">
        <v>9</v>
      </c>
      <c r="D153" s="43" t="s">
        <v>10</v>
      </c>
      <c r="E153" s="43" t="s">
        <v>11</v>
      </c>
      <c r="F153" s="43" t="s">
        <v>6</v>
      </c>
      <c r="G153" s="43" t="s">
        <v>9</v>
      </c>
      <c r="H153" s="43" t="s">
        <v>10</v>
      </c>
      <c r="I153" s="43" t="s">
        <v>11</v>
      </c>
      <c r="J153" s="43" t="s">
        <v>6</v>
      </c>
      <c r="K153" s="43" t="s">
        <v>6</v>
      </c>
      <c r="M153" s="44" t="s">
        <v>12</v>
      </c>
      <c r="N153" s="1">
        <f>K139</f>
        <v>23</v>
      </c>
      <c r="O153" s="1">
        <f>K154</f>
        <v>57</v>
      </c>
      <c r="P153" s="8">
        <f>SUM(N153:O153)</f>
        <v>80</v>
      </c>
    </row>
    <row r="154" spans="1:16">
      <c r="A154" s="263"/>
      <c r="B154" s="44" t="s">
        <v>12</v>
      </c>
      <c r="C154" s="4">
        <v>14</v>
      </c>
      <c r="D154" s="4">
        <v>25</v>
      </c>
      <c r="E154" s="4">
        <v>10</v>
      </c>
      <c r="F154" s="3">
        <f t="shared" ref="F154:F163" si="41">SUM(C154:E154)</f>
        <v>49</v>
      </c>
      <c r="G154" s="4">
        <v>0</v>
      </c>
      <c r="H154" s="4">
        <v>6</v>
      </c>
      <c r="I154" s="4">
        <v>2</v>
      </c>
      <c r="J154" s="3">
        <f>SUM(G154:I154)</f>
        <v>8</v>
      </c>
      <c r="K154" s="3">
        <f>SUM(J154,F154)</f>
        <v>57</v>
      </c>
      <c r="M154" s="42" t="s">
        <v>13</v>
      </c>
      <c r="N154" s="1">
        <f>K140</f>
        <v>10424</v>
      </c>
      <c r="O154" s="1">
        <f>K155</f>
        <v>28409</v>
      </c>
      <c r="P154" s="8">
        <f t="shared" ref="P154:P162" si="42">SUM(N154:O154)</f>
        <v>38833</v>
      </c>
    </row>
    <row r="155" spans="1:16">
      <c r="A155" s="263"/>
      <c r="B155" s="42" t="s">
        <v>13</v>
      </c>
      <c r="C155" s="4">
        <v>10933</v>
      </c>
      <c r="D155" s="4">
        <v>11119</v>
      </c>
      <c r="E155" s="4">
        <v>3610</v>
      </c>
      <c r="F155" s="3">
        <f t="shared" si="41"/>
        <v>25662</v>
      </c>
      <c r="G155" s="4">
        <v>0</v>
      </c>
      <c r="H155" s="4">
        <v>2379</v>
      </c>
      <c r="I155" s="4">
        <v>368</v>
      </c>
      <c r="J155" s="3">
        <f>SUM(G155:I155)</f>
        <v>2747</v>
      </c>
      <c r="K155" s="3">
        <f>SUM(J155,F155)</f>
        <v>28409</v>
      </c>
      <c r="M155" s="42" t="s">
        <v>14</v>
      </c>
      <c r="N155" s="1">
        <f>K141</f>
        <v>0</v>
      </c>
      <c r="O155" s="1">
        <f>K156</f>
        <v>0</v>
      </c>
      <c r="P155" s="8">
        <f t="shared" si="42"/>
        <v>0</v>
      </c>
    </row>
    <row r="156" spans="1:16" ht="21" thickBot="1">
      <c r="A156" s="263"/>
      <c r="B156" s="42" t="s">
        <v>14</v>
      </c>
      <c r="C156" s="4">
        <v>0</v>
      </c>
      <c r="D156" s="4">
        <v>0</v>
      </c>
      <c r="E156" s="4">
        <v>0</v>
      </c>
      <c r="F156" s="3">
        <f t="shared" si="41"/>
        <v>0</v>
      </c>
      <c r="G156" s="4">
        <v>0</v>
      </c>
      <c r="H156" s="4">
        <v>0</v>
      </c>
      <c r="I156" s="4">
        <v>0</v>
      </c>
      <c r="J156" s="3">
        <f>SUM(G156:I156)</f>
        <v>0</v>
      </c>
      <c r="K156" s="3">
        <f>SUM(J156,F156)</f>
        <v>0</v>
      </c>
      <c r="M156" s="45" t="s">
        <v>6</v>
      </c>
      <c r="N156" s="9">
        <f>K142</f>
        <v>10424</v>
      </c>
      <c r="O156" s="9">
        <f>K157</f>
        <v>28409</v>
      </c>
      <c r="P156" s="9">
        <f t="shared" si="42"/>
        <v>38833</v>
      </c>
    </row>
    <row r="157" spans="1:16" ht="21.75" thickTop="1" thickBot="1">
      <c r="A157" s="263"/>
      <c r="B157" s="45" t="s">
        <v>6</v>
      </c>
      <c r="C157" s="6">
        <f>SUM(C155:C156)</f>
        <v>10933</v>
      </c>
      <c r="D157" s="6">
        <f>SUM(D155:D156)</f>
        <v>11119</v>
      </c>
      <c r="E157" s="6">
        <f>SUM(E155:E156)</f>
        <v>3610</v>
      </c>
      <c r="F157" s="6">
        <f t="shared" si="41"/>
        <v>25662</v>
      </c>
      <c r="G157" s="6">
        <f>SUM(G155:G156)</f>
        <v>0</v>
      </c>
      <c r="H157" s="6">
        <f>SUM(H155:H156)</f>
        <v>2379</v>
      </c>
      <c r="I157" s="6">
        <f>SUM(I155:I156)</f>
        <v>368</v>
      </c>
      <c r="J157" s="6">
        <f>SUM(J155:J156)</f>
        <v>2747</v>
      </c>
      <c r="K157" s="6">
        <f>SUM(K155:K156)</f>
        <v>28409</v>
      </c>
      <c r="M157" s="46" t="s">
        <v>16</v>
      </c>
      <c r="N157" s="11">
        <f>K144</f>
        <v>7299</v>
      </c>
      <c r="O157" s="11">
        <f>K159</f>
        <v>19888</v>
      </c>
      <c r="P157" s="12">
        <f t="shared" si="42"/>
        <v>27187</v>
      </c>
    </row>
    <row r="158" spans="1:16" ht="21" thickTop="1">
      <c r="A158" s="263"/>
      <c r="B158" s="46" t="s">
        <v>15</v>
      </c>
      <c r="C158" s="4">
        <v>0</v>
      </c>
      <c r="D158" s="4">
        <v>0</v>
      </c>
      <c r="E158" s="4">
        <v>0</v>
      </c>
      <c r="F158" s="3">
        <f t="shared" si="41"/>
        <v>0</v>
      </c>
      <c r="G158" s="4">
        <v>0</v>
      </c>
      <c r="H158" s="4">
        <v>0</v>
      </c>
      <c r="I158" s="4">
        <v>0</v>
      </c>
      <c r="J158" s="3">
        <f t="shared" ref="J158:J163" si="43">SUM(G158:I158)</f>
        <v>0</v>
      </c>
      <c r="K158" s="3">
        <f t="shared" ref="K158:K163" si="44">SUM(J158,F158)</f>
        <v>0</v>
      </c>
      <c r="M158" s="46" t="s">
        <v>15</v>
      </c>
      <c r="N158" s="1">
        <f>$K$11</f>
        <v>0</v>
      </c>
      <c r="O158" s="1">
        <f>SUM(K158)</f>
        <v>0</v>
      </c>
      <c r="P158" s="12">
        <f t="shared" si="42"/>
        <v>0</v>
      </c>
    </row>
    <row r="159" spans="1:16">
      <c r="A159" s="263"/>
      <c r="B159" s="42" t="s">
        <v>16</v>
      </c>
      <c r="C159" s="4">
        <v>7653</v>
      </c>
      <c r="D159" s="4">
        <v>7784</v>
      </c>
      <c r="E159" s="4">
        <v>2527</v>
      </c>
      <c r="F159" s="3">
        <f t="shared" si="41"/>
        <v>17964</v>
      </c>
      <c r="G159" s="4">
        <v>0</v>
      </c>
      <c r="H159" s="4">
        <v>1666</v>
      </c>
      <c r="I159" s="4">
        <v>258</v>
      </c>
      <c r="J159" s="3">
        <f t="shared" si="43"/>
        <v>1924</v>
      </c>
      <c r="K159" s="3">
        <f t="shared" si="44"/>
        <v>19888</v>
      </c>
      <c r="M159" s="42" t="s">
        <v>17</v>
      </c>
      <c r="N159" s="1">
        <f>K145</f>
        <v>27</v>
      </c>
      <c r="O159" s="1">
        <f>K160</f>
        <v>4</v>
      </c>
      <c r="P159" s="8">
        <f t="shared" si="42"/>
        <v>31</v>
      </c>
    </row>
    <row r="160" spans="1:16">
      <c r="A160" s="263"/>
      <c r="B160" s="42" t="s">
        <v>17</v>
      </c>
      <c r="C160" s="4">
        <v>4</v>
      </c>
      <c r="D160" s="4">
        <v>0</v>
      </c>
      <c r="E160" s="4">
        <v>0</v>
      </c>
      <c r="F160" s="3">
        <f t="shared" si="41"/>
        <v>4</v>
      </c>
      <c r="G160" s="4">
        <v>0</v>
      </c>
      <c r="H160" s="4">
        <v>0</v>
      </c>
      <c r="I160" s="4">
        <v>0</v>
      </c>
      <c r="J160" s="3">
        <f t="shared" si="43"/>
        <v>0</v>
      </c>
      <c r="K160" s="3">
        <f t="shared" si="44"/>
        <v>4</v>
      </c>
      <c r="M160" s="42" t="s">
        <v>18</v>
      </c>
      <c r="N160" s="1">
        <f>K146</f>
        <v>1810</v>
      </c>
      <c r="O160" s="1">
        <f>K161</f>
        <v>2970</v>
      </c>
      <c r="P160" s="8">
        <f t="shared" si="42"/>
        <v>4780</v>
      </c>
    </row>
    <row r="161" spans="1:17">
      <c r="A161" s="263"/>
      <c r="B161" s="42" t="s">
        <v>18</v>
      </c>
      <c r="C161" s="4">
        <v>1217</v>
      </c>
      <c r="D161" s="4">
        <v>1112</v>
      </c>
      <c r="E161" s="4">
        <v>361</v>
      </c>
      <c r="F161" s="3">
        <f t="shared" si="41"/>
        <v>2690</v>
      </c>
      <c r="G161" s="4">
        <v>0</v>
      </c>
      <c r="H161" s="4">
        <v>237</v>
      </c>
      <c r="I161" s="4">
        <v>43</v>
      </c>
      <c r="J161" s="3">
        <f t="shared" si="43"/>
        <v>280</v>
      </c>
      <c r="K161" s="3">
        <f t="shared" si="44"/>
        <v>2970</v>
      </c>
      <c r="M161" s="42" t="s">
        <v>19</v>
      </c>
      <c r="N161" s="1">
        <f>K147</f>
        <v>567</v>
      </c>
      <c r="O161" s="1">
        <f>K162</f>
        <v>1020</v>
      </c>
      <c r="P161" s="8">
        <f t="shared" si="42"/>
        <v>1587</v>
      </c>
    </row>
    <row r="162" spans="1:17">
      <c r="A162" s="263"/>
      <c r="B162" s="42" t="s">
        <v>19</v>
      </c>
      <c r="C162" s="4">
        <v>340</v>
      </c>
      <c r="D162" s="4">
        <v>405</v>
      </c>
      <c r="E162" s="4">
        <v>162</v>
      </c>
      <c r="F162" s="3">
        <f t="shared" si="41"/>
        <v>907</v>
      </c>
      <c r="G162" s="4">
        <v>0</v>
      </c>
      <c r="H162" s="4">
        <v>97</v>
      </c>
      <c r="I162" s="4">
        <v>16</v>
      </c>
      <c r="J162" s="3">
        <f t="shared" si="43"/>
        <v>113</v>
      </c>
      <c r="K162" s="3">
        <f t="shared" si="44"/>
        <v>1020</v>
      </c>
      <c r="M162" s="42" t="s">
        <v>20</v>
      </c>
      <c r="N162" s="1">
        <f>K148</f>
        <v>6</v>
      </c>
      <c r="O162" s="1">
        <f>K163</f>
        <v>11</v>
      </c>
      <c r="P162" s="8">
        <f t="shared" si="42"/>
        <v>17</v>
      </c>
    </row>
    <row r="163" spans="1:17" ht="21" thickBot="1">
      <c r="A163" s="263"/>
      <c r="B163" s="42" t="s">
        <v>20</v>
      </c>
      <c r="C163" s="4">
        <v>0</v>
      </c>
      <c r="D163" s="4">
        <v>2</v>
      </c>
      <c r="E163" s="4">
        <v>7</v>
      </c>
      <c r="F163" s="3">
        <f t="shared" si="41"/>
        <v>9</v>
      </c>
      <c r="G163" s="4">
        <v>0</v>
      </c>
      <c r="H163" s="4">
        <v>1</v>
      </c>
      <c r="I163" s="4">
        <v>1</v>
      </c>
      <c r="J163" s="3">
        <f t="shared" si="43"/>
        <v>2</v>
      </c>
      <c r="K163" s="3">
        <f t="shared" si="44"/>
        <v>11</v>
      </c>
      <c r="M163" s="47" t="s">
        <v>6</v>
      </c>
      <c r="N163" s="9">
        <f>SUM(N156:N162)</f>
        <v>20133</v>
      </c>
      <c r="O163" s="9">
        <f>SUM(O156:O162)</f>
        <v>52302</v>
      </c>
      <c r="P163" s="9">
        <f>SUM(P156:P162)</f>
        <v>72435</v>
      </c>
    </row>
    <row r="164" spans="1:17" ht="21.75" thickTop="1" thickBot="1">
      <c r="A164" s="264"/>
      <c r="B164" s="47" t="s">
        <v>6</v>
      </c>
      <c r="C164" s="6">
        <f>SUM(C157:C163)</f>
        <v>20147</v>
      </c>
      <c r="D164" s="6">
        <f t="shared" ref="D164:K164" si="45">SUM(D157:D163)</f>
        <v>20422</v>
      </c>
      <c r="E164" s="6">
        <f t="shared" si="45"/>
        <v>6667</v>
      </c>
      <c r="F164" s="6">
        <f t="shared" si="45"/>
        <v>47236</v>
      </c>
      <c r="G164" s="6">
        <f t="shared" si="45"/>
        <v>0</v>
      </c>
      <c r="H164" s="6">
        <f t="shared" si="45"/>
        <v>4380</v>
      </c>
      <c r="I164" s="6">
        <f t="shared" si="45"/>
        <v>686</v>
      </c>
      <c r="J164" s="6">
        <f t="shared" si="45"/>
        <v>5066</v>
      </c>
      <c r="K164" s="6">
        <f t="shared" si="45"/>
        <v>52302</v>
      </c>
      <c r="M164" s="5"/>
      <c r="N164" s="5"/>
      <c r="O164" s="5"/>
      <c r="P164" s="5"/>
    </row>
    <row r="165" spans="1:17" ht="21" thickTop="1">
      <c r="A165" s="13"/>
      <c r="B165" s="14"/>
      <c r="C165" s="15"/>
      <c r="D165" s="15"/>
      <c r="E165" s="15"/>
      <c r="F165" s="15"/>
      <c r="G165" s="15"/>
      <c r="H165" s="15"/>
      <c r="I165" s="15"/>
      <c r="J165" s="15"/>
      <c r="K165" s="15"/>
      <c r="M165" s="5"/>
      <c r="N165" s="5"/>
      <c r="O165" s="5"/>
      <c r="P165" s="5"/>
    </row>
    <row r="166" spans="1:17">
      <c r="A166" s="275" t="s">
        <v>143</v>
      </c>
      <c r="B166" s="275"/>
      <c r="C166" s="275"/>
      <c r="D166" s="275"/>
      <c r="E166" s="275"/>
      <c r="F166" s="275"/>
      <c r="G166" s="275"/>
      <c r="H166" s="275"/>
      <c r="I166" s="275"/>
      <c r="J166" s="275"/>
      <c r="K166" s="275"/>
      <c r="L166" s="275"/>
      <c r="M166" s="275"/>
      <c r="N166" s="275"/>
      <c r="O166" s="275"/>
      <c r="P166" s="275"/>
    </row>
    <row r="167" spans="1:17" ht="24" customHeight="1">
      <c r="A167" s="276" t="s">
        <v>32</v>
      </c>
      <c r="B167" s="277"/>
      <c r="C167" s="277"/>
      <c r="D167" s="277"/>
      <c r="E167" s="277"/>
      <c r="F167" s="277"/>
      <c r="G167" s="277"/>
      <c r="H167" s="277"/>
      <c r="I167" s="277"/>
      <c r="J167" s="277"/>
      <c r="K167" s="277"/>
      <c r="L167" s="277"/>
      <c r="M167" s="277"/>
      <c r="N167" s="277"/>
      <c r="O167" s="277"/>
      <c r="P167" s="277"/>
      <c r="Q167" s="39"/>
    </row>
    <row r="168" spans="1:17" ht="21" customHeight="1">
      <c r="A168" s="249" t="s">
        <v>1</v>
      </c>
      <c r="B168" s="250"/>
      <c r="C168" s="250"/>
      <c r="D168" s="250"/>
      <c r="E168" s="250"/>
      <c r="F168" s="250"/>
      <c r="G168" s="250"/>
      <c r="H168" s="250"/>
      <c r="I168" s="250"/>
      <c r="J168" s="250"/>
      <c r="K168" s="250"/>
    </row>
    <row r="169" spans="1:17">
      <c r="A169" s="267" t="s">
        <v>2</v>
      </c>
      <c r="B169" s="269" t="s">
        <v>3</v>
      </c>
      <c r="C169" s="270"/>
      <c r="D169" s="270"/>
      <c r="E169" s="270"/>
      <c r="F169" s="270"/>
      <c r="G169" s="270"/>
      <c r="H169" s="270"/>
      <c r="I169" s="270"/>
      <c r="J169" s="270"/>
      <c r="K169" s="271"/>
    </row>
    <row r="170" spans="1:17">
      <c r="A170" s="268"/>
      <c r="B170" s="41"/>
      <c r="C170" s="267" t="s">
        <v>4</v>
      </c>
      <c r="D170" s="268"/>
      <c r="E170" s="268"/>
      <c r="F170" s="268"/>
      <c r="G170" s="267" t="s">
        <v>5</v>
      </c>
      <c r="H170" s="268"/>
      <c r="I170" s="268"/>
      <c r="J170" s="268"/>
      <c r="K170" s="40" t="s">
        <v>6</v>
      </c>
    </row>
    <row r="171" spans="1:17">
      <c r="A171" s="262" t="s">
        <v>27</v>
      </c>
      <c r="B171" s="42" t="s">
        <v>8</v>
      </c>
      <c r="C171" s="43" t="s">
        <v>9</v>
      </c>
      <c r="D171" s="43" t="s">
        <v>10</v>
      </c>
      <c r="E171" s="43" t="s">
        <v>11</v>
      </c>
      <c r="F171" s="43" t="s">
        <v>6</v>
      </c>
      <c r="G171" s="43" t="s">
        <v>9</v>
      </c>
      <c r="H171" s="43" t="s">
        <v>10</v>
      </c>
      <c r="I171" s="43" t="s">
        <v>11</v>
      </c>
      <c r="J171" s="43" t="s">
        <v>6</v>
      </c>
      <c r="K171" s="43" t="s">
        <v>6</v>
      </c>
    </row>
    <row r="172" spans="1:17">
      <c r="A172" s="263"/>
      <c r="B172" s="44" t="s">
        <v>12</v>
      </c>
      <c r="C172" s="4">
        <v>3</v>
      </c>
      <c r="D172" s="4">
        <v>14</v>
      </c>
      <c r="E172" s="4">
        <v>5</v>
      </c>
      <c r="F172" s="3">
        <f t="shared" ref="F172:F181" si="46">SUM(C172:E172)</f>
        <v>22</v>
      </c>
      <c r="G172" s="4">
        <v>0</v>
      </c>
      <c r="H172" s="4">
        <v>4</v>
      </c>
      <c r="I172" s="4">
        <v>1</v>
      </c>
      <c r="J172" s="3">
        <f>SUM(G172:I172)</f>
        <v>5</v>
      </c>
      <c r="K172" s="3">
        <f>SUM(J172,F172)</f>
        <v>27</v>
      </c>
    </row>
    <row r="173" spans="1:17">
      <c r="A173" s="263"/>
      <c r="B173" s="42" t="s">
        <v>13</v>
      </c>
      <c r="C173" s="4">
        <v>3650</v>
      </c>
      <c r="D173" s="4">
        <v>7171</v>
      </c>
      <c r="E173" s="4">
        <v>2142</v>
      </c>
      <c r="F173" s="3">
        <f t="shared" si="46"/>
        <v>12963</v>
      </c>
      <c r="G173" s="4">
        <v>0</v>
      </c>
      <c r="H173" s="4">
        <v>1998</v>
      </c>
      <c r="I173" s="4">
        <v>244</v>
      </c>
      <c r="J173" s="3">
        <f>SUM(G173:I173)</f>
        <v>2242</v>
      </c>
      <c r="K173" s="3">
        <f>SUM(J173,F173)</f>
        <v>15205</v>
      </c>
    </row>
    <row r="174" spans="1:17">
      <c r="A174" s="263"/>
      <c r="B174" s="42" t="s">
        <v>14</v>
      </c>
      <c r="C174" s="4">
        <v>0</v>
      </c>
      <c r="D174" s="4">
        <v>0</v>
      </c>
      <c r="E174" s="4">
        <v>0</v>
      </c>
      <c r="F174" s="3">
        <f t="shared" si="46"/>
        <v>0</v>
      </c>
      <c r="G174" s="4">
        <v>0</v>
      </c>
      <c r="H174" s="4">
        <v>0</v>
      </c>
      <c r="I174" s="4">
        <v>0</v>
      </c>
      <c r="J174" s="3">
        <f>SUM(G174:I174)</f>
        <v>0</v>
      </c>
      <c r="K174" s="3">
        <f>SUM(J174,F174)</f>
        <v>0</v>
      </c>
    </row>
    <row r="175" spans="1:17" ht="21" thickBot="1">
      <c r="A175" s="263"/>
      <c r="B175" s="45" t="s">
        <v>6</v>
      </c>
      <c r="C175" s="6">
        <f>SUM(C173:C174)</f>
        <v>3650</v>
      </c>
      <c r="D175" s="6">
        <f>SUM(D173:D174)</f>
        <v>7171</v>
      </c>
      <c r="E175" s="6">
        <f>SUM(E173:E174)</f>
        <v>2142</v>
      </c>
      <c r="F175" s="6">
        <f t="shared" si="46"/>
        <v>12963</v>
      </c>
      <c r="G175" s="6">
        <f>SUM(G173:G174)</f>
        <v>0</v>
      </c>
      <c r="H175" s="6">
        <f>SUM(H173:H174)</f>
        <v>1998</v>
      </c>
      <c r="I175" s="6">
        <f>SUM(I173:I174)</f>
        <v>244</v>
      </c>
      <c r="J175" s="6">
        <f>SUM(J173:J174)</f>
        <v>2242</v>
      </c>
      <c r="K175" s="6">
        <f>SUM(K173:K174)</f>
        <v>15205</v>
      </c>
    </row>
    <row r="176" spans="1:17" ht="21" thickTop="1">
      <c r="A176" s="263"/>
      <c r="B176" s="46" t="s">
        <v>15</v>
      </c>
      <c r="C176" s="4">
        <v>0</v>
      </c>
      <c r="D176" s="4">
        <v>0</v>
      </c>
      <c r="E176" s="4">
        <v>0</v>
      </c>
      <c r="F176" s="3">
        <f t="shared" si="46"/>
        <v>0</v>
      </c>
      <c r="G176" s="4">
        <v>0</v>
      </c>
      <c r="H176" s="4">
        <v>0</v>
      </c>
      <c r="I176" s="4">
        <v>0</v>
      </c>
      <c r="J176" s="3">
        <f t="shared" ref="J176:J181" si="47">SUM(G176:I176)</f>
        <v>0</v>
      </c>
      <c r="K176" s="3">
        <f t="shared" ref="K176:K181" si="48">SUM(J176,F176)</f>
        <v>0</v>
      </c>
    </row>
    <row r="177" spans="1:17">
      <c r="A177" s="263"/>
      <c r="B177" s="42" t="s">
        <v>16</v>
      </c>
      <c r="C177" s="4">
        <v>2555</v>
      </c>
      <c r="D177" s="4">
        <v>5020</v>
      </c>
      <c r="E177" s="4">
        <v>1499</v>
      </c>
      <c r="F177" s="3">
        <f t="shared" si="46"/>
        <v>9074</v>
      </c>
      <c r="G177" s="4">
        <v>0</v>
      </c>
      <c r="H177" s="4">
        <v>1399</v>
      </c>
      <c r="I177" s="4">
        <v>171</v>
      </c>
      <c r="J177" s="3">
        <f t="shared" si="47"/>
        <v>1570</v>
      </c>
      <c r="K177" s="3">
        <f t="shared" si="48"/>
        <v>10644</v>
      </c>
    </row>
    <row r="178" spans="1:17">
      <c r="A178" s="263"/>
      <c r="B178" s="42" t="s">
        <v>17</v>
      </c>
      <c r="C178" s="4">
        <v>0</v>
      </c>
      <c r="D178" s="4">
        <v>0</v>
      </c>
      <c r="E178" s="4">
        <v>0</v>
      </c>
      <c r="F178" s="3">
        <f t="shared" si="46"/>
        <v>0</v>
      </c>
      <c r="G178" s="4">
        <v>0</v>
      </c>
      <c r="H178" s="4">
        <v>0</v>
      </c>
      <c r="I178" s="4">
        <v>0</v>
      </c>
      <c r="J178" s="3">
        <f t="shared" si="47"/>
        <v>0</v>
      </c>
      <c r="K178" s="3">
        <f t="shared" si="48"/>
        <v>0</v>
      </c>
    </row>
    <row r="179" spans="1:17">
      <c r="A179" s="263"/>
      <c r="B179" s="42" t="s">
        <v>18</v>
      </c>
      <c r="C179" s="4">
        <v>365</v>
      </c>
      <c r="D179" s="4">
        <v>718</v>
      </c>
      <c r="E179" s="4">
        <v>215</v>
      </c>
      <c r="F179" s="3">
        <f t="shared" si="46"/>
        <v>1298</v>
      </c>
      <c r="G179" s="4">
        <v>0</v>
      </c>
      <c r="H179" s="4">
        <v>200</v>
      </c>
      <c r="I179" s="4">
        <v>24</v>
      </c>
      <c r="J179" s="3">
        <f t="shared" si="47"/>
        <v>224</v>
      </c>
      <c r="K179" s="3">
        <f t="shared" si="48"/>
        <v>1522</v>
      </c>
    </row>
    <row r="180" spans="1:17">
      <c r="A180" s="263"/>
      <c r="B180" s="42" t="s">
        <v>19</v>
      </c>
      <c r="C180" s="4">
        <v>0</v>
      </c>
      <c r="D180" s="4">
        <v>227</v>
      </c>
      <c r="E180" s="4">
        <v>81</v>
      </c>
      <c r="F180" s="3">
        <f t="shared" si="46"/>
        <v>308</v>
      </c>
      <c r="G180" s="4">
        <v>0</v>
      </c>
      <c r="H180" s="4">
        <v>65</v>
      </c>
      <c r="I180" s="4">
        <v>16</v>
      </c>
      <c r="J180" s="3">
        <f t="shared" si="47"/>
        <v>81</v>
      </c>
      <c r="K180" s="3">
        <f t="shared" si="48"/>
        <v>389</v>
      </c>
    </row>
    <row r="181" spans="1:17">
      <c r="A181" s="263"/>
      <c r="B181" s="42" t="s">
        <v>20</v>
      </c>
      <c r="C181" s="4">
        <v>0</v>
      </c>
      <c r="D181" s="4">
        <v>0</v>
      </c>
      <c r="E181" s="4">
        <v>0</v>
      </c>
      <c r="F181" s="3">
        <f t="shared" si="46"/>
        <v>0</v>
      </c>
      <c r="G181" s="4">
        <v>0</v>
      </c>
      <c r="H181" s="4">
        <v>0</v>
      </c>
      <c r="I181" s="4">
        <v>0</v>
      </c>
      <c r="J181" s="3">
        <f t="shared" si="47"/>
        <v>0</v>
      </c>
      <c r="K181" s="3">
        <f t="shared" si="48"/>
        <v>0</v>
      </c>
    </row>
    <row r="182" spans="1:17" ht="21" thickBot="1">
      <c r="A182" s="264"/>
      <c r="B182" s="47" t="s">
        <v>6</v>
      </c>
      <c r="C182" s="6">
        <f>SUM(C175:C181)</f>
        <v>6570</v>
      </c>
      <c r="D182" s="6">
        <f t="shared" ref="D182:K182" si="49">SUM(D175:D181)</f>
        <v>13136</v>
      </c>
      <c r="E182" s="6">
        <f t="shared" si="49"/>
        <v>3937</v>
      </c>
      <c r="F182" s="6">
        <f t="shared" si="49"/>
        <v>23643</v>
      </c>
      <c r="G182" s="6">
        <f t="shared" si="49"/>
        <v>0</v>
      </c>
      <c r="H182" s="6">
        <f t="shared" si="49"/>
        <v>3662</v>
      </c>
      <c r="I182" s="6">
        <f t="shared" si="49"/>
        <v>455</v>
      </c>
      <c r="J182" s="6">
        <f t="shared" si="49"/>
        <v>4117</v>
      </c>
      <c r="K182" s="6">
        <f t="shared" si="49"/>
        <v>27760</v>
      </c>
    </row>
    <row r="183" spans="1:17" ht="17.25" customHeight="1" thickTop="1"/>
    <row r="184" spans="1:17">
      <c r="A184" s="267" t="s">
        <v>2</v>
      </c>
      <c r="B184" s="269" t="s">
        <v>21</v>
      </c>
      <c r="C184" s="270"/>
      <c r="D184" s="270"/>
      <c r="E184" s="270"/>
      <c r="F184" s="270"/>
      <c r="G184" s="270"/>
      <c r="H184" s="270"/>
      <c r="I184" s="270"/>
      <c r="J184" s="270"/>
      <c r="K184" s="271"/>
      <c r="M184" s="272" t="s">
        <v>22</v>
      </c>
      <c r="N184" s="273"/>
      <c r="O184" s="273"/>
      <c r="P184" s="274"/>
    </row>
    <row r="185" spans="1:17" ht="21" thickBot="1">
      <c r="A185" s="268"/>
      <c r="B185" s="41"/>
      <c r="C185" s="267" t="s">
        <v>4</v>
      </c>
      <c r="D185" s="268"/>
      <c r="E185" s="268"/>
      <c r="F185" s="268"/>
      <c r="G185" s="267" t="s">
        <v>5</v>
      </c>
      <c r="H185" s="268"/>
      <c r="I185" s="268"/>
      <c r="J185" s="268"/>
      <c r="K185" s="40" t="s">
        <v>6</v>
      </c>
      <c r="M185" s="42" t="s">
        <v>8</v>
      </c>
      <c r="N185" s="42" t="s">
        <v>3</v>
      </c>
      <c r="O185" s="42" t="s">
        <v>21</v>
      </c>
      <c r="P185" s="47" t="s">
        <v>6</v>
      </c>
    </row>
    <row r="186" spans="1:17" ht="21" customHeight="1" thickTop="1">
      <c r="A186" s="262" t="s">
        <v>27</v>
      </c>
      <c r="B186" s="42" t="s">
        <v>8</v>
      </c>
      <c r="C186" s="43" t="s">
        <v>9</v>
      </c>
      <c r="D186" s="43" t="s">
        <v>10</v>
      </c>
      <c r="E186" s="43" t="s">
        <v>11</v>
      </c>
      <c r="F186" s="43" t="s">
        <v>6</v>
      </c>
      <c r="G186" s="43" t="s">
        <v>9</v>
      </c>
      <c r="H186" s="43" t="s">
        <v>10</v>
      </c>
      <c r="I186" s="43" t="s">
        <v>11</v>
      </c>
      <c r="J186" s="43" t="s">
        <v>6</v>
      </c>
      <c r="K186" s="43" t="s">
        <v>6</v>
      </c>
      <c r="M186" s="44" t="s">
        <v>12</v>
      </c>
      <c r="N186" s="1">
        <f>K172</f>
        <v>27</v>
      </c>
      <c r="O186" s="1">
        <f>K187</f>
        <v>23</v>
      </c>
      <c r="P186" s="8">
        <f>SUM(N186:O186)</f>
        <v>50</v>
      </c>
    </row>
    <row r="187" spans="1:17">
      <c r="A187" s="263"/>
      <c r="B187" s="44" t="s">
        <v>12</v>
      </c>
      <c r="C187" s="4">
        <v>7</v>
      </c>
      <c r="D187" s="4">
        <v>9</v>
      </c>
      <c r="E187" s="4">
        <v>3</v>
      </c>
      <c r="F187" s="3">
        <f t="shared" ref="F187:F196" si="50">SUM(C187:E187)</f>
        <v>19</v>
      </c>
      <c r="G187" s="4">
        <v>0</v>
      </c>
      <c r="H187" s="4">
        <v>3</v>
      </c>
      <c r="I187" s="4">
        <v>1</v>
      </c>
      <c r="J187" s="3">
        <f>SUM(G187:I187)</f>
        <v>4</v>
      </c>
      <c r="K187" s="3">
        <f>SUM(J187,F187)</f>
        <v>23</v>
      </c>
      <c r="M187" s="42" t="s">
        <v>13</v>
      </c>
      <c r="N187" s="1">
        <f>K173</f>
        <v>15205</v>
      </c>
      <c r="O187" s="1">
        <f>K188</f>
        <v>13982</v>
      </c>
      <c r="P187" s="8">
        <f t="shared" ref="P187:P195" si="51">SUM(N187:O187)</f>
        <v>29187</v>
      </c>
    </row>
    <row r="188" spans="1:17">
      <c r="A188" s="263"/>
      <c r="B188" s="42" t="s">
        <v>13</v>
      </c>
      <c r="C188" s="4">
        <v>6388</v>
      </c>
      <c r="D188" s="4">
        <v>4632</v>
      </c>
      <c r="E188" s="4">
        <v>1285</v>
      </c>
      <c r="F188" s="3">
        <f t="shared" si="50"/>
        <v>12305</v>
      </c>
      <c r="G188" s="4">
        <v>0</v>
      </c>
      <c r="H188" s="4">
        <v>1433</v>
      </c>
      <c r="I188" s="4">
        <v>244</v>
      </c>
      <c r="J188" s="3">
        <f>SUM(G188:I188)</f>
        <v>1677</v>
      </c>
      <c r="K188" s="3">
        <f>SUM(J188,F188)</f>
        <v>13982</v>
      </c>
      <c r="M188" s="42" t="s">
        <v>14</v>
      </c>
      <c r="N188" s="1">
        <f>K174</f>
        <v>0</v>
      </c>
      <c r="O188" s="1">
        <f>K189</f>
        <v>0</v>
      </c>
      <c r="P188" s="8">
        <f t="shared" si="51"/>
        <v>0</v>
      </c>
    </row>
    <row r="189" spans="1:17" ht="21" thickBot="1">
      <c r="A189" s="263"/>
      <c r="B189" s="42" t="s">
        <v>14</v>
      </c>
      <c r="C189" s="4">
        <v>0</v>
      </c>
      <c r="D189" s="4">
        <v>0</v>
      </c>
      <c r="E189" s="4">
        <v>0</v>
      </c>
      <c r="F189" s="3">
        <f t="shared" si="50"/>
        <v>0</v>
      </c>
      <c r="G189" s="4">
        <v>0</v>
      </c>
      <c r="H189" s="4">
        <v>0</v>
      </c>
      <c r="I189" s="4">
        <v>0</v>
      </c>
      <c r="J189" s="3">
        <f>SUM(G189:I189)</f>
        <v>0</v>
      </c>
      <c r="K189" s="3">
        <f>SUM(J189,F189)</f>
        <v>0</v>
      </c>
      <c r="M189" s="45" t="s">
        <v>6</v>
      </c>
      <c r="N189" s="9">
        <f>K175</f>
        <v>15205</v>
      </c>
      <c r="O189" s="9">
        <f>K190</f>
        <v>13982</v>
      </c>
      <c r="P189" s="9">
        <f t="shared" si="51"/>
        <v>29187</v>
      </c>
      <c r="Q189" s="2" t="s">
        <v>125</v>
      </c>
    </row>
    <row r="190" spans="1:17" ht="21.75" thickTop="1" thickBot="1">
      <c r="A190" s="263"/>
      <c r="B190" s="45" t="s">
        <v>6</v>
      </c>
      <c r="C190" s="6">
        <f>SUM(C188:C189)</f>
        <v>6388</v>
      </c>
      <c r="D190" s="6">
        <f>SUM(D188:D189)</f>
        <v>4632</v>
      </c>
      <c r="E190" s="6">
        <f>SUM(E188:E189)</f>
        <v>1285</v>
      </c>
      <c r="F190" s="6">
        <f t="shared" si="50"/>
        <v>12305</v>
      </c>
      <c r="G190" s="6">
        <f>SUM(G188:G189)</f>
        <v>0</v>
      </c>
      <c r="H190" s="6">
        <f>SUM(H188:H189)</f>
        <v>1433</v>
      </c>
      <c r="I190" s="6">
        <f>SUM(I188:I189)</f>
        <v>244</v>
      </c>
      <c r="J190" s="6">
        <f>SUM(J188:J189)</f>
        <v>1677</v>
      </c>
      <c r="K190" s="6">
        <f>SUM(K188:K189)</f>
        <v>13982</v>
      </c>
      <c r="M190" s="46" t="s">
        <v>16</v>
      </c>
      <c r="N190" s="11">
        <f>K177</f>
        <v>10644</v>
      </c>
      <c r="O190" s="11">
        <f>K192</f>
        <v>9787</v>
      </c>
      <c r="P190" s="12">
        <f t="shared" si="51"/>
        <v>20431</v>
      </c>
    </row>
    <row r="191" spans="1:17" ht="21" thickTop="1">
      <c r="A191" s="263"/>
      <c r="B191" s="46" t="s">
        <v>15</v>
      </c>
      <c r="C191" s="4">
        <v>0</v>
      </c>
      <c r="D191" s="4">
        <v>0</v>
      </c>
      <c r="E191" s="4">
        <v>0</v>
      </c>
      <c r="F191" s="3">
        <f t="shared" si="50"/>
        <v>0</v>
      </c>
      <c r="G191" s="4">
        <v>0</v>
      </c>
      <c r="H191" s="4">
        <v>0</v>
      </c>
      <c r="I191" s="4">
        <v>0</v>
      </c>
      <c r="J191" s="3">
        <f t="shared" ref="J191:J196" si="52">SUM(G191:I191)</f>
        <v>0</v>
      </c>
      <c r="K191" s="3">
        <f t="shared" ref="K191:K196" si="53">SUM(J191,F191)</f>
        <v>0</v>
      </c>
      <c r="M191" s="46" t="s">
        <v>15</v>
      </c>
      <c r="N191" s="1">
        <f>$K$11</f>
        <v>0</v>
      </c>
      <c r="O191" s="1">
        <f>SUM(K191)</f>
        <v>0</v>
      </c>
      <c r="P191" s="12">
        <f t="shared" si="51"/>
        <v>0</v>
      </c>
    </row>
    <row r="192" spans="1:17">
      <c r="A192" s="263"/>
      <c r="B192" s="42" t="s">
        <v>16</v>
      </c>
      <c r="C192" s="4">
        <v>4472</v>
      </c>
      <c r="D192" s="4">
        <v>3242</v>
      </c>
      <c r="E192" s="4">
        <v>899</v>
      </c>
      <c r="F192" s="3">
        <f t="shared" si="50"/>
        <v>8613</v>
      </c>
      <c r="G192" s="4">
        <v>0</v>
      </c>
      <c r="H192" s="4">
        <v>1003</v>
      </c>
      <c r="I192" s="4">
        <v>171</v>
      </c>
      <c r="J192" s="3">
        <f t="shared" si="52"/>
        <v>1174</v>
      </c>
      <c r="K192" s="3">
        <f t="shared" si="53"/>
        <v>9787</v>
      </c>
      <c r="M192" s="42" t="s">
        <v>17</v>
      </c>
      <c r="N192" s="1">
        <f>K178</f>
        <v>0</v>
      </c>
      <c r="O192" s="1">
        <f>K193</f>
        <v>0</v>
      </c>
      <c r="P192" s="8">
        <f t="shared" si="51"/>
        <v>0</v>
      </c>
    </row>
    <row r="193" spans="1:17">
      <c r="A193" s="263"/>
      <c r="B193" s="42" t="s">
        <v>17</v>
      </c>
      <c r="C193" s="4">
        <v>0</v>
      </c>
      <c r="D193" s="4">
        <v>0</v>
      </c>
      <c r="E193" s="4">
        <v>0</v>
      </c>
      <c r="F193" s="3">
        <f t="shared" si="50"/>
        <v>0</v>
      </c>
      <c r="G193" s="4">
        <v>0</v>
      </c>
      <c r="H193" s="4">
        <v>0</v>
      </c>
      <c r="I193" s="4">
        <v>0</v>
      </c>
      <c r="J193" s="3">
        <f t="shared" si="52"/>
        <v>0</v>
      </c>
      <c r="K193" s="3">
        <f t="shared" si="53"/>
        <v>0</v>
      </c>
      <c r="M193" s="42" t="s">
        <v>18</v>
      </c>
      <c r="N193" s="1">
        <f>K179</f>
        <v>1522</v>
      </c>
      <c r="O193" s="1">
        <f>K194</f>
        <v>1398</v>
      </c>
      <c r="P193" s="8">
        <f t="shared" si="51"/>
        <v>2920</v>
      </c>
    </row>
    <row r="194" spans="1:17">
      <c r="A194" s="263"/>
      <c r="B194" s="42" t="s">
        <v>18</v>
      </c>
      <c r="C194" s="4">
        <v>638</v>
      </c>
      <c r="D194" s="4">
        <v>463</v>
      </c>
      <c r="E194" s="4">
        <v>129</v>
      </c>
      <c r="F194" s="3">
        <f t="shared" si="50"/>
        <v>1230</v>
      </c>
      <c r="G194" s="4">
        <v>0</v>
      </c>
      <c r="H194" s="4">
        <v>144</v>
      </c>
      <c r="I194" s="4">
        <v>24</v>
      </c>
      <c r="J194" s="3">
        <f t="shared" si="52"/>
        <v>168</v>
      </c>
      <c r="K194" s="3">
        <f t="shared" si="53"/>
        <v>1398</v>
      </c>
      <c r="M194" s="42" t="s">
        <v>19</v>
      </c>
      <c r="N194" s="1">
        <f>K180</f>
        <v>389</v>
      </c>
      <c r="O194" s="1">
        <f>K195</f>
        <v>340</v>
      </c>
      <c r="P194" s="8">
        <f t="shared" si="51"/>
        <v>729</v>
      </c>
    </row>
    <row r="195" spans="1:17">
      <c r="A195" s="263"/>
      <c r="B195" s="42" t="s">
        <v>19</v>
      </c>
      <c r="C195" s="4">
        <v>81</v>
      </c>
      <c r="D195" s="4">
        <v>146</v>
      </c>
      <c r="E195" s="4">
        <v>49</v>
      </c>
      <c r="F195" s="3">
        <f t="shared" si="50"/>
        <v>276</v>
      </c>
      <c r="G195" s="4">
        <v>0</v>
      </c>
      <c r="H195" s="4">
        <v>48</v>
      </c>
      <c r="I195" s="4">
        <v>16</v>
      </c>
      <c r="J195" s="3">
        <f t="shared" si="52"/>
        <v>64</v>
      </c>
      <c r="K195" s="3">
        <f t="shared" si="53"/>
        <v>340</v>
      </c>
      <c r="M195" s="42" t="s">
        <v>20</v>
      </c>
      <c r="N195" s="1">
        <f>K181</f>
        <v>0</v>
      </c>
      <c r="O195" s="1">
        <f>K196</f>
        <v>0</v>
      </c>
      <c r="P195" s="8">
        <f t="shared" si="51"/>
        <v>0</v>
      </c>
    </row>
    <row r="196" spans="1:17" ht="21" thickBot="1">
      <c r="A196" s="263"/>
      <c r="B196" s="42" t="s">
        <v>20</v>
      </c>
      <c r="C196" s="4">
        <v>0</v>
      </c>
      <c r="D196" s="4">
        <v>0</v>
      </c>
      <c r="E196" s="4">
        <v>0</v>
      </c>
      <c r="F196" s="3">
        <f t="shared" si="50"/>
        <v>0</v>
      </c>
      <c r="G196" s="4">
        <v>0</v>
      </c>
      <c r="H196" s="4">
        <v>0</v>
      </c>
      <c r="I196" s="4">
        <v>0</v>
      </c>
      <c r="J196" s="3">
        <f t="shared" si="52"/>
        <v>0</v>
      </c>
      <c r="K196" s="3">
        <f t="shared" si="53"/>
        <v>0</v>
      </c>
      <c r="M196" s="47" t="s">
        <v>6</v>
      </c>
      <c r="N196" s="9">
        <f>SUM(N189:N195)</f>
        <v>27760</v>
      </c>
      <c r="O196" s="9">
        <f>SUM(O189:O195)</f>
        <v>25507</v>
      </c>
      <c r="P196" s="9">
        <f>SUM(P189:P195)</f>
        <v>53267</v>
      </c>
    </row>
    <row r="197" spans="1:17" ht="21.75" thickTop="1" thickBot="1">
      <c r="A197" s="264"/>
      <c r="B197" s="47" t="s">
        <v>6</v>
      </c>
      <c r="C197" s="6">
        <f>SUM(C190:C196)</f>
        <v>11579</v>
      </c>
      <c r="D197" s="6">
        <f t="shared" ref="D197:K197" si="54">SUM(D190:D196)</f>
        <v>8483</v>
      </c>
      <c r="E197" s="6">
        <f t="shared" si="54"/>
        <v>2362</v>
      </c>
      <c r="F197" s="6">
        <f t="shared" si="54"/>
        <v>22424</v>
      </c>
      <c r="G197" s="6">
        <f t="shared" si="54"/>
        <v>0</v>
      </c>
      <c r="H197" s="6">
        <f t="shared" si="54"/>
        <v>2628</v>
      </c>
      <c r="I197" s="6">
        <f t="shared" si="54"/>
        <v>455</v>
      </c>
      <c r="J197" s="6">
        <f t="shared" si="54"/>
        <v>3083</v>
      </c>
      <c r="K197" s="6">
        <f t="shared" si="54"/>
        <v>25507</v>
      </c>
      <c r="M197" s="5"/>
      <c r="N197" s="5"/>
      <c r="O197" s="5"/>
      <c r="P197" s="5"/>
    </row>
    <row r="198" spans="1:17" ht="21" thickTop="1">
      <c r="A198" s="13"/>
      <c r="B198" s="14"/>
      <c r="C198" s="15"/>
      <c r="D198" s="15"/>
      <c r="E198" s="15"/>
      <c r="F198" s="15"/>
      <c r="G198" s="15"/>
      <c r="H198" s="15"/>
      <c r="I198" s="15"/>
      <c r="J198" s="15"/>
      <c r="K198" s="15"/>
      <c r="M198" s="5"/>
      <c r="N198" s="5"/>
      <c r="O198" s="5"/>
      <c r="P198" s="5"/>
    </row>
    <row r="199" spans="1:17">
      <c r="A199" s="275" t="s">
        <v>143</v>
      </c>
      <c r="B199" s="275"/>
      <c r="C199" s="275"/>
      <c r="D199" s="275"/>
      <c r="E199" s="275"/>
      <c r="F199" s="275"/>
      <c r="G199" s="275"/>
      <c r="H199" s="275"/>
      <c r="I199" s="275"/>
      <c r="J199" s="275"/>
      <c r="K199" s="275"/>
      <c r="L199" s="275"/>
      <c r="M199" s="275"/>
      <c r="N199" s="275"/>
      <c r="O199" s="275"/>
      <c r="P199" s="275"/>
    </row>
    <row r="200" spans="1:17" ht="24" customHeight="1">
      <c r="A200" s="276" t="s">
        <v>32</v>
      </c>
      <c r="B200" s="277"/>
      <c r="C200" s="277"/>
      <c r="D200" s="277"/>
      <c r="E200" s="277"/>
      <c r="F200" s="277"/>
      <c r="G200" s="277"/>
      <c r="H200" s="277"/>
      <c r="I200" s="277"/>
      <c r="J200" s="277"/>
      <c r="K200" s="277"/>
      <c r="L200" s="277"/>
      <c r="M200" s="277"/>
      <c r="N200" s="277"/>
      <c r="O200" s="277"/>
      <c r="P200" s="277"/>
      <c r="Q200" s="39"/>
    </row>
    <row r="201" spans="1:17" ht="21" customHeight="1">
      <c r="A201" s="249" t="s">
        <v>1</v>
      </c>
      <c r="B201" s="250"/>
      <c r="C201" s="250"/>
      <c r="D201" s="250"/>
      <c r="E201" s="250"/>
      <c r="F201" s="250"/>
      <c r="G201" s="250"/>
      <c r="H201" s="250"/>
      <c r="I201" s="250"/>
      <c r="J201" s="250"/>
      <c r="K201" s="250"/>
    </row>
    <row r="202" spans="1:17">
      <c r="A202" s="267" t="s">
        <v>2</v>
      </c>
      <c r="B202" s="269" t="s">
        <v>3</v>
      </c>
      <c r="C202" s="270"/>
      <c r="D202" s="270"/>
      <c r="E202" s="270"/>
      <c r="F202" s="270"/>
      <c r="G202" s="270"/>
      <c r="H202" s="270"/>
      <c r="I202" s="270"/>
      <c r="J202" s="270"/>
      <c r="K202" s="271"/>
    </row>
    <row r="203" spans="1:17">
      <c r="A203" s="268"/>
      <c r="B203" s="41"/>
      <c r="C203" s="267" t="s">
        <v>4</v>
      </c>
      <c r="D203" s="268"/>
      <c r="E203" s="268"/>
      <c r="F203" s="268"/>
      <c r="G203" s="267" t="s">
        <v>5</v>
      </c>
      <c r="H203" s="268"/>
      <c r="I203" s="268"/>
      <c r="J203" s="268"/>
      <c r="K203" s="40" t="s">
        <v>6</v>
      </c>
    </row>
    <row r="204" spans="1:17">
      <c r="A204" s="262" t="s">
        <v>28</v>
      </c>
      <c r="B204" s="42" t="s">
        <v>8</v>
      </c>
      <c r="C204" s="43" t="s">
        <v>9</v>
      </c>
      <c r="D204" s="43" t="s">
        <v>10</v>
      </c>
      <c r="E204" s="43" t="s">
        <v>11</v>
      </c>
      <c r="F204" s="43" t="s">
        <v>6</v>
      </c>
      <c r="G204" s="43" t="s">
        <v>9</v>
      </c>
      <c r="H204" s="43" t="s">
        <v>10</v>
      </c>
      <c r="I204" s="43" t="s">
        <v>11</v>
      </c>
      <c r="J204" s="43" t="s">
        <v>6</v>
      </c>
      <c r="K204" s="43" t="s">
        <v>6</v>
      </c>
    </row>
    <row r="205" spans="1:17">
      <c r="A205" s="263"/>
      <c r="B205" s="44" t="s">
        <v>12</v>
      </c>
      <c r="C205" s="4">
        <v>1</v>
      </c>
      <c r="D205" s="4">
        <v>5</v>
      </c>
      <c r="E205" s="4">
        <v>3</v>
      </c>
      <c r="F205" s="3">
        <f t="shared" ref="F205:F214" si="55">SUM(C205:E205)</f>
        <v>9</v>
      </c>
      <c r="G205" s="4">
        <v>0</v>
      </c>
      <c r="H205" s="4">
        <v>3</v>
      </c>
      <c r="I205" s="4">
        <v>1</v>
      </c>
      <c r="J205" s="3">
        <f>SUM(G205:I205)</f>
        <v>4</v>
      </c>
      <c r="K205" s="3">
        <f>SUM(J205,F205)</f>
        <v>13</v>
      </c>
    </row>
    <row r="206" spans="1:17">
      <c r="A206" s="263"/>
      <c r="B206" s="42" t="s">
        <v>13</v>
      </c>
      <c r="C206" s="4">
        <v>1328</v>
      </c>
      <c r="D206" s="4">
        <v>2400</v>
      </c>
      <c r="E206" s="4">
        <v>1224</v>
      </c>
      <c r="F206" s="3">
        <f t="shared" si="55"/>
        <v>4952</v>
      </c>
      <c r="G206" s="4">
        <v>0</v>
      </c>
      <c r="H206" s="4">
        <v>1607</v>
      </c>
      <c r="I206" s="4">
        <v>324</v>
      </c>
      <c r="J206" s="3">
        <f>SUM(G206:I206)</f>
        <v>1931</v>
      </c>
      <c r="K206" s="3">
        <f>SUM(J206,F206)</f>
        <v>6883</v>
      </c>
    </row>
    <row r="207" spans="1:17">
      <c r="A207" s="263"/>
      <c r="B207" s="42" t="s">
        <v>14</v>
      </c>
      <c r="C207" s="4">
        <v>0</v>
      </c>
      <c r="D207" s="4">
        <v>0</v>
      </c>
      <c r="E207" s="4">
        <v>0</v>
      </c>
      <c r="F207" s="3">
        <f t="shared" si="55"/>
        <v>0</v>
      </c>
      <c r="G207" s="4">
        <v>0</v>
      </c>
      <c r="H207" s="4">
        <v>0</v>
      </c>
      <c r="I207" s="4">
        <v>0</v>
      </c>
      <c r="J207" s="3">
        <f>SUM(G207:I207)</f>
        <v>0</v>
      </c>
      <c r="K207" s="3">
        <f>SUM(J207,F207)</f>
        <v>0</v>
      </c>
    </row>
    <row r="208" spans="1:17" ht="21" thickBot="1">
      <c r="A208" s="263"/>
      <c r="B208" s="45" t="s">
        <v>6</v>
      </c>
      <c r="C208" s="6">
        <f>SUM(C206:C207)</f>
        <v>1328</v>
      </c>
      <c r="D208" s="6">
        <f>SUM(D206:D207)</f>
        <v>2400</v>
      </c>
      <c r="E208" s="6">
        <f>SUM(E206:E207)</f>
        <v>1224</v>
      </c>
      <c r="F208" s="6">
        <f t="shared" si="55"/>
        <v>4952</v>
      </c>
      <c r="G208" s="6">
        <f>SUM(G206:G207)</f>
        <v>0</v>
      </c>
      <c r="H208" s="6">
        <f>SUM(H206:H207)</f>
        <v>1607</v>
      </c>
      <c r="I208" s="6">
        <f>SUM(I206:I207)</f>
        <v>324</v>
      </c>
      <c r="J208" s="6">
        <f>SUM(J206:J207)</f>
        <v>1931</v>
      </c>
      <c r="K208" s="6">
        <f>SUM(K206:K207)</f>
        <v>6883</v>
      </c>
    </row>
    <row r="209" spans="1:16" ht="21" thickTop="1">
      <c r="A209" s="263"/>
      <c r="B209" s="46" t="s">
        <v>15</v>
      </c>
      <c r="C209" s="4">
        <v>0</v>
      </c>
      <c r="D209" s="4">
        <v>0</v>
      </c>
      <c r="E209" s="4">
        <v>0</v>
      </c>
      <c r="F209" s="3">
        <f t="shared" si="55"/>
        <v>0</v>
      </c>
      <c r="G209" s="4">
        <v>0</v>
      </c>
      <c r="H209" s="4">
        <v>0</v>
      </c>
      <c r="I209" s="4">
        <v>0</v>
      </c>
      <c r="J209" s="3">
        <f t="shared" ref="J209:J214" si="56">SUM(G209:I209)</f>
        <v>0</v>
      </c>
      <c r="K209" s="3">
        <f t="shared" ref="K209:K214" si="57">SUM(J209,F209)</f>
        <v>0</v>
      </c>
    </row>
    <row r="210" spans="1:16">
      <c r="A210" s="263"/>
      <c r="B210" s="42" t="s">
        <v>16</v>
      </c>
      <c r="C210" s="4">
        <v>930</v>
      </c>
      <c r="D210" s="4">
        <v>1680</v>
      </c>
      <c r="E210" s="4">
        <v>856</v>
      </c>
      <c r="F210" s="3">
        <f t="shared" si="55"/>
        <v>3466</v>
      </c>
      <c r="G210" s="4">
        <v>0</v>
      </c>
      <c r="H210" s="4">
        <v>1125</v>
      </c>
      <c r="I210" s="4">
        <v>227</v>
      </c>
      <c r="J210" s="3">
        <f t="shared" si="56"/>
        <v>1352</v>
      </c>
      <c r="K210" s="3">
        <f t="shared" si="57"/>
        <v>4818</v>
      </c>
    </row>
    <row r="211" spans="1:16">
      <c r="A211" s="263"/>
      <c r="B211" s="42" t="s">
        <v>17</v>
      </c>
      <c r="C211" s="4">
        <v>0</v>
      </c>
      <c r="D211" s="4">
        <v>0</v>
      </c>
      <c r="E211" s="4">
        <v>0</v>
      </c>
      <c r="F211" s="3">
        <f t="shared" si="55"/>
        <v>0</v>
      </c>
      <c r="G211" s="4">
        <v>0</v>
      </c>
      <c r="H211" s="4">
        <v>0</v>
      </c>
      <c r="I211" s="4">
        <v>0</v>
      </c>
      <c r="J211" s="3">
        <f t="shared" si="56"/>
        <v>0</v>
      </c>
      <c r="K211" s="3">
        <f t="shared" si="57"/>
        <v>0</v>
      </c>
    </row>
    <row r="212" spans="1:16">
      <c r="A212" s="263"/>
      <c r="B212" s="42" t="s">
        <v>18</v>
      </c>
      <c r="C212" s="4">
        <v>0</v>
      </c>
      <c r="D212" s="4">
        <v>240</v>
      </c>
      <c r="E212" s="4">
        <v>122</v>
      </c>
      <c r="F212" s="3">
        <f t="shared" si="55"/>
        <v>362</v>
      </c>
      <c r="G212" s="4">
        <v>0</v>
      </c>
      <c r="H212" s="4">
        <v>161</v>
      </c>
      <c r="I212" s="4">
        <v>32</v>
      </c>
      <c r="J212" s="3">
        <f t="shared" si="56"/>
        <v>193</v>
      </c>
      <c r="K212" s="3">
        <f t="shared" si="57"/>
        <v>555</v>
      </c>
    </row>
    <row r="213" spans="1:16">
      <c r="A213" s="263"/>
      <c r="B213" s="42" t="s">
        <v>19</v>
      </c>
      <c r="C213" s="4">
        <v>0</v>
      </c>
      <c r="D213" s="4">
        <v>85</v>
      </c>
      <c r="E213" s="4">
        <v>51</v>
      </c>
      <c r="F213" s="3">
        <f t="shared" si="55"/>
        <v>136</v>
      </c>
      <c r="G213" s="4">
        <v>0</v>
      </c>
      <c r="H213" s="4">
        <v>51</v>
      </c>
      <c r="I213" s="4">
        <v>17</v>
      </c>
      <c r="J213" s="3">
        <f t="shared" si="56"/>
        <v>68</v>
      </c>
      <c r="K213" s="3">
        <f t="shared" si="57"/>
        <v>204</v>
      </c>
    </row>
    <row r="214" spans="1:16">
      <c r="A214" s="263"/>
      <c r="B214" s="42" t="s">
        <v>20</v>
      </c>
      <c r="C214" s="4">
        <v>0</v>
      </c>
      <c r="D214" s="4">
        <v>0</v>
      </c>
      <c r="E214" s="4">
        <v>9</v>
      </c>
      <c r="F214" s="3">
        <f t="shared" si="55"/>
        <v>9</v>
      </c>
      <c r="G214" s="4">
        <v>0</v>
      </c>
      <c r="H214" s="4">
        <v>0</v>
      </c>
      <c r="I214" s="4">
        <v>3</v>
      </c>
      <c r="J214" s="3">
        <f t="shared" si="56"/>
        <v>3</v>
      </c>
      <c r="K214" s="3">
        <f t="shared" si="57"/>
        <v>12</v>
      </c>
    </row>
    <row r="215" spans="1:16" ht="21" thickBot="1">
      <c r="A215" s="264"/>
      <c r="B215" s="47" t="s">
        <v>6</v>
      </c>
      <c r="C215" s="6">
        <f>SUM(C208:C214)</f>
        <v>2258</v>
      </c>
      <c r="D215" s="6">
        <f t="shared" ref="D215:K215" si="58">SUM(D208:D214)</f>
        <v>4405</v>
      </c>
      <c r="E215" s="6">
        <f t="shared" si="58"/>
        <v>2262</v>
      </c>
      <c r="F215" s="6">
        <f t="shared" si="58"/>
        <v>8925</v>
      </c>
      <c r="G215" s="6">
        <f t="shared" si="58"/>
        <v>0</v>
      </c>
      <c r="H215" s="6">
        <f t="shared" si="58"/>
        <v>2944</v>
      </c>
      <c r="I215" s="6">
        <f t="shared" si="58"/>
        <v>603</v>
      </c>
      <c r="J215" s="6">
        <f t="shared" si="58"/>
        <v>3547</v>
      </c>
      <c r="K215" s="6">
        <f t="shared" si="58"/>
        <v>12472</v>
      </c>
    </row>
    <row r="216" spans="1:16" ht="17.25" customHeight="1" thickTop="1"/>
    <row r="217" spans="1:16">
      <c r="A217" s="267" t="s">
        <v>2</v>
      </c>
      <c r="B217" s="269" t="s">
        <v>21</v>
      </c>
      <c r="C217" s="270"/>
      <c r="D217" s="270"/>
      <c r="E217" s="270"/>
      <c r="F217" s="270"/>
      <c r="G217" s="270"/>
      <c r="H217" s="270"/>
      <c r="I217" s="270"/>
      <c r="J217" s="270"/>
      <c r="K217" s="271"/>
      <c r="M217" s="272" t="s">
        <v>22</v>
      </c>
      <c r="N217" s="273"/>
      <c r="O217" s="273"/>
      <c r="P217" s="274"/>
    </row>
    <row r="218" spans="1:16" ht="21" thickBot="1">
      <c r="A218" s="268"/>
      <c r="B218" s="41"/>
      <c r="C218" s="267" t="s">
        <v>4</v>
      </c>
      <c r="D218" s="268"/>
      <c r="E218" s="268"/>
      <c r="F218" s="268"/>
      <c r="G218" s="267" t="s">
        <v>5</v>
      </c>
      <c r="H218" s="268"/>
      <c r="I218" s="268"/>
      <c r="J218" s="268"/>
      <c r="K218" s="40" t="s">
        <v>6</v>
      </c>
      <c r="M218" s="42" t="s">
        <v>8</v>
      </c>
      <c r="N218" s="42" t="s">
        <v>3</v>
      </c>
      <c r="O218" s="42" t="s">
        <v>21</v>
      </c>
      <c r="P218" s="47" t="s">
        <v>6</v>
      </c>
    </row>
    <row r="219" spans="1:16" ht="21" customHeight="1" thickTop="1">
      <c r="A219" s="262" t="s">
        <v>28</v>
      </c>
      <c r="B219" s="42" t="s">
        <v>8</v>
      </c>
      <c r="C219" s="43" t="s">
        <v>9</v>
      </c>
      <c r="D219" s="43" t="s">
        <v>10</v>
      </c>
      <c r="E219" s="43" t="s">
        <v>11</v>
      </c>
      <c r="F219" s="43" t="s">
        <v>6</v>
      </c>
      <c r="G219" s="43" t="s">
        <v>9</v>
      </c>
      <c r="H219" s="43" t="s">
        <v>10</v>
      </c>
      <c r="I219" s="43" t="s">
        <v>11</v>
      </c>
      <c r="J219" s="43" t="s">
        <v>6</v>
      </c>
      <c r="K219" s="43" t="s">
        <v>6</v>
      </c>
      <c r="M219" s="44" t="s">
        <v>12</v>
      </c>
      <c r="N219" s="1">
        <f>K205</f>
        <v>13</v>
      </c>
      <c r="O219" s="1">
        <f>K220</f>
        <v>17</v>
      </c>
      <c r="P219" s="8">
        <f>SUM(N219:O219)</f>
        <v>30</v>
      </c>
    </row>
    <row r="220" spans="1:16">
      <c r="A220" s="263"/>
      <c r="B220" s="44" t="s">
        <v>12</v>
      </c>
      <c r="C220" s="4">
        <v>4</v>
      </c>
      <c r="D220" s="4">
        <v>8</v>
      </c>
      <c r="E220" s="4">
        <v>2</v>
      </c>
      <c r="F220" s="3">
        <f t="shared" ref="F220:F229" si="59">SUM(C220:E220)</f>
        <v>14</v>
      </c>
      <c r="G220" s="4">
        <v>1</v>
      </c>
      <c r="H220" s="4">
        <v>2</v>
      </c>
      <c r="I220" s="4">
        <v>0</v>
      </c>
      <c r="J220" s="3">
        <f>SUM(G220:I220)</f>
        <v>3</v>
      </c>
      <c r="K220" s="3">
        <f>SUM(J220,F220)</f>
        <v>17</v>
      </c>
      <c r="M220" s="42" t="s">
        <v>13</v>
      </c>
      <c r="N220" s="1">
        <f>K206</f>
        <v>6883</v>
      </c>
      <c r="O220" s="1">
        <f>K221</f>
        <v>10752</v>
      </c>
      <c r="P220" s="8">
        <f t="shared" ref="P220:P228" si="60">SUM(N220:O220)</f>
        <v>17635</v>
      </c>
    </row>
    <row r="221" spans="1:16">
      <c r="A221" s="263"/>
      <c r="B221" s="42" t="s">
        <v>13</v>
      </c>
      <c r="C221" s="4">
        <v>3852</v>
      </c>
      <c r="D221" s="4">
        <v>3672</v>
      </c>
      <c r="E221" s="4">
        <v>708</v>
      </c>
      <c r="F221" s="3">
        <f t="shared" si="59"/>
        <v>8232</v>
      </c>
      <c r="G221" s="4">
        <v>816</v>
      </c>
      <c r="H221" s="4">
        <v>1704</v>
      </c>
      <c r="I221" s="4">
        <v>0</v>
      </c>
      <c r="J221" s="3">
        <f>SUM(G221:I221)</f>
        <v>2520</v>
      </c>
      <c r="K221" s="3">
        <f>SUM(J221,F221)</f>
        <v>10752</v>
      </c>
      <c r="M221" s="42" t="s">
        <v>14</v>
      </c>
      <c r="N221" s="1">
        <f>K207</f>
        <v>0</v>
      </c>
      <c r="O221" s="1">
        <f>K222</f>
        <v>0</v>
      </c>
      <c r="P221" s="8">
        <f t="shared" si="60"/>
        <v>0</v>
      </c>
    </row>
    <row r="222" spans="1:16" ht="21" thickBot="1">
      <c r="A222" s="263"/>
      <c r="B222" s="42" t="s">
        <v>14</v>
      </c>
      <c r="C222" s="4">
        <v>0</v>
      </c>
      <c r="D222" s="4">
        <v>0</v>
      </c>
      <c r="E222" s="4">
        <v>0</v>
      </c>
      <c r="F222" s="3">
        <f t="shared" si="59"/>
        <v>0</v>
      </c>
      <c r="G222" s="4">
        <v>0</v>
      </c>
      <c r="H222" s="4">
        <v>0</v>
      </c>
      <c r="I222" s="4">
        <v>0</v>
      </c>
      <c r="J222" s="3">
        <f>SUM(G222:I222)</f>
        <v>0</v>
      </c>
      <c r="K222" s="3">
        <f>SUM(J222,F222)</f>
        <v>0</v>
      </c>
      <c r="M222" s="45" t="s">
        <v>6</v>
      </c>
      <c r="N222" s="9">
        <f>K208</f>
        <v>6883</v>
      </c>
      <c r="O222" s="9">
        <f>K223</f>
        <v>10752</v>
      </c>
      <c r="P222" s="9">
        <f t="shared" si="60"/>
        <v>17635</v>
      </c>
    </row>
    <row r="223" spans="1:16" ht="21.75" thickTop="1" thickBot="1">
      <c r="A223" s="263"/>
      <c r="B223" s="45" t="s">
        <v>6</v>
      </c>
      <c r="C223" s="6">
        <f>SUM(C221:C222)</f>
        <v>3852</v>
      </c>
      <c r="D223" s="6">
        <f>SUM(D221:D222)</f>
        <v>3672</v>
      </c>
      <c r="E223" s="6">
        <f>SUM(E221:E222)</f>
        <v>708</v>
      </c>
      <c r="F223" s="6">
        <f t="shared" si="59"/>
        <v>8232</v>
      </c>
      <c r="G223" s="6">
        <f>SUM(G221:G222)</f>
        <v>816</v>
      </c>
      <c r="H223" s="6">
        <f>SUM(H221:H222)</f>
        <v>1704</v>
      </c>
      <c r="I223" s="6">
        <f>SUM(I221:I222)</f>
        <v>0</v>
      </c>
      <c r="J223" s="6">
        <f>SUM(J221:J222)</f>
        <v>2520</v>
      </c>
      <c r="K223" s="6">
        <f>SUM(K221:K222)</f>
        <v>10752</v>
      </c>
      <c r="M223" s="46" t="s">
        <v>16</v>
      </c>
      <c r="N223" s="11">
        <f>K210</f>
        <v>4818</v>
      </c>
      <c r="O223" s="11">
        <f>K225</f>
        <v>7526</v>
      </c>
      <c r="P223" s="12">
        <f t="shared" si="60"/>
        <v>12344</v>
      </c>
    </row>
    <row r="224" spans="1:16" ht="21" thickTop="1">
      <c r="A224" s="263"/>
      <c r="B224" s="46" t="s">
        <v>15</v>
      </c>
      <c r="C224" s="4">
        <v>0</v>
      </c>
      <c r="D224" s="4">
        <v>0</v>
      </c>
      <c r="E224" s="4">
        <v>0</v>
      </c>
      <c r="F224" s="3">
        <f t="shared" si="59"/>
        <v>0</v>
      </c>
      <c r="G224" s="4">
        <v>0</v>
      </c>
      <c r="H224" s="4">
        <v>0</v>
      </c>
      <c r="I224" s="4">
        <v>0</v>
      </c>
      <c r="J224" s="3">
        <f t="shared" ref="J224:J229" si="61">SUM(G224:I224)</f>
        <v>0</v>
      </c>
      <c r="K224" s="3">
        <f t="shared" ref="K224:K229" si="62">SUM(J224,F224)</f>
        <v>0</v>
      </c>
      <c r="M224" s="46" t="s">
        <v>15</v>
      </c>
      <c r="N224" s="1">
        <f>$K$11</f>
        <v>0</v>
      </c>
      <c r="O224" s="1">
        <f>SUM(K224)</f>
        <v>0</v>
      </c>
      <c r="P224" s="12">
        <f t="shared" si="60"/>
        <v>0</v>
      </c>
    </row>
    <row r="225" spans="1:17">
      <c r="A225" s="263"/>
      <c r="B225" s="42" t="s">
        <v>16</v>
      </c>
      <c r="C225" s="4">
        <v>2696</v>
      </c>
      <c r="D225" s="4">
        <v>2570</v>
      </c>
      <c r="E225" s="4">
        <v>496</v>
      </c>
      <c r="F225" s="3">
        <f t="shared" si="59"/>
        <v>5762</v>
      </c>
      <c r="G225" s="4">
        <v>571</v>
      </c>
      <c r="H225" s="4">
        <v>1193</v>
      </c>
      <c r="I225" s="4">
        <v>0</v>
      </c>
      <c r="J225" s="3">
        <f t="shared" si="61"/>
        <v>1764</v>
      </c>
      <c r="K225" s="3">
        <f t="shared" si="62"/>
        <v>7526</v>
      </c>
      <c r="M225" s="42" t="s">
        <v>17</v>
      </c>
      <c r="N225" s="1">
        <f>K211</f>
        <v>0</v>
      </c>
      <c r="O225" s="1">
        <f>K226</f>
        <v>0</v>
      </c>
      <c r="P225" s="8">
        <f t="shared" si="60"/>
        <v>0</v>
      </c>
    </row>
    <row r="226" spans="1:17">
      <c r="A226" s="263"/>
      <c r="B226" s="42" t="s">
        <v>17</v>
      </c>
      <c r="C226" s="4">
        <v>0</v>
      </c>
      <c r="D226" s="4">
        <v>0</v>
      </c>
      <c r="E226" s="4">
        <v>0</v>
      </c>
      <c r="F226" s="3">
        <f t="shared" si="59"/>
        <v>0</v>
      </c>
      <c r="G226" s="4">
        <v>0</v>
      </c>
      <c r="H226" s="4">
        <v>0</v>
      </c>
      <c r="I226" s="4">
        <v>0</v>
      </c>
      <c r="J226" s="3">
        <f t="shared" si="61"/>
        <v>0</v>
      </c>
      <c r="K226" s="3">
        <f t="shared" si="62"/>
        <v>0</v>
      </c>
      <c r="M226" s="42" t="s">
        <v>18</v>
      </c>
      <c r="N226" s="1">
        <f>K212</f>
        <v>555</v>
      </c>
      <c r="O226" s="1">
        <f>K227</f>
        <v>768</v>
      </c>
      <c r="P226" s="8">
        <f t="shared" si="60"/>
        <v>1323</v>
      </c>
    </row>
    <row r="227" spans="1:17">
      <c r="A227" s="263"/>
      <c r="B227" s="42" t="s">
        <v>18</v>
      </c>
      <c r="C227" s="4">
        <v>158</v>
      </c>
      <c r="D227" s="4">
        <v>313</v>
      </c>
      <c r="E227" s="4">
        <v>44</v>
      </c>
      <c r="F227" s="3">
        <f t="shared" si="59"/>
        <v>515</v>
      </c>
      <c r="G227" s="4">
        <v>82</v>
      </c>
      <c r="H227" s="4">
        <v>171</v>
      </c>
      <c r="I227" s="4">
        <v>0</v>
      </c>
      <c r="J227" s="3">
        <f t="shared" si="61"/>
        <v>253</v>
      </c>
      <c r="K227" s="3">
        <f t="shared" si="62"/>
        <v>768</v>
      </c>
      <c r="M227" s="42" t="s">
        <v>19</v>
      </c>
      <c r="N227" s="1">
        <f>K213</f>
        <v>204</v>
      </c>
      <c r="O227" s="1">
        <f>K228</f>
        <v>255</v>
      </c>
      <c r="P227" s="8">
        <f t="shared" si="60"/>
        <v>459</v>
      </c>
    </row>
    <row r="228" spans="1:17">
      <c r="A228" s="263"/>
      <c r="B228" s="42" t="s">
        <v>19</v>
      </c>
      <c r="C228" s="4">
        <v>34</v>
      </c>
      <c r="D228" s="4">
        <v>136</v>
      </c>
      <c r="E228" s="4">
        <v>34</v>
      </c>
      <c r="F228" s="3">
        <f t="shared" si="59"/>
        <v>204</v>
      </c>
      <c r="G228" s="4">
        <v>17</v>
      </c>
      <c r="H228" s="4">
        <v>34</v>
      </c>
      <c r="I228" s="4">
        <v>0</v>
      </c>
      <c r="J228" s="3">
        <f t="shared" si="61"/>
        <v>51</v>
      </c>
      <c r="K228" s="3">
        <f t="shared" si="62"/>
        <v>255</v>
      </c>
      <c r="M228" s="42" t="s">
        <v>20</v>
      </c>
      <c r="N228" s="1">
        <f>K214</f>
        <v>12</v>
      </c>
      <c r="O228" s="1">
        <f>K229</f>
        <v>6</v>
      </c>
      <c r="P228" s="8">
        <f t="shared" si="60"/>
        <v>18</v>
      </c>
    </row>
    <row r="229" spans="1:17" ht="21" thickBot="1">
      <c r="A229" s="263"/>
      <c r="B229" s="42" t="s">
        <v>20</v>
      </c>
      <c r="C229" s="4">
        <v>0</v>
      </c>
      <c r="D229" s="4">
        <v>0</v>
      </c>
      <c r="E229" s="4">
        <v>6</v>
      </c>
      <c r="F229" s="3">
        <f t="shared" si="59"/>
        <v>6</v>
      </c>
      <c r="G229" s="4">
        <v>0</v>
      </c>
      <c r="H229" s="4">
        <v>0</v>
      </c>
      <c r="I229" s="4">
        <v>0</v>
      </c>
      <c r="J229" s="3">
        <f t="shared" si="61"/>
        <v>0</v>
      </c>
      <c r="K229" s="3">
        <f t="shared" si="62"/>
        <v>6</v>
      </c>
      <c r="M229" s="47" t="s">
        <v>6</v>
      </c>
      <c r="N229" s="9">
        <f>SUM(N222:N228)</f>
        <v>12472</v>
      </c>
      <c r="O229" s="9">
        <f>SUM(O222:O228)</f>
        <v>19307</v>
      </c>
      <c r="P229" s="9">
        <f>SUM(P222:P228)</f>
        <v>31779</v>
      </c>
    </row>
    <row r="230" spans="1:17" ht="21.75" thickTop="1" thickBot="1">
      <c r="A230" s="264"/>
      <c r="B230" s="47" t="s">
        <v>6</v>
      </c>
      <c r="C230" s="6">
        <f>SUM(C223:C229)</f>
        <v>6740</v>
      </c>
      <c r="D230" s="6">
        <f t="shared" ref="D230:K230" si="63">SUM(D223:D229)</f>
        <v>6691</v>
      </c>
      <c r="E230" s="6">
        <f t="shared" si="63"/>
        <v>1288</v>
      </c>
      <c r="F230" s="6">
        <f t="shared" si="63"/>
        <v>14719</v>
      </c>
      <c r="G230" s="6">
        <f t="shared" si="63"/>
        <v>1486</v>
      </c>
      <c r="H230" s="6">
        <f t="shared" si="63"/>
        <v>3102</v>
      </c>
      <c r="I230" s="6">
        <f t="shared" si="63"/>
        <v>0</v>
      </c>
      <c r="J230" s="6">
        <f t="shared" si="63"/>
        <v>4588</v>
      </c>
      <c r="K230" s="6">
        <f t="shared" si="63"/>
        <v>19307</v>
      </c>
      <c r="M230" s="5"/>
      <c r="N230" s="5"/>
      <c r="O230" s="5"/>
      <c r="P230" s="5"/>
    </row>
    <row r="231" spans="1:17" ht="21" thickTop="1">
      <c r="A231" s="13"/>
      <c r="B231" s="14"/>
      <c r="C231" s="15"/>
      <c r="D231" s="15"/>
      <c r="E231" s="15"/>
      <c r="F231" s="15"/>
      <c r="G231" s="15"/>
      <c r="H231" s="15"/>
      <c r="I231" s="15"/>
      <c r="J231" s="15"/>
      <c r="K231" s="15"/>
      <c r="M231" s="5"/>
      <c r="N231" s="5"/>
      <c r="O231" s="5"/>
      <c r="P231" s="5"/>
    </row>
    <row r="232" spans="1:17">
      <c r="A232" s="265" t="s">
        <v>143</v>
      </c>
      <c r="B232" s="266"/>
      <c r="C232" s="266"/>
      <c r="D232" s="266"/>
      <c r="E232" s="266"/>
      <c r="F232" s="266"/>
      <c r="G232" s="266"/>
      <c r="H232" s="266"/>
      <c r="I232" s="266"/>
      <c r="J232" s="266"/>
      <c r="K232" s="266"/>
      <c r="L232" s="266"/>
      <c r="M232" s="266"/>
      <c r="N232" s="266"/>
      <c r="O232" s="266"/>
      <c r="P232" s="266"/>
    </row>
    <row r="233" spans="1:17" ht="24" customHeight="1">
      <c r="A233" s="232" t="s">
        <v>32</v>
      </c>
      <c r="B233" s="233"/>
      <c r="C233" s="233"/>
      <c r="D233" s="233"/>
      <c r="E233" s="233"/>
      <c r="F233" s="233"/>
      <c r="G233" s="233"/>
      <c r="H233" s="233"/>
      <c r="I233" s="233"/>
      <c r="J233" s="233"/>
      <c r="K233" s="233"/>
      <c r="L233" s="233"/>
      <c r="M233" s="233"/>
      <c r="N233" s="233"/>
      <c r="O233" s="233"/>
      <c r="P233" s="233"/>
      <c r="Q233" s="39"/>
    </row>
    <row r="234" spans="1:17" ht="21" customHeight="1">
      <c r="A234" s="234" t="s">
        <v>1</v>
      </c>
      <c r="B234" s="235"/>
      <c r="C234" s="235"/>
      <c r="D234" s="235"/>
      <c r="E234" s="235"/>
      <c r="F234" s="235"/>
      <c r="G234" s="235"/>
      <c r="H234" s="235"/>
      <c r="I234" s="235"/>
      <c r="J234" s="235"/>
      <c r="K234" s="235"/>
      <c r="L234" s="116"/>
      <c r="M234" s="116"/>
      <c r="N234" s="116"/>
      <c r="O234" s="116"/>
      <c r="P234" s="116"/>
    </row>
    <row r="235" spans="1:17">
      <c r="A235" s="254" t="s">
        <v>2</v>
      </c>
      <c r="B235" s="259" t="s">
        <v>3</v>
      </c>
      <c r="C235" s="260"/>
      <c r="D235" s="260"/>
      <c r="E235" s="260"/>
      <c r="F235" s="260"/>
      <c r="G235" s="260"/>
      <c r="H235" s="260"/>
      <c r="I235" s="260"/>
      <c r="J235" s="260"/>
      <c r="K235" s="261"/>
      <c r="L235" s="116"/>
      <c r="M235" s="116"/>
      <c r="N235" s="116"/>
      <c r="O235" s="116"/>
      <c r="P235" s="116"/>
    </row>
    <row r="236" spans="1:17">
      <c r="A236" s="255"/>
      <c r="B236" s="117"/>
      <c r="C236" s="254" t="s">
        <v>4</v>
      </c>
      <c r="D236" s="255"/>
      <c r="E236" s="255"/>
      <c r="F236" s="255"/>
      <c r="G236" s="254" t="s">
        <v>5</v>
      </c>
      <c r="H236" s="255"/>
      <c r="I236" s="255"/>
      <c r="J236" s="255"/>
      <c r="K236" s="118" t="s">
        <v>6</v>
      </c>
      <c r="L236" s="116"/>
      <c r="M236" s="116"/>
      <c r="N236" s="116"/>
      <c r="O236" s="116"/>
      <c r="P236" s="116"/>
    </row>
    <row r="237" spans="1:17">
      <c r="A237" s="256" t="s">
        <v>29</v>
      </c>
      <c r="B237" s="119" t="s">
        <v>8</v>
      </c>
      <c r="C237" s="120" t="s">
        <v>9</v>
      </c>
      <c r="D237" s="120" t="s">
        <v>10</v>
      </c>
      <c r="E237" s="120" t="s">
        <v>11</v>
      </c>
      <c r="F237" s="120" t="s">
        <v>6</v>
      </c>
      <c r="G237" s="120" t="s">
        <v>9</v>
      </c>
      <c r="H237" s="120" t="s">
        <v>10</v>
      </c>
      <c r="I237" s="120" t="s">
        <v>11</v>
      </c>
      <c r="J237" s="120" t="s">
        <v>6</v>
      </c>
      <c r="K237" s="120" t="s">
        <v>6</v>
      </c>
      <c r="L237" s="116"/>
      <c r="M237" s="116"/>
      <c r="N237" s="116"/>
      <c r="O237" s="116"/>
      <c r="P237" s="116"/>
    </row>
    <row r="238" spans="1:17">
      <c r="A238" s="257"/>
      <c r="B238" s="121" t="s">
        <v>12</v>
      </c>
      <c r="C238" s="122">
        <v>0</v>
      </c>
      <c r="D238" s="122">
        <v>0</v>
      </c>
      <c r="E238" s="122">
        <v>0</v>
      </c>
      <c r="F238" s="123">
        <f t="shared" ref="F238:F247" si="64">SUM(C238:E238)</f>
        <v>0</v>
      </c>
      <c r="G238" s="122">
        <v>0</v>
      </c>
      <c r="H238" s="122">
        <v>0</v>
      </c>
      <c r="I238" s="122">
        <v>0</v>
      </c>
      <c r="J238" s="123">
        <f>SUM(G238:I238)</f>
        <v>0</v>
      </c>
      <c r="K238" s="123">
        <f>SUM(J238,F238)</f>
        <v>0</v>
      </c>
      <c r="L238" s="116"/>
      <c r="M238" s="116"/>
      <c r="N238" s="116"/>
      <c r="O238" s="116"/>
      <c r="P238" s="116"/>
    </row>
    <row r="239" spans="1:17">
      <c r="A239" s="257"/>
      <c r="B239" s="119" t="s">
        <v>13</v>
      </c>
      <c r="C239" s="122">
        <v>0</v>
      </c>
      <c r="D239" s="122">
        <v>0</v>
      </c>
      <c r="E239" s="122">
        <v>0</v>
      </c>
      <c r="F239" s="123">
        <f t="shared" si="64"/>
        <v>0</v>
      </c>
      <c r="G239" s="122">
        <v>0</v>
      </c>
      <c r="H239" s="122">
        <v>0</v>
      </c>
      <c r="I239" s="122">
        <v>0</v>
      </c>
      <c r="J239" s="123">
        <f>SUM(G239:I239)</f>
        <v>0</v>
      </c>
      <c r="K239" s="123">
        <f>SUM(J239,F239)</f>
        <v>0</v>
      </c>
      <c r="L239" s="116"/>
      <c r="M239" s="116"/>
      <c r="N239" s="116"/>
      <c r="O239" s="116"/>
      <c r="P239" s="116"/>
    </row>
    <row r="240" spans="1:17">
      <c r="A240" s="257"/>
      <c r="B240" s="119" t="s">
        <v>14</v>
      </c>
      <c r="C240" s="122">
        <v>0</v>
      </c>
      <c r="D240" s="122">
        <v>0</v>
      </c>
      <c r="E240" s="122">
        <v>0</v>
      </c>
      <c r="F240" s="123">
        <f t="shared" si="64"/>
        <v>0</v>
      </c>
      <c r="G240" s="122">
        <v>0</v>
      </c>
      <c r="H240" s="122">
        <v>0</v>
      </c>
      <c r="I240" s="122">
        <v>0</v>
      </c>
      <c r="J240" s="123">
        <f>SUM(G240:I240)</f>
        <v>0</v>
      </c>
      <c r="K240" s="123">
        <f>SUM(J240,F240)</f>
        <v>0</v>
      </c>
      <c r="L240" s="116"/>
      <c r="M240" s="116"/>
      <c r="N240" s="116"/>
      <c r="O240" s="116"/>
      <c r="P240" s="116"/>
    </row>
    <row r="241" spans="1:16" ht="21" thickBot="1">
      <c r="A241" s="257"/>
      <c r="B241" s="124" t="s">
        <v>6</v>
      </c>
      <c r="C241" s="125">
        <f>SUM(C239:C240)</f>
        <v>0</v>
      </c>
      <c r="D241" s="125">
        <f>SUM(D239:D240)</f>
        <v>0</v>
      </c>
      <c r="E241" s="125">
        <f>SUM(E239:E240)</f>
        <v>0</v>
      </c>
      <c r="F241" s="125">
        <f t="shared" si="64"/>
        <v>0</v>
      </c>
      <c r="G241" s="125">
        <f>SUM(G239:G240)</f>
        <v>0</v>
      </c>
      <c r="H241" s="125">
        <f>SUM(H239:H240)</f>
        <v>0</v>
      </c>
      <c r="I241" s="125">
        <f>SUM(I239:I240)</f>
        <v>0</v>
      </c>
      <c r="J241" s="125">
        <f>SUM(J239:J240)</f>
        <v>0</v>
      </c>
      <c r="K241" s="125">
        <f>SUM(K239:K240)</f>
        <v>0</v>
      </c>
      <c r="L241" s="116"/>
      <c r="M241" s="116"/>
      <c r="N241" s="116"/>
      <c r="O241" s="116"/>
      <c r="P241" s="116"/>
    </row>
    <row r="242" spans="1:16" ht="21" thickTop="1">
      <c r="A242" s="257"/>
      <c r="B242" s="126" t="s">
        <v>15</v>
      </c>
      <c r="C242" s="122">
        <v>0</v>
      </c>
      <c r="D242" s="122">
        <v>0</v>
      </c>
      <c r="E242" s="122">
        <v>0</v>
      </c>
      <c r="F242" s="123">
        <f t="shared" si="64"/>
        <v>0</v>
      </c>
      <c r="G242" s="127">
        <v>0</v>
      </c>
      <c r="H242" s="122">
        <v>0</v>
      </c>
      <c r="I242" s="127">
        <v>0</v>
      </c>
      <c r="J242" s="123">
        <f t="shared" ref="J242:J247" si="65">SUM(G242:I242)</f>
        <v>0</v>
      </c>
      <c r="K242" s="123">
        <f t="shared" ref="K242:K247" si="66">SUM(J242,F242)</f>
        <v>0</v>
      </c>
      <c r="L242" s="116"/>
      <c r="M242" s="116"/>
      <c r="N242" s="116"/>
      <c r="O242" s="116"/>
      <c r="P242" s="116"/>
    </row>
    <row r="243" spans="1:16">
      <c r="A243" s="257"/>
      <c r="B243" s="119" t="s">
        <v>16</v>
      </c>
      <c r="C243" s="122">
        <v>0</v>
      </c>
      <c r="D243" s="122">
        <v>0</v>
      </c>
      <c r="E243" s="122">
        <v>0</v>
      </c>
      <c r="F243" s="123">
        <f t="shared" si="64"/>
        <v>0</v>
      </c>
      <c r="G243" s="122">
        <v>0</v>
      </c>
      <c r="H243" s="122">
        <v>0</v>
      </c>
      <c r="I243" s="122">
        <v>0</v>
      </c>
      <c r="J243" s="123">
        <f t="shared" si="65"/>
        <v>0</v>
      </c>
      <c r="K243" s="123">
        <f t="shared" si="66"/>
        <v>0</v>
      </c>
      <c r="L243" s="116"/>
      <c r="M243" s="116"/>
      <c r="N243" s="116"/>
      <c r="O243" s="116"/>
      <c r="P243" s="116"/>
    </row>
    <row r="244" spans="1:16">
      <c r="A244" s="257"/>
      <c r="B244" s="119" t="s">
        <v>17</v>
      </c>
      <c r="C244" s="122">
        <v>0</v>
      </c>
      <c r="D244" s="122">
        <v>0</v>
      </c>
      <c r="E244" s="122">
        <v>0</v>
      </c>
      <c r="F244" s="123">
        <f t="shared" si="64"/>
        <v>0</v>
      </c>
      <c r="G244" s="122">
        <v>0</v>
      </c>
      <c r="H244" s="122">
        <v>0</v>
      </c>
      <c r="I244" s="122">
        <v>0</v>
      </c>
      <c r="J244" s="123">
        <f t="shared" si="65"/>
        <v>0</v>
      </c>
      <c r="K244" s="123">
        <f t="shared" si="66"/>
        <v>0</v>
      </c>
      <c r="L244" s="116"/>
      <c r="M244" s="116"/>
      <c r="N244" s="116"/>
      <c r="O244" s="116"/>
      <c r="P244" s="116"/>
    </row>
    <row r="245" spans="1:16">
      <c r="A245" s="257"/>
      <c r="B245" s="119" t="s">
        <v>18</v>
      </c>
      <c r="C245" s="122">
        <v>0</v>
      </c>
      <c r="D245" s="122">
        <v>0</v>
      </c>
      <c r="E245" s="122">
        <v>0</v>
      </c>
      <c r="F245" s="123">
        <f t="shared" si="64"/>
        <v>0</v>
      </c>
      <c r="G245" s="122">
        <v>0</v>
      </c>
      <c r="H245" s="122">
        <v>0</v>
      </c>
      <c r="I245" s="122">
        <v>0</v>
      </c>
      <c r="J245" s="123">
        <f t="shared" si="65"/>
        <v>0</v>
      </c>
      <c r="K245" s="123">
        <f t="shared" si="66"/>
        <v>0</v>
      </c>
      <c r="L245" s="116"/>
      <c r="M245" s="116"/>
      <c r="N245" s="116"/>
      <c r="O245" s="116"/>
      <c r="P245" s="116"/>
    </row>
    <row r="246" spans="1:16">
      <c r="A246" s="257"/>
      <c r="B246" s="119" t="s">
        <v>19</v>
      </c>
      <c r="C246" s="122">
        <v>0</v>
      </c>
      <c r="D246" s="122">
        <v>0</v>
      </c>
      <c r="E246" s="122">
        <v>0</v>
      </c>
      <c r="F246" s="123">
        <f t="shared" si="64"/>
        <v>0</v>
      </c>
      <c r="G246" s="122">
        <v>0</v>
      </c>
      <c r="H246" s="122">
        <v>0</v>
      </c>
      <c r="I246" s="122">
        <v>0</v>
      </c>
      <c r="J246" s="123">
        <f t="shared" si="65"/>
        <v>0</v>
      </c>
      <c r="K246" s="123">
        <f t="shared" si="66"/>
        <v>0</v>
      </c>
      <c r="L246" s="116"/>
      <c r="M246" s="116"/>
      <c r="N246" s="116"/>
      <c r="O246" s="116"/>
      <c r="P246" s="116"/>
    </row>
    <row r="247" spans="1:16">
      <c r="A247" s="257"/>
      <c r="B247" s="119" t="s">
        <v>20</v>
      </c>
      <c r="C247" s="122">
        <v>0</v>
      </c>
      <c r="D247" s="122">
        <v>0</v>
      </c>
      <c r="E247" s="122">
        <v>0</v>
      </c>
      <c r="F247" s="123">
        <f t="shared" si="64"/>
        <v>0</v>
      </c>
      <c r="G247" s="122">
        <v>0</v>
      </c>
      <c r="H247" s="122">
        <v>0</v>
      </c>
      <c r="I247" s="122">
        <v>0</v>
      </c>
      <c r="J247" s="123">
        <f t="shared" si="65"/>
        <v>0</v>
      </c>
      <c r="K247" s="123">
        <f t="shared" si="66"/>
        <v>0</v>
      </c>
      <c r="L247" s="116"/>
      <c r="M247" s="116"/>
      <c r="N247" s="116"/>
      <c r="O247" s="116"/>
      <c r="P247" s="116"/>
    </row>
    <row r="248" spans="1:16" ht="21" thickBot="1">
      <c r="A248" s="258"/>
      <c r="B248" s="128" t="s">
        <v>6</v>
      </c>
      <c r="C248" s="125">
        <f>SUM(C241:C247)</f>
        <v>0</v>
      </c>
      <c r="D248" s="125">
        <f t="shared" ref="D248:K248" si="67">SUM(D241:D247)</f>
        <v>0</v>
      </c>
      <c r="E248" s="125">
        <f t="shared" si="67"/>
        <v>0</v>
      </c>
      <c r="F248" s="125">
        <f t="shared" si="67"/>
        <v>0</v>
      </c>
      <c r="G248" s="125">
        <f t="shared" si="67"/>
        <v>0</v>
      </c>
      <c r="H248" s="125">
        <f t="shared" si="67"/>
        <v>0</v>
      </c>
      <c r="I248" s="125">
        <f t="shared" si="67"/>
        <v>0</v>
      </c>
      <c r="J248" s="125">
        <f t="shared" si="67"/>
        <v>0</v>
      </c>
      <c r="K248" s="125">
        <f t="shared" si="67"/>
        <v>0</v>
      </c>
      <c r="L248" s="116"/>
      <c r="M248" s="116"/>
      <c r="N248" s="116"/>
      <c r="O248" s="116"/>
      <c r="P248" s="116"/>
    </row>
    <row r="249" spans="1:16" ht="17.25" customHeight="1" thickTop="1">
      <c r="A249" s="116"/>
      <c r="B249" s="116"/>
      <c r="C249" s="116"/>
      <c r="D249" s="116"/>
      <c r="E249" s="116"/>
      <c r="F249" s="116"/>
      <c r="G249" s="116"/>
      <c r="H249" s="116"/>
      <c r="I249" s="116"/>
      <c r="J249" s="116"/>
      <c r="K249" s="116"/>
      <c r="L249" s="116"/>
      <c r="M249" s="116"/>
      <c r="N249" s="116"/>
      <c r="O249" s="116"/>
      <c r="P249" s="116"/>
    </row>
    <row r="250" spans="1:16">
      <c r="A250" s="254" t="s">
        <v>2</v>
      </c>
      <c r="B250" s="259" t="s">
        <v>21</v>
      </c>
      <c r="C250" s="260"/>
      <c r="D250" s="260"/>
      <c r="E250" s="260"/>
      <c r="F250" s="260"/>
      <c r="G250" s="260"/>
      <c r="H250" s="260"/>
      <c r="I250" s="260"/>
      <c r="J250" s="260"/>
      <c r="K250" s="261"/>
      <c r="L250" s="116"/>
      <c r="M250" s="251" t="s">
        <v>22</v>
      </c>
      <c r="N250" s="252"/>
      <c r="O250" s="252"/>
      <c r="P250" s="253"/>
    </row>
    <row r="251" spans="1:16" ht="21" thickBot="1">
      <c r="A251" s="255"/>
      <c r="B251" s="117"/>
      <c r="C251" s="254" t="s">
        <v>4</v>
      </c>
      <c r="D251" s="255"/>
      <c r="E251" s="255"/>
      <c r="F251" s="255"/>
      <c r="G251" s="254" t="s">
        <v>5</v>
      </c>
      <c r="H251" s="255"/>
      <c r="I251" s="255"/>
      <c r="J251" s="255"/>
      <c r="K251" s="118" t="s">
        <v>6</v>
      </c>
      <c r="L251" s="116"/>
      <c r="M251" s="119" t="s">
        <v>8</v>
      </c>
      <c r="N251" s="119" t="s">
        <v>3</v>
      </c>
      <c r="O251" s="119" t="s">
        <v>21</v>
      </c>
      <c r="P251" s="128" t="s">
        <v>6</v>
      </c>
    </row>
    <row r="252" spans="1:16" ht="21" customHeight="1" thickTop="1">
      <c r="A252" s="256" t="s">
        <v>29</v>
      </c>
      <c r="B252" s="119" t="s">
        <v>8</v>
      </c>
      <c r="C252" s="120" t="s">
        <v>9</v>
      </c>
      <c r="D252" s="120" t="s">
        <v>10</v>
      </c>
      <c r="E252" s="120" t="s">
        <v>11</v>
      </c>
      <c r="F252" s="120" t="s">
        <v>6</v>
      </c>
      <c r="G252" s="120" t="s">
        <v>9</v>
      </c>
      <c r="H252" s="120" t="s">
        <v>10</v>
      </c>
      <c r="I252" s="120" t="s">
        <v>11</v>
      </c>
      <c r="J252" s="120" t="s">
        <v>6</v>
      </c>
      <c r="K252" s="120" t="s">
        <v>6</v>
      </c>
      <c r="L252" s="116"/>
      <c r="M252" s="121" t="s">
        <v>12</v>
      </c>
      <c r="N252" s="129">
        <f>K238</f>
        <v>0</v>
      </c>
      <c r="O252" s="129">
        <f>K253</f>
        <v>0</v>
      </c>
      <c r="P252" s="130">
        <f>SUM(N252:O252)</f>
        <v>0</v>
      </c>
    </row>
    <row r="253" spans="1:16">
      <c r="A253" s="257"/>
      <c r="B253" s="121" t="s">
        <v>12</v>
      </c>
      <c r="C253" s="122">
        <v>0</v>
      </c>
      <c r="D253" s="122">
        <v>0</v>
      </c>
      <c r="E253" s="122">
        <v>0</v>
      </c>
      <c r="F253" s="123">
        <f t="shared" ref="F253:F262" si="68">SUM(C253:E253)</f>
        <v>0</v>
      </c>
      <c r="G253" s="122">
        <v>0</v>
      </c>
      <c r="H253" s="122">
        <v>0</v>
      </c>
      <c r="I253" s="122">
        <v>0</v>
      </c>
      <c r="J253" s="123">
        <f>SUM(G253:I253)</f>
        <v>0</v>
      </c>
      <c r="K253" s="123">
        <f>SUM(J253,F253)</f>
        <v>0</v>
      </c>
      <c r="L253" s="116"/>
      <c r="M253" s="119" t="s">
        <v>13</v>
      </c>
      <c r="N253" s="129">
        <f>K239</f>
        <v>0</v>
      </c>
      <c r="O253" s="129">
        <f>K254</f>
        <v>0</v>
      </c>
      <c r="P253" s="130">
        <f t="shared" ref="P253:P261" si="69">SUM(N253:O253)</f>
        <v>0</v>
      </c>
    </row>
    <row r="254" spans="1:16">
      <c r="A254" s="257"/>
      <c r="B254" s="119" t="s">
        <v>13</v>
      </c>
      <c r="C254" s="122">
        <v>0</v>
      </c>
      <c r="D254" s="122">
        <v>0</v>
      </c>
      <c r="E254" s="122">
        <v>0</v>
      </c>
      <c r="F254" s="123">
        <f t="shared" si="68"/>
        <v>0</v>
      </c>
      <c r="G254" s="122">
        <v>0</v>
      </c>
      <c r="H254" s="122">
        <v>0</v>
      </c>
      <c r="I254" s="122">
        <v>0</v>
      </c>
      <c r="J254" s="123">
        <f>SUM(G254:I254)</f>
        <v>0</v>
      </c>
      <c r="K254" s="123">
        <f>SUM(J254,F254)</f>
        <v>0</v>
      </c>
      <c r="L254" s="116"/>
      <c r="M254" s="119" t="s">
        <v>14</v>
      </c>
      <c r="N254" s="129">
        <f>K240</f>
        <v>0</v>
      </c>
      <c r="O254" s="129">
        <f>K255</f>
        <v>0</v>
      </c>
      <c r="P254" s="130">
        <f t="shared" si="69"/>
        <v>0</v>
      </c>
    </row>
    <row r="255" spans="1:16" ht="21" thickBot="1">
      <c r="A255" s="257"/>
      <c r="B255" s="119" t="s">
        <v>14</v>
      </c>
      <c r="C255" s="122">
        <v>0</v>
      </c>
      <c r="D255" s="122">
        <v>0</v>
      </c>
      <c r="E255" s="122">
        <v>0</v>
      </c>
      <c r="F255" s="123">
        <f t="shared" si="68"/>
        <v>0</v>
      </c>
      <c r="G255" s="122">
        <v>0</v>
      </c>
      <c r="H255" s="122">
        <v>0</v>
      </c>
      <c r="I255" s="122">
        <v>0</v>
      </c>
      <c r="J255" s="123">
        <f>SUM(G255:I255)</f>
        <v>0</v>
      </c>
      <c r="K255" s="123">
        <f>SUM(J255,F255)</f>
        <v>0</v>
      </c>
      <c r="L255" s="116"/>
      <c r="M255" s="124" t="s">
        <v>6</v>
      </c>
      <c r="N255" s="131">
        <f>K241</f>
        <v>0</v>
      </c>
      <c r="O255" s="131">
        <f>K256</f>
        <v>0</v>
      </c>
      <c r="P255" s="131">
        <f t="shared" si="69"/>
        <v>0</v>
      </c>
    </row>
    <row r="256" spans="1:16" ht="21.75" thickTop="1" thickBot="1">
      <c r="A256" s="257"/>
      <c r="B256" s="124" t="s">
        <v>6</v>
      </c>
      <c r="C256" s="125">
        <f>SUM(C254:C255)</f>
        <v>0</v>
      </c>
      <c r="D256" s="125">
        <f>SUM(D254:D255)</f>
        <v>0</v>
      </c>
      <c r="E256" s="125">
        <f>SUM(E254:E255)</f>
        <v>0</v>
      </c>
      <c r="F256" s="125">
        <f t="shared" si="68"/>
        <v>0</v>
      </c>
      <c r="G256" s="125">
        <f>SUM(G254:G255)</f>
        <v>0</v>
      </c>
      <c r="H256" s="125">
        <f>SUM(H254:H255)</f>
        <v>0</v>
      </c>
      <c r="I256" s="125">
        <f>SUM(I254:I255)</f>
        <v>0</v>
      </c>
      <c r="J256" s="125">
        <f>SUM(J254:J255)</f>
        <v>0</v>
      </c>
      <c r="K256" s="125">
        <f>SUM(K254:K255)</f>
        <v>0</v>
      </c>
      <c r="L256" s="116"/>
      <c r="M256" s="126" t="s">
        <v>16</v>
      </c>
      <c r="N256" s="132">
        <f>K243</f>
        <v>0</v>
      </c>
      <c r="O256" s="132">
        <f>K258</f>
        <v>0</v>
      </c>
      <c r="P256" s="133">
        <f t="shared" si="69"/>
        <v>0</v>
      </c>
    </row>
    <row r="257" spans="1:17" ht="21" thickTop="1">
      <c r="A257" s="257"/>
      <c r="B257" s="126" t="s">
        <v>15</v>
      </c>
      <c r="C257" s="122">
        <v>0</v>
      </c>
      <c r="D257" s="122">
        <v>0</v>
      </c>
      <c r="E257" s="122">
        <v>0</v>
      </c>
      <c r="F257" s="123">
        <f t="shared" si="68"/>
        <v>0</v>
      </c>
      <c r="G257" s="127">
        <v>0</v>
      </c>
      <c r="H257" s="122">
        <v>0</v>
      </c>
      <c r="I257" s="127">
        <v>0</v>
      </c>
      <c r="J257" s="123">
        <f t="shared" ref="J257:J262" si="70">SUM(G257:I257)</f>
        <v>0</v>
      </c>
      <c r="K257" s="123">
        <f t="shared" ref="K257:K262" si="71">SUM(J257,F257)</f>
        <v>0</v>
      </c>
      <c r="L257" s="116"/>
      <c r="M257" s="126" t="s">
        <v>15</v>
      </c>
      <c r="N257" s="129">
        <f>$K$11</f>
        <v>0</v>
      </c>
      <c r="O257" s="129">
        <f>SUM(K257)</f>
        <v>0</v>
      </c>
      <c r="P257" s="133">
        <f t="shared" si="69"/>
        <v>0</v>
      </c>
    </row>
    <row r="258" spans="1:17">
      <c r="A258" s="257"/>
      <c r="B258" s="119" t="s">
        <v>16</v>
      </c>
      <c r="C258" s="122">
        <v>0</v>
      </c>
      <c r="D258" s="122">
        <v>0</v>
      </c>
      <c r="E258" s="122">
        <v>0</v>
      </c>
      <c r="F258" s="123">
        <f t="shared" si="68"/>
        <v>0</v>
      </c>
      <c r="G258" s="122">
        <v>0</v>
      </c>
      <c r="H258" s="122">
        <v>0</v>
      </c>
      <c r="I258" s="122">
        <v>0</v>
      </c>
      <c r="J258" s="123">
        <f t="shared" si="70"/>
        <v>0</v>
      </c>
      <c r="K258" s="123">
        <f t="shared" si="71"/>
        <v>0</v>
      </c>
      <c r="L258" s="116"/>
      <c r="M258" s="119" t="s">
        <v>17</v>
      </c>
      <c r="N258" s="129">
        <f>K244</f>
        <v>0</v>
      </c>
      <c r="O258" s="129">
        <f>K259</f>
        <v>0</v>
      </c>
      <c r="P258" s="130">
        <f t="shared" si="69"/>
        <v>0</v>
      </c>
    </row>
    <row r="259" spans="1:17">
      <c r="A259" s="257"/>
      <c r="B259" s="119" t="s">
        <v>17</v>
      </c>
      <c r="C259" s="122">
        <v>0</v>
      </c>
      <c r="D259" s="122">
        <v>0</v>
      </c>
      <c r="E259" s="122">
        <v>0</v>
      </c>
      <c r="F259" s="123">
        <f t="shared" si="68"/>
        <v>0</v>
      </c>
      <c r="G259" s="122">
        <v>0</v>
      </c>
      <c r="H259" s="122">
        <v>0</v>
      </c>
      <c r="I259" s="122">
        <v>0</v>
      </c>
      <c r="J259" s="123">
        <f t="shared" si="70"/>
        <v>0</v>
      </c>
      <c r="K259" s="123">
        <f t="shared" si="71"/>
        <v>0</v>
      </c>
      <c r="L259" s="116"/>
      <c r="M259" s="119" t="s">
        <v>18</v>
      </c>
      <c r="N259" s="129">
        <f>K245</f>
        <v>0</v>
      </c>
      <c r="O259" s="129">
        <f>K260</f>
        <v>0</v>
      </c>
      <c r="P259" s="130">
        <f t="shared" si="69"/>
        <v>0</v>
      </c>
    </row>
    <row r="260" spans="1:17">
      <c r="A260" s="257"/>
      <c r="B260" s="119" t="s">
        <v>18</v>
      </c>
      <c r="C260" s="122">
        <v>0</v>
      </c>
      <c r="D260" s="122">
        <v>0</v>
      </c>
      <c r="E260" s="122">
        <v>0</v>
      </c>
      <c r="F260" s="123">
        <f t="shared" si="68"/>
        <v>0</v>
      </c>
      <c r="G260" s="122">
        <v>0</v>
      </c>
      <c r="H260" s="122">
        <v>0</v>
      </c>
      <c r="I260" s="122">
        <v>0</v>
      </c>
      <c r="J260" s="123">
        <f t="shared" si="70"/>
        <v>0</v>
      </c>
      <c r="K260" s="123">
        <f t="shared" si="71"/>
        <v>0</v>
      </c>
      <c r="L260" s="116"/>
      <c r="M260" s="119" t="s">
        <v>19</v>
      </c>
      <c r="N260" s="129">
        <f>K246</f>
        <v>0</v>
      </c>
      <c r="O260" s="129">
        <f>K261</f>
        <v>0</v>
      </c>
      <c r="P260" s="130">
        <f t="shared" si="69"/>
        <v>0</v>
      </c>
    </row>
    <row r="261" spans="1:17">
      <c r="A261" s="257"/>
      <c r="B261" s="119" t="s">
        <v>19</v>
      </c>
      <c r="C261" s="122">
        <v>0</v>
      </c>
      <c r="D261" s="122">
        <v>0</v>
      </c>
      <c r="E261" s="122">
        <v>0</v>
      </c>
      <c r="F261" s="123">
        <f t="shared" si="68"/>
        <v>0</v>
      </c>
      <c r="G261" s="122">
        <v>0</v>
      </c>
      <c r="H261" s="122">
        <v>0</v>
      </c>
      <c r="I261" s="122">
        <v>0</v>
      </c>
      <c r="J261" s="123">
        <f t="shared" si="70"/>
        <v>0</v>
      </c>
      <c r="K261" s="123">
        <f t="shared" si="71"/>
        <v>0</v>
      </c>
      <c r="L261" s="116"/>
      <c r="M261" s="119" t="s">
        <v>20</v>
      </c>
      <c r="N261" s="129">
        <f>K247</f>
        <v>0</v>
      </c>
      <c r="O261" s="129">
        <f>K262</f>
        <v>0</v>
      </c>
      <c r="P261" s="130">
        <f t="shared" si="69"/>
        <v>0</v>
      </c>
    </row>
    <row r="262" spans="1:17" ht="21" thickBot="1">
      <c r="A262" s="257"/>
      <c r="B262" s="119" t="s">
        <v>20</v>
      </c>
      <c r="C262" s="122">
        <v>0</v>
      </c>
      <c r="D262" s="122">
        <v>0</v>
      </c>
      <c r="E262" s="122">
        <v>0</v>
      </c>
      <c r="F262" s="123">
        <f t="shared" si="68"/>
        <v>0</v>
      </c>
      <c r="G262" s="122">
        <v>0</v>
      </c>
      <c r="H262" s="122">
        <v>0</v>
      </c>
      <c r="I262" s="122">
        <v>0</v>
      </c>
      <c r="J262" s="123">
        <f t="shared" si="70"/>
        <v>0</v>
      </c>
      <c r="K262" s="123">
        <f t="shared" si="71"/>
        <v>0</v>
      </c>
      <c r="L262" s="116"/>
      <c r="M262" s="128" t="s">
        <v>6</v>
      </c>
      <c r="N262" s="131">
        <f>SUM(N255:N261)</f>
        <v>0</v>
      </c>
      <c r="O262" s="131">
        <f>SUM(O255:O261)</f>
        <v>0</v>
      </c>
      <c r="P262" s="131">
        <f>SUM(P255:P261)</f>
        <v>0</v>
      </c>
    </row>
    <row r="263" spans="1:17" ht="21.75" thickTop="1" thickBot="1">
      <c r="A263" s="258"/>
      <c r="B263" s="128" t="s">
        <v>6</v>
      </c>
      <c r="C263" s="125">
        <f>SUM(C256:C262)</f>
        <v>0</v>
      </c>
      <c r="D263" s="125">
        <f t="shared" ref="D263:K263" si="72">SUM(D256:D262)</f>
        <v>0</v>
      </c>
      <c r="E263" s="125">
        <f t="shared" si="72"/>
        <v>0</v>
      </c>
      <c r="F263" s="125">
        <f t="shared" si="72"/>
        <v>0</v>
      </c>
      <c r="G263" s="125">
        <f t="shared" si="72"/>
        <v>0</v>
      </c>
      <c r="H263" s="125">
        <f t="shared" si="72"/>
        <v>0</v>
      </c>
      <c r="I263" s="125">
        <f t="shared" si="72"/>
        <v>0</v>
      </c>
      <c r="J263" s="125">
        <f t="shared" si="72"/>
        <v>0</v>
      </c>
      <c r="K263" s="125">
        <f t="shared" si="72"/>
        <v>0</v>
      </c>
      <c r="L263" s="116"/>
      <c r="M263" s="134"/>
      <c r="N263" s="134"/>
      <c r="O263" s="134"/>
      <c r="P263" s="134"/>
    </row>
    <row r="264" spans="1:17" ht="16.5" customHeight="1" thickTop="1">
      <c r="A264" s="135"/>
      <c r="B264" s="136"/>
      <c r="C264" s="137"/>
      <c r="D264" s="137"/>
      <c r="E264" s="137"/>
      <c r="F264" s="137"/>
      <c r="G264" s="137"/>
      <c r="H264" s="137"/>
      <c r="I264" s="137"/>
      <c r="J264" s="137"/>
      <c r="K264" s="137"/>
      <c r="L264" s="116"/>
      <c r="M264" s="134"/>
      <c r="N264" s="134"/>
      <c r="O264" s="134"/>
      <c r="P264" s="134"/>
    </row>
    <row r="265" spans="1:17" ht="21.75" customHeight="1">
      <c r="A265" s="275" t="s">
        <v>143</v>
      </c>
      <c r="B265" s="275"/>
      <c r="C265" s="275"/>
      <c r="D265" s="275"/>
      <c r="E265" s="275"/>
      <c r="F265" s="275"/>
      <c r="G265" s="275"/>
      <c r="H265" s="275"/>
      <c r="I265" s="275"/>
      <c r="J265" s="275"/>
      <c r="K265" s="275"/>
      <c r="L265" s="275"/>
      <c r="M265" s="275"/>
      <c r="N265" s="275"/>
      <c r="O265" s="275"/>
      <c r="P265" s="275"/>
    </row>
    <row r="266" spans="1:17" ht="21" customHeight="1">
      <c r="A266" s="276" t="s">
        <v>32</v>
      </c>
      <c r="B266" s="277"/>
      <c r="C266" s="277"/>
      <c r="D266" s="277"/>
      <c r="E266" s="277"/>
      <c r="F266" s="277"/>
      <c r="G266" s="277"/>
      <c r="H266" s="277"/>
      <c r="I266" s="277"/>
      <c r="J266" s="277"/>
      <c r="K266" s="277"/>
      <c r="L266" s="277"/>
      <c r="M266" s="277"/>
      <c r="N266" s="277"/>
      <c r="O266" s="277"/>
      <c r="P266" s="277"/>
      <c r="Q266" s="39"/>
    </row>
    <row r="267" spans="1:17" ht="18" customHeight="1">
      <c r="A267" s="249" t="s">
        <v>1</v>
      </c>
      <c r="B267" s="250"/>
      <c r="C267" s="250"/>
      <c r="D267" s="250"/>
      <c r="E267" s="250"/>
      <c r="F267" s="250"/>
      <c r="G267" s="250"/>
      <c r="H267" s="250"/>
      <c r="I267" s="250"/>
      <c r="J267" s="250"/>
      <c r="K267" s="250"/>
    </row>
    <row r="268" spans="1:17">
      <c r="A268" s="267" t="s">
        <v>30</v>
      </c>
      <c r="B268" s="269" t="s">
        <v>3</v>
      </c>
      <c r="C268" s="270"/>
      <c r="D268" s="270"/>
      <c r="E268" s="270"/>
      <c r="F268" s="270"/>
      <c r="G268" s="270"/>
      <c r="H268" s="270"/>
      <c r="I268" s="270"/>
      <c r="J268" s="270"/>
      <c r="K268" s="271"/>
    </row>
    <row r="269" spans="1:17">
      <c r="A269" s="268"/>
      <c r="B269" s="41"/>
      <c r="C269" s="267" t="s">
        <v>4</v>
      </c>
      <c r="D269" s="268"/>
      <c r="E269" s="268"/>
      <c r="F269" s="268"/>
      <c r="G269" s="267" t="s">
        <v>5</v>
      </c>
      <c r="H269" s="268"/>
      <c r="I269" s="268"/>
      <c r="J269" s="268"/>
      <c r="K269" s="40" t="s">
        <v>6</v>
      </c>
    </row>
    <row r="270" spans="1:17">
      <c r="A270" s="262" t="s">
        <v>31</v>
      </c>
      <c r="B270" s="42" t="s">
        <v>8</v>
      </c>
      <c r="C270" s="43" t="s">
        <v>9</v>
      </c>
      <c r="D270" s="43" t="s">
        <v>10</v>
      </c>
      <c r="E270" s="43" t="s">
        <v>11</v>
      </c>
      <c r="F270" s="43" t="s">
        <v>6</v>
      </c>
      <c r="G270" s="43" t="s">
        <v>9</v>
      </c>
      <c r="H270" s="43" t="s">
        <v>10</v>
      </c>
      <c r="I270" s="43" t="s">
        <v>11</v>
      </c>
      <c r="J270" s="43" t="s">
        <v>6</v>
      </c>
      <c r="K270" s="43" t="s">
        <v>6</v>
      </c>
    </row>
    <row r="271" spans="1:17">
      <c r="A271" s="263"/>
      <c r="B271" s="44" t="s">
        <v>12</v>
      </c>
      <c r="C271" s="10">
        <f t="shared" ref="C271:E273" si="73">SUM(C7+C40+C73+C106+C139+C172+C205+C238)</f>
        <v>9</v>
      </c>
      <c r="D271" s="10">
        <f t="shared" si="73"/>
        <v>38</v>
      </c>
      <c r="E271" s="10">
        <f t="shared" si="73"/>
        <v>18</v>
      </c>
      <c r="F271" s="3">
        <f>SUM(C271:E271)</f>
        <v>65</v>
      </c>
      <c r="G271" s="10">
        <f>SUM(G7+G40+G73+G106+G139+G172+G205+G238)</f>
        <v>1</v>
      </c>
      <c r="H271" s="10">
        <f>SUM(H7+H40+H73+H106+H139+H172+H205+H238)</f>
        <v>22</v>
      </c>
      <c r="I271" s="10">
        <f>SUM(I7+I40+I73+I106+I139+I172+I205+I238)</f>
        <v>4</v>
      </c>
      <c r="J271" s="3">
        <f>SUM(G271:I271)</f>
        <v>27</v>
      </c>
      <c r="K271" s="3">
        <f>SUM(J271,F271)</f>
        <v>92</v>
      </c>
    </row>
    <row r="272" spans="1:17">
      <c r="A272" s="263"/>
      <c r="B272" s="42" t="s">
        <v>13</v>
      </c>
      <c r="C272" s="10">
        <f t="shared" si="73"/>
        <v>10246</v>
      </c>
      <c r="D272" s="10">
        <f t="shared" si="73"/>
        <v>18641</v>
      </c>
      <c r="E272" s="10">
        <f t="shared" si="73"/>
        <v>7494</v>
      </c>
      <c r="F272" s="3">
        <f t="shared" ref="F272:F280" si="74">SUM(C272:E272)</f>
        <v>36381</v>
      </c>
      <c r="G272" s="10">
        <f t="shared" ref="G272:I273" si="75">SUM(G8+G41+G74+G107+G140+G173+G206+G239)</f>
        <v>878</v>
      </c>
      <c r="H272" s="10">
        <f t="shared" si="75"/>
        <v>9817</v>
      </c>
      <c r="I272" s="10">
        <f t="shared" si="75"/>
        <v>979</v>
      </c>
      <c r="J272" s="3">
        <f>SUM(G272:I272)</f>
        <v>11674</v>
      </c>
      <c r="K272" s="3">
        <f>SUM(J272,F272)</f>
        <v>48055</v>
      </c>
    </row>
    <row r="273" spans="1:16">
      <c r="A273" s="263"/>
      <c r="B273" s="42" t="s">
        <v>14</v>
      </c>
      <c r="C273" s="10">
        <f t="shared" si="73"/>
        <v>0</v>
      </c>
      <c r="D273" s="10">
        <f t="shared" si="73"/>
        <v>0</v>
      </c>
      <c r="E273" s="10">
        <f t="shared" si="73"/>
        <v>0</v>
      </c>
      <c r="F273" s="3">
        <f t="shared" si="74"/>
        <v>0</v>
      </c>
      <c r="G273" s="10">
        <f>SUM(G9+G42+G75+G108+G141+G174+G207+G240)</f>
        <v>0</v>
      </c>
      <c r="H273" s="10">
        <f>SUM(H9+H42+H75+H108+H141+H174+H207+H240)</f>
        <v>0</v>
      </c>
      <c r="I273" s="10">
        <f t="shared" si="75"/>
        <v>0</v>
      </c>
      <c r="J273" s="3">
        <f>SUM(G273:I273)</f>
        <v>0</v>
      </c>
      <c r="K273" s="3">
        <f>SUM(J273,F273)</f>
        <v>0</v>
      </c>
    </row>
    <row r="274" spans="1:16" ht="21" thickBot="1">
      <c r="A274" s="263"/>
      <c r="B274" s="45" t="s">
        <v>6</v>
      </c>
      <c r="C274" s="6">
        <f>SUM(C272:C273)</f>
        <v>10246</v>
      </c>
      <c r="D274" s="6">
        <f t="shared" ref="D274:K274" si="76">SUM(D272:D273)</f>
        <v>18641</v>
      </c>
      <c r="E274" s="6">
        <f t="shared" si="76"/>
        <v>7494</v>
      </c>
      <c r="F274" s="6">
        <f t="shared" si="76"/>
        <v>36381</v>
      </c>
      <c r="G274" s="6">
        <f t="shared" si="76"/>
        <v>878</v>
      </c>
      <c r="H274" s="6">
        <f t="shared" si="76"/>
        <v>9817</v>
      </c>
      <c r="I274" s="6">
        <f t="shared" si="76"/>
        <v>979</v>
      </c>
      <c r="J274" s="6">
        <f t="shared" si="76"/>
        <v>11674</v>
      </c>
      <c r="K274" s="6">
        <f t="shared" si="76"/>
        <v>48055</v>
      </c>
    </row>
    <row r="275" spans="1:16" ht="21" thickTop="1">
      <c r="A275" s="263"/>
      <c r="B275" s="46" t="s">
        <v>15</v>
      </c>
      <c r="C275" s="10">
        <f>SUM(C11+C44+C77+C110+C143+C176+C209+C242)</f>
        <v>0</v>
      </c>
      <c r="D275" s="10">
        <f>SUM(D11+D44+D77+D110+D143+D176+D209+D242)</f>
        <v>0</v>
      </c>
      <c r="E275" s="10">
        <f>SUM(E11+E44+E77+E110+E143+E176+E209+E242)</f>
        <v>0</v>
      </c>
      <c r="F275" s="3">
        <f t="shared" si="74"/>
        <v>0</v>
      </c>
      <c r="G275" s="10">
        <f>SUM(G11+G44+G77+G110+G143+G176+G209+G242)</f>
        <v>0</v>
      </c>
      <c r="H275" s="10">
        <f>SUM(H11+H44+H77+H110+H143+H176+H209+H242)</f>
        <v>0</v>
      </c>
      <c r="I275" s="10">
        <f>SUM(I11+I44+I77+I110+I143+I176+I209+I242)</f>
        <v>0</v>
      </c>
      <c r="J275" s="3">
        <f t="shared" ref="J275:J280" si="77">SUM(G275:I275)</f>
        <v>0</v>
      </c>
      <c r="K275" s="3">
        <f t="shared" ref="K275:K280" si="78">SUM(J275,F275)</f>
        <v>0</v>
      </c>
    </row>
    <row r="276" spans="1:16">
      <c r="A276" s="263"/>
      <c r="B276" s="42" t="s">
        <v>16</v>
      </c>
      <c r="C276" s="10">
        <f t="shared" ref="C276:D280" si="79">SUM(C12+C45+C78+C111+C144+C177+C210+C243)</f>
        <v>7173</v>
      </c>
      <c r="D276" s="10">
        <f t="shared" si="79"/>
        <v>13050</v>
      </c>
      <c r="E276" s="10">
        <f>SUM(E12+E45+E78+E111+E144+E177+E210+E243)</f>
        <v>5245</v>
      </c>
      <c r="F276" s="3">
        <f t="shared" si="74"/>
        <v>25468</v>
      </c>
      <c r="G276" s="10">
        <f t="shared" ref="G276:I280" si="80">SUM(G12+G45+G78+G111+G144+G177+G210+G243)</f>
        <v>615</v>
      </c>
      <c r="H276" s="10">
        <f t="shared" si="80"/>
        <v>6873</v>
      </c>
      <c r="I276" s="10">
        <f t="shared" si="80"/>
        <v>686</v>
      </c>
      <c r="J276" s="3">
        <f t="shared" si="77"/>
        <v>8174</v>
      </c>
      <c r="K276" s="3">
        <f t="shared" si="78"/>
        <v>33642</v>
      </c>
    </row>
    <row r="277" spans="1:16">
      <c r="A277" s="263"/>
      <c r="B277" s="42" t="s">
        <v>17</v>
      </c>
      <c r="C277" s="10">
        <f t="shared" si="79"/>
        <v>15</v>
      </c>
      <c r="D277" s="10">
        <f t="shared" si="79"/>
        <v>51</v>
      </c>
      <c r="E277" s="10">
        <f>SUM(E13+E46+E79+E112+E145+E178+E211+E244)</f>
        <v>15</v>
      </c>
      <c r="F277" s="3">
        <f t="shared" si="74"/>
        <v>81</v>
      </c>
      <c r="G277" s="10">
        <f t="shared" si="80"/>
        <v>0</v>
      </c>
      <c r="H277" s="10">
        <f t="shared" si="80"/>
        <v>43</v>
      </c>
      <c r="I277" s="10">
        <f t="shared" si="80"/>
        <v>2</v>
      </c>
      <c r="J277" s="3">
        <f t="shared" si="77"/>
        <v>45</v>
      </c>
      <c r="K277" s="3">
        <f t="shared" si="78"/>
        <v>126</v>
      </c>
    </row>
    <row r="278" spans="1:16">
      <c r="A278" s="263"/>
      <c r="B278" s="42" t="s">
        <v>18</v>
      </c>
      <c r="C278" s="10">
        <f t="shared" si="79"/>
        <v>1681</v>
      </c>
      <c r="D278" s="10">
        <f t="shared" si="79"/>
        <v>2852</v>
      </c>
      <c r="E278" s="10">
        <f>SUM(E14+E47+E80+E113+E146+E179+E212+E245)</f>
        <v>1247</v>
      </c>
      <c r="F278" s="3">
        <f t="shared" si="74"/>
        <v>5780</v>
      </c>
      <c r="G278" s="10">
        <f t="shared" si="80"/>
        <v>88</v>
      </c>
      <c r="H278" s="10">
        <f t="shared" si="80"/>
        <v>1454</v>
      </c>
      <c r="I278" s="10">
        <f t="shared" si="80"/>
        <v>142</v>
      </c>
      <c r="J278" s="3">
        <f t="shared" si="77"/>
        <v>1684</v>
      </c>
      <c r="K278" s="3">
        <f t="shared" si="78"/>
        <v>7464</v>
      </c>
    </row>
    <row r="279" spans="1:16">
      <c r="A279" s="263"/>
      <c r="B279" s="42" t="s">
        <v>19</v>
      </c>
      <c r="C279" s="10">
        <f t="shared" si="79"/>
        <v>165</v>
      </c>
      <c r="D279" s="10">
        <f t="shared" si="79"/>
        <v>741</v>
      </c>
      <c r="E279" s="10">
        <f>SUM(E15+E48+E81+E114+E147+E180+E213+E246)</f>
        <v>330</v>
      </c>
      <c r="F279" s="3">
        <f t="shared" si="74"/>
        <v>1236</v>
      </c>
      <c r="G279" s="10">
        <f t="shared" si="80"/>
        <v>0</v>
      </c>
      <c r="H279" s="10">
        <f t="shared" si="80"/>
        <v>424</v>
      </c>
      <c r="I279" s="10">
        <f t="shared" si="80"/>
        <v>53</v>
      </c>
      <c r="J279" s="3">
        <f t="shared" si="77"/>
        <v>477</v>
      </c>
      <c r="K279" s="3">
        <f t="shared" si="78"/>
        <v>1713</v>
      </c>
    </row>
    <row r="280" spans="1:16">
      <c r="A280" s="263"/>
      <c r="B280" s="42" t="s">
        <v>20</v>
      </c>
      <c r="C280" s="10">
        <f t="shared" si="79"/>
        <v>0</v>
      </c>
      <c r="D280" s="10">
        <f t="shared" si="79"/>
        <v>62</v>
      </c>
      <c r="E280" s="10">
        <f>SUM(E16+E49+E82+E115+E148+E181+E214+E247)</f>
        <v>23</v>
      </c>
      <c r="F280" s="3">
        <f t="shared" si="74"/>
        <v>85</v>
      </c>
      <c r="G280" s="10">
        <f t="shared" si="80"/>
        <v>18</v>
      </c>
      <c r="H280" s="10">
        <f t="shared" si="80"/>
        <v>38</v>
      </c>
      <c r="I280" s="10">
        <f t="shared" si="80"/>
        <v>14</v>
      </c>
      <c r="J280" s="3">
        <f t="shared" si="77"/>
        <v>70</v>
      </c>
      <c r="K280" s="3">
        <f t="shared" si="78"/>
        <v>155</v>
      </c>
    </row>
    <row r="281" spans="1:16" ht="21" thickBot="1">
      <c r="A281" s="264"/>
      <c r="B281" s="47" t="s">
        <v>6</v>
      </c>
      <c r="C281" s="6">
        <f t="shared" ref="C281:K281" si="81">SUM(C274:C280)</f>
        <v>19280</v>
      </c>
      <c r="D281" s="6">
        <f t="shared" si="81"/>
        <v>35397</v>
      </c>
      <c r="E281" s="6">
        <f t="shared" si="81"/>
        <v>14354</v>
      </c>
      <c r="F281" s="6">
        <f t="shared" si="81"/>
        <v>69031</v>
      </c>
      <c r="G281" s="6">
        <f t="shared" si="81"/>
        <v>1599</v>
      </c>
      <c r="H281" s="6">
        <f t="shared" si="81"/>
        <v>18649</v>
      </c>
      <c r="I281" s="6">
        <f t="shared" si="81"/>
        <v>1876</v>
      </c>
      <c r="J281" s="6">
        <f t="shared" si="81"/>
        <v>22124</v>
      </c>
      <c r="K281" s="6">
        <f t="shared" si="81"/>
        <v>91155</v>
      </c>
    </row>
    <row r="282" spans="1:16" ht="12" customHeight="1" thickTop="1"/>
    <row r="283" spans="1:16">
      <c r="A283" s="267" t="s">
        <v>30</v>
      </c>
      <c r="B283" s="269" t="s">
        <v>21</v>
      </c>
      <c r="C283" s="270"/>
      <c r="D283" s="270"/>
      <c r="E283" s="270"/>
      <c r="F283" s="270"/>
      <c r="G283" s="270"/>
      <c r="H283" s="270"/>
      <c r="I283" s="270"/>
      <c r="J283" s="270"/>
      <c r="K283" s="271"/>
      <c r="M283" s="272" t="s">
        <v>22</v>
      </c>
      <c r="N283" s="273"/>
      <c r="O283" s="273"/>
      <c r="P283" s="274"/>
    </row>
    <row r="284" spans="1:16" ht="18.75" customHeight="1" thickBot="1">
      <c r="A284" s="268"/>
      <c r="B284" s="41"/>
      <c r="C284" s="267" t="s">
        <v>4</v>
      </c>
      <c r="D284" s="268"/>
      <c r="E284" s="268"/>
      <c r="F284" s="268"/>
      <c r="G284" s="267" t="s">
        <v>5</v>
      </c>
      <c r="H284" s="268"/>
      <c r="I284" s="268"/>
      <c r="J284" s="268"/>
      <c r="K284" s="40" t="s">
        <v>6</v>
      </c>
      <c r="M284" s="42" t="s">
        <v>8</v>
      </c>
      <c r="N284" s="42" t="s">
        <v>3</v>
      </c>
      <c r="O284" s="42" t="s">
        <v>21</v>
      </c>
      <c r="P284" s="47" t="s">
        <v>6</v>
      </c>
    </row>
    <row r="285" spans="1:16" ht="21" thickTop="1">
      <c r="A285" s="262" t="s">
        <v>31</v>
      </c>
      <c r="B285" s="42" t="s">
        <v>8</v>
      </c>
      <c r="C285" s="43" t="s">
        <v>9</v>
      </c>
      <c r="D285" s="43" t="s">
        <v>10</v>
      </c>
      <c r="E285" s="43" t="s">
        <v>11</v>
      </c>
      <c r="F285" s="43" t="s">
        <v>6</v>
      </c>
      <c r="G285" s="43" t="s">
        <v>9</v>
      </c>
      <c r="H285" s="43" t="s">
        <v>10</v>
      </c>
      <c r="I285" s="43" t="s">
        <v>11</v>
      </c>
      <c r="J285" s="43" t="s">
        <v>6</v>
      </c>
      <c r="K285" s="43" t="s">
        <v>6</v>
      </c>
      <c r="M285" s="44" t="s">
        <v>12</v>
      </c>
      <c r="N285" s="10">
        <f t="shared" ref="N285:O287" si="82">SUM(N21+N54+N87+N120+N153+N186+N219+N252)</f>
        <v>92</v>
      </c>
      <c r="O285" s="10">
        <f t="shared" si="82"/>
        <v>178</v>
      </c>
      <c r="P285" s="8">
        <f>SUM(N285:O285)</f>
        <v>270</v>
      </c>
    </row>
    <row r="286" spans="1:16">
      <c r="A286" s="263"/>
      <c r="B286" s="44" t="s">
        <v>12</v>
      </c>
      <c r="C286" s="10">
        <f t="shared" ref="C286:E288" si="83">SUM(C22+C55+C88+C121+C154+C187+C220+C253)</f>
        <v>41</v>
      </c>
      <c r="D286" s="10">
        <f t="shared" si="83"/>
        <v>75</v>
      </c>
      <c r="E286" s="10">
        <f t="shared" si="83"/>
        <v>25</v>
      </c>
      <c r="F286" s="3">
        <f>SUM(C286:E286)</f>
        <v>141</v>
      </c>
      <c r="G286" s="10">
        <f t="shared" ref="G286:I288" si="84">SUM(G22+G55+G88+G121+G154+G187+G220+G253)</f>
        <v>3</v>
      </c>
      <c r="H286" s="10">
        <f t="shared" si="84"/>
        <v>27</v>
      </c>
      <c r="I286" s="10">
        <f t="shared" si="84"/>
        <v>7</v>
      </c>
      <c r="J286" s="3">
        <f>SUM(G286:I286)</f>
        <v>37</v>
      </c>
      <c r="K286" s="3">
        <f>SUM(J286,F286)</f>
        <v>178</v>
      </c>
      <c r="M286" s="42" t="s">
        <v>13</v>
      </c>
      <c r="N286" s="10">
        <f t="shared" si="82"/>
        <v>48055</v>
      </c>
      <c r="O286" s="10">
        <f t="shared" si="82"/>
        <v>101845</v>
      </c>
      <c r="P286" s="8">
        <f t="shared" ref="P286:P294" si="85">SUM(N286:O286)</f>
        <v>149900</v>
      </c>
    </row>
    <row r="287" spans="1:16">
      <c r="A287" s="263"/>
      <c r="B287" s="42" t="s">
        <v>13</v>
      </c>
      <c r="C287" s="10">
        <f t="shared" si="83"/>
        <v>38076</v>
      </c>
      <c r="D287" s="10">
        <f t="shared" si="83"/>
        <v>38307</v>
      </c>
      <c r="E287" s="10">
        <f t="shared" si="83"/>
        <v>8750</v>
      </c>
      <c r="F287" s="3">
        <f>SUM(C287:E287)</f>
        <v>85133</v>
      </c>
      <c r="G287" s="10">
        <f>SUM(G23+G56+G89+G122+G155+G188+G221+G254)</f>
        <v>1688</v>
      </c>
      <c r="H287" s="10">
        <f t="shared" si="84"/>
        <v>12860</v>
      </c>
      <c r="I287" s="10">
        <f t="shared" si="84"/>
        <v>2164</v>
      </c>
      <c r="J287" s="3">
        <f>SUM(G287:I287)</f>
        <v>16712</v>
      </c>
      <c r="K287" s="3">
        <f>SUM(J287,F287)</f>
        <v>101845</v>
      </c>
      <c r="M287" s="42" t="s">
        <v>14</v>
      </c>
      <c r="N287" s="10">
        <f t="shared" si="82"/>
        <v>0</v>
      </c>
      <c r="O287" s="10">
        <f t="shared" si="82"/>
        <v>0</v>
      </c>
      <c r="P287" s="8">
        <f t="shared" si="85"/>
        <v>0</v>
      </c>
    </row>
    <row r="288" spans="1:16" ht="21" thickBot="1">
      <c r="A288" s="263"/>
      <c r="B288" s="42" t="s">
        <v>14</v>
      </c>
      <c r="C288" s="10">
        <f t="shared" si="83"/>
        <v>0</v>
      </c>
      <c r="D288" s="10">
        <f t="shared" si="83"/>
        <v>0</v>
      </c>
      <c r="E288" s="10">
        <f t="shared" si="83"/>
        <v>0</v>
      </c>
      <c r="F288" s="3">
        <f>SUM(C288:E288)</f>
        <v>0</v>
      </c>
      <c r="G288" s="10">
        <f t="shared" si="84"/>
        <v>0</v>
      </c>
      <c r="H288" s="10">
        <f t="shared" si="84"/>
        <v>0</v>
      </c>
      <c r="I288" s="10">
        <f t="shared" si="84"/>
        <v>0</v>
      </c>
      <c r="J288" s="3">
        <f>SUM(G288:I288)</f>
        <v>0</v>
      </c>
      <c r="K288" s="3">
        <f>SUM(J288,F288)</f>
        <v>0</v>
      </c>
      <c r="M288" s="45" t="s">
        <v>6</v>
      </c>
      <c r="N288" s="9">
        <f>SUM(N286:N287)</f>
        <v>48055</v>
      </c>
      <c r="O288" s="9">
        <f>SUM(O286:O287)</f>
        <v>101845</v>
      </c>
      <c r="P288" s="9">
        <f>SUM(P286:P287)</f>
        <v>149900</v>
      </c>
    </row>
    <row r="289" spans="1:16" ht="21.75" thickTop="1" thickBot="1">
      <c r="A289" s="263"/>
      <c r="B289" s="45" t="s">
        <v>6</v>
      </c>
      <c r="C289" s="6">
        <f>SUM(C287:C288)</f>
        <v>38076</v>
      </c>
      <c r="D289" s="6">
        <f t="shared" ref="D289:K289" si="86">SUM(D287:D288)</f>
        <v>38307</v>
      </c>
      <c r="E289" s="6">
        <f t="shared" si="86"/>
        <v>8750</v>
      </c>
      <c r="F289" s="6">
        <f t="shared" si="86"/>
        <v>85133</v>
      </c>
      <c r="G289" s="6">
        <f t="shared" si="86"/>
        <v>1688</v>
      </c>
      <c r="H289" s="6">
        <f t="shared" si="86"/>
        <v>12860</v>
      </c>
      <c r="I289" s="6">
        <f t="shared" si="86"/>
        <v>2164</v>
      </c>
      <c r="J289" s="6">
        <f t="shared" si="86"/>
        <v>16712</v>
      </c>
      <c r="K289" s="6">
        <f t="shared" si="86"/>
        <v>101845</v>
      </c>
      <c r="M289" s="46" t="s">
        <v>16</v>
      </c>
      <c r="N289" s="10">
        <f t="shared" ref="N289:O294" si="87">SUM(N25+N58+N91+N124+N157+N190+N223+N256)</f>
        <v>33642</v>
      </c>
      <c r="O289" s="10">
        <f t="shared" si="87"/>
        <v>71294</v>
      </c>
      <c r="P289" s="12">
        <f t="shared" si="85"/>
        <v>104936</v>
      </c>
    </row>
    <row r="290" spans="1:16" ht="18" customHeight="1" thickTop="1">
      <c r="A290" s="263"/>
      <c r="B290" s="46" t="s">
        <v>15</v>
      </c>
      <c r="C290" s="10">
        <f t="shared" ref="C290:E295" si="88">SUM(C26+C59+C92+C125+C158+C191+C224+C257)</f>
        <v>0</v>
      </c>
      <c r="D290" s="10">
        <f t="shared" si="88"/>
        <v>0</v>
      </c>
      <c r="E290" s="10">
        <f t="shared" si="88"/>
        <v>0</v>
      </c>
      <c r="F290" s="3">
        <f t="shared" ref="F290:F295" si="89">SUM(C290:E290)</f>
        <v>0</v>
      </c>
      <c r="G290" s="10">
        <f t="shared" ref="G290:I295" si="90">SUM(G26+G59+G92+G125+G158+G191+G224+G257)</f>
        <v>0</v>
      </c>
      <c r="H290" s="10">
        <f t="shared" si="90"/>
        <v>0</v>
      </c>
      <c r="I290" s="10">
        <f t="shared" si="90"/>
        <v>0</v>
      </c>
      <c r="J290" s="3">
        <f t="shared" ref="J290:J295" si="91">SUM(G290:I290)</f>
        <v>0</v>
      </c>
      <c r="K290" s="3">
        <f t="shared" ref="K290:K295" si="92">SUM(J290,F290)</f>
        <v>0</v>
      </c>
      <c r="M290" s="46" t="s">
        <v>15</v>
      </c>
      <c r="N290" s="10">
        <f t="shared" si="87"/>
        <v>0</v>
      </c>
      <c r="O290" s="10">
        <f t="shared" si="87"/>
        <v>0</v>
      </c>
      <c r="P290" s="12">
        <f t="shared" si="85"/>
        <v>0</v>
      </c>
    </row>
    <row r="291" spans="1:16">
      <c r="A291" s="263"/>
      <c r="B291" s="42" t="s">
        <v>16</v>
      </c>
      <c r="C291" s="10">
        <f t="shared" si="88"/>
        <v>26654</v>
      </c>
      <c r="D291" s="10">
        <f t="shared" si="88"/>
        <v>26815</v>
      </c>
      <c r="E291" s="10">
        <f t="shared" si="88"/>
        <v>6125</v>
      </c>
      <c r="F291" s="3">
        <f t="shared" si="89"/>
        <v>59594</v>
      </c>
      <c r="G291" s="10">
        <f t="shared" si="90"/>
        <v>1182</v>
      </c>
      <c r="H291" s="10">
        <f t="shared" si="90"/>
        <v>9003</v>
      </c>
      <c r="I291" s="10">
        <f t="shared" si="90"/>
        <v>1515</v>
      </c>
      <c r="J291" s="3">
        <f t="shared" si="91"/>
        <v>11700</v>
      </c>
      <c r="K291" s="3">
        <f t="shared" si="92"/>
        <v>71294</v>
      </c>
      <c r="M291" s="42" t="s">
        <v>17</v>
      </c>
      <c r="N291" s="10">
        <f t="shared" si="87"/>
        <v>126</v>
      </c>
      <c r="O291" s="10">
        <f t="shared" si="87"/>
        <v>449</v>
      </c>
      <c r="P291" s="8">
        <f t="shared" si="85"/>
        <v>575</v>
      </c>
    </row>
    <row r="292" spans="1:16">
      <c r="A292" s="263"/>
      <c r="B292" s="42" t="s">
        <v>17</v>
      </c>
      <c r="C292" s="10">
        <f t="shared" si="88"/>
        <v>123</v>
      </c>
      <c r="D292" s="10">
        <f t="shared" si="88"/>
        <v>196</v>
      </c>
      <c r="E292" s="10">
        <f t="shared" si="88"/>
        <v>29</v>
      </c>
      <c r="F292" s="3">
        <f t="shared" si="89"/>
        <v>348</v>
      </c>
      <c r="G292" s="10">
        <f t="shared" si="90"/>
        <v>28</v>
      </c>
      <c r="H292" s="10">
        <f t="shared" si="90"/>
        <v>63</v>
      </c>
      <c r="I292" s="10">
        <f t="shared" si="90"/>
        <v>10</v>
      </c>
      <c r="J292" s="3">
        <f t="shared" si="91"/>
        <v>101</v>
      </c>
      <c r="K292" s="3">
        <f t="shared" si="92"/>
        <v>449</v>
      </c>
      <c r="M292" s="42" t="s">
        <v>18</v>
      </c>
      <c r="N292" s="10">
        <f t="shared" si="87"/>
        <v>7464</v>
      </c>
      <c r="O292" s="10">
        <f t="shared" si="87"/>
        <v>14594</v>
      </c>
      <c r="P292" s="8">
        <f t="shared" si="85"/>
        <v>22058</v>
      </c>
    </row>
    <row r="293" spans="1:16">
      <c r="A293" s="263"/>
      <c r="B293" s="42" t="s">
        <v>18</v>
      </c>
      <c r="C293" s="10">
        <f t="shared" si="88"/>
        <v>5527</v>
      </c>
      <c r="D293" s="10">
        <f t="shared" si="88"/>
        <v>5835</v>
      </c>
      <c r="E293" s="10">
        <f t="shared" si="88"/>
        <v>1164</v>
      </c>
      <c r="F293" s="3">
        <f t="shared" si="89"/>
        <v>12526</v>
      </c>
      <c r="G293" s="10">
        <f t="shared" si="90"/>
        <v>170</v>
      </c>
      <c r="H293" s="10">
        <f t="shared" si="90"/>
        <v>1632</v>
      </c>
      <c r="I293" s="10">
        <f t="shared" si="90"/>
        <v>266</v>
      </c>
      <c r="J293" s="3">
        <f t="shared" si="91"/>
        <v>2068</v>
      </c>
      <c r="K293" s="3">
        <f t="shared" si="92"/>
        <v>14594</v>
      </c>
      <c r="M293" s="42" t="s">
        <v>19</v>
      </c>
      <c r="N293" s="10">
        <f t="shared" si="87"/>
        <v>1713</v>
      </c>
      <c r="O293" s="10">
        <f t="shared" si="87"/>
        <v>3178</v>
      </c>
      <c r="P293" s="8">
        <f t="shared" si="85"/>
        <v>4891</v>
      </c>
    </row>
    <row r="294" spans="1:16">
      <c r="A294" s="263"/>
      <c r="B294" s="42" t="s">
        <v>19</v>
      </c>
      <c r="C294" s="10">
        <f t="shared" si="88"/>
        <v>876</v>
      </c>
      <c r="D294" s="10">
        <f t="shared" si="88"/>
        <v>1408</v>
      </c>
      <c r="E294" s="10">
        <f t="shared" si="88"/>
        <v>373</v>
      </c>
      <c r="F294" s="3">
        <f t="shared" si="89"/>
        <v>2657</v>
      </c>
      <c r="G294" s="10">
        <f t="shared" si="90"/>
        <v>17</v>
      </c>
      <c r="H294" s="10">
        <f t="shared" si="90"/>
        <v>434</v>
      </c>
      <c r="I294" s="10">
        <f t="shared" si="90"/>
        <v>70</v>
      </c>
      <c r="J294" s="3">
        <f t="shared" si="91"/>
        <v>521</v>
      </c>
      <c r="K294" s="3">
        <f t="shared" si="92"/>
        <v>3178</v>
      </c>
      <c r="M294" s="42" t="s">
        <v>20</v>
      </c>
      <c r="N294" s="10">
        <f t="shared" si="87"/>
        <v>155</v>
      </c>
      <c r="O294" s="10">
        <f t="shared" si="87"/>
        <v>340</v>
      </c>
      <c r="P294" s="8">
        <f t="shared" si="85"/>
        <v>495</v>
      </c>
    </row>
    <row r="295" spans="1:16" ht="21" thickBot="1">
      <c r="A295" s="263"/>
      <c r="B295" s="42" t="s">
        <v>20</v>
      </c>
      <c r="C295" s="10">
        <f t="shared" si="88"/>
        <v>98</v>
      </c>
      <c r="D295" s="10">
        <f t="shared" si="88"/>
        <v>73</v>
      </c>
      <c r="E295" s="10">
        <f t="shared" si="88"/>
        <v>59</v>
      </c>
      <c r="F295" s="3">
        <f t="shared" si="89"/>
        <v>230</v>
      </c>
      <c r="G295" s="10">
        <f t="shared" si="90"/>
        <v>12</v>
      </c>
      <c r="H295" s="10">
        <f t="shared" si="90"/>
        <v>67</v>
      </c>
      <c r="I295" s="10">
        <f t="shared" si="90"/>
        <v>31</v>
      </c>
      <c r="J295" s="3">
        <f t="shared" si="91"/>
        <v>110</v>
      </c>
      <c r="K295" s="3">
        <f t="shared" si="92"/>
        <v>340</v>
      </c>
      <c r="M295" s="47" t="s">
        <v>6</v>
      </c>
      <c r="N295" s="9">
        <f>SUM(N288:N294)</f>
        <v>91155</v>
      </c>
      <c r="O295" s="9">
        <f>SUM(O288:O294)</f>
        <v>191700</v>
      </c>
      <c r="P295" s="9">
        <f>SUM(P288:P294)</f>
        <v>282855</v>
      </c>
    </row>
    <row r="296" spans="1:16" ht="21.75" thickTop="1" thickBot="1">
      <c r="A296" s="264"/>
      <c r="B296" s="47" t="s">
        <v>6</v>
      </c>
      <c r="C296" s="6">
        <f t="shared" ref="C296:K296" si="93">SUM(C289:C295)</f>
        <v>71354</v>
      </c>
      <c r="D296" s="6">
        <f t="shared" si="93"/>
        <v>72634</v>
      </c>
      <c r="E296" s="6">
        <f t="shared" si="93"/>
        <v>16500</v>
      </c>
      <c r="F296" s="6">
        <f t="shared" si="93"/>
        <v>160488</v>
      </c>
      <c r="G296" s="6">
        <f t="shared" si="93"/>
        <v>3097</v>
      </c>
      <c r="H296" s="6">
        <f t="shared" si="93"/>
        <v>24059</v>
      </c>
      <c r="I296" s="6">
        <f t="shared" si="93"/>
        <v>4056</v>
      </c>
      <c r="J296" s="6">
        <f t="shared" si="93"/>
        <v>31212</v>
      </c>
      <c r="K296" s="6">
        <f t="shared" si="93"/>
        <v>191700</v>
      </c>
      <c r="M296" s="5"/>
      <c r="N296" s="5"/>
      <c r="O296" s="5"/>
      <c r="P296" s="5"/>
    </row>
    <row r="297" spans="1:16" ht="21" thickTop="1">
      <c r="N297" s="278" t="s">
        <v>120</v>
      </c>
      <c r="O297" s="278"/>
      <c r="P297" s="278"/>
    </row>
  </sheetData>
  <mergeCells count="127">
    <mergeCell ref="N297:P297"/>
    <mergeCell ref="A285:A296"/>
    <mergeCell ref="A270:A281"/>
    <mergeCell ref="A283:A284"/>
    <mergeCell ref="B283:K283"/>
    <mergeCell ref="M283:P283"/>
    <mergeCell ref="C284:F284"/>
    <mergeCell ref="G284:J284"/>
    <mergeCell ref="A265:P265"/>
    <mergeCell ref="A266:P266"/>
    <mergeCell ref="A267:K267"/>
    <mergeCell ref="A268:A269"/>
    <mergeCell ref="B268:K268"/>
    <mergeCell ref="C269:F269"/>
    <mergeCell ref="G269:J269"/>
    <mergeCell ref="A1:P1"/>
    <mergeCell ref="A2:P2"/>
    <mergeCell ref="A4:A5"/>
    <mergeCell ref="C5:F5"/>
    <mergeCell ref="G5:J5"/>
    <mergeCell ref="B4:K4"/>
    <mergeCell ref="A3:K3"/>
    <mergeCell ref="A6:A17"/>
    <mergeCell ref="A19:A20"/>
    <mergeCell ref="B19:K19"/>
    <mergeCell ref="A34:P34"/>
    <mergeCell ref="M19:P19"/>
    <mergeCell ref="C20:F20"/>
    <mergeCell ref="G20:J20"/>
    <mergeCell ref="A21:A32"/>
    <mergeCell ref="A35:P35"/>
    <mergeCell ref="A36:K36"/>
    <mergeCell ref="A37:A38"/>
    <mergeCell ref="B37:K37"/>
    <mergeCell ref="C38:F38"/>
    <mergeCell ref="G38:J38"/>
    <mergeCell ref="A39:A50"/>
    <mergeCell ref="A52:A53"/>
    <mergeCell ref="B52:K52"/>
    <mergeCell ref="A67:P67"/>
    <mergeCell ref="M52:P52"/>
    <mergeCell ref="C53:F53"/>
    <mergeCell ref="G53:J53"/>
    <mergeCell ref="A54:A65"/>
    <mergeCell ref="A68:P68"/>
    <mergeCell ref="A69:K69"/>
    <mergeCell ref="A70:A71"/>
    <mergeCell ref="B70:K70"/>
    <mergeCell ref="C71:F71"/>
    <mergeCell ref="G71:J71"/>
    <mergeCell ref="A72:A83"/>
    <mergeCell ref="A85:A86"/>
    <mergeCell ref="B85:K85"/>
    <mergeCell ref="A100:P100"/>
    <mergeCell ref="M85:P85"/>
    <mergeCell ref="C86:F86"/>
    <mergeCell ref="G86:J86"/>
    <mergeCell ref="A87:A98"/>
    <mergeCell ref="A101:P101"/>
    <mergeCell ref="A102:K102"/>
    <mergeCell ref="A103:A104"/>
    <mergeCell ref="B103:K103"/>
    <mergeCell ref="C104:F104"/>
    <mergeCell ref="G104:J104"/>
    <mergeCell ref="A105:A116"/>
    <mergeCell ref="A118:A119"/>
    <mergeCell ref="B118:K118"/>
    <mergeCell ref="A133:P133"/>
    <mergeCell ref="M118:P118"/>
    <mergeCell ref="C119:F119"/>
    <mergeCell ref="G119:J119"/>
    <mergeCell ref="A120:A131"/>
    <mergeCell ref="A134:P134"/>
    <mergeCell ref="A135:K135"/>
    <mergeCell ref="A136:A137"/>
    <mergeCell ref="B136:K136"/>
    <mergeCell ref="C137:F137"/>
    <mergeCell ref="G137:J137"/>
    <mergeCell ref="A138:A149"/>
    <mergeCell ref="A151:A152"/>
    <mergeCell ref="B151:K151"/>
    <mergeCell ref="A166:P166"/>
    <mergeCell ref="M151:P151"/>
    <mergeCell ref="C152:F152"/>
    <mergeCell ref="G152:J152"/>
    <mergeCell ref="A153:A164"/>
    <mergeCell ref="A167:P167"/>
    <mergeCell ref="A168:K168"/>
    <mergeCell ref="A169:A170"/>
    <mergeCell ref="B169:K169"/>
    <mergeCell ref="C170:F170"/>
    <mergeCell ref="G170:J170"/>
    <mergeCell ref="A171:A182"/>
    <mergeCell ref="A184:A185"/>
    <mergeCell ref="B184:K184"/>
    <mergeCell ref="M184:P184"/>
    <mergeCell ref="C185:F185"/>
    <mergeCell ref="G185:J185"/>
    <mergeCell ref="A186:A197"/>
    <mergeCell ref="A199:P199"/>
    <mergeCell ref="A200:P200"/>
    <mergeCell ref="A201:K201"/>
    <mergeCell ref="A202:A203"/>
    <mergeCell ref="B202:K202"/>
    <mergeCell ref="C203:F203"/>
    <mergeCell ref="G203:J203"/>
    <mergeCell ref="A204:A215"/>
    <mergeCell ref="A217:A218"/>
    <mergeCell ref="B217:K217"/>
    <mergeCell ref="M217:P217"/>
    <mergeCell ref="C218:F218"/>
    <mergeCell ref="G218:J218"/>
    <mergeCell ref="A219:A230"/>
    <mergeCell ref="A232:P232"/>
    <mergeCell ref="A233:P233"/>
    <mergeCell ref="A234:K234"/>
    <mergeCell ref="A235:A236"/>
    <mergeCell ref="B235:K235"/>
    <mergeCell ref="C236:F236"/>
    <mergeCell ref="G236:J236"/>
    <mergeCell ref="M250:P250"/>
    <mergeCell ref="C251:F251"/>
    <mergeCell ref="G251:J251"/>
    <mergeCell ref="A252:A263"/>
    <mergeCell ref="A237:A248"/>
    <mergeCell ref="A250:A251"/>
    <mergeCell ref="B250:K250"/>
  </mergeCells>
  <phoneticPr fontId="0" type="noConversion"/>
  <pageMargins left="0.78740157480314965" right="9.8425196850393706E-2" top="0.19685039370078741" bottom="0.31496062992125984" header="0.15748031496062992" footer="0.15748031496062992"/>
  <pageSetup paperSize="5" scale="84" orientation="landscape" r:id="rId1"/>
  <headerFooter>
    <oddFooter>&amp;Z&amp;F&amp;RPage &amp;P</oddFooter>
  </headerFooter>
  <rowBreaks count="2" manualBreakCount="2">
    <brk id="33" max="15" man="1"/>
    <brk id="26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
  <sheetViews>
    <sheetView tabSelected="1" view="pageBreakPreview" topLeftCell="A61" zoomScaleNormal="75" zoomScaleSheetLayoutView="100" workbookViewId="0">
      <selection activeCell="P108" sqref="P108"/>
    </sheetView>
  </sheetViews>
  <sheetFormatPr defaultRowHeight="20.25"/>
  <cols>
    <col min="1" max="1" width="7.5703125" style="2" customWidth="1"/>
    <col min="2" max="2" width="26.85546875" style="2" customWidth="1"/>
    <col min="3" max="3" width="16.42578125" style="2" customWidth="1"/>
    <col min="4" max="4" width="18.85546875" style="2" customWidth="1"/>
    <col min="5" max="5" width="20" style="2" customWidth="1"/>
    <col min="6" max="6" width="17.5703125" style="2" customWidth="1"/>
    <col min="7" max="7" width="14" style="2" customWidth="1"/>
    <col min="8" max="8" width="11" style="2" customWidth="1"/>
    <col min="9" max="16384" width="9.140625" style="2"/>
  </cols>
  <sheetData>
    <row r="1" spans="1:15">
      <c r="A1" s="294" t="s">
        <v>113</v>
      </c>
      <c r="B1" s="295"/>
      <c r="C1" s="295"/>
      <c r="D1" s="295"/>
      <c r="E1" s="295"/>
      <c r="F1" s="295"/>
      <c r="G1" s="295"/>
      <c r="H1" s="295"/>
      <c r="I1" s="16"/>
      <c r="J1" s="16"/>
      <c r="K1" s="16"/>
      <c r="L1" s="16"/>
      <c r="M1" s="16"/>
      <c r="N1" s="16"/>
      <c r="O1" s="16"/>
    </row>
    <row r="2" spans="1:15">
      <c r="A2" s="294" t="s">
        <v>32</v>
      </c>
      <c r="B2" s="295"/>
      <c r="C2" s="295"/>
      <c r="D2" s="295"/>
      <c r="E2" s="295"/>
      <c r="F2" s="295"/>
      <c r="G2" s="295"/>
      <c r="H2" s="295"/>
      <c r="I2" s="49"/>
      <c r="J2" s="49"/>
      <c r="K2" s="49"/>
      <c r="L2" s="49"/>
      <c r="M2" s="49"/>
      <c r="N2" s="49"/>
      <c r="O2" s="49"/>
    </row>
    <row r="3" spans="1:15">
      <c r="A3" s="138" t="s">
        <v>33</v>
      </c>
      <c r="B3" s="159"/>
      <c r="C3" s="140"/>
      <c r="D3" s="140"/>
      <c r="E3" s="140"/>
      <c r="F3" s="140"/>
      <c r="G3" s="140"/>
      <c r="H3" s="140"/>
    </row>
    <row r="4" spans="1:15">
      <c r="A4" s="289" t="s">
        <v>34</v>
      </c>
      <c r="B4" s="289" t="s">
        <v>8</v>
      </c>
      <c r="C4" s="251" t="s">
        <v>35</v>
      </c>
      <c r="D4" s="253"/>
      <c r="E4" s="251" t="s">
        <v>36</v>
      </c>
      <c r="F4" s="253"/>
      <c r="G4" s="287" t="s">
        <v>6</v>
      </c>
      <c r="H4" s="140"/>
    </row>
    <row r="5" spans="1:15">
      <c r="A5" s="290"/>
      <c r="B5" s="290"/>
      <c r="C5" s="141" t="s">
        <v>4</v>
      </c>
      <c r="D5" s="141" t="s">
        <v>5</v>
      </c>
      <c r="E5" s="141" t="s">
        <v>4</v>
      </c>
      <c r="F5" s="141" t="s">
        <v>5</v>
      </c>
      <c r="G5" s="288"/>
      <c r="H5" s="140"/>
    </row>
    <row r="6" spans="1:15">
      <c r="A6" s="142">
        <v>1</v>
      </c>
      <c r="B6" s="142">
        <v>1</v>
      </c>
      <c r="C6" s="143">
        <v>0</v>
      </c>
      <c r="D6" s="143">
        <v>0</v>
      </c>
      <c r="E6" s="143">
        <v>0</v>
      </c>
      <c r="F6" s="143">
        <v>0</v>
      </c>
      <c r="G6" s="144">
        <f>SUM(C6:F6)</f>
        <v>0</v>
      </c>
      <c r="H6" s="116"/>
    </row>
    <row r="7" spans="1:15">
      <c r="A7" s="142">
        <v>2</v>
      </c>
      <c r="B7" s="142">
        <v>2</v>
      </c>
      <c r="C7" s="143">
        <v>0</v>
      </c>
      <c r="D7" s="143">
        <v>0</v>
      </c>
      <c r="E7" s="143">
        <v>0</v>
      </c>
      <c r="F7" s="143">
        <v>0</v>
      </c>
      <c r="G7" s="144">
        <f>SUM(C7:F7)</f>
        <v>0</v>
      </c>
      <c r="H7" s="116"/>
    </row>
    <row r="8" spans="1:15">
      <c r="A8" s="142">
        <v>3</v>
      </c>
      <c r="B8" s="142">
        <v>3</v>
      </c>
      <c r="C8" s="143">
        <v>0</v>
      </c>
      <c r="D8" s="143">
        <v>0</v>
      </c>
      <c r="E8" s="143">
        <v>0</v>
      </c>
      <c r="F8" s="143">
        <v>0</v>
      </c>
      <c r="G8" s="144">
        <f>SUM(C8:F8)</f>
        <v>0</v>
      </c>
      <c r="H8" s="116"/>
    </row>
    <row r="9" spans="1:15">
      <c r="A9" s="142">
        <v>4</v>
      </c>
      <c r="B9" s="142">
        <v>4</v>
      </c>
      <c r="C9" s="143">
        <v>0</v>
      </c>
      <c r="D9" s="143">
        <v>0</v>
      </c>
      <c r="E9" s="143">
        <v>0</v>
      </c>
      <c r="F9" s="143">
        <v>0</v>
      </c>
      <c r="G9" s="144">
        <f>SUM(C9:F9)</f>
        <v>0</v>
      </c>
      <c r="H9" s="116"/>
    </row>
    <row r="10" spans="1:15" ht="21" thickBot="1">
      <c r="A10" s="145" t="s">
        <v>0</v>
      </c>
      <c r="B10" s="145" t="s">
        <v>6</v>
      </c>
      <c r="C10" s="146">
        <f>SUM(C6:C9)</f>
        <v>0</v>
      </c>
      <c r="D10" s="146">
        <f>SUM(D6:D9)</f>
        <v>0</v>
      </c>
      <c r="E10" s="146">
        <f>SUM(E6:E9)</f>
        <v>0</v>
      </c>
      <c r="F10" s="146">
        <f>SUM(F6:F9)</f>
        <v>0</v>
      </c>
      <c r="G10" s="146">
        <f>SUM(G6:G9)</f>
        <v>0</v>
      </c>
      <c r="H10" s="116"/>
    </row>
    <row r="11" spans="1:15" ht="21" thickTop="1">
      <c r="A11" s="147"/>
      <c r="B11" s="147"/>
      <c r="C11" s="147"/>
      <c r="D11" s="147"/>
      <c r="E11" s="147"/>
      <c r="F11" s="147"/>
      <c r="G11" s="116"/>
      <c r="H11" s="116"/>
    </row>
    <row r="12" spans="1:15">
      <c r="A12" s="116"/>
      <c r="B12" s="116"/>
      <c r="C12" s="116"/>
      <c r="D12" s="116"/>
      <c r="E12" s="116"/>
      <c r="F12" s="116"/>
      <c r="G12" s="116"/>
      <c r="H12" s="116"/>
    </row>
    <row r="13" spans="1:15" ht="22.5" customHeight="1">
      <c r="A13" s="291"/>
      <c r="B13" s="291"/>
      <c r="C13" s="291"/>
      <c r="D13" s="291"/>
      <c r="E13" s="291"/>
      <c r="F13" s="293" t="s">
        <v>1</v>
      </c>
      <c r="G13" s="293"/>
      <c r="H13" s="293"/>
    </row>
    <row r="14" spans="1:15" ht="31.5">
      <c r="A14" s="158" t="s">
        <v>34</v>
      </c>
      <c r="B14" s="158" t="s">
        <v>37</v>
      </c>
      <c r="C14" s="158" t="s">
        <v>38</v>
      </c>
      <c r="D14" s="158" t="s">
        <v>39</v>
      </c>
      <c r="E14" s="158" t="s">
        <v>40</v>
      </c>
      <c r="F14" s="158" t="s">
        <v>41</v>
      </c>
      <c r="G14" s="158" t="s">
        <v>20</v>
      </c>
      <c r="H14" s="158" t="s">
        <v>6</v>
      </c>
    </row>
    <row r="15" spans="1:15" ht="23.25" customHeight="1">
      <c r="A15" s="149">
        <v>1</v>
      </c>
      <c r="B15" s="158" t="s">
        <v>7</v>
      </c>
      <c r="C15" s="150">
        <v>0</v>
      </c>
      <c r="D15" s="150">
        <v>0</v>
      </c>
      <c r="E15" s="150">
        <v>0</v>
      </c>
      <c r="F15" s="150">
        <v>0</v>
      </c>
      <c r="G15" s="150">
        <v>0</v>
      </c>
      <c r="H15" s="151">
        <f>SUM(C15:G15)</f>
        <v>0</v>
      </c>
    </row>
    <row r="16" spans="1:15">
      <c r="A16" s="116"/>
      <c r="B16" s="116"/>
      <c r="C16" s="116"/>
      <c r="D16" s="116"/>
      <c r="E16" s="116"/>
      <c r="F16" s="116"/>
      <c r="G16" s="116"/>
      <c r="H16" s="116"/>
    </row>
    <row r="17" spans="1:15">
      <c r="A17" s="282" t="s">
        <v>142</v>
      </c>
      <c r="B17" s="283"/>
      <c r="C17" s="283"/>
      <c r="D17" s="283"/>
      <c r="E17" s="283"/>
      <c r="F17" s="283"/>
      <c r="G17" s="283"/>
      <c r="H17" s="283"/>
      <c r="I17" s="16"/>
      <c r="J17" s="16"/>
      <c r="K17" s="16"/>
      <c r="L17" s="16"/>
      <c r="M17" s="16"/>
      <c r="N17" s="16"/>
      <c r="O17" s="16"/>
    </row>
    <row r="18" spans="1:15">
      <c r="A18" s="282" t="s">
        <v>32</v>
      </c>
      <c r="B18" s="283"/>
      <c r="C18" s="283"/>
      <c r="D18" s="283"/>
      <c r="E18" s="283"/>
      <c r="F18" s="283"/>
      <c r="G18" s="283"/>
      <c r="H18" s="283"/>
      <c r="I18" s="49"/>
      <c r="J18" s="49"/>
      <c r="K18" s="49"/>
      <c r="L18" s="49"/>
      <c r="M18" s="49"/>
      <c r="N18" s="49"/>
      <c r="O18" s="49"/>
    </row>
    <row r="19" spans="1:15">
      <c r="A19" s="50" t="s">
        <v>33</v>
      </c>
      <c r="B19" s="48"/>
      <c r="C19" s="51"/>
      <c r="D19" s="51"/>
      <c r="E19" s="51"/>
      <c r="F19" s="51"/>
      <c r="G19" s="51"/>
      <c r="H19" s="51"/>
    </row>
    <row r="20" spans="1:15">
      <c r="A20" s="280" t="s">
        <v>34</v>
      </c>
      <c r="B20" s="280" t="s">
        <v>8</v>
      </c>
      <c r="C20" s="272" t="s">
        <v>35</v>
      </c>
      <c r="D20" s="274"/>
      <c r="E20" s="272" t="s">
        <v>36</v>
      </c>
      <c r="F20" s="274"/>
      <c r="G20" s="285" t="s">
        <v>6</v>
      </c>
      <c r="H20" s="51"/>
    </row>
    <row r="21" spans="1:15">
      <c r="A21" s="281"/>
      <c r="B21" s="281"/>
      <c r="C21" s="53" t="s">
        <v>4</v>
      </c>
      <c r="D21" s="53" t="s">
        <v>5</v>
      </c>
      <c r="E21" s="53" t="s">
        <v>4</v>
      </c>
      <c r="F21" s="53" t="s">
        <v>5</v>
      </c>
      <c r="G21" s="286"/>
      <c r="H21" s="51"/>
    </row>
    <row r="22" spans="1:15">
      <c r="A22" s="17">
        <v>1</v>
      </c>
      <c r="B22" s="17">
        <v>1</v>
      </c>
      <c r="C22" s="181">
        <v>1</v>
      </c>
      <c r="D22" s="181">
        <v>0</v>
      </c>
      <c r="E22" s="181">
        <v>1</v>
      </c>
      <c r="F22" s="181">
        <v>0</v>
      </c>
      <c r="G22" s="19">
        <f>SUM(C22:F22)</f>
        <v>2</v>
      </c>
    </row>
    <row r="23" spans="1:15">
      <c r="A23" s="17">
        <v>2</v>
      </c>
      <c r="B23" s="17">
        <v>2</v>
      </c>
      <c r="C23" s="181">
        <v>0</v>
      </c>
      <c r="D23" s="181">
        <v>0</v>
      </c>
      <c r="E23" s="181">
        <v>2</v>
      </c>
      <c r="F23" s="181">
        <v>0</v>
      </c>
      <c r="G23" s="19">
        <f>SUM(C23:F23)</f>
        <v>2</v>
      </c>
    </row>
    <row r="24" spans="1:15">
      <c r="A24" s="17">
        <v>3</v>
      </c>
      <c r="B24" s="17">
        <v>3</v>
      </c>
      <c r="C24" s="181">
        <v>2</v>
      </c>
      <c r="D24" s="181">
        <v>0</v>
      </c>
      <c r="E24" s="181">
        <v>6</v>
      </c>
      <c r="F24" s="181">
        <v>4</v>
      </c>
      <c r="G24" s="19">
        <f>SUM(C24:F24)</f>
        <v>12</v>
      </c>
    </row>
    <row r="25" spans="1:15">
      <c r="A25" s="17">
        <v>4</v>
      </c>
      <c r="B25" s="17">
        <v>4</v>
      </c>
      <c r="C25" s="181">
        <v>1</v>
      </c>
      <c r="D25" s="181">
        <v>1</v>
      </c>
      <c r="E25" s="181">
        <v>1</v>
      </c>
      <c r="F25" s="181">
        <v>1</v>
      </c>
      <c r="G25" s="19">
        <f>SUM(C25:F25)</f>
        <v>4</v>
      </c>
    </row>
    <row r="26" spans="1:15" ht="21" thickBot="1">
      <c r="A26" s="54" t="s">
        <v>0</v>
      </c>
      <c r="B26" s="54" t="s">
        <v>6</v>
      </c>
      <c r="C26" s="21">
        <f>SUM(C22:C25)</f>
        <v>4</v>
      </c>
      <c r="D26" s="21">
        <f>SUM(D22:D25)</f>
        <v>1</v>
      </c>
      <c r="E26" s="21">
        <f>SUM(E22:E25)</f>
        <v>10</v>
      </c>
      <c r="F26" s="21">
        <f>SUM(F22:F25)</f>
        <v>5</v>
      </c>
      <c r="G26" s="21">
        <f>SUM(G22:G25)</f>
        <v>20</v>
      </c>
    </row>
    <row r="27" spans="1:15" ht="21" thickTop="1">
      <c r="A27" s="22"/>
      <c r="B27" s="22"/>
      <c r="C27" s="22"/>
      <c r="D27" s="22"/>
      <c r="E27" s="22"/>
      <c r="F27" s="22"/>
    </row>
    <row r="29" spans="1:15" ht="22.5" customHeight="1">
      <c r="A29" s="279"/>
      <c r="B29" s="279"/>
      <c r="C29" s="279"/>
      <c r="D29" s="279"/>
      <c r="E29" s="279"/>
      <c r="F29" s="284" t="s">
        <v>1</v>
      </c>
      <c r="G29" s="284"/>
      <c r="H29" s="284"/>
    </row>
    <row r="30" spans="1:15" ht="31.5">
      <c r="A30" s="52" t="s">
        <v>34</v>
      </c>
      <c r="B30" s="52" t="s">
        <v>37</v>
      </c>
      <c r="C30" s="52" t="s">
        <v>38</v>
      </c>
      <c r="D30" s="52" t="s">
        <v>39</v>
      </c>
      <c r="E30" s="52" t="s">
        <v>40</v>
      </c>
      <c r="F30" s="52" t="s">
        <v>127</v>
      </c>
      <c r="G30" s="52" t="s">
        <v>20</v>
      </c>
      <c r="H30" s="52" t="s">
        <v>6</v>
      </c>
    </row>
    <row r="31" spans="1:15" ht="23.25" customHeight="1">
      <c r="A31" s="24">
        <v>1</v>
      </c>
      <c r="B31" s="52" t="s">
        <v>23</v>
      </c>
      <c r="C31" s="79">
        <v>1600</v>
      </c>
      <c r="D31" s="79">
        <v>150</v>
      </c>
      <c r="E31" s="79">
        <v>150</v>
      </c>
      <c r="F31" s="79">
        <v>500</v>
      </c>
      <c r="G31" s="79">
        <v>500</v>
      </c>
      <c r="H31" s="23">
        <f>SUM(C31:G31)</f>
        <v>2900</v>
      </c>
    </row>
    <row r="33" spans="1:15">
      <c r="A33" s="282" t="s">
        <v>142</v>
      </c>
      <c r="B33" s="283"/>
      <c r="C33" s="283"/>
      <c r="D33" s="283"/>
      <c r="E33" s="283"/>
      <c r="F33" s="283"/>
      <c r="G33" s="283"/>
      <c r="H33" s="283"/>
      <c r="I33" s="16"/>
      <c r="J33" s="16"/>
      <c r="K33" s="16"/>
      <c r="L33" s="16"/>
      <c r="M33" s="16"/>
      <c r="N33" s="16"/>
      <c r="O33" s="16"/>
    </row>
    <row r="34" spans="1:15">
      <c r="A34" s="282" t="s">
        <v>32</v>
      </c>
      <c r="B34" s="283"/>
      <c r="C34" s="283"/>
      <c r="D34" s="283"/>
      <c r="E34" s="283"/>
      <c r="F34" s="283"/>
      <c r="G34" s="283"/>
      <c r="H34" s="283"/>
      <c r="I34" s="49"/>
      <c r="J34" s="49"/>
      <c r="K34" s="49"/>
      <c r="L34" s="49"/>
      <c r="M34" s="49"/>
      <c r="N34" s="49"/>
      <c r="O34" s="49"/>
    </row>
    <row r="35" spans="1:15">
      <c r="A35" s="50" t="s">
        <v>33</v>
      </c>
      <c r="B35" s="48"/>
      <c r="C35" s="51"/>
      <c r="D35" s="51"/>
      <c r="E35" s="51"/>
      <c r="F35" s="51"/>
      <c r="G35" s="51"/>
      <c r="H35" s="51"/>
    </row>
    <row r="36" spans="1:15">
      <c r="A36" s="280" t="s">
        <v>34</v>
      </c>
      <c r="B36" s="280" t="s">
        <v>8</v>
      </c>
      <c r="C36" s="272" t="s">
        <v>35</v>
      </c>
      <c r="D36" s="274"/>
      <c r="E36" s="272" t="s">
        <v>36</v>
      </c>
      <c r="F36" s="274"/>
      <c r="G36" s="285" t="s">
        <v>6</v>
      </c>
      <c r="H36" s="51"/>
    </row>
    <row r="37" spans="1:15">
      <c r="A37" s="281"/>
      <c r="B37" s="281"/>
      <c r="C37" s="53" t="s">
        <v>4</v>
      </c>
      <c r="D37" s="53" t="s">
        <v>5</v>
      </c>
      <c r="E37" s="53" t="s">
        <v>4</v>
      </c>
      <c r="F37" s="53" t="s">
        <v>5</v>
      </c>
      <c r="G37" s="286"/>
      <c r="H37" s="51"/>
    </row>
    <row r="38" spans="1:15">
      <c r="A38" s="17">
        <v>1</v>
      </c>
      <c r="B38" s="17">
        <v>1</v>
      </c>
      <c r="C38" s="181">
        <v>2</v>
      </c>
      <c r="D38" s="181">
        <v>0</v>
      </c>
      <c r="E38" s="181">
        <v>2</v>
      </c>
      <c r="F38" s="181">
        <v>0</v>
      </c>
      <c r="G38" s="19">
        <f>SUM(C38:F38)</f>
        <v>4</v>
      </c>
    </row>
    <row r="39" spans="1:15">
      <c r="A39" s="17">
        <v>2</v>
      </c>
      <c r="B39" s="17">
        <v>2</v>
      </c>
      <c r="C39" s="181">
        <v>0</v>
      </c>
      <c r="D39" s="181">
        <v>0</v>
      </c>
      <c r="E39" s="181">
        <v>4</v>
      </c>
      <c r="F39" s="181">
        <v>0</v>
      </c>
      <c r="G39" s="19">
        <f>SUM(C39:F39)</f>
        <v>4</v>
      </c>
    </row>
    <row r="40" spans="1:15">
      <c r="A40" s="17">
        <v>3</v>
      </c>
      <c r="B40" s="17">
        <v>3</v>
      </c>
      <c r="C40" s="181">
        <v>7</v>
      </c>
      <c r="D40" s="181">
        <v>3</v>
      </c>
      <c r="E40" s="181">
        <v>14</v>
      </c>
      <c r="F40" s="181">
        <v>0</v>
      </c>
      <c r="G40" s="19">
        <f>SUM(C40:F40)</f>
        <v>24</v>
      </c>
    </row>
    <row r="41" spans="1:15">
      <c r="A41" s="17">
        <v>4</v>
      </c>
      <c r="B41" s="17">
        <v>4</v>
      </c>
      <c r="C41" s="181">
        <v>4</v>
      </c>
      <c r="D41" s="181">
        <v>0</v>
      </c>
      <c r="E41" s="181">
        <v>4</v>
      </c>
      <c r="F41" s="181">
        <v>0</v>
      </c>
      <c r="G41" s="19">
        <f>SUM(C41:F41)</f>
        <v>8</v>
      </c>
    </row>
    <row r="42" spans="1:15" ht="21" thickBot="1">
      <c r="A42" s="54" t="s">
        <v>0</v>
      </c>
      <c r="B42" s="54" t="s">
        <v>6</v>
      </c>
      <c r="C42" s="21">
        <f>SUM(C38:C41)</f>
        <v>13</v>
      </c>
      <c r="D42" s="21">
        <f>SUM(D38:D41)</f>
        <v>3</v>
      </c>
      <c r="E42" s="21">
        <f>SUM(E38:E41)</f>
        <v>24</v>
      </c>
      <c r="F42" s="21">
        <f>SUM(F38:F41)</f>
        <v>0</v>
      </c>
      <c r="G42" s="21">
        <f>SUM(G38:G41)</f>
        <v>40</v>
      </c>
    </row>
    <row r="43" spans="1:15" ht="21" thickTop="1">
      <c r="A43" s="22"/>
      <c r="B43" s="22"/>
      <c r="C43" s="22"/>
      <c r="D43" s="22"/>
      <c r="E43" s="22"/>
      <c r="F43" s="22"/>
    </row>
    <row r="45" spans="1:15" ht="22.5" customHeight="1">
      <c r="A45" s="279"/>
      <c r="B45" s="279"/>
      <c r="C45" s="279"/>
      <c r="D45" s="279"/>
      <c r="E45" s="279"/>
      <c r="F45" s="284" t="s">
        <v>1</v>
      </c>
      <c r="G45" s="284"/>
      <c r="H45" s="284"/>
    </row>
    <row r="46" spans="1:15" ht="31.5">
      <c r="A46" s="52" t="s">
        <v>34</v>
      </c>
      <c r="B46" s="52" t="s">
        <v>37</v>
      </c>
      <c r="C46" s="52" t="s">
        <v>38</v>
      </c>
      <c r="D46" s="52" t="s">
        <v>39</v>
      </c>
      <c r="E46" s="52" t="s">
        <v>40</v>
      </c>
      <c r="F46" s="52" t="s">
        <v>127</v>
      </c>
      <c r="G46" s="52" t="s">
        <v>20</v>
      </c>
      <c r="H46" s="52" t="s">
        <v>6</v>
      </c>
    </row>
    <row r="47" spans="1:15" ht="23.25" customHeight="1">
      <c r="A47" s="24">
        <v>1</v>
      </c>
      <c r="B47" s="52" t="s">
        <v>24</v>
      </c>
      <c r="C47" s="79">
        <v>650</v>
      </c>
      <c r="D47" s="79">
        <v>155</v>
      </c>
      <c r="E47" s="79">
        <v>100</v>
      </c>
      <c r="F47" s="79">
        <v>0</v>
      </c>
      <c r="G47" s="79">
        <v>4172</v>
      </c>
      <c r="H47" s="23">
        <f>SUM(C47:G47)</f>
        <v>5077</v>
      </c>
    </row>
    <row r="49" spans="1:15">
      <c r="A49" s="282" t="s">
        <v>142</v>
      </c>
      <c r="B49" s="283"/>
      <c r="C49" s="283"/>
      <c r="D49" s="283"/>
      <c r="E49" s="283"/>
      <c r="F49" s="283"/>
      <c r="G49" s="283"/>
      <c r="H49" s="283"/>
      <c r="I49" s="16"/>
      <c r="J49" s="16"/>
      <c r="K49" s="16"/>
      <c r="L49" s="16"/>
      <c r="M49" s="16"/>
      <c r="N49" s="16"/>
      <c r="O49" s="16"/>
    </row>
    <row r="50" spans="1:15">
      <c r="A50" s="282" t="s">
        <v>32</v>
      </c>
      <c r="B50" s="283"/>
      <c r="C50" s="283"/>
      <c r="D50" s="283"/>
      <c r="E50" s="283"/>
      <c r="F50" s="283"/>
      <c r="G50" s="283"/>
      <c r="H50" s="283"/>
      <c r="I50" s="49"/>
      <c r="J50" s="49"/>
      <c r="K50" s="49"/>
      <c r="L50" s="49"/>
      <c r="M50" s="49"/>
      <c r="N50" s="49"/>
      <c r="O50" s="49"/>
    </row>
    <row r="51" spans="1:15">
      <c r="A51" s="50" t="s">
        <v>33</v>
      </c>
      <c r="B51" s="48"/>
      <c r="C51" s="51"/>
      <c r="D51" s="51"/>
      <c r="E51" s="51"/>
      <c r="F51" s="51"/>
      <c r="G51" s="51"/>
      <c r="H51" s="51"/>
    </row>
    <row r="52" spans="1:15">
      <c r="A52" s="280" t="s">
        <v>34</v>
      </c>
      <c r="B52" s="280" t="s">
        <v>8</v>
      </c>
      <c r="C52" s="272" t="s">
        <v>35</v>
      </c>
      <c r="D52" s="274"/>
      <c r="E52" s="272" t="s">
        <v>36</v>
      </c>
      <c r="F52" s="274"/>
      <c r="G52" s="285" t="s">
        <v>6</v>
      </c>
      <c r="H52" s="51"/>
    </row>
    <row r="53" spans="1:15">
      <c r="A53" s="281"/>
      <c r="B53" s="281"/>
      <c r="C53" s="53" t="s">
        <v>4</v>
      </c>
      <c r="D53" s="53" t="s">
        <v>5</v>
      </c>
      <c r="E53" s="53" t="s">
        <v>4</v>
      </c>
      <c r="F53" s="53" t="s">
        <v>5</v>
      </c>
      <c r="G53" s="286"/>
      <c r="H53" s="51"/>
    </row>
    <row r="54" spans="1:15">
      <c r="A54" s="17">
        <v>1</v>
      </c>
      <c r="B54" s="17">
        <v>1</v>
      </c>
      <c r="C54" s="181">
        <v>0</v>
      </c>
      <c r="D54" s="181">
        <v>1</v>
      </c>
      <c r="E54" s="181">
        <v>3</v>
      </c>
      <c r="F54" s="181">
        <v>1</v>
      </c>
      <c r="G54" s="19">
        <f>SUM(C54:F54)</f>
        <v>5</v>
      </c>
    </row>
    <row r="55" spans="1:15">
      <c r="A55" s="17">
        <v>2</v>
      </c>
      <c r="B55" s="17">
        <v>2</v>
      </c>
      <c r="C55" s="181">
        <v>0</v>
      </c>
      <c r="D55" s="181">
        <v>0</v>
      </c>
      <c r="E55" s="181">
        <v>4</v>
      </c>
      <c r="F55" s="181">
        <v>1</v>
      </c>
      <c r="G55" s="19">
        <f>SUM(C55:F55)</f>
        <v>5</v>
      </c>
    </row>
    <row r="56" spans="1:15">
      <c r="A56" s="17">
        <v>3</v>
      </c>
      <c r="B56" s="17">
        <v>3</v>
      </c>
      <c r="C56" s="181">
        <v>2</v>
      </c>
      <c r="D56" s="181">
        <v>3</v>
      </c>
      <c r="E56" s="181">
        <v>13</v>
      </c>
      <c r="F56" s="181">
        <v>12</v>
      </c>
      <c r="G56" s="19">
        <f>SUM(C56:F56)</f>
        <v>30</v>
      </c>
    </row>
    <row r="57" spans="1:15">
      <c r="A57" s="17">
        <v>4</v>
      </c>
      <c r="B57" s="17">
        <v>4</v>
      </c>
      <c r="C57" s="181">
        <v>1</v>
      </c>
      <c r="D57" s="181">
        <v>1</v>
      </c>
      <c r="E57" s="181">
        <v>5</v>
      </c>
      <c r="F57" s="181">
        <v>3</v>
      </c>
      <c r="G57" s="19">
        <f>SUM(C57:F57)</f>
        <v>10</v>
      </c>
    </row>
    <row r="58" spans="1:15" ht="21" thickBot="1">
      <c r="A58" s="54" t="s">
        <v>0</v>
      </c>
      <c r="B58" s="54" t="s">
        <v>6</v>
      </c>
      <c r="C58" s="21">
        <f>SUM(C54:C57)</f>
        <v>3</v>
      </c>
      <c r="D58" s="21">
        <f>SUM(D54:D57)</f>
        <v>5</v>
      </c>
      <c r="E58" s="21">
        <f>SUM(E54:E57)</f>
        <v>25</v>
      </c>
      <c r="F58" s="21">
        <f>SUM(F54:F57)</f>
        <v>17</v>
      </c>
      <c r="G58" s="21">
        <f>SUM(G54:G57)</f>
        <v>50</v>
      </c>
    </row>
    <row r="59" spans="1:15" ht="21" thickTop="1">
      <c r="A59" s="22"/>
      <c r="B59" s="22"/>
      <c r="C59" s="22"/>
      <c r="D59" s="22"/>
      <c r="E59" s="22"/>
      <c r="F59" s="22"/>
    </row>
    <row r="61" spans="1:15" ht="22.5" customHeight="1">
      <c r="A61" s="279"/>
      <c r="B61" s="279"/>
      <c r="C61" s="279"/>
      <c r="D61" s="279"/>
      <c r="E61" s="279"/>
      <c r="F61" s="284" t="s">
        <v>1</v>
      </c>
      <c r="G61" s="284"/>
      <c r="H61" s="284"/>
    </row>
    <row r="62" spans="1:15" ht="31.5">
      <c r="A62" s="52" t="s">
        <v>34</v>
      </c>
      <c r="B62" s="52" t="s">
        <v>37</v>
      </c>
      <c r="C62" s="52" t="s">
        <v>38</v>
      </c>
      <c r="D62" s="52" t="s">
        <v>39</v>
      </c>
      <c r="E62" s="52" t="s">
        <v>40</v>
      </c>
      <c r="F62" s="52" t="s">
        <v>127</v>
      </c>
      <c r="G62" s="52" t="s">
        <v>20</v>
      </c>
      <c r="H62" s="52" t="s">
        <v>6</v>
      </c>
    </row>
    <row r="63" spans="1:15" ht="23.25" customHeight="1">
      <c r="A63" s="24">
        <v>1</v>
      </c>
      <c r="B63" s="52" t="s">
        <v>25</v>
      </c>
      <c r="C63" s="79">
        <v>5000</v>
      </c>
      <c r="D63" s="79">
        <v>500</v>
      </c>
      <c r="E63" s="79">
        <v>500</v>
      </c>
      <c r="F63" s="79">
        <v>5500</v>
      </c>
      <c r="G63" s="79">
        <v>5000</v>
      </c>
      <c r="H63" s="23">
        <f>SUM(C63:G63)</f>
        <v>16500</v>
      </c>
    </row>
    <row r="64" spans="1:15" ht="23.25" customHeight="1">
      <c r="A64" s="55"/>
      <c r="B64" s="56"/>
      <c r="C64" s="57"/>
      <c r="D64" s="57"/>
      <c r="E64" s="57"/>
      <c r="F64" s="57"/>
      <c r="G64" s="57"/>
      <c r="H64" s="58"/>
    </row>
    <row r="65" spans="1:15">
      <c r="A65" s="282" t="s">
        <v>142</v>
      </c>
      <c r="B65" s="283"/>
      <c r="C65" s="283"/>
      <c r="D65" s="283"/>
      <c r="E65" s="283"/>
      <c r="F65" s="283"/>
      <c r="G65" s="283"/>
      <c r="H65" s="283"/>
      <c r="I65" s="16"/>
      <c r="J65" s="16"/>
      <c r="K65" s="16"/>
      <c r="L65" s="16"/>
      <c r="M65" s="16"/>
      <c r="N65" s="16"/>
      <c r="O65" s="16"/>
    </row>
    <row r="66" spans="1:15">
      <c r="A66" s="282" t="s">
        <v>32</v>
      </c>
      <c r="B66" s="283"/>
      <c r="C66" s="283"/>
      <c r="D66" s="283"/>
      <c r="E66" s="283"/>
      <c r="F66" s="283"/>
      <c r="G66" s="283"/>
      <c r="H66" s="283"/>
      <c r="I66" s="49"/>
      <c r="J66" s="49"/>
      <c r="K66" s="49"/>
      <c r="L66" s="49"/>
      <c r="M66" s="49"/>
      <c r="N66" s="49"/>
      <c r="O66" s="49"/>
    </row>
    <row r="67" spans="1:15">
      <c r="A67" s="50" t="s">
        <v>33</v>
      </c>
      <c r="B67" s="48"/>
      <c r="C67" s="51"/>
      <c r="D67" s="51"/>
      <c r="E67" s="51"/>
      <c r="F67" s="51"/>
      <c r="G67" s="51"/>
      <c r="H67" s="51"/>
    </row>
    <row r="68" spans="1:15">
      <c r="A68" s="280" t="s">
        <v>34</v>
      </c>
      <c r="B68" s="280" t="s">
        <v>8</v>
      </c>
      <c r="C68" s="272" t="s">
        <v>35</v>
      </c>
      <c r="D68" s="274"/>
      <c r="E68" s="272" t="s">
        <v>36</v>
      </c>
      <c r="F68" s="274"/>
      <c r="G68" s="285" t="s">
        <v>6</v>
      </c>
      <c r="H68" s="51"/>
    </row>
    <row r="69" spans="1:15">
      <c r="A69" s="281"/>
      <c r="B69" s="281"/>
      <c r="C69" s="53" t="s">
        <v>4</v>
      </c>
      <c r="D69" s="53" t="s">
        <v>5</v>
      </c>
      <c r="E69" s="53" t="s">
        <v>4</v>
      </c>
      <c r="F69" s="53" t="s">
        <v>5</v>
      </c>
      <c r="G69" s="286"/>
      <c r="H69" s="51"/>
    </row>
    <row r="70" spans="1:15">
      <c r="A70" s="17">
        <v>1</v>
      </c>
      <c r="B70" s="17">
        <v>1</v>
      </c>
      <c r="C70" s="181">
        <v>2</v>
      </c>
      <c r="D70" s="181">
        <v>0</v>
      </c>
      <c r="E70" s="181">
        <v>6</v>
      </c>
      <c r="F70" s="181">
        <v>0</v>
      </c>
      <c r="G70" s="19">
        <f>SUM(C70:F70)</f>
        <v>8</v>
      </c>
    </row>
    <row r="71" spans="1:15">
      <c r="A71" s="17">
        <v>2</v>
      </c>
      <c r="B71" s="17">
        <v>2</v>
      </c>
      <c r="C71" s="181">
        <v>0</v>
      </c>
      <c r="D71" s="181">
        <v>0</v>
      </c>
      <c r="E71" s="181">
        <v>8</v>
      </c>
      <c r="F71" s="181">
        <v>0</v>
      </c>
      <c r="G71" s="19">
        <f>SUM(C71:F71)</f>
        <v>8</v>
      </c>
    </row>
    <row r="72" spans="1:15">
      <c r="A72" s="17">
        <v>3</v>
      </c>
      <c r="B72" s="17">
        <v>3</v>
      </c>
      <c r="C72" s="181">
        <v>8</v>
      </c>
      <c r="D72" s="181">
        <v>9</v>
      </c>
      <c r="E72" s="181">
        <v>25</v>
      </c>
      <c r="F72" s="181">
        <v>6</v>
      </c>
      <c r="G72" s="19">
        <f>SUM(C72:F72)</f>
        <v>48</v>
      </c>
    </row>
    <row r="73" spans="1:15">
      <c r="A73" s="17">
        <v>4</v>
      </c>
      <c r="B73" s="17">
        <v>4</v>
      </c>
      <c r="C73" s="181">
        <v>4</v>
      </c>
      <c r="D73" s="181">
        <v>0</v>
      </c>
      <c r="E73" s="181">
        <v>10</v>
      </c>
      <c r="F73" s="181">
        <v>2</v>
      </c>
      <c r="G73" s="19">
        <f>SUM(C73:F73)</f>
        <v>16</v>
      </c>
    </row>
    <row r="74" spans="1:15" ht="21" thickBot="1">
      <c r="A74" s="54" t="s">
        <v>0</v>
      </c>
      <c r="B74" s="54" t="s">
        <v>6</v>
      </c>
      <c r="C74" s="21">
        <f>SUM(C70:C73)</f>
        <v>14</v>
      </c>
      <c r="D74" s="21">
        <f>SUM(D70:D73)</f>
        <v>9</v>
      </c>
      <c r="E74" s="21">
        <f>SUM(E70:E73)</f>
        <v>49</v>
      </c>
      <c r="F74" s="21">
        <f>SUM(F70:F73)</f>
        <v>8</v>
      </c>
      <c r="G74" s="21">
        <f>SUM(G70:G73)</f>
        <v>80</v>
      </c>
    </row>
    <row r="75" spans="1:15" ht="21" thickTop="1">
      <c r="A75" s="22"/>
      <c r="B75" s="22"/>
      <c r="C75" s="22"/>
      <c r="D75" s="22"/>
      <c r="E75" s="22"/>
      <c r="F75" s="22"/>
    </row>
    <row r="77" spans="1:15" ht="22.5" customHeight="1">
      <c r="A77" s="279"/>
      <c r="B77" s="279"/>
      <c r="C77" s="279"/>
      <c r="D77" s="279"/>
      <c r="E77" s="279"/>
      <c r="F77" s="284" t="s">
        <v>1</v>
      </c>
      <c r="G77" s="284"/>
      <c r="H77" s="284"/>
    </row>
    <row r="78" spans="1:15" ht="31.5">
      <c r="A78" s="52" t="s">
        <v>34</v>
      </c>
      <c r="B78" s="52" t="s">
        <v>37</v>
      </c>
      <c r="C78" s="52" t="s">
        <v>38</v>
      </c>
      <c r="D78" s="52" t="s">
        <v>39</v>
      </c>
      <c r="E78" s="52" t="s">
        <v>40</v>
      </c>
      <c r="F78" s="52" t="s">
        <v>127</v>
      </c>
      <c r="G78" s="52" t="s">
        <v>20</v>
      </c>
      <c r="H78" s="52" t="s">
        <v>6</v>
      </c>
    </row>
    <row r="79" spans="1:15" ht="23.25" customHeight="1">
      <c r="A79" s="24">
        <v>1</v>
      </c>
      <c r="B79" s="52" t="s">
        <v>26</v>
      </c>
      <c r="C79" s="79">
        <v>8000</v>
      </c>
      <c r="D79" s="79">
        <v>1200</v>
      </c>
      <c r="E79" s="79">
        <v>800</v>
      </c>
      <c r="F79" s="79">
        <v>3421</v>
      </c>
      <c r="G79" s="79">
        <v>9137</v>
      </c>
      <c r="H79" s="23">
        <f>SUM(C79:G79)</f>
        <v>22558</v>
      </c>
    </row>
    <row r="81" spans="1:15">
      <c r="A81" s="282" t="s">
        <v>142</v>
      </c>
      <c r="B81" s="283"/>
      <c r="C81" s="283"/>
      <c r="D81" s="283"/>
      <c r="E81" s="283"/>
      <c r="F81" s="283"/>
      <c r="G81" s="283"/>
      <c r="H81" s="283"/>
      <c r="I81" s="16"/>
      <c r="J81" s="16"/>
      <c r="K81" s="16"/>
      <c r="L81" s="16"/>
      <c r="M81" s="16"/>
      <c r="N81" s="16"/>
      <c r="O81" s="16"/>
    </row>
    <row r="82" spans="1:15">
      <c r="A82" s="282" t="s">
        <v>32</v>
      </c>
      <c r="B82" s="283"/>
      <c r="C82" s="283"/>
      <c r="D82" s="283"/>
      <c r="E82" s="283"/>
      <c r="F82" s="283"/>
      <c r="G82" s="283"/>
      <c r="H82" s="283"/>
      <c r="I82" s="49"/>
      <c r="J82" s="49"/>
      <c r="K82" s="49"/>
      <c r="L82" s="49"/>
      <c r="M82" s="49"/>
      <c r="N82" s="49"/>
      <c r="O82" s="49"/>
    </row>
    <row r="83" spans="1:15">
      <c r="A83" s="50" t="s">
        <v>33</v>
      </c>
      <c r="B83" s="48"/>
      <c r="C83" s="51"/>
      <c r="D83" s="51"/>
      <c r="E83" s="51"/>
      <c r="F83" s="51"/>
      <c r="G83" s="51"/>
      <c r="H83" s="51"/>
    </row>
    <row r="84" spans="1:15">
      <c r="A84" s="280" t="s">
        <v>34</v>
      </c>
      <c r="B84" s="280" t="s">
        <v>8</v>
      </c>
      <c r="C84" s="272" t="s">
        <v>35</v>
      </c>
      <c r="D84" s="274"/>
      <c r="E84" s="272" t="s">
        <v>36</v>
      </c>
      <c r="F84" s="274"/>
      <c r="G84" s="285" t="s">
        <v>6</v>
      </c>
      <c r="H84" s="51"/>
    </row>
    <row r="85" spans="1:15">
      <c r="A85" s="281"/>
      <c r="B85" s="281"/>
      <c r="C85" s="53" t="s">
        <v>4</v>
      </c>
      <c r="D85" s="53" t="s">
        <v>5</v>
      </c>
      <c r="E85" s="53" t="s">
        <v>4</v>
      </c>
      <c r="F85" s="53" t="s">
        <v>5</v>
      </c>
      <c r="G85" s="286"/>
      <c r="H85" s="51"/>
    </row>
    <row r="86" spans="1:15">
      <c r="A86" s="17">
        <v>1</v>
      </c>
      <c r="B86" s="17">
        <v>1</v>
      </c>
      <c r="C86" s="181">
        <v>3</v>
      </c>
      <c r="D86" s="181">
        <v>0</v>
      </c>
      <c r="E86" s="181">
        <v>2</v>
      </c>
      <c r="F86" s="181">
        <v>0</v>
      </c>
      <c r="G86" s="19">
        <f>SUM(C86:F86)</f>
        <v>5</v>
      </c>
    </row>
    <row r="87" spans="1:15">
      <c r="A87" s="17">
        <v>2</v>
      </c>
      <c r="B87" s="17">
        <v>2</v>
      </c>
      <c r="C87" s="181">
        <v>0</v>
      </c>
      <c r="D87" s="181">
        <v>0</v>
      </c>
      <c r="E87" s="181">
        <v>5</v>
      </c>
      <c r="F87" s="181">
        <v>0</v>
      </c>
      <c r="G87" s="19">
        <f>SUM(C87:F87)</f>
        <v>5</v>
      </c>
    </row>
    <row r="88" spans="1:15">
      <c r="A88" s="17">
        <v>3</v>
      </c>
      <c r="B88" s="17">
        <v>3</v>
      </c>
      <c r="C88" s="181">
        <v>14</v>
      </c>
      <c r="D88" s="181">
        <v>4</v>
      </c>
      <c r="E88" s="181">
        <v>9</v>
      </c>
      <c r="F88" s="181">
        <v>3</v>
      </c>
      <c r="G88" s="19">
        <f>SUM(C88:F88)</f>
        <v>30</v>
      </c>
    </row>
    <row r="89" spans="1:15">
      <c r="A89" s="17">
        <v>4</v>
      </c>
      <c r="B89" s="17">
        <v>4</v>
      </c>
      <c r="C89" s="181">
        <v>5</v>
      </c>
      <c r="D89" s="181">
        <v>1</v>
      </c>
      <c r="E89" s="181">
        <v>3</v>
      </c>
      <c r="F89" s="181">
        <v>1</v>
      </c>
      <c r="G89" s="19">
        <f>SUM(C89:F89)</f>
        <v>10</v>
      </c>
    </row>
    <row r="90" spans="1:15" ht="21" thickBot="1">
      <c r="A90" s="54" t="s">
        <v>0</v>
      </c>
      <c r="B90" s="54" t="s">
        <v>6</v>
      </c>
      <c r="C90" s="21">
        <f>SUM(C86:C89)</f>
        <v>22</v>
      </c>
      <c r="D90" s="21">
        <f>SUM(D86:D89)</f>
        <v>5</v>
      </c>
      <c r="E90" s="21">
        <f>SUM(E86:E89)</f>
        <v>19</v>
      </c>
      <c r="F90" s="21">
        <f>SUM(F86:F89)</f>
        <v>4</v>
      </c>
      <c r="G90" s="21">
        <f>SUM(G86:G89)</f>
        <v>50</v>
      </c>
    </row>
    <row r="91" spans="1:15" ht="21" thickTop="1">
      <c r="A91" s="22"/>
      <c r="B91" s="22"/>
      <c r="C91" s="22"/>
      <c r="D91" s="22"/>
      <c r="E91" s="22"/>
      <c r="F91" s="22"/>
    </row>
    <row r="93" spans="1:15" ht="22.5" customHeight="1">
      <c r="A93" s="279"/>
      <c r="B93" s="279"/>
      <c r="C93" s="279"/>
      <c r="D93" s="279"/>
      <c r="E93" s="279"/>
      <c r="F93" s="284" t="s">
        <v>1</v>
      </c>
      <c r="G93" s="284"/>
      <c r="H93" s="284"/>
    </row>
    <row r="94" spans="1:15" ht="31.5">
      <c r="A94" s="52" t="s">
        <v>34</v>
      </c>
      <c r="B94" s="52" t="s">
        <v>37</v>
      </c>
      <c r="C94" s="52" t="s">
        <v>38</v>
      </c>
      <c r="D94" s="52" t="s">
        <v>39</v>
      </c>
      <c r="E94" s="52" t="s">
        <v>40</v>
      </c>
      <c r="F94" s="52" t="s">
        <v>126</v>
      </c>
      <c r="G94" s="52" t="s">
        <v>20</v>
      </c>
      <c r="H94" s="52" t="s">
        <v>6</v>
      </c>
    </row>
    <row r="95" spans="1:15" ht="23.25" customHeight="1">
      <c r="A95" s="24">
        <v>1</v>
      </c>
      <c r="B95" s="52" t="s">
        <v>27</v>
      </c>
      <c r="C95" s="79">
        <v>2900</v>
      </c>
      <c r="D95" s="79">
        <v>600</v>
      </c>
      <c r="E95" s="79">
        <v>800</v>
      </c>
      <c r="F95" s="79">
        <v>8931</v>
      </c>
      <c r="G95" s="79">
        <v>14117</v>
      </c>
      <c r="H95" s="23">
        <f>SUM(C95:G95)</f>
        <v>27348</v>
      </c>
    </row>
    <row r="97" spans="1:15">
      <c r="A97" s="282" t="s">
        <v>142</v>
      </c>
      <c r="B97" s="283"/>
      <c r="C97" s="283"/>
      <c r="D97" s="283"/>
      <c r="E97" s="283"/>
      <c r="F97" s="283"/>
      <c r="G97" s="283"/>
      <c r="H97" s="283"/>
      <c r="I97" s="16"/>
      <c r="J97" s="16"/>
      <c r="K97" s="16"/>
      <c r="L97" s="16"/>
      <c r="M97" s="16"/>
      <c r="N97" s="16"/>
      <c r="O97" s="16"/>
    </row>
    <row r="98" spans="1:15">
      <c r="A98" s="282" t="s">
        <v>32</v>
      </c>
      <c r="B98" s="283"/>
      <c r="C98" s="283"/>
      <c r="D98" s="283"/>
      <c r="E98" s="283"/>
      <c r="F98" s="283"/>
      <c r="G98" s="283"/>
      <c r="H98" s="283"/>
      <c r="I98" s="49"/>
      <c r="J98" s="49"/>
      <c r="K98" s="49"/>
      <c r="L98" s="49"/>
      <c r="M98" s="49"/>
      <c r="N98" s="49"/>
      <c r="O98" s="49"/>
    </row>
    <row r="99" spans="1:15">
      <c r="A99" s="50" t="s">
        <v>33</v>
      </c>
      <c r="B99" s="48"/>
      <c r="C99" s="51"/>
      <c r="D99" s="51"/>
      <c r="E99" s="51"/>
      <c r="F99" s="51"/>
      <c r="G99" s="51"/>
      <c r="H99" s="51"/>
    </row>
    <row r="100" spans="1:15">
      <c r="A100" s="280" t="s">
        <v>34</v>
      </c>
      <c r="B100" s="280" t="s">
        <v>8</v>
      </c>
      <c r="C100" s="272" t="s">
        <v>35</v>
      </c>
      <c r="D100" s="274"/>
      <c r="E100" s="272" t="s">
        <v>36</v>
      </c>
      <c r="F100" s="274"/>
      <c r="G100" s="285" t="s">
        <v>6</v>
      </c>
      <c r="H100" s="51"/>
    </row>
    <row r="101" spans="1:15">
      <c r="A101" s="281"/>
      <c r="B101" s="281"/>
      <c r="C101" s="53" t="s">
        <v>4</v>
      </c>
      <c r="D101" s="53" t="s">
        <v>5</v>
      </c>
      <c r="E101" s="53" t="s">
        <v>4</v>
      </c>
      <c r="F101" s="53" t="s">
        <v>5</v>
      </c>
      <c r="G101" s="286"/>
      <c r="H101" s="51"/>
    </row>
    <row r="102" spans="1:15">
      <c r="A102" s="17">
        <v>1</v>
      </c>
      <c r="B102" s="17">
        <v>1</v>
      </c>
      <c r="C102" s="181">
        <v>1</v>
      </c>
      <c r="D102" s="181">
        <v>0</v>
      </c>
      <c r="E102" s="181">
        <v>2</v>
      </c>
      <c r="F102" s="181">
        <v>0</v>
      </c>
      <c r="G102" s="19">
        <f>SUM(C102:F102)</f>
        <v>3</v>
      </c>
    </row>
    <row r="103" spans="1:15">
      <c r="A103" s="17">
        <v>2</v>
      </c>
      <c r="B103" s="17">
        <v>2</v>
      </c>
      <c r="C103" s="181">
        <v>0</v>
      </c>
      <c r="D103" s="181">
        <v>0</v>
      </c>
      <c r="E103" s="181">
        <v>2</v>
      </c>
      <c r="F103" s="181">
        <v>1</v>
      </c>
      <c r="G103" s="19">
        <f>SUM(C103:F103)</f>
        <v>3</v>
      </c>
    </row>
    <row r="104" spans="1:15">
      <c r="A104" s="17">
        <v>3</v>
      </c>
      <c r="B104" s="17">
        <v>3</v>
      </c>
      <c r="C104" s="181">
        <v>5</v>
      </c>
      <c r="D104" s="181">
        <v>3</v>
      </c>
      <c r="E104" s="181">
        <v>8</v>
      </c>
      <c r="F104" s="181">
        <v>2</v>
      </c>
      <c r="G104" s="19">
        <f>SUM(C104:F104)</f>
        <v>18</v>
      </c>
    </row>
    <row r="105" spans="1:15">
      <c r="A105" s="17">
        <v>4</v>
      </c>
      <c r="B105" s="17">
        <v>4</v>
      </c>
      <c r="C105" s="181">
        <v>3</v>
      </c>
      <c r="D105" s="181">
        <v>1</v>
      </c>
      <c r="E105" s="181">
        <v>2</v>
      </c>
      <c r="F105" s="181">
        <v>0</v>
      </c>
      <c r="G105" s="19">
        <f>SUM(C105:F105)</f>
        <v>6</v>
      </c>
    </row>
    <row r="106" spans="1:15" ht="21" thickBot="1">
      <c r="A106" s="54" t="s">
        <v>0</v>
      </c>
      <c r="B106" s="54" t="s">
        <v>6</v>
      </c>
      <c r="C106" s="21">
        <f>SUM(C102:C105)</f>
        <v>9</v>
      </c>
      <c r="D106" s="21">
        <f>SUM(D102:D105)</f>
        <v>4</v>
      </c>
      <c r="E106" s="21">
        <f>SUM(E102:E105)</f>
        <v>14</v>
      </c>
      <c r="F106" s="21">
        <f>SUM(F102:F105)</f>
        <v>3</v>
      </c>
      <c r="G106" s="21">
        <f>SUM(G102:G105)</f>
        <v>30</v>
      </c>
    </row>
    <row r="107" spans="1:15" ht="21" thickTop="1">
      <c r="A107" s="22"/>
      <c r="B107" s="22"/>
      <c r="C107" s="22"/>
      <c r="D107" s="22"/>
      <c r="E107" s="22"/>
      <c r="F107" s="22"/>
    </row>
    <row r="109" spans="1:15" ht="22.5" customHeight="1">
      <c r="A109" s="279"/>
      <c r="B109" s="279"/>
      <c r="C109" s="279"/>
      <c r="D109" s="279"/>
      <c r="E109" s="279"/>
      <c r="F109" s="284" t="s">
        <v>1</v>
      </c>
      <c r="G109" s="284"/>
      <c r="H109" s="284"/>
    </row>
    <row r="110" spans="1:15" ht="31.5">
      <c r="A110" s="52" t="s">
        <v>34</v>
      </c>
      <c r="B110" s="52" t="s">
        <v>37</v>
      </c>
      <c r="C110" s="52" t="s">
        <v>38</v>
      </c>
      <c r="D110" s="52" t="s">
        <v>39</v>
      </c>
      <c r="E110" s="52" t="s">
        <v>40</v>
      </c>
      <c r="F110" s="52" t="s">
        <v>127</v>
      </c>
      <c r="G110" s="52" t="s">
        <v>20</v>
      </c>
      <c r="H110" s="52" t="s">
        <v>6</v>
      </c>
    </row>
    <row r="111" spans="1:15" ht="23.25" customHeight="1">
      <c r="A111" s="24">
        <v>1</v>
      </c>
      <c r="B111" s="52" t="s">
        <v>28</v>
      </c>
      <c r="C111" s="79">
        <v>2490</v>
      </c>
      <c r="D111" s="79">
        <v>299</v>
      </c>
      <c r="E111" s="79">
        <v>660</v>
      </c>
      <c r="F111" s="79">
        <v>2516</v>
      </c>
      <c r="G111" s="79">
        <v>0</v>
      </c>
      <c r="H111" s="23">
        <f>SUM(C111:G111)</f>
        <v>5965</v>
      </c>
    </row>
    <row r="113" spans="1:15">
      <c r="A113" s="294" t="s">
        <v>142</v>
      </c>
      <c r="B113" s="295"/>
      <c r="C113" s="295"/>
      <c r="D113" s="295"/>
      <c r="E113" s="295"/>
      <c r="F113" s="295"/>
      <c r="G113" s="295"/>
      <c r="H113" s="295"/>
      <c r="I113" s="16"/>
      <c r="J113" s="16"/>
      <c r="K113" s="16"/>
      <c r="L113" s="16"/>
      <c r="M113" s="16"/>
      <c r="N113" s="16"/>
      <c r="O113" s="16"/>
    </row>
    <row r="114" spans="1:15">
      <c r="A114" s="294" t="s">
        <v>32</v>
      </c>
      <c r="B114" s="295"/>
      <c r="C114" s="295"/>
      <c r="D114" s="295"/>
      <c r="E114" s="295"/>
      <c r="F114" s="295"/>
      <c r="G114" s="295"/>
      <c r="H114" s="295"/>
      <c r="I114" s="49"/>
      <c r="J114" s="49"/>
      <c r="K114" s="49"/>
      <c r="L114" s="49"/>
      <c r="M114" s="49"/>
      <c r="N114" s="49"/>
      <c r="O114" s="49"/>
    </row>
    <row r="115" spans="1:15">
      <c r="A115" s="138" t="s">
        <v>33</v>
      </c>
      <c r="B115" s="139"/>
      <c r="C115" s="140"/>
      <c r="D115" s="140"/>
      <c r="E115" s="140"/>
      <c r="F115" s="140"/>
      <c r="G115" s="140"/>
      <c r="H115" s="140"/>
    </row>
    <row r="116" spans="1:15">
      <c r="A116" s="289" t="s">
        <v>34</v>
      </c>
      <c r="B116" s="289" t="s">
        <v>8</v>
      </c>
      <c r="C116" s="251" t="s">
        <v>35</v>
      </c>
      <c r="D116" s="253"/>
      <c r="E116" s="251" t="s">
        <v>36</v>
      </c>
      <c r="F116" s="253"/>
      <c r="G116" s="287" t="s">
        <v>6</v>
      </c>
      <c r="H116" s="140"/>
    </row>
    <row r="117" spans="1:15">
      <c r="A117" s="290"/>
      <c r="B117" s="290"/>
      <c r="C117" s="141" t="s">
        <v>4</v>
      </c>
      <c r="D117" s="141" t="s">
        <v>5</v>
      </c>
      <c r="E117" s="141" t="s">
        <v>4</v>
      </c>
      <c r="F117" s="141" t="s">
        <v>5</v>
      </c>
      <c r="G117" s="288"/>
      <c r="H117" s="140"/>
    </row>
    <row r="118" spans="1:15">
      <c r="A118" s="142">
        <v>1</v>
      </c>
      <c r="B118" s="142">
        <v>1</v>
      </c>
      <c r="C118" s="143">
        <v>0</v>
      </c>
      <c r="D118" s="143">
        <v>0</v>
      </c>
      <c r="E118" s="143">
        <v>0</v>
      </c>
      <c r="F118" s="143">
        <v>0</v>
      </c>
      <c r="G118" s="144">
        <f>SUM(C118:F118)</f>
        <v>0</v>
      </c>
      <c r="H118" s="116"/>
    </row>
    <row r="119" spans="1:15">
      <c r="A119" s="142">
        <v>2</v>
      </c>
      <c r="B119" s="142">
        <v>2</v>
      </c>
      <c r="C119" s="143">
        <v>0</v>
      </c>
      <c r="D119" s="143">
        <v>0</v>
      </c>
      <c r="E119" s="143">
        <v>0</v>
      </c>
      <c r="F119" s="143">
        <v>0</v>
      </c>
      <c r="G119" s="144">
        <f>SUM(C119:F119)</f>
        <v>0</v>
      </c>
      <c r="H119" s="116"/>
    </row>
    <row r="120" spans="1:15">
      <c r="A120" s="142">
        <v>3</v>
      </c>
      <c r="B120" s="142">
        <v>3</v>
      </c>
      <c r="C120" s="143">
        <v>0</v>
      </c>
      <c r="D120" s="143">
        <v>0</v>
      </c>
      <c r="E120" s="143">
        <v>0</v>
      </c>
      <c r="F120" s="143">
        <v>0</v>
      </c>
      <c r="G120" s="144">
        <f>SUM(C120:F120)</f>
        <v>0</v>
      </c>
      <c r="H120" s="116"/>
    </row>
    <row r="121" spans="1:15">
      <c r="A121" s="142">
        <v>4</v>
      </c>
      <c r="B121" s="142">
        <v>4</v>
      </c>
      <c r="C121" s="143">
        <v>0</v>
      </c>
      <c r="D121" s="143">
        <v>0</v>
      </c>
      <c r="E121" s="143">
        <v>0</v>
      </c>
      <c r="F121" s="143">
        <v>0</v>
      </c>
      <c r="G121" s="144">
        <f>SUM(C121:F121)</f>
        <v>0</v>
      </c>
      <c r="H121" s="116"/>
    </row>
    <row r="122" spans="1:15" ht="21" thickBot="1">
      <c r="A122" s="145" t="s">
        <v>0</v>
      </c>
      <c r="B122" s="145" t="s">
        <v>6</v>
      </c>
      <c r="C122" s="146">
        <f>SUM(C118:C121)</f>
        <v>0</v>
      </c>
      <c r="D122" s="146">
        <f>SUM(D118:D121)</f>
        <v>0</v>
      </c>
      <c r="E122" s="146">
        <f>SUM(E118:E121)</f>
        <v>0</v>
      </c>
      <c r="F122" s="146">
        <f>SUM(F118:F121)</f>
        <v>0</v>
      </c>
      <c r="G122" s="146">
        <f>SUM(G118:G121)</f>
        <v>0</v>
      </c>
      <c r="H122" s="116"/>
    </row>
    <row r="123" spans="1:15" ht="21" thickTop="1">
      <c r="A123" s="147"/>
      <c r="B123" s="147"/>
      <c r="C123" s="147"/>
      <c r="D123" s="147"/>
      <c r="E123" s="147"/>
      <c r="F123" s="147"/>
      <c r="G123" s="116"/>
      <c r="H123" s="116"/>
    </row>
    <row r="124" spans="1:15">
      <c r="A124" s="116"/>
      <c r="B124" s="116"/>
      <c r="C124" s="116"/>
      <c r="D124" s="116"/>
      <c r="E124" s="116"/>
      <c r="F124" s="116"/>
      <c r="G124" s="116"/>
      <c r="H124" s="116"/>
    </row>
    <row r="125" spans="1:15" ht="22.5" customHeight="1">
      <c r="A125" s="291"/>
      <c r="B125" s="291"/>
      <c r="C125" s="291"/>
      <c r="D125" s="291"/>
      <c r="E125" s="291"/>
      <c r="F125" s="293" t="s">
        <v>1</v>
      </c>
      <c r="G125" s="293"/>
      <c r="H125" s="293"/>
    </row>
    <row r="126" spans="1:15" ht="31.5">
      <c r="A126" s="148" t="s">
        <v>34</v>
      </c>
      <c r="B126" s="148" t="s">
        <v>37</v>
      </c>
      <c r="C126" s="148" t="s">
        <v>38</v>
      </c>
      <c r="D126" s="148" t="s">
        <v>39</v>
      </c>
      <c r="E126" s="148" t="s">
        <v>40</v>
      </c>
      <c r="F126" s="148" t="s">
        <v>41</v>
      </c>
      <c r="G126" s="148" t="s">
        <v>20</v>
      </c>
      <c r="H126" s="148" t="s">
        <v>6</v>
      </c>
    </row>
    <row r="127" spans="1:15" ht="23.25" customHeight="1">
      <c r="A127" s="149">
        <v>1</v>
      </c>
      <c r="B127" s="148" t="s">
        <v>29</v>
      </c>
      <c r="C127" s="150">
        <v>0</v>
      </c>
      <c r="D127" s="150">
        <v>0</v>
      </c>
      <c r="E127" s="150">
        <v>0</v>
      </c>
      <c r="F127" s="150">
        <v>0</v>
      </c>
      <c r="G127" s="150">
        <v>0</v>
      </c>
      <c r="H127" s="151">
        <f>SUM(C127:G127)</f>
        <v>0</v>
      </c>
    </row>
    <row r="128" spans="1:15">
      <c r="A128" s="116"/>
      <c r="B128" s="116"/>
      <c r="C128" s="116"/>
      <c r="D128" s="116"/>
      <c r="E128" s="116"/>
      <c r="F128" s="116"/>
      <c r="G128" s="116"/>
      <c r="H128" s="116"/>
    </row>
    <row r="129" spans="1:15">
      <c r="A129" s="282" t="s">
        <v>142</v>
      </c>
      <c r="B129" s="283"/>
      <c r="C129" s="283"/>
      <c r="D129" s="283"/>
      <c r="E129" s="283"/>
      <c r="F129" s="283"/>
      <c r="G129" s="283"/>
      <c r="H129" s="283"/>
      <c r="I129" s="16"/>
      <c r="J129" s="16"/>
      <c r="K129" s="16"/>
      <c r="L129" s="16"/>
      <c r="M129" s="16"/>
      <c r="N129" s="16"/>
      <c r="O129" s="16"/>
    </row>
    <row r="130" spans="1:15">
      <c r="A130" s="282" t="s">
        <v>32</v>
      </c>
      <c r="B130" s="283"/>
      <c r="C130" s="283"/>
      <c r="D130" s="283"/>
      <c r="E130" s="283"/>
      <c r="F130" s="283"/>
      <c r="G130" s="283"/>
      <c r="H130" s="283"/>
      <c r="I130" s="49"/>
      <c r="J130" s="49"/>
      <c r="K130" s="49"/>
      <c r="L130" s="49"/>
      <c r="M130" s="49"/>
      <c r="N130" s="49"/>
      <c r="O130" s="49"/>
    </row>
    <row r="131" spans="1:15">
      <c r="A131" s="50" t="s">
        <v>33</v>
      </c>
      <c r="B131" s="48"/>
      <c r="C131" s="51"/>
      <c r="D131" s="51"/>
      <c r="E131" s="51"/>
      <c r="F131" s="51"/>
      <c r="G131" s="51"/>
      <c r="H131" s="51"/>
    </row>
    <row r="132" spans="1:15">
      <c r="A132" s="280" t="s">
        <v>34</v>
      </c>
      <c r="B132" s="280" t="s">
        <v>8</v>
      </c>
      <c r="C132" s="272" t="s">
        <v>35</v>
      </c>
      <c r="D132" s="274"/>
      <c r="E132" s="272" t="s">
        <v>36</v>
      </c>
      <c r="F132" s="274"/>
      <c r="G132" s="285" t="s">
        <v>6</v>
      </c>
      <c r="H132" s="51"/>
    </row>
    <row r="133" spans="1:15">
      <c r="A133" s="281"/>
      <c r="B133" s="281"/>
      <c r="C133" s="53" t="s">
        <v>4</v>
      </c>
      <c r="D133" s="53" t="s">
        <v>5</v>
      </c>
      <c r="E133" s="53" t="s">
        <v>4</v>
      </c>
      <c r="F133" s="53" t="s">
        <v>5</v>
      </c>
      <c r="G133" s="286"/>
      <c r="H133" s="51"/>
    </row>
    <row r="134" spans="1:15">
      <c r="A134" s="17">
        <v>1</v>
      </c>
      <c r="B134" s="17">
        <v>1</v>
      </c>
      <c r="C134" s="18">
        <f>SUM(C6+C22+C38+C54+C70+C86+C102+C118)</f>
        <v>9</v>
      </c>
      <c r="D134" s="18">
        <f>SUM(D6+D22+D38+D54+D70+D86+D102+D118)</f>
        <v>1</v>
      </c>
      <c r="E134" s="18">
        <f>SUM(E6+E22+E38+E54+E70+E86+E102+E118)</f>
        <v>16</v>
      </c>
      <c r="F134" s="18">
        <f>SUM(F6+F22+F38+F54+F70+F86+F102+F118)</f>
        <v>1</v>
      </c>
      <c r="G134" s="19">
        <f>SUM(C134:F134)</f>
        <v>27</v>
      </c>
    </row>
    <row r="135" spans="1:15">
      <c r="A135" s="17">
        <v>2</v>
      </c>
      <c r="B135" s="17">
        <v>2</v>
      </c>
      <c r="C135" s="18">
        <f t="shared" ref="C135:F137" si="0">SUM(C7+C23+C39+C55+C71+C87+C103+C119)</f>
        <v>0</v>
      </c>
      <c r="D135" s="18">
        <f t="shared" si="0"/>
        <v>0</v>
      </c>
      <c r="E135" s="18">
        <f t="shared" si="0"/>
        <v>25</v>
      </c>
      <c r="F135" s="18">
        <f t="shared" si="0"/>
        <v>2</v>
      </c>
      <c r="G135" s="19">
        <f>SUM(C135:F135)</f>
        <v>27</v>
      </c>
    </row>
    <row r="136" spans="1:15">
      <c r="A136" s="17">
        <v>3</v>
      </c>
      <c r="B136" s="17">
        <v>3</v>
      </c>
      <c r="C136" s="18">
        <f t="shared" si="0"/>
        <v>38</v>
      </c>
      <c r="D136" s="18">
        <f t="shared" si="0"/>
        <v>22</v>
      </c>
      <c r="E136" s="18">
        <f t="shared" si="0"/>
        <v>75</v>
      </c>
      <c r="F136" s="18">
        <f t="shared" si="0"/>
        <v>27</v>
      </c>
      <c r="G136" s="19">
        <f>SUM(C136:F136)</f>
        <v>162</v>
      </c>
    </row>
    <row r="137" spans="1:15">
      <c r="A137" s="17">
        <v>4</v>
      </c>
      <c r="B137" s="17">
        <v>4</v>
      </c>
      <c r="C137" s="18">
        <f t="shared" si="0"/>
        <v>18</v>
      </c>
      <c r="D137" s="18">
        <f t="shared" si="0"/>
        <v>4</v>
      </c>
      <c r="E137" s="18">
        <f t="shared" si="0"/>
        <v>25</v>
      </c>
      <c r="F137" s="18">
        <f t="shared" si="0"/>
        <v>7</v>
      </c>
      <c r="G137" s="19">
        <f>SUM(C137:F137)</f>
        <v>54</v>
      </c>
    </row>
    <row r="138" spans="1:15" ht="21" thickBot="1">
      <c r="A138" s="54" t="s">
        <v>0</v>
      </c>
      <c r="B138" s="54" t="s">
        <v>6</v>
      </c>
      <c r="C138" s="21">
        <f>SUM(C134:C137)</f>
        <v>65</v>
      </c>
      <c r="D138" s="21">
        <f>SUM(D134:D137)</f>
        <v>27</v>
      </c>
      <c r="E138" s="21">
        <f>SUM(E134:E137)</f>
        <v>141</v>
      </c>
      <c r="F138" s="21">
        <f>SUM(F134:F137)</f>
        <v>37</v>
      </c>
      <c r="G138" s="21">
        <f>SUM(G134:G137)</f>
        <v>270</v>
      </c>
    </row>
    <row r="139" spans="1:15" ht="21" thickTop="1">
      <c r="A139" s="22"/>
      <c r="B139" s="22"/>
      <c r="C139" s="22"/>
      <c r="D139" s="22"/>
      <c r="E139" s="22"/>
      <c r="F139" s="22"/>
    </row>
    <row r="141" spans="1:15" ht="22.5" customHeight="1">
      <c r="A141" s="279"/>
      <c r="B141" s="279"/>
      <c r="C141" s="279"/>
      <c r="D141" s="279"/>
      <c r="E141" s="279"/>
      <c r="F141" s="284" t="s">
        <v>1</v>
      </c>
      <c r="G141" s="284"/>
      <c r="H141" s="284"/>
    </row>
    <row r="142" spans="1:15" ht="31.5">
      <c r="A142" s="52" t="s">
        <v>34</v>
      </c>
      <c r="B142" s="52" t="s">
        <v>37</v>
      </c>
      <c r="C142" s="52" t="s">
        <v>38</v>
      </c>
      <c r="D142" s="52" t="s">
        <v>39</v>
      </c>
      <c r="E142" s="52" t="s">
        <v>40</v>
      </c>
      <c r="F142" s="52" t="s">
        <v>127</v>
      </c>
      <c r="G142" s="52" t="s">
        <v>20</v>
      </c>
      <c r="H142" s="52" t="s">
        <v>6</v>
      </c>
    </row>
    <row r="143" spans="1:15" ht="30.75" customHeight="1">
      <c r="A143" s="24">
        <v>1</v>
      </c>
      <c r="B143" s="52" t="s">
        <v>31</v>
      </c>
      <c r="C143" s="18">
        <f>SUM(C15+C31+C47+C63+C79+C95+C111+C127)</f>
        <v>20640</v>
      </c>
      <c r="D143" s="18">
        <f>SUM(D15+D31+D47+D63+D79+D95+D111+D127)</f>
        <v>2904</v>
      </c>
      <c r="E143" s="18">
        <f>SUM(E15+E31+E47+E63+E79+E95+E111+E127)</f>
        <v>3010</v>
      </c>
      <c r="F143" s="18">
        <f>SUM(F15+F31+F47+F63+F79+F95+F111+F127)</f>
        <v>20868</v>
      </c>
      <c r="G143" s="18">
        <f>SUM(G15+G31+G47+G63+G79+G95+G111+G127)</f>
        <v>32926</v>
      </c>
      <c r="H143" s="20">
        <f>SUM(C143:G143)</f>
        <v>80348</v>
      </c>
    </row>
    <row r="147" spans="6:10">
      <c r="F147" s="292" t="s">
        <v>120</v>
      </c>
      <c r="G147" s="292"/>
      <c r="H147" s="292"/>
      <c r="I147" s="27"/>
      <c r="J147" s="27"/>
    </row>
  </sheetData>
  <mergeCells count="82">
    <mergeCell ref="A45:E45"/>
    <mergeCell ref="C20:D20"/>
    <mergeCell ref="E20:F20"/>
    <mergeCell ref="G36:G37"/>
    <mergeCell ref="A34:H34"/>
    <mergeCell ref="A36:A37"/>
    <mergeCell ref="A33:H33"/>
    <mergeCell ref="E36:F36"/>
    <mergeCell ref="A1:H1"/>
    <mergeCell ref="A2:H2"/>
    <mergeCell ref="A4:A5"/>
    <mergeCell ref="B4:B5"/>
    <mergeCell ref="C4:D4"/>
    <mergeCell ref="A18:H18"/>
    <mergeCell ref="A17:H17"/>
    <mergeCell ref="F13:H13"/>
    <mergeCell ref="E4:F4"/>
    <mergeCell ref="G4:G5"/>
    <mergeCell ref="A13:E13"/>
    <mergeCell ref="A29:E29"/>
    <mergeCell ref="F29:H29"/>
    <mergeCell ref="G20:G21"/>
    <mergeCell ref="B20:B21"/>
    <mergeCell ref="A20:A21"/>
    <mergeCell ref="A49:H49"/>
    <mergeCell ref="B36:B37"/>
    <mergeCell ref="C36:D36"/>
    <mergeCell ref="G52:G53"/>
    <mergeCell ref="A61:E61"/>
    <mergeCell ref="A65:H65"/>
    <mergeCell ref="A52:A53"/>
    <mergeCell ref="B52:B53"/>
    <mergeCell ref="A50:H50"/>
    <mergeCell ref="F45:H45"/>
    <mergeCell ref="C52:D52"/>
    <mergeCell ref="E52:F52"/>
    <mergeCell ref="E100:F100"/>
    <mergeCell ref="G100:G101"/>
    <mergeCell ref="A93:E93"/>
    <mergeCell ref="A97:H97"/>
    <mergeCell ref="A77:E77"/>
    <mergeCell ref="A81:H81"/>
    <mergeCell ref="A82:H82"/>
    <mergeCell ref="B100:B101"/>
    <mergeCell ref="A113:H113"/>
    <mergeCell ref="A114:H114"/>
    <mergeCell ref="A116:A117"/>
    <mergeCell ref="C116:D116"/>
    <mergeCell ref="E116:F116"/>
    <mergeCell ref="B68:B69"/>
    <mergeCell ref="C68:D68"/>
    <mergeCell ref="E68:F68"/>
    <mergeCell ref="G68:G69"/>
    <mergeCell ref="C100:D100"/>
    <mergeCell ref="F147:H147"/>
    <mergeCell ref="A141:E141"/>
    <mergeCell ref="F141:H141"/>
    <mergeCell ref="F109:H109"/>
    <mergeCell ref="F125:H125"/>
    <mergeCell ref="G84:G85"/>
    <mergeCell ref="A129:H129"/>
    <mergeCell ref="A130:H130"/>
    <mergeCell ref="E84:F84"/>
    <mergeCell ref="A100:A101"/>
    <mergeCell ref="E132:F132"/>
    <mergeCell ref="G132:G133"/>
    <mergeCell ref="G116:G117"/>
    <mergeCell ref="C132:D132"/>
    <mergeCell ref="A132:A133"/>
    <mergeCell ref="B132:B133"/>
    <mergeCell ref="B116:B117"/>
    <mergeCell ref="A125:E125"/>
    <mergeCell ref="A109:E109"/>
    <mergeCell ref="A84:A85"/>
    <mergeCell ref="B84:B85"/>
    <mergeCell ref="C84:D84"/>
    <mergeCell ref="A98:H98"/>
    <mergeCell ref="F61:H61"/>
    <mergeCell ref="F77:H77"/>
    <mergeCell ref="F93:H93"/>
    <mergeCell ref="A66:H66"/>
    <mergeCell ref="A68:A69"/>
  </mergeCells>
  <phoneticPr fontId="0" type="noConversion"/>
  <pageMargins left="0.78740157480314965" right="0.15748031496062992" top="0.39370078740157483" bottom="0.39370078740157483" header="0.15748031496062992" footer="0.15748031496062992"/>
  <pageSetup paperSize="5" scale="125" orientation="landscape" r:id="rId1"/>
  <headerFooter>
    <oddFooter>&amp;Z&amp;F&amp;RPage &amp;P</oddFooter>
  </headerFooter>
  <rowBreaks count="8" manualBreakCount="8">
    <brk id="16" max="16383" man="1"/>
    <brk id="32" max="7" man="1"/>
    <brk id="48" max="7" man="1"/>
    <brk id="64" max="7" man="1"/>
    <brk id="80" max="7" man="1"/>
    <brk id="96" max="7" man="1"/>
    <brk id="112" max="16383" man="1"/>
    <brk id="128"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view="pageBreakPreview" topLeftCell="A101" zoomScaleNormal="75" zoomScaleSheetLayoutView="100" workbookViewId="0">
      <selection activeCell="P196" sqref="P196"/>
    </sheetView>
  </sheetViews>
  <sheetFormatPr defaultRowHeight="20.25"/>
  <cols>
    <col min="1" max="1" width="4.85546875" style="84" customWidth="1"/>
    <col min="2" max="2" width="28.28515625" style="84" customWidth="1"/>
    <col min="3" max="4" width="11" style="84" customWidth="1"/>
    <col min="5" max="5" width="14.28515625" style="84" customWidth="1"/>
    <col min="6" max="6" width="15.28515625" style="84" customWidth="1"/>
    <col min="7" max="7" width="11" style="84" customWidth="1"/>
    <col min="8" max="8" width="12.7109375" style="84" customWidth="1"/>
    <col min="9" max="9" width="12.85546875" style="84" customWidth="1"/>
    <col min="10" max="10" width="10.5703125" style="84" customWidth="1"/>
    <col min="11" max="11" width="9.85546875" style="84" customWidth="1"/>
    <col min="12" max="12" width="27.7109375" style="84" customWidth="1"/>
    <col min="13" max="16384" width="9.140625" style="76"/>
  </cols>
  <sheetData>
    <row r="1" spans="1:12">
      <c r="A1" s="265" t="s">
        <v>113</v>
      </c>
      <c r="B1" s="266"/>
      <c r="C1" s="266"/>
      <c r="D1" s="266"/>
      <c r="E1" s="266"/>
      <c r="F1" s="266"/>
      <c r="G1" s="266"/>
      <c r="H1" s="266"/>
      <c r="I1" s="266"/>
      <c r="J1" s="266"/>
      <c r="K1" s="266"/>
      <c r="L1" s="266"/>
    </row>
    <row r="2" spans="1:12">
      <c r="A2" s="265" t="s">
        <v>32</v>
      </c>
      <c r="B2" s="266"/>
      <c r="C2" s="266"/>
      <c r="D2" s="266"/>
      <c r="E2" s="266"/>
      <c r="F2" s="266"/>
      <c r="G2" s="266"/>
      <c r="H2" s="266"/>
      <c r="I2" s="266"/>
      <c r="J2" s="266"/>
      <c r="K2" s="266"/>
      <c r="L2" s="266"/>
    </row>
    <row r="3" spans="1:12" ht="18.75" customHeight="1">
      <c r="A3" s="305" t="s">
        <v>42</v>
      </c>
      <c r="B3" s="306"/>
      <c r="C3" s="306"/>
      <c r="D3" s="152"/>
      <c r="E3" s="152"/>
      <c r="F3" s="152"/>
      <c r="G3" s="152"/>
      <c r="H3" s="152"/>
      <c r="I3" s="152"/>
      <c r="J3" s="152"/>
      <c r="K3" s="152"/>
      <c r="L3" s="153" t="s">
        <v>1</v>
      </c>
    </row>
    <row r="4" spans="1:12" s="116" customFormat="1" ht="37.5" customHeight="1">
      <c r="A4" s="243" t="s">
        <v>43</v>
      </c>
      <c r="B4" s="243" t="s">
        <v>68</v>
      </c>
      <c r="C4" s="307" t="s">
        <v>69</v>
      </c>
      <c r="D4" s="308"/>
      <c r="E4" s="308"/>
      <c r="F4" s="179" t="s">
        <v>70</v>
      </c>
      <c r="G4" s="179" t="s">
        <v>91</v>
      </c>
      <c r="H4" s="287" t="s">
        <v>114</v>
      </c>
      <c r="I4" s="288"/>
      <c r="J4" s="288"/>
      <c r="K4" s="288"/>
      <c r="L4" s="243" t="s">
        <v>107</v>
      </c>
    </row>
    <row r="5" spans="1:12" s="116" customFormat="1" ht="75" customHeight="1">
      <c r="A5" s="244"/>
      <c r="B5" s="244"/>
      <c r="C5" s="204" t="s">
        <v>115</v>
      </c>
      <c r="D5" s="204" t="s">
        <v>118</v>
      </c>
      <c r="E5" s="179" t="s">
        <v>117</v>
      </c>
      <c r="F5" s="179" t="s">
        <v>116</v>
      </c>
      <c r="G5" s="204" t="s">
        <v>116</v>
      </c>
      <c r="H5" s="179" t="s">
        <v>71</v>
      </c>
      <c r="I5" s="179" t="s">
        <v>72</v>
      </c>
      <c r="J5" s="179" t="s">
        <v>73</v>
      </c>
      <c r="K5" s="179" t="s">
        <v>74</v>
      </c>
      <c r="L5" s="244"/>
    </row>
    <row r="6" spans="1:12" s="187" customFormat="1" ht="18" customHeight="1">
      <c r="A6" s="155">
        <v>1</v>
      </c>
      <c r="B6" s="155">
        <v>2</v>
      </c>
      <c r="C6" s="155">
        <v>3</v>
      </c>
      <c r="D6" s="155">
        <v>4</v>
      </c>
      <c r="E6" s="155">
        <v>5</v>
      </c>
      <c r="F6" s="155">
        <v>6</v>
      </c>
      <c r="G6" s="155">
        <v>7</v>
      </c>
      <c r="H6" s="155">
        <v>8</v>
      </c>
      <c r="I6" s="155">
        <v>9</v>
      </c>
      <c r="J6" s="155">
        <v>10</v>
      </c>
      <c r="K6" s="155">
        <v>11</v>
      </c>
      <c r="L6" s="155">
        <v>12</v>
      </c>
    </row>
    <row r="7" spans="1:12">
      <c r="A7" s="154">
        <v>1</v>
      </c>
      <c r="B7" s="97" t="s">
        <v>75</v>
      </c>
      <c r="C7" s="150">
        <v>0</v>
      </c>
      <c r="D7" s="150">
        <v>0</v>
      </c>
      <c r="E7" s="150">
        <v>0</v>
      </c>
      <c r="F7" s="150">
        <v>0</v>
      </c>
      <c r="G7" s="150">
        <v>0</v>
      </c>
      <c r="H7" s="150">
        <v>0</v>
      </c>
      <c r="I7" s="150">
        <v>0</v>
      </c>
      <c r="J7" s="150">
        <v>0</v>
      </c>
      <c r="K7" s="150">
        <v>0</v>
      </c>
      <c r="L7" s="150"/>
    </row>
    <row r="8" spans="1:12">
      <c r="A8" s="154">
        <v>2</v>
      </c>
      <c r="B8" s="97" t="s">
        <v>82</v>
      </c>
      <c r="C8" s="150">
        <v>0</v>
      </c>
      <c r="D8" s="150">
        <v>0</v>
      </c>
      <c r="E8" s="150">
        <v>0</v>
      </c>
      <c r="F8" s="150">
        <v>0</v>
      </c>
      <c r="G8" s="150">
        <v>0</v>
      </c>
      <c r="H8" s="150">
        <v>0</v>
      </c>
      <c r="I8" s="150">
        <v>0</v>
      </c>
      <c r="J8" s="150">
        <v>0</v>
      </c>
      <c r="K8" s="150">
        <v>0</v>
      </c>
      <c r="L8" s="156"/>
    </row>
    <row r="9" spans="1:12" ht="30">
      <c r="A9" s="173">
        <v>3</v>
      </c>
      <c r="B9" s="97" t="s">
        <v>80</v>
      </c>
      <c r="C9" s="150">
        <v>0</v>
      </c>
      <c r="D9" s="150">
        <v>0</v>
      </c>
      <c r="E9" s="150">
        <v>0</v>
      </c>
      <c r="F9" s="150">
        <v>0</v>
      </c>
      <c r="G9" s="150">
        <v>0</v>
      </c>
      <c r="H9" s="150">
        <v>0</v>
      </c>
      <c r="I9" s="150">
        <v>0</v>
      </c>
      <c r="J9" s="150">
        <v>0</v>
      </c>
      <c r="K9" s="150">
        <v>0</v>
      </c>
      <c r="L9" s="150"/>
    </row>
    <row r="10" spans="1:12">
      <c r="A10" s="173">
        <v>4</v>
      </c>
      <c r="B10" s="97" t="s">
        <v>99</v>
      </c>
      <c r="C10" s="150">
        <v>0</v>
      </c>
      <c r="D10" s="150">
        <v>0</v>
      </c>
      <c r="E10" s="150">
        <v>0</v>
      </c>
      <c r="F10" s="150">
        <v>0</v>
      </c>
      <c r="G10" s="150">
        <v>0</v>
      </c>
      <c r="H10" s="150">
        <v>0</v>
      </c>
      <c r="I10" s="150">
        <v>0</v>
      </c>
      <c r="J10" s="150">
        <v>0</v>
      </c>
      <c r="K10" s="150">
        <v>0</v>
      </c>
      <c r="L10" s="150"/>
    </row>
    <row r="11" spans="1:12">
      <c r="A11" s="173">
        <v>5</v>
      </c>
      <c r="B11" s="97" t="s">
        <v>81</v>
      </c>
      <c r="C11" s="150">
        <v>0</v>
      </c>
      <c r="D11" s="150">
        <v>0</v>
      </c>
      <c r="E11" s="150">
        <v>0</v>
      </c>
      <c r="F11" s="150">
        <v>0</v>
      </c>
      <c r="G11" s="150">
        <v>0</v>
      </c>
      <c r="H11" s="150">
        <v>0</v>
      </c>
      <c r="I11" s="150">
        <v>0</v>
      </c>
      <c r="J11" s="150">
        <v>0</v>
      </c>
      <c r="K11" s="150">
        <v>0</v>
      </c>
      <c r="L11" s="150"/>
    </row>
    <row r="12" spans="1:12">
      <c r="A12" s="173">
        <v>6</v>
      </c>
      <c r="B12" s="97" t="s">
        <v>76</v>
      </c>
      <c r="C12" s="150">
        <v>0</v>
      </c>
      <c r="D12" s="150">
        <v>0</v>
      </c>
      <c r="E12" s="150">
        <v>0</v>
      </c>
      <c r="F12" s="150">
        <v>0</v>
      </c>
      <c r="G12" s="150">
        <v>0</v>
      </c>
      <c r="H12" s="150">
        <v>0</v>
      </c>
      <c r="I12" s="150">
        <v>0</v>
      </c>
      <c r="J12" s="150">
        <v>0</v>
      </c>
      <c r="K12" s="150">
        <v>0</v>
      </c>
      <c r="L12" s="150"/>
    </row>
    <row r="13" spans="1:12">
      <c r="A13" s="173">
        <v>7</v>
      </c>
      <c r="B13" s="97" t="s">
        <v>83</v>
      </c>
      <c r="C13" s="150">
        <v>0</v>
      </c>
      <c r="D13" s="150">
        <v>0</v>
      </c>
      <c r="E13" s="150">
        <v>0</v>
      </c>
      <c r="F13" s="150">
        <v>0</v>
      </c>
      <c r="G13" s="150">
        <v>0</v>
      </c>
      <c r="H13" s="150">
        <v>0</v>
      </c>
      <c r="I13" s="150">
        <v>0</v>
      </c>
      <c r="J13" s="150">
        <v>0</v>
      </c>
      <c r="K13" s="150">
        <v>0</v>
      </c>
      <c r="L13" s="150"/>
    </row>
    <row r="14" spans="1:12">
      <c r="A14" s="173">
        <v>8</v>
      </c>
      <c r="B14" s="97" t="s">
        <v>100</v>
      </c>
      <c r="C14" s="150">
        <v>0</v>
      </c>
      <c r="D14" s="150">
        <v>0</v>
      </c>
      <c r="E14" s="150">
        <v>0</v>
      </c>
      <c r="F14" s="150">
        <v>0</v>
      </c>
      <c r="G14" s="150">
        <v>0</v>
      </c>
      <c r="H14" s="150">
        <v>0</v>
      </c>
      <c r="I14" s="150">
        <v>0</v>
      </c>
      <c r="J14" s="150">
        <v>0</v>
      </c>
      <c r="K14" s="150">
        <v>0</v>
      </c>
      <c r="L14" s="150"/>
    </row>
    <row r="15" spans="1:12">
      <c r="A15" s="173">
        <v>9</v>
      </c>
      <c r="B15" s="97" t="s">
        <v>77</v>
      </c>
      <c r="C15" s="150">
        <v>0</v>
      </c>
      <c r="D15" s="150">
        <v>0</v>
      </c>
      <c r="E15" s="150">
        <v>0</v>
      </c>
      <c r="F15" s="150">
        <v>0</v>
      </c>
      <c r="G15" s="150">
        <v>0</v>
      </c>
      <c r="H15" s="150">
        <v>0</v>
      </c>
      <c r="I15" s="150">
        <v>0</v>
      </c>
      <c r="J15" s="150">
        <v>0</v>
      </c>
      <c r="K15" s="150">
        <v>0</v>
      </c>
      <c r="L15" s="150"/>
    </row>
    <row r="16" spans="1:12">
      <c r="A16" s="173">
        <v>10</v>
      </c>
      <c r="B16" s="97" t="s">
        <v>101</v>
      </c>
      <c r="C16" s="150">
        <v>0</v>
      </c>
      <c r="D16" s="150">
        <v>0</v>
      </c>
      <c r="E16" s="150">
        <v>0</v>
      </c>
      <c r="F16" s="150">
        <v>0</v>
      </c>
      <c r="G16" s="150">
        <v>0</v>
      </c>
      <c r="H16" s="150">
        <v>0</v>
      </c>
      <c r="I16" s="150">
        <v>0</v>
      </c>
      <c r="J16" s="150">
        <v>0</v>
      </c>
      <c r="K16" s="150">
        <v>0</v>
      </c>
      <c r="L16" s="150"/>
    </row>
    <row r="17" spans="1:12">
      <c r="A17" s="173">
        <v>11</v>
      </c>
      <c r="B17" s="97" t="s">
        <v>84</v>
      </c>
      <c r="C17" s="150">
        <v>0</v>
      </c>
      <c r="D17" s="150">
        <v>0</v>
      </c>
      <c r="E17" s="150">
        <v>0</v>
      </c>
      <c r="F17" s="150">
        <v>0</v>
      </c>
      <c r="G17" s="150">
        <v>0</v>
      </c>
      <c r="H17" s="150">
        <v>0</v>
      </c>
      <c r="I17" s="150">
        <v>0</v>
      </c>
      <c r="J17" s="150">
        <v>0</v>
      </c>
      <c r="K17" s="150">
        <v>0</v>
      </c>
      <c r="L17" s="150"/>
    </row>
    <row r="18" spans="1:12">
      <c r="A18" s="173">
        <v>12</v>
      </c>
      <c r="B18" s="97" t="s">
        <v>78</v>
      </c>
      <c r="C18" s="150">
        <v>0</v>
      </c>
      <c r="D18" s="150">
        <v>0</v>
      </c>
      <c r="E18" s="150">
        <v>0</v>
      </c>
      <c r="F18" s="150">
        <v>0</v>
      </c>
      <c r="G18" s="150">
        <v>0</v>
      </c>
      <c r="H18" s="150">
        <v>0</v>
      </c>
      <c r="I18" s="150">
        <v>0</v>
      </c>
      <c r="J18" s="150">
        <v>0</v>
      </c>
      <c r="K18" s="150">
        <v>0</v>
      </c>
      <c r="L18" s="150"/>
    </row>
    <row r="19" spans="1:12">
      <c r="A19" s="173">
        <v>13</v>
      </c>
      <c r="B19" s="97" t="s">
        <v>85</v>
      </c>
      <c r="C19" s="150">
        <v>0</v>
      </c>
      <c r="D19" s="150">
        <v>0</v>
      </c>
      <c r="E19" s="150">
        <v>0</v>
      </c>
      <c r="F19" s="150">
        <v>0</v>
      </c>
      <c r="G19" s="150">
        <v>0</v>
      </c>
      <c r="H19" s="150">
        <v>0</v>
      </c>
      <c r="I19" s="150">
        <v>0</v>
      </c>
      <c r="J19" s="150">
        <v>0</v>
      </c>
      <c r="K19" s="150">
        <v>0</v>
      </c>
      <c r="L19" s="150"/>
    </row>
    <row r="20" spans="1:12">
      <c r="A20" s="173">
        <v>14</v>
      </c>
      <c r="B20" s="97" t="s">
        <v>79</v>
      </c>
      <c r="C20" s="150">
        <v>0</v>
      </c>
      <c r="D20" s="150">
        <v>0</v>
      </c>
      <c r="E20" s="150">
        <v>0</v>
      </c>
      <c r="F20" s="150">
        <v>0</v>
      </c>
      <c r="G20" s="150">
        <v>0</v>
      </c>
      <c r="H20" s="150">
        <v>0</v>
      </c>
      <c r="I20" s="150">
        <v>0</v>
      </c>
      <c r="J20" s="150">
        <v>0</v>
      </c>
      <c r="K20" s="150">
        <v>0</v>
      </c>
      <c r="L20" s="150"/>
    </row>
    <row r="21" spans="1:12" ht="21" thickBot="1">
      <c r="A21" s="157" t="s">
        <v>0</v>
      </c>
      <c r="B21" s="128" t="s">
        <v>6</v>
      </c>
      <c r="C21" s="125">
        <f>SUM(C7:C20)</f>
        <v>0</v>
      </c>
      <c r="D21" s="125">
        <f t="shared" ref="D21:K21" si="0">SUM(D7:D20)</f>
        <v>0</v>
      </c>
      <c r="E21" s="125">
        <f t="shared" si="0"/>
        <v>0</v>
      </c>
      <c r="F21" s="125">
        <f t="shared" si="0"/>
        <v>0</v>
      </c>
      <c r="G21" s="125">
        <f t="shared" si="0"/>
        <v>0</v>
      </c>
      <c r="H21" s="125">
        <f t="shared" si="0"/>
        <v>0</v>
      </c>
      <c r="I21" s="125">
        <f t="shared" si="0"/>
        <v>0</v>
      </c>
      <c r="J21" s="125">
        <f t="shared" si="0"/>
        <v>0</v>
      </c>
      <c r="K21" s="125">
        <f t="shared" si="0"/>
        <v>0</v>
      </c>
      <c r="L21" s="125"/>
    </row>
    <row r="22" spans="1:12" ht="29.25" customHeight="1" thickTop="1">
      <c r="A22" s="137"/>
      <c r="B22" s="136"/>
      <c r="C22" s="137"/>
      <c r="D22" s="137"/>
      <c r="E22" s="137"/>
      <c r="F22" s="137"/>
      <c r="G22" s="137"/>
      <c r="H22" s="137"/>
      <c r="I22" s="137"/>
      <c r="J22" s="137"/>
      <c r="K22" s="137"/>
      <c r="L22" s="137"/>
    </row>
    <row r="23" spans="1:12">
      <c r="A23" s="275" t="s">
        <v>141</v>
      </c>
      <c r="B23" s="296"/>
      <c r="C23" s="296"/>
      <c r="D23" s="296"/>
      <c r="E23" s="296"/>
      <c r="F23" s="296"/>
      <c r="G23" s="296"/>
      <c r="H23" s="296"/>
      <c r="I23" s="296"/>
      <c r="J23" s="296"/>
      <c r="K23" s="296"/>
      <c r="L23" s="296"/>
    </row>
    <row r="24" spans="1:12">
      <c r="A24" s="297" t="s">
        <v>32</v>
      </c>
      <c r="B24" s="298"/>
      <c r="C24" s="298"/>
      <c r="D24" s="298"/>
      <c r="E24" s="298"/>
      <c r="F24" s="298"/>
      <c r="G24" s="298"/>
      <c r="H24" s="298"/>
      <c r="I24" s="298"/>
      <c r="J24" s="298"/>
      <c r="K24" s="298"/>
      <c r="L24" s="298"/>
    </row>
    <row r="25" spans="1:12" ht="18.75" customHeight="1">
      <c r="A25" s="299" t="s">
        <v>61</v>
      </c>
      <c r="B25" s="300"/>
      <c r="C25" s="300"/>
      <c r="D25" s="77"/>
      <c r="E25" s="77"/>
      <c r="F25" s="77"/>
      <c r="G25" s="77"/>
      <c r="H25" s="77"/>
      <c r="I25" s="77"/>
      <c r="J25" s="77"/>
      <c r="K25" s="77"/>
      <c r="L25" s="78" t="s">
        <v>1</v>
      </c>
    </row>
    <row r="26" spans="1:12" s="2" customFormat="1" ht="37.5" customHeight="1">
      <c r="A26" s="301" t="s">
        <v>43</v>
      </c>
      <c r="B26" s="301" t="s">
        <v>68</v>
      </c>
      <c r="C26" s="303" t="s">
        <v>69</v>
      </c>
      <c r="D26" s="304"/>
      <c r="E26" s="304"/>
      <c r="F26" s="182" t="s">
        <v>70</v>
      </c>
      <c r="G26" s="182" t="s">
        <v>91</v>
      </c>
      <c r="H26" s="285" t="s">
        <v>131</v>
      </c>
      <c r="I26" s="286"/>
      <c r="J26" s="286"/>
      <c r="K26" s="286"/>
      <c r="L26" s="301" t="s">
        <v>107</v>
      </c>
    </row>
    <row r="27" spans="1:12" s="2" customFormat="1" ht="75" customHeight="1">
      <c r="A27" s="302"/>
      <c r="B27" s="302"/>
      <c r="C27" s="182" t="s">
        <v>117</v>
      </c>
      <c r="D27" s="182" t="s">
        <v>116</v>
      </c>
      <c r="E27" s="182" t="s">
        <v>124</v>
      </c>
      <c r="F27" s="182" t="s">
        <v>135</v>
      </c>
      <c r="G27" s="182" t="s">
        <v>135</v>
      </c>
      <c r="H27" s="182" t="s">
        <v>71</v>
      </c>
      <c r="I27" s="182" t="s">
        <v>72</v>
      </c>
      <c r="J27" s="182" t="s">
        <v>73</v>
      </c>
      <c r="K27" s="182" t="s">
        <v>74</v>
      </c>
      <c r="L27" s="302"/>
    </row>
    <row r="28" spans="1:12" s="186" customFormat="1" ht="18" customHeight="1">
      <c r="A28" s="184">
        <v>1</v>
      </c>
      <c r="B28" s="184">
        <v>2</v>
      </c>
      <c r="C28" s="184">
        <v>3</v>
      </c>
      <c r="D28" s="184">
        <v>4</v>
      </c>
      <c r="E28" s="184">
        <v>5</v>
      </c>
      <c r="F28" s="184">
        <v>6</v>
      </c>
      <c r="G28" s="184">
        <v>7</v>
      </c>
      <c r="H28" s="184">
        <v>8</v>
      </c>
      <c r="I28" s="184">
        <v>9</v>
      </c>
      <c r="J28" s="184">
        <v>10</v>
      </c>
      <c r="K28" s="184">
        <v>11</v>
      </c>
      <c r="L28" s="184">
        <v>12</v>
      </c>
    </row>
    <row r="29" spans="1:12">
      <c r="A29" s="174">
        <v>1</v>
      </c>
      <c r="B29" s="63" t="s">
        <v>75</v>
      </c>
      <c r="C29" s="79">
        <v>12548</v>
      </c>
      <c r="D29" s="79">
        <v>12928</v>
      </c>
      <c r="E29" s="79">
        <v>15513</v>
      </c>
      <c r="F29" s="79">
        <v>28615</v>
      </c>
      <c r="G29" s="79">
        <v>28615</v>
      </c>
      <c r="H29" s="79">
        <v>28777</v>
      </c>
      <c r="I29" s="79">
        <v>0</v>
      </c>
      <c r="J29" s="79">
        <v>0</v>
      </c>
      <c r="K29" s="79">
        <v>0</v>
      </c>
      <c r="L29" s="79"/>
    </row>
    <row r="30" spans="1:12">
      <c r="A30" s="174">
        <v>2</v>
      </c>
      <c r="B30" s="63" t="s">
        <v>82</v>
      </c>
      <c r="C30" s="79">
        <v>30</v>
      </c>
      <c r="D30" s="79">
        <v>0</v>
      </c>
      <c r="E30" s="79">
        <v>38</v>
      </c>
      <c r="F30" s="79">
        <v>117</v>
      </c>
      <c r="G30" s="79">
        <v>117</v>
      </c>
      <c r="H30" s="79">
        <v>200</v>
      </c>
      <c r="I30" s="79">
        <v>0</v>
      </c>
      <c r="J30" s="79">
        <v>0</v>
      </c>
      <c r="K30" s="79">
        <v>0</v>
      </c>
      <c r="L30" s="80"/>
    </row>
    <row r="31" spans="1:12" ht="30">
      <c r="A31" s="174">
        <v>3</v>
      </c>
      <c r="B31" s="63" t="s">
        <v>80</v>
      </c>
      <c r="C31" s="79">
        <v>0</v>
      </c>
      <c r="D31" s="79">
        <v>59</v>
      </c>
      <c r="E31" s="79">
        <v>79</v>
      </c>
      <c r="F31" s="79">
        <v>150</v>
      </c>
      <c r="G31" s="79">
        <v>150</v>
      </c>
      <c r="H31" s="79">
        <v>200</v>
      </c>
      <c r="I31" s="79">
        <v>0</v>
      </c>
      <c r="J31" s="79">
        <v>0</v>
      </c>
      <c r="K31" s="79">
        <v>0</v>
      </c>
      <c r="L31" s="79"/>
    </row>
    <row r="32" spans="1:12">
      <c r="A32" s="174">
        <v>4</v>
      </c>
      <c r="B32" s="63" t="s">
        <v>99</v>
      </c>
      <c r="C32" s="79">
        <v>0</v>
      </c>
      <c r="D32" s="79">
        <v>0</v>
      </c>
      <c r="E32" s="79">
        <v>0</v>
      </c>
      <c r="F32" s="79">
        <v>0</v>
      </c>
      <c r="G32" s="79">
        <v>0</v>
      </c>
      <c r="H32" s="79">
        <v>0</v>
      </c>
      <c r="I32" s="79">
        <v>0</v>
      </c>
      <c r="J32" s="79">
        <v>0</v>
      </c>
      <c r="K32" s="79">
        <v>0</v>
      </c>
      <c r="L32" s="79"/>
    </row>
    <row r="33" spans="1:12">
      <c r="A33" s="174">
        <v>5</v>
      </c>
      <c r="B33" s="63" t="s">
        <v>81</v>
      </c>
      <c r="C33" s="79">
        <v>0</v>
      </c>
      <c r="D33" s="79">
        <v>0</v>
      </c>
      <c r="E33" s="79">
        <v>0</v>
      </c>
      <c r="F33" s="79">
        <v>96</v>
      </c>
      <c r="G33" s="79">
        <v>96</v>
      </c>
      <c r="H33" s="79">
        <v>96</v>
      </c>
      <c r="I33" s="79">
        <v>0</v>
      </c>
      <c r="J33" s="79">
        <v>0</v>
      </c>
      <c r="K33" s="79">
        <v>0</v>
      </c>
      <c r="L33" s="79"/>
    </row>
    <row r="34" spans="1:12">
      <c r="A34" s="174">
        <v>6</v>
      </c>
      <c r="B34" s="63" t="s">
        <v>76</v>
      </c>
      <c r="C34" s="79">
        <v>274</v>
      </c>
      <c r="D34" s="79">
        <v>759</v>
      </c>
      <c r="E34" s="79">
        <v>122</v>
      </c>
      <c r="F34" s="79">
        <v>1500</v>
      </c>
      <c r="G34" s="79">
        <v>1500</v>
      </c>
      <c r="H34" s="79">
        <v>1500</v>
      </c>
      <c r="I34" s="79">
        <v>0</v>
      </c>
      <c r="J34" s="79">
        <v>0</v>
      </c>
      <c r="K34" s="79">
        <v>0</v>
      </c>
      <c r="L34" s="79"/>
    </row>
    <row r="35" spans="1:12">
      <c r="A35" s="174">
        <v>7</v>
      </c>
      <c r="B35" s="63" t="s">
        <v>83</v>
      </c>
      <c r="C35" s="79">
        <v>0</v>
      </c>
      <c r="D35" s="79">
        <v>0</v>
      </c>
      <c r="E35" s="79">
        <v>0</v>
      </c>
      <c r="F35" s="79">
        <v>0</v>
      </c>
      <c r="G35" s="79">
        <v>0</v>
      </c>
      <c r="H35" s="79">
        <v>0</v>
      </c>
      <c r="I35" s="79">
        <v>0</v>
      </c>
      <c r="J35" s="79">
        <v>0</v>
      </c>
      <c r="K35" s="79">
        <v>0</v>
      </c>
      <c r="L35" s="79"/>
    </row>
    <row r="36" spans="1:12">
      <c r="A36" s="174">
        <v>8</v>
      </c>
      <c r="B36" s="63" t="s">
        <v>100</v>
      </c>
      <c r="C36" s="79">
        <v>0</v>
      </c>
      <c r="D36" s="79">
        <v>0</v>
      </c>
      <c r="E36" s="79">
        <v>0</v>
      </c>
      <c r="F36" s="79">
        <v>1</v>
      </c>
      <c r="G36" s="79">
        <v>1</v>
      </c>
      <c r="H36" s="79">
        <v>0</v>
      </c>
      <c r="I36" s="79">
        <v>0</v>
      </c>
      <c r="J36" s="79">
        <v>0</v>
      </c>
      <c r="K36" s="79">
        <v>0</v>
      </c>
      <c r="L36" s="79"/>
    </row>
    <row r="37" spans="1:12">
      <c r="A37" s="174">
        <v>9</v>
      </c>
      <c r="B37" s="63" t="s">
        <v>77</v>
      </c>
      <c r="C37" s="79">
        <v>0</v>
      </c>
      <c r="D37" s="79">
        <v>0</v>
      </c>
      <c r="E37" s="79">
        <v>0</v>
      </c>
      <c r="F37" s="79">
        <v>50</v>
      </c>
      <c r="G37" s="79">
        <v>50</v>
      </c>
      <c r="H37" s="79">
        <v>100</v>
      </c>
      <c r="I37" s="79">
        <v>0</v>
      </c>
      <c r="J37" s="79">
        <v>0</v>
      </c>
      <c r="K37" s="79">
        <v>0</v>
      </c>
      <c r="L37" s="79"/>
    </row>
    <row r="38" spans="1:12">
      <c r="A38" s="174">
        <v>10</v>
      </c>
      <c r="B38" s="178" t="s">
        <v>101</v>
      </c>
      <c r="C38" s="79">
        <v>0</v>
      </c>
      <c r="D38" s="79">
        <v>0</v>
      </c>
      <c r="E38" s="79">
        <v>0</v>
      </c>
      <c r="F38" s="79">
        <v>0</v>
      </c>
      <c r="G38" s="79">
        <v>0</v>
      </c>
      <c r="H38" s="79">
        <v>0</v>
      </c>
      <c r="I38" s="79">
        <v>0</v>
      </c>
      <c r="J38" s="79">
        <v>0</v>
      </c>
      <c r="K38" s="79">
        <v>0</v>
      </c>
      <c r="L38" s="79"/>
    </row>
    <row r="39" spans="1:12">
      <c r="A39" s="174">
        <v>11</v>
      </c>
      <c r="B39" s="63" t="s">
        <v>84</v>
      </c>
      <c r="C39" s="79">
        <v>58</v>
      </c>
      <c r="D39" s="79">
        <v>454</v>
      </c>
      <c r="E39" s="79">
        <v>316</v>
      </c>
      <c r="F39" s="79">
        <v>735</v>
      </c>
      <c r="G39" s="79">
        <v>735</v>
      </c>
      <c r="H39" s="79">
        <v>400</v>
      </c>
      <c r="I39" s="79">
        <v>0</v>
      </c>
      <c r="J39" s="79">
        <v>0</v>
      </c>
      <c r="K39" s="79">
        <v>0</v>
      </c>
      <c r="L39" s="79"/>
    </row>
    <row r="40" spans="1:12">
      <c r="A40" s="174">
        <v>12</v>
      </c>
      <c r="B40" s="63" t="s">
        <v>78</v>
      </c>
      <c r="C40" s="79">
        <v>0</v>
      </c>
      <c r="D40" s="79">
        <v>0</v>
      </c>
      <c r="E40" s="79">
        <v>0</v>
      </c>
      <c r="F40" s="79">
        <v>0</v>
      </c>
      <c r="G40" s="79">
        <v>0</v>
      </c>
      <c r="H40" s="79">
        <v>300</v>
      </c>
      <c r="I40" s="79">
        <v>0</v>
      </c>
      <c r="J40" s="79">
        <v>0</v>
      </c>
      <c r="K40" s="79">
        <v>0</v>
      </c>
      <c r="L40" s="79"/>
    </row>
    <row r="41" spans="1:12">
      <c r="A41" s="174">
        <v>13</v>
      </c>
      <c r="B41" s="178" t="s">
        <v>102</v>
      </c>
      <c r="C41" s="79">
        <v>0</v>
      </c>
      <c r="D41" s="79">
        <v>0</v>
      </c>
      <c r="E41" s="79">
        <v>0</v>
      </c>
      <c r="F41" s="79">
        <v>0</v>
      </c>
      <c r="G41" s="79">
        <v>0</v>
      </c>
      <c r="H41" s="79">
        <v>0</v>
      </c>
      <c r="I41" s="79">
        <v>0</v>
      </c>
      <c r="J41" s="79">
        <v>0</v>
      </c>
      <c r="K41" s="79">
        <v>0</v>
      </c>
      <c r="L41" s="79"/>
    </row>
    <row r="42" spans="1:12">
      <c r="A42" s="174">
        <v>14</v>
      </c>
      <c r="B42" s="63" t="s">
        <v>79</v>
      </c>
      <c r="C42" s="79">
        <v>0</v>
      </c>
      <c r="D42" s="79">
        <v>0</v>
      </c>
      <c r="E42" s="79">
        <v>0</v>
      </c>
      <c r="F42" s="79">
        <v>0</v>
      </c>
      <c r="G42" s="79">
        <v>0</v>
      </c>
      <c r="H42" s="79">
        <v>0</v>
      </c>
      <c r="I42" s="79">
        <v>0</v>
      </c>
      <c r="J42" s="79">
        <v>0</v>
      </c>
      <c r="K42" s="79">
        <v>0</v>
      </c>
      <c r="L42" s="79"/>
    </row>
    <row r="43" spans="1:12" ht="21" thickBot="1">
      <c r="A43" s="7" t="s">
        <v>0</v>
      </c>
      <c r="B43" s="47" t="s">
        <v>6</v>
      </c>
      <c r="C43" s="81">
        <f>SUM(C29:C42)</f>
        <v>12910</v>
      </c>
      <c r="D43" s="81">
        <f t="shared" ref="D43:K43" si="1">SUM(D29:D42)</f>
        <v>14200</v>
      </c>
      <c r="E43" s="81">
        <f t="shared" si="1"/>
        <v>16068</v>
      </c>
      <c r="F43" s="81">
        <f t="shared" si="1"/>
        <v>31264</v>
      </c>
      <c r="G43" s="81">
        <f t="shared" si="1"/>
        <v>31264</v>
      </c>
      <c r="H43" s="81">
        <f t="shared" si="1"/>
        <v>31573</v>
      </c>
      <c r="I43" s="81">
        <f t="shared" si="1"/>
        <v>0</v>
      </c>
      <c r="J43" s="81">
        <f t="shared" si="1"/>
        <v>0</v>
      </c>
      <c r="K43" s="81">
        <f t="shared" si="1"/>
        <v>0</v>
      </c>
      <c r="L43" s="81"/>
    </row>
    <row r="44" spans="1:12" ht="21" thickTop="1">
      <c r="A44" s="82"/>
      <c r="B44" s="83"/>
      <c r="C44" s="82"/>
      <c r="D44" s="82"/>
      <c r="E44" s="82"/>
      <c r="F44" s="82"/>
      <c r="G44" s="82"/>
      <c r="H44" s="82"/>
      <c r="I44" s="82"/>
      <c r="J44" s="82"/>
      <c r="K44" s="82"/>
      <c r="L44" s="82"/>
    </row>
    <row r="45" spans="1:12">
      <c r="A45" s="275" t="s">
        <v>141</v>
      </c>
      <c r="B45" s="296"/>
      <c r="C45" s="296"/>
      <c r="D45" s="296"/>
      <c r="E45" s="296"/>
      <c r="F45" s="296"/>
      <c r="G45" s="296"/>
      <c r="H45" s="296"/>
      <c r="I45" s="296"/>
      <c r="J45" s="296"/>
      <c r="K45" s="296"/>
      <c r="L45" s="296"/>
    </row>
    <row r="46" spans="1:12">
      <c r="A46" s="297" t="s">
        <v>32</v>
      </c>
      <c r="B46" s="298"/>
      <c r="C46" s="298"/>
      <c r="D46" s="298"/>
      <c r="E46" s="298"/>
      <c r="F46" s="298"/>
      <c r="G46" s="298"/>
      <c r="H46" s="298"/>
      <c r="I46" s="298"/>
      <c r="J46" s="298"/>
      <c r="K46" s="298"/>
      <c r="L46" s="298"/>
    </row>
    <row r="47" spans="1:12" ht="18.75" customHeight="1">
      <c r="A47" s="299" t="s">
        <v>62</v>
      </c>
      <c r="B47" s="300"/>
      <c r="C47" s="300"/>
      <c r="D47" s="77"/>
      <c r="E47" s="77"/>
      <c r="F47" s="77"/>
      <c r="G47" s="77"/>
      <c r="H47" s="77"/>
      <c r="I47" s="77"/>
      <c r="J47" s="77"/>
      <c r="K47" s="77"/>
      <c r="L47" s="78" t="s">
        <v>1</v>
      </c>
    </row>
    <row r="48" spans="1:12" s="2" customFormat="1" ht="37.5" customHeight="1">
      <c r="A48" s="301" t="s">
        <v>43</v>
      </c>
      <c r="B48" s="301" t="s">
        <v>68</v>
      </c>
      <c r="C48" s="303" t="s">
        <v>69</v>
      </c>
      <c r="D48" s="304"/>
      <c r="E48" s="304"/>
      <c r="F48" s="182" t="s">
        <v>70</v>
      </c>
      <c r="G48" s="182" t="s">
        <v>91</v>
      </c>
      <c r="H48" s="285" t="s">
        <v>131</v>
      </c>
      <c r="I48" s="286"/>
      <c r="J48" s="286"/>
      <c r="K48" s="286"/>
      <c r="L48" s="301" t="s">
        <v>107</v>
      </c>
    </row>
    <row r="49" spans="1:12" s="2" customFormat="1" ht="75" customHeight="1">
      <c r="A49" s="302"/>
      <c r="B49" s="302"/>
      <c r="C49" s="182" t="s">
        <v>117</v>
      </c>
      <c r="D49" s="182" t="s">
        <v>116</v>
      </c>
      <c r="E49" s="182" t="s">
        <v>124</v>
      </c>
      <c r="F49" s="182" t="s">
        <v>135</v>
      </c>
      <c r="G49" s="182" t="s">
        <v>135</v>
      </c>
      <c r="H49" s="182" t="s">
        <v>71</v>
      </c>
      <c r="I49" s="182" t="s">
        <v>72</v>
      </c>
      <c r="J49" s="182" t="s">
        <v>73</v>
      </c>
      <c r="K49" s="182" t="s">
        <v>74</v>
      </c>
      <c r="L49" s="302"/>
    </row>
    <row r="50" spans="1:12" s="186" customFormat="1" ht="18" customHeight="1">
      <c r="A50" s="184">
        <v>1</v>
      </c>
      <c r="B50" s="184">
        <v>2</v>
      </c>
      <c r="C50" s="184">
        <v>3</v>
      </c>
      <c r="D50" s="184">
        <v>4</v>
      </c>
      <c r="E50" s="184">
        <v>5</v>
      </c>
      <c r="F50" s="184">
        <v>6</v>
      </c>
      <c r="G50" s="184">
        <v>7</v>
      </c>
      <c r="H50" s="184">
        <v>8</v>
      </c>
      <c r="I50" s="184">
        <v>9</v>
      </c>
      <c r="J50" s="184">
        <v>10</v>
      </c>
      <c r="K50" s="184">
        <v>11</v>
      </c>
      <c r="L50" s="184">
        <v>12</v>
      </c>
    </row>
    <row r="51" spans="1:12">
      <c r="A51" s="174">
        <v>1</v>
      </c>
      <c r="B51" s="63" t="s">
        <v>75</v>
      </c>
      <c r="C51" s="79">
        <v>34157</v>
      </c>
      <c r="D51" s="79">
        <v>35986</v>
      </c>
      <c r="E51" s="79">
        <v>38064</v>
      </c>
      <c r="F51" s="79">
        <v>40640</v>
      </c>
      <c r="G51" s="79">
        <v>46496</v>
      </c>
      <c r="H51" s="79">
        <v>50247</v>
      </c>
      <c r="I51" s="79">
        <v>0</v>
      </c>
      <c r="J51" s="79">
        <v>0</v>
      </c>
      <c r="K51" s="79">
        <v>0</v>
      </c>
      <c r="L51" s="79"/>
    </row>
    <row r="52" spans="1:12">
      <c r="A52" s="174">
        <v>2</v>
      </c>
      <c r="B52" s="63" t="s">
        <v>82</v>
      </c>
      <c r="C52" s="79">
        <v>0</v>
      </c>
      <c r="D52" s="79">
        <v>0</v>
      </c>
      <c r="E52" s="79">
        <v>0</v>
      </c>
      <c r="F52" s="79">
        <v>147</v>
      </c>
      <c r="G52" s="79">
        <v>250</v>
      </c>
      <c r="H52" s="79">
        <v>250</v>
      </c>
      <c r="I52" s="79">
        <v>0</v>
      </c>
      <c r="J52" s="79">
        <v>0</v>
      </c>
      <c r="K52" s="79">
        <v>0</v>
      </c>
      <c r="L52" s="80"/>
    </row>
    <row r="53" spans="1:12" ht="30">
      <c r="A53" s="174">
        <v>3</v>
      </c>
      <c r="B53" s="63" t="s">
        <v>80</v>
      </c>
      <c r="C53" s="79">
        <v>832</v>
      </c>
      <c r="D53" s="79">
        <v>1122</v>
      </c>
      <c r="E53" s="79">
        <v>1079</v>
      </c>
      <c r="F53" s="79">
        <v>1350</v>
      </c>
      <c r="G53" s="79">
        <v>2700</v>
      </c>
      <c r="H53" s="79">
        <v>2700</v>
      </c>
      <c r="I53" s="79">
        <v>0</v>
      </c>
      <c r="J53" s="79">
        <v>0</v>
      </c>
      <c r="K53" s="79">
        <v>0</v>
      </c>
      <c r="L53" s="79"/>
    </row>
    <row r="54" spans="1:12">
      <c r="A54" s="174">
        <v>4</v>
      </c>
      <c r="B54" s="63" t="s">
        <v>99</v>
      </c>
      <c r="C54" s="79">
        <v>0</v>
      </c>
      <c r="D54" s="79">
        <v>0</v>
      </c>
      <c r="E54" s="79">
        <v>0</v>
      </c>
      <c r="F54" s="79">
        <v>0</v>
      </c>
      <c r="G54" s="79">
        <v>0</v>
      </c>
      <c r="H54" s="79">
        <v>0</v>
      </c>
      <c r="I54" s="79">
        <v>0</v>
      </c>
      <c r="J54" s="79">
        <v>0</v>
      </c>
      <c r="K54" s="79">
        <v>0</v>
      </c>
      <c r="L54" s="79"/>
    </row>
    <row r="55" spans="1:12">
      <c r="A55" s="174">
        <v>5</v>
      </c>
      <c r="B55" s="63" t="s">
        <v>81</v>
      </c>
      <c r="C55" s="79">
        <v>0</v>
      </c>
      <c r="D55" s="79">
        <v>9</v>
      </c>
      <c r="E55" s="79">
        <v>0</v>
      </c>
      <c r="F55" s="79">
        <v>260</v>
      </c>
      <c r="G55" s="79">
        <v>270</v>
      </c>
      <c r="H55" s="79">
        <v>270</v>
      </c>
      <c r="I55" s="79">
        <v>0</v>
      </c>
      <c r="J55" s="79">
        <v>0</v>
      </c>
      <c r="K55" s="79">
        <v>0</v>
      </c>
      <c r="L55" s="79"/>
    </row>
    <row r="56" spans="1:12">
      <c r="A56" s="174">
        <v>6</v>
      </c>
      <c r="B56" s="63" t="s">
        <v>76</v>
      </c>
      <c r="C56" s="79">
        <v>1619</v>
      </c>
      <c r="D56" s="79">
        <v>1634</v>
      </c>
      <c r="E56" s="79">
        <v>1562</v>
      </c>
      <c r="F56" s="79">
        <v>2000</v>
      </c>
      <c r="G56" s="79">
        <v>2200</v>
      </c>
      <c r="H56" s="79">
        <v>2200</v>
      </c>
      <c r="I56" s="79">
        <v>0</v>
      </c>
      <c r="J56" s="79">
        <v>0</v>
      </c>
      <c r="K56" s="79">
        <v>0</v>
      </c>
      <c r="L56" s="79"/>
    </row>
    <row r="57" spans="1:12">
      <c r="A57" s="174">
        <v>7</v>
      </c>
      <c r="B57" s="63" t="s">
        <v>83</v>
      </c>
      <c r="C57" s="79">
        <v>52</v>
      </c>
      <c r="D57" s="79">
        <v>35</v>
      </c>
      <c r="E57" s="79">
        <v>35</v>
      </c>
      <c r="F57" s="79">
        <v>100</v>
      </c>
      <c r="G57" s="79">
        <v>200</v>
      </c>
      <c r="H57" s="79">
        <v>200</v>
      </c>
      <c r="I57" s="79">
        <v>0</v>
      </c>
      <c r="J57" s="79">
        <v>0</v>
      </c>
      <c r="K57" s="79">
        <v>0</v>
      </c>
      <c r="L57" s="79"/>
    </row>
    <row r="58" spans="1:12">
      <c r="A58" s="174">
        <v>8</v>
      </c>
      <c r="B58" s="63" t="s">
        <v>100</v>
      </c>
      <c r="C58" s="79">
        <v>0</v>
      </c>
      <c r="D58" s="79">
        <v>0</v>
      </c>
      <c r="E58" s="79">
        <v>0</v>
      </c>
      <c r="F58" s="79">
        <v>0</v>
      </c>
      <c r="G58" s="79">
        <v>0</v>
      </c>
      <c r="H58" s="79">
        <v>0</v>
      </c>
      <c r="I58" s="79">
        <v>0</v>
      </c>
      <c r="J58" s="79">
        <v>0</v>
      </c>
      <c r="K58" s="79">
        <v>0</v>
      </c>
      <c r="L58" s="79"/>
    </row>
    <row r="59" spans="1:12">
      <c r="A59" s="174">
        <v>9</v>
      </c>
      <c r="B59" s="63" t="s">
        <v>77</v>
      </c>
      <c r="C59" s="79">
        <v>12</v>
      </c>
      <c r="D59" s="79">
        <v>47</v>
      </c>
      <c r="E59" s="79">
        <v>62</v>
      </c>
      <c r="F59" s="79">
        <v>185</v>
      </c>
      <c r="G59" s="79">
        <v>1000</v>
      </c>
      <c r="H59" s="79">
        <v>1000</v>
      </c>
      <c r="I59" s="79">
        <v>0</v>
      </c>
      <c r="J59" s="79">
        <v>0</v>
      </c>
      <c r="K59" s="79">
        <v>0</v>
      </c>
      <c r="L59" s="79"/>
    </row>
    <row r="60" spans="1:12">
      <c r="A60" s="174">
        <v>10</v>
      </c>
      <c r="B60" s="63" t="s">
        <v>101</v>
      </c>
      <c r="C60" s="79">
        <v>0</v>
      </c>
      <c r="D60" s="79">
        <v>0</v>
      </c>
      <c r="E60" s="79">
        <v>0</v>
      </c>
      <c r="F60" s="79">
        <v>0</v>
      </c>
      <c r="G60" s="79">
        <v>0</v>
      </c>
      <c r="H60" s="79">
        <v>0</v>
      </c>
      <c r="I60" s="79">
        <v>0</v>
      </c>
      <c r="J60" s="79">
        <v>0</v>
      </c>
      <c r="K60" s="79">
        <v>0</v>
      </c>
      <c r="L60" s="79"/>
    </row>
    <row r="61" spans="1:12">
      <c r="A61" s="174">
        <v>11</v>
      </c>
      <c r="B61" s="63" t="s">
        <v>84</v>
      </c>
      <c r="C61" s="79">
        <v>136</v>
      </c>
      <c r="D61" s="79">
        <v>175</v>
      </c>
      <c r="E61" s="79">
        <v>181</v>
      </c>
      <c r="F61" s="79">
        <v>570</v>
      </c>
      <c r="G61" s="79">
        <v>620</v>
      </c>
      <c r="H61" s="79">
        <v>620</v>
      </c>
      <c r="I61" s="79">
        <v>0</v>
      </c>
      <c r="J61" s="79">
        <v>0</v>
      </c>
      <c r="K61" s="79">
        <v>0</v>
      </c>
      <c r="L61" s="79"/>
    </row>
    <row r="62" spans="1:12">
      <c r="A62" s="174">
        <v>12</v>
      </c>
      <c r="B62" s="63" t="s">
        <v>78</v>
      </c>
      <c r="C62" s="79">
        <v>0</v>
      </c>
      <c r="D62" s="79">
        <v>0</v>
      </c>
      <c r="E62" s="79">
        <v>0</v>
      </c>
      <c r="F62" s="79">
        <v>0</v>
      </c>
      <c r="G62" s="79">
        <v>320</v>
      </c>
      <c r="H62" s="79">
        <v>320</v>
      </c>
      <c r="I62" s="79">
        <v>0</v>
      </c>
      <c r="J62" s="79">
        <v>0</v>
      </c>
      <c r="K62" s="79">
        <v>0</v>
      </c>
      <c r="L62" s="79"/>
    </row>
    <row r="63" spans="1:12">
      <c r="A63" s="174">
        <v>13</v>
      </c>
      <c r="B63" s="63" t="s">
        <v>85</v>
      </c>
      <c r="C63" s="79">
        <v>0</v>
      </c>
      <c r="D63" s="79">
        <v>0</v>
      </c>
      <c r="E63" s="79">
        <v>0</v>
      </c>
      <c r="F63" s="79">
        <v>0</v>
      </c>
      <c r="G63" s="79">
        <v>0</v>
      </c>
      <c r="H63" s="79">
        <v>0</v>
      </c>
      <c r="I63" s="79">
        <v>0</v>
      </c>
      <c r="J63" s="79">
        <v>0</v>
      </c>
      <c r="K63" s="79">
        <v>0</v>
      </c>
      <c r="L63" s="79"/>
    </row>
    <row r="64" spans="1:12">
      <c r="A64" s="174">
        <v>14</v>
      </c>
      <c r="B64" s="63" t="s">
        <v>79</v>
      </c>
      <c r="C64" s="79">
        <v>0</v>
      </c>
      <c r="D64" s="79">
        <v>0</v>
      </c>
      <c r="E64" s="79">
        <v>0</v>
      </c>
      <c r="F64" s="79">
        <v>0</v>
      </c>
      <c r="G64" s="79">
        <v>220</v>
      </c>
      <c r="H64" s="79">
        <v>220</v>
      </c>
      <c r="I64" s="79">
        <v>0</v>
      </c>
      <c r="J64" s="79">
        <v>0</v>
      </c>
      <c r="K64" s="79">
        <v>0</v>
      </c>
      <c r="L64" s="79"/>
    </row>
    <row r="65" spans="1:12" ht="21" thickBot="1">
      <c r="A65" s="7" t="s">
        <v>0</v>
      </c>
      <c r="B65" s="47" t="s">
        <v>6</v>
      </c>
      <c r="C65" s="81">
        <f>SUM(C51:C64)</f>
        <v>36808</v>
      </c>
      <c r="D65" s="81">
        <f t="shared" ref="D65:K65" si="2">SUM(D51:D64)</f>
        <v>39008</v>
      </c>
      <c r="E65" s="81">
        <f t="shared" si="2"/>
        <v>40983</v>
      </c>
      <c r="F65" s="81">
        <f t="shared" si="2"/>
        <v>45252</v>
      </c>
      <c r="G65" s="81">
        <f t="shared" si="2"/>
        <v>54276</v>
      </c>
      <c r="H65" s="81">
        <f>SUM(H51:H64)</f>
        <v>58027</v>
      </c>
      <c r="I65" s="81">
        <f t="shared" si="2"/>
        <v>0</v>
      </c>
      <c r="J65" s="81">
        <f t="shared" si="2"/>
        <v>0</v>
      </c>
      <c r="K65" s="81">
        <f t="shared" si="2"/>
        <v>0</v>
      </c>
      <c r="L65" s="81"/>
    </row>
    <row r="66" spans="1:12" ht="21" thickTop="1">
      <c r="A66" s="14"/>
      <c r="B66" s="85"/>
      <c r="C66" s="82"/>
      <c r="D66" s="82"/>
      <c r="E66" s="82"/>
      <c r="F66" s="82"/>
      <c r="G66" s="82"/>
      <c r="H66" s="82"/>
      <c r="I66" s="82"/>
      <c r="J66" s="82"/>
      <c r="K66" s="82"/>
      <c r="L66" s="82"/>
    </row>
    <row r="67" spans="1:12">
      <c r="A67" s="275" t="s">
        <v>141</v>
      </c>
      <c r="B67" s="296"/>
      <c r="C67" s="296"/>
      <c r="D67" s="296"/>
      <c r="E67" s="296"/>
      <c r="F67" s="296"/>
      <c r="G67" s="296"/>
      <c r="H67" s="296"/>
      <c r="I67" s="296"/>
      <c r="J67" s="296"/>
      <c r="K67" s="296"/>
      <c r="L67" s="296"/>
    </row>
    <row r="68" spans="1:12">
      <c r="A68" s="297" t="s">
        <v>32</v>
      </c>
      <c r="B68" s="298"/>
      <c r="C68" s="298"/>
      <c r="D68" s="298"/>
      <c r="E68" s="298"/>
      <c r="F68" s="298"/>
      <c r="G68" s="298"/>
      <c r="H68" s="298"/>
      <c r="I68" s="298"/>
      <c r="J68" s="298"/>
      <c r="K68" s="298"/>
      <c r="L68" s="298"/>
    </row>
    <row r="69" spans="1:12" ht="18.75" customHeight="1">
      <c r="A69" s="299" t="s">
        <v>63</v>
      </c>
      <c r="B69" s="300"/>
      <c r="C69" s="300"/>
      <c r="D69" s="77"/>
      <c r="E69" s="77"/>
      <c r="F69" s="77"/>
      <c r="G69" s="77"/>
      <c r="H69" s="77"/>
      <c r="I69" s="77"/>
      <c r="J69" s="77"/>
      <c r="K69" s="77"/>
      <c r="L69" s="78" t="s">
        <v>1</v>
      </c>
    </row>
    <row r="70" spans="1:12" s="2" customFormat="1" ht="37.5" customHeight="1">
      <c r="A70" s="301" t="s">
        <v>43</v>
      </c>
      <c r="B70" s="301" t="s">
        <v>68</v>
      </c>
      <c r="C70" s="303" t="s">
        <v>69</v>
      </c>
      <c r="D70" s="304"/>
      <c r="E70" s="304"/>
      <c r="F70" s="182" t="s">
        <v>70</v>
      </c>
      <c r="G70" s="182" t="s">
        <v>91</v>
      </c>
      <c r="H70" s="285" t="s">
        <v>131</v>
      </c>
      <c r="I70" s="286"/>
      <c r="J70" s="286"/>
      <c r="K70" s="286"/>
      <c r="L70" s="301" t="s">
        <v>107</v>
      </c>
    </row>
    <row r="71" spans="1:12" s="2" customFormat="1" ht="75" customHeight="1">
      <c r="A71" s="302"/>
      <c r="B71" s="302"/>
      <c r="C71" s="182" t="s">
        <v>117</v>
      </c>
      <c r="D71" s="182" t="s">
        <v>116</v>
      </c>
      <c r="E71" s="182" t="s">
        <v>124</v>
      </c>
      <c r="F71" s="182" t="s">
        <v>135</v>
      </c>
      <c r="G71" s="182" t="s">
        <v>135</v>
      </c>
      <c r="H71" s="182" t="s">
        <v>71</v>
      </c>
      <c r="I71" s="182" t="s">
        <v>72</v>
      </c>
      <c r="J71" s="182" t="s">
        <v>73</v>
      </c>
      <c r="K71" s="182" t="s">
        <v>74</v>
      </c>
      <c r="L71" s="302"/>
    </row>
    <row r="72" spans="1:12" s="186" customFormat="1" ht="18" customHeight="1">
      <c r="A72" s="184">
        <v>1</v>
      </c>
      <c r="B72" s="184">
        <v>2</v>
      </c>
      <c r="C72" s="184">
        <v>3</v>
      </c>
      <c r="D72" s="184">
        <v>4</v>
      </c>
      <c r="E72" s="184">
        <v>5</v>
      </c>
      <c r="F72" s="184">
        <v>6</v>
      </c>
      <c r="G72" s="184">
        <v>7</v>
      </c>
      <c r="H72" s="184">
        <v>8</v>
      </c>
      <c r="I72" s="184">
        <v>9</v>
      </c>
      <c r="J72" s="184">
        <v>10</v>
      </c>
      <c r="K72" s="184">
        <v>11</v>
      </c>
      <c r="L72" s="184">
        <v>12</v>
      </c>
    </row>
    <row r="73" spans="1:12">
      <c r="A73" s="174">
        <v>1</v>
      </c>
      <c r="B73" s="63" t="s">
        <v>75</v>
      </c>
      <c r="C73" s="79">
        <v>28534</v>
      </c>
      <c r="D73" s="79">
        <v>31479</v>
      </c>
      <c r="E73" s="79">
        <v>34638</v>
      </c>
      <c r="F73" s="79">
        <v>61095</v>
      </c>
      <c r="G73" s="79">
        <v>61095</v>
      </c>
      <c r="H73" s="79">
        <v>70827</v>
      </c>
      <c r="I73" s="79">
        <v>0</v>
      </c>
      <c r="J73" s="79">
        <v>0</v>
      </c>
      <c r="K73" s="79">
        <v>0</v>
      </c>
      <c r="L73" s="79"/>
    </row>
    <row r="74" spans="1:12">
      <c r="A74" s="174">
        <v>2</v>
      </c>
      <c r="B74" s="63" t="s">
        <v>82</v>
      </c>
      <c r="C74" s="79">
        <v>12</v>
      </c>
      <c r="D74" s="79">
        <v>0</v>
      </c>
      <c r="E74" s="79">
        <v>45</v>
      </c>
      <c r="F74" s="79">
        <v>147</v>
      </c>
      <c r="G74" s="79">
        <v>150</v>
      </c>
      <c r="H74" s="79">
        <v>250</v>
      </c>
      <c r="I74" s="79">
        <v>0</v>
      </c>
      <c r="J74" s="79">
        <v>0</v>
      </c>
      <c r="K74" s="79">
        <v>0</v>
      </c>
      <c r="L74" s="80"/>
    </row>
    <row r="75" spans="1:12" ht="30">
      <c r="A75" s="174">
        <v>3</v>
      </c>
      <c r="B75" s="63" t="s">
        <v>80</v>
      </c>
      <c r="C75" s="79">
        <v>728</v>
      </c>
      <c r="D75" s="79">
        <v>912</v>
      </c>
      <c r="E75" s="79">
        <v>790</v>
      </c>
      <c r="F75" s="79">
        <v>1000</v>
      </c>
      <c r="G75" s="79">
        <v>1500</v>
      </c>
      <c r="H75" s="79">
        <v>2500</v>
      </c>
      <c r="I75" s="79">
        <v>0</v>
      </c>
      <c r="J75" s="79">
        <v>0</v>
      </c>
      <c r="K75" s="79">
        <v>0</v>
      </c>
      <c r="L75" s="79"/>
    </row>
    <row r="76" spans="1:12">
      <c r="A76" s="174">
        <v>4</v>
      </c>
      <c r="B76" s="63" t="s">
        <v>99</v>
      </c>
      <c r="C76" s="79">
        <v>0</v>
      </c>
      <c r="D76" s="79">
        <v>0</v>
      </c>
      <c r="E76" s="79">
        <v>0</v>
      </c>
      <c r="F76" s="79">
        <v>1</v>
      </c>
      <c r="G76" s="79">
        <v>0</v>
      </c>
      <c r="H76" s="79">
        <v>0</v>
      </c>
      <c r="I76" s="79">
        <v>0</v>
      </c>
      <c r="J76" s="79">
        <v>0</v>
      </c>
      <c r="K76" s="79">
        <v>0</v>
      </c>
      <c r="L76" s="79"/>
    </row>
    <row r="77" spans="1:12">
      <c r="A77" s="174">
        <v>5</v>
      </c>
      <c r="B77" s="63" t="s">
        <v>81</v>
      </c>
      <c r="C77" s="79">
        <v>112</v>
      </c>
      <c r="D77" s="79">
        <v>62</v>
      </c>
      <c r="E77" s="79">
        <v>57</v>
      </c>
      <c r="F77" s="79">
        <v>482</v>
      </c>
      <c r="G77" s="79">
        <v>500</v>
      </c>
      <c r="H77" s="79">
        <v>500</v>
      </c>
      <c r="I77" s="79">
        <v>0</v>
      </c>
      <c r="J77" s="79">
        <v>0</v>
      </c>
      <c r="K77" s="79">
        <v>0</v>
      </c>
      <c r="L77" s="79"/>
    </row>
    <row r="78" spans="1:12">
      <c r="A78" s="174">
        <v>6</v>
      </c>
      <c r="B78" s="63" t="s">
        <v>76</v>
      </c>
      <c r="C78" s="79">
        <v>1161</v>
      </c>
      <c r="D78" s="79">
        <v>846</v>
      </c>
      <c r="E78" s="79">
        <v>741</v>
      </c>
      <c r="F78" s="79">
        <v>2500</v>
      </c>
      <c r="G78" s="79">
        <v>2500</v>
      </c>
      <c r="H78" s="79">
        <v>2500</v>
      </c>
      <c r="I78" s="79">
        <v>0</v>
      </c>
      <c r="J78" s="79">
        <v>0</v>
      </c>
      <c r="K78" s="79">
        <v>0</v>
      </c>
      <c r="L78" s="79"/>
    </row>
    <row r="79" spans="1:12">
      <c r="A79" s="174">
        <v>7</v>
      </c>
      <c r="B79" s="63" t="s">
        <v>83</v>
      </c>
      <c r="C79" s="79">
        <v>86</v>
      </c>
      <c r="D79" s="79">
        <v>0</v>
      </c>
      <c r="E79" s="79">
        <v>55</v>
      </c>
      <c r="F79" s="79">
        <v>460</v>
      </c>
      <c r="G79" s="79">
        <v>500</v>
      </c>
      <c r="H79" s="79">
        <v>1000</v>
      </c>
      <c r="I79" s="79">
        <v>0</v>
      </c>
      <c r="J79" s="79">
        <v>0</v>
      </c>
      <c r="K79" s="79">
        <v>0</v>
      </c>
      <c r="L79" s="79"/>
    </row>
    <row r="80" spans="1:12">
      <c r="A80" s="174">
        <v>8</v>
      </c>
      <c r="B80" s="63" t="s">
        <v>100</v>
      </c>
      <c r="C80" s="79">
        <v>0</v>
      </c>
      <c r="D80" s="79">
        <v>0</v>
      </c>
      <c r="E80" s="79">
        <v>0</v>
      </c>
      <c r="F80" s="79">
        <v>0</v>
      </c>
      <c r="G80" s="79">
        <v>0</v>
      </c>
      <c r="H80" s="79">
        <v>0</v>
      </c>
      <c r="I80" s="79">
        <v>0</v>
      </c>
      <c r="J80" s="79">
        <v>0</v>
      </c>
      <c r="K80" s="79">
        <v>0</v>
      </c>
      <c r="L80" s="79"/>
    </row>
    <row r="81" spans="1:12">
      <c r="A81" s="174">
        <v>9</v>
      </c>
      <c r="B81" s="63" t="s">
        <v>77</v>
      </c>
      <c r="C81" s="79">
        <v>31</v>
      </c>
      <c r="D81" s="79">
        <v>54</v>
      </c>
      <c r="E81" s="79">
        <v>20</v>
      </c>
      <c r="F81" s="79">
        <v>150</v>
      </c>
      <c r="G81" s="79">
        <v>500</v>
      </c>
      <c r="H81" s="79">
        <v>800</v>
      </c>
      <c r="I81" s="79">
        <v>0</v>
      </c>
      <c r="J81" s="79">
        <v>0</v>
      </c>
      <c r="K81" s="79">
        <v>0</v>
      </c>
      <c r="L81" s="79"/>
    </row>
    <row r="82" spans="1:12">
      <c r="A82" s="174">
        <v>10</v>
      </c>
      <c r="B82" s="63" t="s">
        <v>101</v>
      </c>
      <c r="C82" s="79">
        <v>0</v>
      </c>
      <c r="D82" s="79">
        <v>0</v>
      </c>
      <c r="E82" s="79">
        <v>0</v>
      </c>
      <c r="F82" s="79">
        <v>0</v>
      </c>
      <c r="G82" s="79">
        <v>0</v>
      </c>
      <c r="H82" s="79">
        <v>0</v>
      </c>
      <c r="I82" s="79">
        <v>0</v>
      </c>
      <c r="J82" s="79">
        <v>0</v>
      </c>
      <c r="K82" s="79">
        <v>0</v>
      </c>
      <c r="L82" s="79"/>
    </row>
    <row r="83" spans="1:12">
      <c r="A83" s="174">
        <v>11</v>
      </c>
      <c r="B83" s="63" t="s">
        <v>84</v>
      </c>
      <c r="C83" s="79">
        <v>105</v>
      </c>
      <c r="D83" s="79">
        <v>218</v>
      </c>
      <c r="E83" s="79">
        <v>58</v>
      </c>
      <c r="F83" s="79">
        <v>1378</v>
      </c>
      <c r="G83" s="79">
        <v>1400</v>
      </c>
      <c r="H83" s="79">
        <v>1500</v>
      </c>
      <c r="I83" s="79">
        <v>0</v>
      </c>
      <c r="J83" s="79">
        <v>0</v>
      </c>
      <c r="K83" s="79">
        <v>0</v>
      </c>
      <c r="L83" s="79"/>
    </row>
    <row r="84" spans="1:12">
      <c r="A84" s="174">
        <v>12</v>
      </c>
      <c r="B84" s="63" t="s">
        <v>78</v>
      </c>
      <c r="C84" s="79">
        <v>0</v>
      </c>
      <c r="D84" s="79">
        <v>0</v>
      </c>
      <c r="E84" s="79">
        <v>0</v>
      </c>
      <c r="F84" s="79">
        <v>1</v>
      </c>
      <c r="G84" s="79">
        <v>500</v>
      </c>
      <c r="H84" s="79">
        <v>600</v>
      </c>
      <c r="I84" s="79">
        <v>0</v>
      </c>
      <c r="J84" s="79">
        <v>0</v>
      </c>
      <c r="K84" s="79">
        <v>0</v>
      </c>
      <c r="L84" s="79"/>
    </row>
    <row r="85" spans="1:12">
      <c r="A85" s="174">
        <v>13</v>
      </c>
      <c r="B85" s="63" t="s">
        <v>85</v>
      </c>
      <c r="C85" s="79">
        <v>0</v>
      </c>
      <c r="D85" s="79">
        <v>0</v>
      </c>
      <c r="E85" s="79">
        <v>0</v>
      </c>
      <c r="F85" s="79">
        <v>1</v>
      </c>
      <c r="G85" s="79">
        <v>500</v>
      </c>
      <c r="H85" s="79">
        <v>300</v>
      </c>
      <c r="I85" s="79">
        <v>0</v>
      </c>
      <c r="J85" s="79">
        <v>0</v>
      </c>
      <c r="K85" s="79">
        <v>0</v>
      </c>
      <c r="L85" s="79"/>
    </row>
    <row r="86" spans="1:12">
      <c r="A86" s="174">
        <v>14</v>
      </c>
      <c r="B86" s="63" t="s">
        <v>79</v>
      </c>
      <c r="C86" s="79">
        <v>0</v>
      </c>
      <c r="D86" s="79">
        <v>0</v>
      </c>
      <c r="E86" s="79">
        <v>0</v>
      </c>
      <c r="F86" s="79">
        <v>0</v>
      </c>
      <c r="G86" s="79">
        <v>500</v>
      </c>
      <c r="H86" s="79">
        <v>700</v>
      </c>
      <c r="I86" s="79">
        <v>0</v>
      </c>
      <c r="J86" s="79">
        <v>0</v>
      </c>
      <c r="K86" s="79">
        <v>0</v>
      </c>
      <c r="L86" s="79"/>
    </row>
    <row r="87" spans="1:12" ht="21" thickBot="1">
      <c r="A87" s="7" t="s">
        <v>0</v>
      </c>
      <c r="B87" s="47" t="s">
        <v>6</v>
      </c>
      <c r="C87" s="81">
        <f>SUM(C73:C86)</f>
        <v>30769</v>
      </c>
      <c r="D87" s="81">
        <f t="shared" ref="D87:K87" si="3">SUM(D73:D86)</f>
        <v>33571</v>
      </c>
      <c r="E87" s="81">
        <f t="shared" si="3"/>
        <v>36404</v>
      </c>
      <c r="F87" s="81">
        <f t="shared" si="3"/>
        <v>67215</v>
      </c>
      <c r="G87" s="81">
        <f>SUM(G73:G86)</f>
        <v>69645</v>
      </c>
      <c r="H87" s="81">
        <f t="shared" si="3"/>
        <v>81477</v>
      </c>
      <c r="I87" s="81">
        <f t="shared" si="3"/>
        <v>0</v>
      </c>
      <c r="J87" s="81">
        <f t="shared" si="3"/>
        <v>0</v>
      </c>
      <c r="K87" s="81">
        <f t="shared" si="3"/>
        <v>0</v>
      </c>
      <c r="L87" s="81"/>
    </row>
    <row r="88" spans="1:12" ht="21" thickTop="1">
      <c r="A88" s="14"/>
      <c r="B88" s="85"/>
      <c r="C88" s="82"/>
      <c r="D88" s="82"/>
      <c r="E88" s="82"/>
      <c r="F88" s="82"/>
      <c r="G88" s="82"/>
      <c r="H88" s="82"/>
      <c r="I88" s="82"/>
      <c r="J88" s="82"/>
      <c r="K88" s="82"/>
      <c r="L88" s="82"/>
    </row>
    <row r="89" spans="1:12">
      <c r="A89" s="275" t="s">
        <v>141</v>
      </c>
      <c r="B89" s="296"/>
      <c r="C89" s="296"/>
      <c r="D89" s="296"/>
      <c r="E89" s="296"/>
      <c r="F89" s="296"/>
      <c r="G89" s="296"/>
      <c r="H89" s="296"/>
      <c r="I89" s="296"/>
      <c r="J89" s="296"/>
      <c r="K89" s="296"/>
      <c r="L89" s="296"/>
    </row>
    <row r="90" spans="1:12">
      <c r="A90" s="297" t="s">
        <v>32</v>
      </c>
      <c r="B90" s="298"/>
      <c r="C90" s="298"/>
      <c r="D90" s="298"/>
      <c r="E90" s="298"/>
      <c r="F90" s="298"/>
      <c r="G90" s="298"/>
      <c r="H90" s="298"/>
      <c r="I90" s="298"/>
      <c r="J90" s="298"/>
      <c r="K90" s="298"/>
      <c r="L90" s="298"/>
    </row>
    <row r="91" spans="1:12" ht="18.75" customHeight="1">
      <c r="A91" s="299" t="s">
        <v>64</v>
      </c>
      <c r="B91" s="300"/>
      <c r="C91" s="300"/>
      <c r="D91" s="77"/>
      <c r="E91" s="77"/>
      <c r="F91" s="77"/>
      <c r="G91" s="77"/>
      <c r="H91" s="77"/>
      <c r="I91" s="77"/>
      <c r="J91" s="77"/>
      <c r="K91" s="77"/>
      <c r="L91" s="78" t="s">
        <v>1</v>
      </c>
    </row>
    <row r="92" spans="1:12" s="2" customFormat="1" ht="37.5" customHeight="1">
      <c r="A92" s="301" t="s">
        <v>43</v>
      </c>
      <c r="B92" s="301" t="s">
        <v>68</v>
      </c>
      <c r="C92" s="303" t="s">
        <v>69</v>
      </c>
      <c r="D92" s="304"/>
      <c r="E92" s="304"/>
      <c r="F92" s="182" t="s">
        <v>70</v>
      </c>
      <c r="G92" s="182" t="s">
        <v>91</v>
      </c>
      <c r="H92" s="285" t="s">
        <v>131</v>
      </c>
      <c r="I92" s="286"/>
      <c r="J92" s="286"/>
      <c r="K92" s="286"/>
      <c r="L92" s="301" t="s">
        <v>107</v>
      </c>
    </row>
    <row r="93" spans="1:12" s="2" customFormat="1" ht="75" customHeight="1">
      <c r="A93" s="302"/>
      <c r="B93" s="302"/>
      <c r="C93" s="182" t="s">
        <v>117</v>
      </c>
      <c r="D93" s="182" t="s">
        <v>116</v>
      </c>
      <c r="E93" s="182" t="s">
        <v>124</v>
      </c>
      <c r="F93" s="182" t="s">
        <v>135</v>
      </c>
      <c r="G93" s="182" t="s">
        <v>135</v>
      </c>
      <c r="H93" s="182" t="s">
        <v>71</v>
      </c>
      <c r="I93" s="182" t="s">
        <v>72</v>
      </c>
      <c r="J93" s="182" t="s">
        <v>73</v>
      </c>
      <c r="K93" s="182" t="s">
        <v>74</v>
      </c>
      <c r="L93" s="302"/>
    </row>
    <row r="94" spans="1:12" s="186" customFormat="1" ht="18" customHeight="1">
      <c r="A94" s="184">
        <v>1</v>
      </c>
      <c r="B94" s="184">
        <v>2</v>
      </c>
      <c r="C94" s="184">
        <v>3</v>
      </c>
      <c r="D94" s="184">
        <v>4</v>
      </c>
      <c r="E94" s="184">
        <v>5</v>
      </c>
      <c r="F94" s="184">
        <v>6</v>
      </c>
      <c r="G94" s="184">
        <v>7</v>
      </c>
      <c r="H94" s="184">
        <v>8</v>
      </c>
      <c r="I94" s="184">
        <v>9</v>
      </c>
      <c r="J94" s="184">
        <v>10</v>
      </c>
      <c r="K94" s="184">
        <v>11</v>
      </c>
      <c r="L94" s="184">
        <v>12</v>
      </c>
    </row>
    <row r="95" spans="1:12">
      <c r="A95" s="174">
        <v>1</v>
      </c>
      <c r="B95" s="63" t="s">
        <v>75</v>
      </c>
      <c r="C95" s="79">
        <v>55022</v>
      </c>
      <c r="D95" s="79">
        <v>59713</v>
      </c>
      <c r="E95" s="79">
        <v>63441</v>
      </c>
      <c r="F95" s="79">
        <v>83460</v>
      </c>
      <c r="G95" s="79">
        <v>83460</v>
      </c>
      <c r="H95" s="79">
        <v>94993</v>
      </c>
      <c r="I95" s="79">
        <v>0</v>
      </c>
      <c r="J95" s="79">
        <v>0</v>
      </c>
      <c r="K95" s="79">
        <v>0</v>
      </c>
      <c r="L95" s="79"/>
    </row>
    <row r="96" spans="1:12">
      <c r="A96" s="174">
        <v>2</v>
      </c>
      <c r="B96" s="63" t="s">
        <v>82</v>
      </c>
      <c r="C96" s="79">
        <v>71</v>
      </c>
      <c r="D96" s="79">
        <v>85</v>
      </c>
      <c r="E96" s="79">
        <v>196</v>
      </c>
      <c r="F96" s="79">
        <v>440</v>
      </c>
      <c r="G96" s="79">
        <v>440</v>
      </c>
      <c r="H96" s="79">
        <v>750</v>
      </c>
      <c r="I96" s="79">
        <v>0</v>
      </c>
      <c r="J96" s="79">
        <v>0</v>
      </c>
      <c r="K96" s="79">
        <v>0</v>
      </c>
      <c r="L96" s="80"/>
    </row>
    <row r="97" spans="1:12" ht="30">
      <c r="A97" s="174">
        <v>3</v>
      </c>
      <c r="B97" s="63" t="s">
        <v>80</v>
      </c>
      <c r="C97" s="79">
        <v>657</v>
      </c>
      <c r="D97" s="79">
        <v>770</v>
      </c>
      <c r="E97" s="79">
        <v>947</v>
      </c>
      <c r="F97" s="79">
        <v>3000</v>
      </c>
      <c r="G97" s="79">
        <v>3000</v>
      </c>
      <c r="H97" s="79">
        <v>6000</v>
      </c>
      <c r="I97" s="79">
        <v>0</v>
      </c>
      <c r="J97" s="79">
        <v>0</v>
      </c>
      <c r="K97" s="79">
        <v>0</v>
      </c>
      <c r="L97" s="79"/>
    </row>
    <row r="98" spans="1:12">
      <c r="A98" s="174">
        <v>4</v>
      </c>
      <c r="B98" s="63" t="s">
        <v>99</v>
      </c>
      <c r="C98" s="79">
        <v>0</v>
      </c>
      <c r="D98" s="79">
        <v>0</v>
      </c>
      <c r="E98" s="79">
        <v>0</v>
      </c>
      <c r="F98" s="79">
        <v>0</v>
      </c>
      <c r="G98" s="79">
        <v>0</v>
      </c>
      <c r="H98" s="79">
        <v>0</v>
      </c>
      <c r="I98" s="79">
        <v>0</v>
      </c>
      <c r="J98" s="79">
        <v>0</v>
      </c>
      <c r="K98" s="79">
        <v>0</v>
      </c>
      <c r="L98" s="79"/>
    </row>
    <row r="99" spans="1:12">
      <c r="A99" s="174">
        <v>5</v>
      </c>
      <c r="B99" s="63" t="s">
        <v>81</v>
      </c>
      <c r="C99" s="79">
        <v>292</v>
      </c>
      <c r="D99" s="79">
        <v>651</v>
      </c>
      <c r="E99" s="79">
        <v>633</v>
      </c>
      <c r="F99" s="79">
        <v>2891</v>
      </c>
      <c r="G99" s="79">
        <v>2891</v>
      </c>
      <c r="H99" s="79">
        <v>3000</v>
      </c>
      <c r="I99" s="79">
        <v>0</v>
      </c>
      <c r="J99" s="79">
        <v>0</v>
      </c>
      <c r="K99" s="79">
        <v>0</v>
      </c>
      <c r="L99" s="79"/>
    </row>
    <row r="100" spans="1:12">
      <c r="A100" s="174">
        <v>6</v>
      </c>
      <c r="B100" s="63" t="s">
        <v>76</v>
      </c>
      <c r="C100" s="79">
        <v>4759</v>
      </c>
      <c r="D100" s="79">
        <v>6210</v>
      </c>
      <c r="E100" s="79">
        <v>5193</v>
      </c>
      <c r="F100" s="79">
        <v>8000</v>
      </c>
      <c r="G100" s="79">
        <v>8000</v>
      </c>
      <c r="H100" s="79">
        <v>10000</v>
      </c>
      <c r="I100" s="79">
        <v>0</v>
      </c>
      <c r="J100" s="79">
        <v>0</v>
      </c>
      <c r="K100" s="79">
        <v>0</v>
      </c>
      <c r="L100" s="79"/>
    </row>
    <row r="101" spans="1:12">
      <c r="A101" s="174">
        <v>7</v>
      </c>
      <c r="B101" s="63" t="s">
        <v>83</v>
      </c>
      <c r="C101" s="79">
        <v>164</v>
      </c>
      <c r="D101" s="79">
        <v>77</v>
      </c>
      <c r="E101" s="79">
        <v>81</v>
      </c>
      <c r="F101" s="79">
        <v>460</v>
      </c>
      <c r="G101" s="79">
        <v>460</v>
      </c>
      <c r="H101" s="79">
        <v>1000</v>
      </c>
      <c r="I101" s="79">
        <v>0</v>
      </c>
      <c r="J101" s="79">
        <v>0</v>
      </c>
      <c r="K101" s="79">
        <v>0</v>
      </c>
      <c r="L101" s="79"/>
    </row>
    <row r="102" spans="1:12">
      <c r="A102" s="174">
        <v>8</v>
      </c>
      <c r="B102" s="63" t="s">
        <v>100</v>
      </c>
      <c r="C102" s="79">
        <v>0</v>
      </c>
      <c r="D102" s="79">
        <v>0</v>
      </c>
      <c r="E102" s="79">
        <v>0</v>
      </c>
      <c r="F102" s="79">
        <v>0</v>
      </c>
      <c r="G102" s="79">
        <v>0</v>
      </c>
      <c r="H102" s="79">
        <v>0</v>
      </c>
      <c r="I102" s="79">
        <v>0</v>
      </c>
      <c r="J102" s="79">
        <v>0</v>
      </c>
      <c r="K102" s="79">
        <v>0</v>
      </c>
      <c r="L102" s="79"/>
    </row>
    <row r="103" spans="1:12">
      <c r="A103" s="174">
        <v>9</v>
      </c>
      <c r="B103" s="63" t="s">
        <v>77</v>
      </c>
      <c r="C103" s="79">
        <v>86</v>
      </c>
      <c r="D103" s="79">
        <v>81</v>
      </c>
      <c r="E103" s="79">
        <v>47</v>
      </c>
      <c r="F103" s="79">
        <v>185</v>
      </c>
      <c r="G103" s="79">
        <v>185</v>
      </c>
      <c r="H103" s="79">
        <v>1000</v>
      </c>
      <c r="I103" s="79">
        <v>0</v>
      </c>
      <c r="J103" s="79">
        <v>0</v>
      </c>
      <c r="K103" s="79">
        <v>0</v>
      </c>
      <c r="L103" s="79"/>
    </row>
    <row r="104" spans="1:12">
      <c r="A104" s="174">
        <v>10</v>
      </c>
      <c r="B104" s="63" t="s">
        <v>101</v>
      </c>
      <c r="C104" s="79">
        <v>0</v>
      </c>
      <c r="D104" s="79">
        <v>0</v>
      </c>
      <c r="E104" s="79">
        <v>0</v>
      </c>
      <c r="F104" s="79">
        <v>0</v>
      </c>
      <c r="G104" s="79">
        <v>0</v>
      </c>
      <c r="H104" s="79">
        <v>0</v>
      </c>
      <c r="I104" s="79">
        <v>0</v>
      </c>
      <c r="J104" s="79">
        <v>0</v>
      </c>
      <c r="K104" s="79">
        <v>0</v>
      </c>
      <c r="L104" s="79"/>
    </row>
    <row r="105" spans="1:12">
      <c r="A105" s="174">
        <v>11</v>
      </c>
      <c r="B105" s="63" t="s">
        <v>84</v>
      </c>
      <c r="C105" s="79">
        <v>396</v>
      </c>
      <c r="D105" s="79">
        <v>700</v>
      </c>
      <c r="E105" s="79">
        <v>1188</v>
      </c>
      <c r="F105" s="79">
        <v>2756</v>
      </c>
      <c r="G105" s="79">
        <v>2756</v>
      </c>
      <c r="H105" s="79">
        <v>3000</v>
      </c>
      <c r="I105" s="79">
        <v>0</v>
      </c>
      <c r="J105" s="79">
        <v>0</v>
      </c>
      <c r="K105" s="79">
        <v>0</v>
      </c>
      <c r="L105" s="79"/>
    </row>
    <row r="106" spans="1:12">
      <c r="A106" s="174">
        <v>12</v>
      </c>
      <c r="B106" s="63" t="s">
        <v>78</v>
      </c>
      <c r="C106" s="79">
        <v>0</v>
      </c>
      <c r="D106" s="79">
        <v>0</v>
      </c>
      <c r="E106" s="79">
        <v>0</v>
      </c>
      <c r="F106" s="79">
        <v>0</v>
      </c>
      <c r="G106" s="79">
        <v>0</v>
      </c>
      <c r="H106" s="79">
        <v>250</v>
      </c>
      <c r="I106" s="79">
        <v>0</v>
      </c>
      <c r="J106" s="79">
        <v>0</v>
      </c>
      <c r="K106" s="79">
        <v>0</v>
      </c>
      <c r="L106" s="79"/>
    </row>
    <row r="107" spans="1:12">
      <c r="A107" s="174">
        <v>13</v>
      </c>
      <c r="B107" s="63" t="s">
        <v>85</v>
      </c>
      <c r="C107" s="79">
        <v>0</v>
      </c>
      <c r="D107" s="79">
        <v>0</v>
      </c>
      <c r="E107" s="79">
        <v>0</v>
      </c>
      <c r="F107" s="79">
        <v>0</v>
      </c>
      <c r="G107" s="79">
        <v>0</v>
      </c>
      <c r="H107" s="79">
        <v>0</v>
      </c>
      <c r="I107" s="79">
        <v>0</v>
      </c>
      <c r="J107" s="79">
        <v>0</v>
      </c>
      <c r="K107" s="79">
        <v>0</v>
      </c>
      <c r="L107" s="79"/>
    </row>
    <row r="108" spans="1:12">
      <c r="A108" s="174">
        <v>14</v>
      </c>
      <c r="B108" s="63" t="s">
        <v>79</v>
      </c>
      <c r="C108" s="79">
        <v>0</v>
      </c>
      <c r="D108" s="79">
        <v>0</v>
      </c>
      <c r="E108" s="79">
        <v>0</v>
      </c>
      <c r="F108" s="79">
        <v>1</v>
      </c>
      <c r="G108" s="79">
        <v>1</v>
      </c>
      <c r="H108" s="79">
        <v>1000</v>
      </c>
      <c r="I108" s="79">
        <v>0</v>
      </c>
      <c r="J108" s="79">
        <v>0</v>
      </c>
      <c r="K108" s="79">
        <v>0</v>
      </c>
      <c r="L108" s="79"/>
    </row>
    <row r="109" spans="1:12" ht="21" thickBot="1">
      <c r="A109" s="7" t="s">
        <v>0</v>
      </c>
      <c r="B109" s="47" t="s">
        <v>6</v>
      </c>
      <c r="C109" s="81">
        <f>SUM(C95:C108)</f>
        <v>61447</v>
      </c>
      <c r="D109" s="81">
        <f t="shared" ref="D109:K109" si="4">SUM(D95:D108)</f>
        <v>68287</v>
      </c>
      <c r="E109" s="81">
        <f t="shared" si="4"/>
        <v>71726</v>
      </c>
      <c r="F109" s="81">
        <f t="shared" si="4"/>
        <v>101193</v>
      </c>
      <c r="G109" s="81">
        <f t="shared" si="4"/>
        <v>101193</v>
      </c>
      <c r="H109" s="81">
        <f t="shared" si="4"/>
        <v>120993</v>
      </c>
      <c r="I109" s="81">
        <f t="shared" si="4"/>
        <v>0</v>
      </c>
      <c r="J109" s="81">
        <f t="shared" si="4"/>
        <v>0</v>
      </c>
      <c r="K109" s="81">
        <f t="shared" si="4"/>
        <v>0</v>
      </c>
      <c r="L109" s="81"/>
    </row>
    <row r="110" spans="1:12" ht="21" thickTop="1">
      <c r="A110" s="82"/>
      <c r="B110" s="83"/>
      <c r="C110" s="82"/>
      <c r="D110" s="82"/>
      <c r="E110" s="82"/>
      <c r="F110" s="82"/>
      <c r="G110" s="82"/>
      <c r="H110" s="82"/>
      <c r="I110" s="82"/>
      <c r="J110" s="82"/>
      <c r="K110" s="82"/>
      <c r="L110" s="82"/>
    </row>
    <row r="111" spans="1:12">
      <c r="A111" s="275" t="s">
        <v>141</v>
      </c>
      <c r="B111" s="296"/>
      <c r="C111" s="296"/>
      <c r="D111" s="296"/>
      <c r="E111" s="296"/>
      <c r="F111" s="296"/>
      <c r="G111" s="296"/>
      <c r="H111" s="296"/>
      <c r="I111" s="296"/>
      <c r="J111" s="296"/>
      <c r="K111" s="296"/>
      <c r="L111" s="296"/>
    </row>
    <row r="112" spans="1:12">
      <c r="A112" s="297" t="s">
        <v>32</v>
      </c>
      <c r="B112" s="298"/>
      <c r="C112" s="298"/>
      <c r="D112" s="298"/>
      <c r="E112" s="298"/>
      <c r="F112" s="298"/>
      <c r="G112" s="298"/>
      <c r="H112" s="298"/>
      <c r="I112" s="298"/>
      <c r="J112" s="298"/>
      <c r="K112" s="298"/>
      <c r="L112" s="298"/>
    </row>
    <row r="113" spans="1:14" ht="18.75" customHeight="1">
      <c r="A113" s="299" t="s">
        <v>65</v>
      </c>
      <c r="B113" s="300"/>
      <c r="C113" s="300"/>
      <c r="D113" s="77"/>
      <c r="E113" s="77"/>
      <c r="F113" s="77"/>
      <c r="G113" s="77"/>
      <c r="H113" s="77"/>
      <c r="I113" s="77"/>
      <c r="J113" s="77"/>
      <c r="K113" s="77"/>
      <c r="L113" s="78" t="s">
        <v>1</v>
      </c>
    </row>
    <row r="114" spans="1:14" s="2" customFormat="1" ht="37.5" customHeight="1">
      <c r="A114" s="301" t="s">
        <v>43</v>
      </c>
      <c r="B114" s="301" t="s">
        <v>68</v>
      </c>
      <c r="C114" s="303" t="s">
        <v>69</v>
      </c>
      <c r="D114" s="304"/>
      <c r="E114" s="304"/>
      <c r="F114" s="182" t="s">
        <v>70</v>
      </c>
      <c r="G114" s="182" t="s">
        <v>91</v>
      </c>
      <c r="H114" s="285" t="s">
        <v>131</v>
      </c>
      <c r="I114" s="286"/>
      <c r="J114" s="286"/>
      <c r="K114" s="286"/>
      <c r="L114" s="301" t="s">
        <v>107</v>
      </c>
    </row>
    <row r="115" spans="1:14" s="2" customFormat="1" ht="75" customHeight="1">
      <c r="A115" s="302"/>
      <c r="B115" s="302"/>
      <c r="C115" s="182" t="s">
        <v>117</v>
      </c>
      <c r="D115" s="182" t="s">
        <v>116</v>
      </c>
      <c r="E115" s="182" t="s">
        <v>124</v>
      </c>
      <c r="F115" s="182" t="s">
        <v>135</v>
      </c>
      <c r="G115" s="182" t="s">
        <v>135</v>
      </c>
      <c r="H115" s="182" t="s">
        <v>71</v>
      </c>
      <c r="I115" s="182" t="s">
        <v>72</v>
      </c>
      <c r="J115" s="182" t="s">
        <v>73</v>
      </c>
      <c r="K115" s="182" t="s">
        <v>74</v>
      </c>
      <c r="L115" s="302"/>
      <c r="M115" s="206"/>
    </row>
    <row r="116" spans="1:14" s="186" customFormat="1" ht="18" customHeight="1">
      <c r="A116" s="184">
        <v>1</v>
      </c>
      <c r="B116" s="184">
        <v>2</v>
      </c>
      <c r="C116" s="184">
        <v>3</v>
      </c>
      <c r="D116" s="184">
        <v>4</v>
      </c>
      <c r="E116" s="184">
        <v>5</v>
      </c>
      <c r="F116" s="184">
        <v>6</v>
      </c>
      <c r="G116" s="184">
        <v>7</v>
      </c>
      <c r="H116" s="184">
        <v>8</v>
      </c>
      <c r="I116" s="184">
        <v>9</v>
      </c>
      <c r="J116" s="184">
        <v>10</v>
      </c>
      <c r="K116" s="184">
        <v>11</v>
      </c>
      <c r="L116" s="184">
        <v>12</v>
      </c>
    </row>
    <row r="117" spans="1:14">
      <c r="A117" s="174">
        <v>1</v>
      </c>
      <c r="B117" s="63" t="s">
        <v>75</v>
      </c>
      <c r="C117" s="79">
        <v>33491</v>
      </c>
      <c r="D117" s="79">
        <v>35746</v>
      </c>
      <c r="E117" s="79">
        <v>37872</v>
      </c>
      <c r="F117" s="79">
        <v>72525</v>
      </c>
      <c r="G117" s="79">
        <v>78973</v>
      </c>
      <c r="H117" s="79">
        <v>80615</v>
      </c>
      <c r="I117" s="79">
        <v>0</v>
      </c>
      <c r="J117" s="79">
        <v>0</v>
      </c>
      <c r="K117" s="79">
        <v>0</v>
      </c>
      <c r="L117" s="79"/>
    </row>
    <row r="118" spans="1:14">
      <c r="A118" s="174">
        <v>2</v>
      </c>
      <c r="B118" s="63" t="s">
        <v>82</v>
      </c>
      <c r="C118" s="79">
        <v>60</v>
      </c>
      <c r="D118" s="79">
        <v>127</v>
      </c>
      <c r="E118" s="79">
        <v>224</v>
      </c>
      <c r="F118" s="79">
        <v>762</v>
      </c>
      <c r="G118" s="79">
        <v>900</v>
      </c>
      <c r="H118" s="79">
        <v>1050</v>
      </c>
      <c r="I118" s="79">
        <v>0</v>
      </c>
      <c r="J118" s="79">
        <v>0</v>
      </c>
      <c r="K118" s="79">
        <v>0</v>
      </c>
      <c r="L118" s="80"/>
    </row>
    <row r="119" spans="1:14" ht="30">
      <c r="A119" s="174">
        <v>3</v>
      </c>
      <c r="B119" s="63" t="s">
        <v>80</v>
      </c>
      <c r="C119" s="79">
        <v>350</v>
      </c>
      <c r="D119" s="79">
        <v>365</v>
      </c>
      <c r="E119" s="79">
        <v>395</v>
      </c>
      <c r="F119" s="79">
        <v>350</v>
      </c>
      <c r="G119" s="79">
        <v>800</v>
      </c>
      <c r="H119" s="79">
        <v>1000</v>
      </c>
      <c r="I119" s="79">
        <v>0</v>
      </c>
      <c r="J119" s="79">
        <v>0</v>
      </c>
      <c r="K119" s="79">
        <v>0</v>
      </c>
      <c r="L119" s="79"/>
      <c r="N119" s="206" t="s">
        <v>125</v>
      </c>
    </row>
    <row r="120" spans="1:14">
      <c r="A120" s="174">
        <v>4</v>
      </c>
      <c r="B120" s="63" t="s">
        <v>99</v>
      </c>
      <c r="C120" s="79">
        <v>0</v>
      </c>
      <c r="D120" s="79">
        <v>0</v>
      </c>
      <c r="E120" s="79">
        <v>0</v>
      </c>
      <c r="F120" s="79">
        <v>0</v>
      </c>
      <c r="G120" s="79">
        <v>0</v>
      </c>
      <c r="H120" s="79">
        <v>0</v>
      </c>
      <c r="I120" s="79">
        <v>0</v>
      </c>
      <c r="J120" s="79">
        <v>0</v>
      </c>
      <c r="K120" s="79">
        <v>0</v>
      </c>
      <c r="L120" s="79"/>
    </row>
    <row r="121" spans="1:14">
      <c r="A121" s="174">
        <v>5</v>
      </c>
      <c r="B121" s="63" t="s">
        <v>81</v>
      </c>
      <c r="C121" s="79">
        <v>87</v>
      </c>
      <c r="D121" s="79">
        <v>84</v>
      </c>
      <c r="E121" s="79">
        <v>221</v>
      </c>
      <c r="F121" s="79">
        <v>482</v>
      </c>
      <c r="G121" s="79">
        <v>500</v>
      </c>
      <c r="H121" s="79">
        <v>600</v>
      </c>
      <c r="I121" s="79">
        <v>0</v>
      </c>
      <c r="J121" s="79">
        <v>0</v>
      </c>
      <c r="K121" s="79">
        <v>0</v>
      </c>
      <c r="L121" s="79"/>
    </row>
    <row r="122" spans="1:14">
      <c r="A122" s="174">
        <v>6</v>
      </c>
      <c r="B122" s="63" t="s">
        <v>76</v>
      </c>
      <c r="C122" s="79">
        <v>1631</v>
      </c>
      <c r="D122" s="79">
        <v>2676</v>
      </c>
      <c r="E122" s="79">
        <v>2594</v>
      </c>
      <c r="F122" s="79">
        <v>2500</v>
      </c>
      <c r="G122" s="79">
        <v>3000</v>
      </c>
      <c r="H122" s="79">
        <v>3100</v>
      </c>
      <c r="I122" s="79">
        <v>0</v>
      </c>
      <c r="J122" s="79">
        <v>0</v>
      </c>
      <c r="K122" s="79">
        <v>0</v>
      </c>
      <c r="L122" s="79"/>
    </row>
    <row r="123" spans="1:14">
      <c r="A123" s="174">
        <v>7</v>
      </c>
      <c r="B123" s="63" t="s">
        <v>83</v>
      </c>
      <c r="C123" s="79">
        <v>340</v>
      </c>
      <c r="D123" s="79">
        <v>458</v>
      </c>
      <c r="E123" s="79">
        <v>428</v>
      </c>
      <c r="F123" s="79">
        <v>550</v>
      </c>
      <c r="G123" s="79">
        <v>1300</v>
      </c>
      <c r="H123" s="79">
        <v>1400</v>
      </c>
      <c r="I123" s="79">
        <v>0</v>
      </c>
      <c r="J123" s="79">
        <v>0</v>
      </c>
      <c r="K123" s="79">
        <v>0</v>
      </c>
      <c r="L123" s="79"/>
    </row>
    <row r="124" spans="1:14">
      <c r="A124" s="174">
        <v>8</v>
      </c>
      <c r="B124" s="63" t="s">
        <v>100</v>
      </c>
      <c r="C124" s="79">
        <v>0</v>
      </c>
      <c r="D124" s="79">
        <v>0</v>
      </c>
      <c r="E124" s="79">
        <v>0</v>
      </c>
      <c r="F124" s="79">
        <v>0</v>
      </c>
      <c r="G124" s="79">
        <v>100</v>
      </c>
      <c r="H124" s="79">
        <v>100</v>
      </c>
      <c r="I124" s="79">
        <v>0</v>
      </c>
      <c r="J124" s="79">
        <v>0</v>
      </c>
      <c r="K124" s="79">
        <v>0</v>
      </c>
      <c r="L124" s="79"/>
    </row>
    <row r="125" spans="1:14">
      <c r="A125" s="174">
        <v>9</v>
      </c>
      <c r="B125" s="63" t="s">
        <v>77</v>
      </c>
      <c r="C125" s="79">
        <v>73</v>
      </c>
      <c r="D125" s="79">
        <v>10</v>
      </c>
      <c r="E125" s="79">
        <v>24</v>
      </c>
      <c r="F125" s="79">
        <v>100</v>
      </c>
      <c r="G125" s="79">
        <v>500</v>
      </c>
      <c r="H125" s="79">
        <v>700</v>
      </c>
      <c r="I125" s="79">
        <v>0</v>
      </c>
      <c r="J125" s="79">
        <v>0</v>
      </c>
      <c r="K125" s="79">
        <v>0</v>
      </c>
      <c r="L125" s="79"/>
    </row>
    <row r="126" spans="1:14">
      <c r="A126" s="174">
        <v>10</v>
      </c>
      <c r="B126" s="63" t="s">
        <v>101</v>
      </c>
      <c r="C126" s="79">
        <v>0</v>
      </c>
      <c r="D126" s="79">
        <v>0</v>
      </c>
      <c r="E126" s="79">
        <v>0</v>
      </c>
      <c r="F126" s="79">
        <v>0</v>
      </c>
      <c r="G126" s="79">
        <v>0</v>
      </c>
      <c r="H126" s="79">
        <v>0</v>
      </c>
      <c r="I126" s="79">
        <v>0</v>
      </c>
      <c r="J126" s="79">
        <v>0</v>
      </c>
      <c r="K126" s="79">
        <v>0</v>
      </c>
      <c r="L126" s="79"/>
    </row>
    <row r="127" spans="1:14">
      <c r="A127" s="174">
        <v>11</v>
      </c>
      <c r="B127" s="63" t="s">
        <v>84</v>
      </c>
      <c r="C127" s="79">
        <v>565</v>
      </c>
      <c r="D127" s="79">
        <v>688</v>
      </c>
      <c r="E127" s="79">
        <v>430</v>
      </c>
      <c r="F127" s="79">
        <v>1010</v>
      </c>
      <c r="G127" s="79">
        <v>1200</v>
      </c>
      <c r="H127" s="79">
        <v>1300</v>
      </c>
      <c r="I127" s="79">
        <v>0</v>
      </c>
      <c r="J127" s="79">
        <v>0</v>
      </c>
      <c r="K127" s="79">
        <v>0</v>
      </c>
      <c r="L127" s="79"/>
    </row>
    <row r="128" spans="1:14">
      <c r="A128" s="174">
        <v>12</v>
      </c>
      <c r="B128" s="63" t="s">
        <v>78</v>
      </c>
      <c r="C128" s="79">
        <v>0</v>
      </c>
      <c r="D128" s="79">
        <v>0</v>
      </c>
      <c r="E128" s="79">
        <v>0</v>
      </c>
      <c r="F128" s="79">
        <v>0</v>
      </c>
      <c r="G128" s="79">
        <v>100</v>
      </c>
      <c r="H128" s="79">
        <v>100</v>
      </c>
      <c r="I128" s="79">
        <v>0</v>
      </c>
      <c r="J128" s="79">
        <v>0</v>
      </c>
      <c r="K128" s="79">
        <v>0</v>
      </c>
      <c r="L128" s="79"/>
    </row>
    <row r="129" spans="1:12">
      <c r="A129" s="174">
        <v>13</v>
      </c>
      <c r="B129" s="63" t="s">
        <v>85</v>
      </c>
      <c r="C129" s="79">
        <v>0</v>
      </c>
      <c r="D129" s="79">
        <v>0</v>
      </c>
      <c r="E129" s="79">
        <v>0</v>
      </c>
      <c r="F129" s="79">
        <v>0</v>
      </c>
      <c r="G129" s="79">
        <v>100</v>
      </c>
      <c r="H129" s="79">
        <v>100</v>
      </c>
      <c r="I129" s="79">
        <v>0</v>
      </c>
      <c r="J129" s="79">
        <v>0</v>
      </c>
      <c r="K129" s="79">
        <v>0</v>
      </c>
      <c r="L129" s="79"/>
    </row>
    <row r="130" spans="1:12">
      <c r="A130" s="174">
        <v>14</v>
      </c>
      <c r="B130" s="63" t="s">
        <v>79</v>
      </c>
      <c r="C130" s="79">
        <v>0</v>
      </c>
      <c r="D130" s="79">
        <v>0</v>
      </c>
      <c r="E130" s="79">
        <v>0</v>
      </c>
      <c r="F130" s="79">
        <v>0</v>
      </c>
      <c r="G130" s="79">
        <v>350</v>
      </c>
      <c r="H130" s="79">
        <v>400</v>
      </c>
      <c r="I130" s="79">
        <v>0</v>
      </c>
      <c r="J130" s="79">
        <v>0</v>
      </c>
      <c r="K130" s="79">
        <v>0</v>
      </c>
      <c r="L130" s="79"/>
    </row>
    <row r="131" spans="1:12" ht="21" thickBot="1">
      <c r="A131" s="7" t="s">
        <v>0</v>
      </c>
      <c r="B131" s="47" t="s">
        <v>6</v>
      </c>
      <c r="C131" s="81">
        <f>SUM(C117:C130)</f>
        <v>36597</v>
      </c>
      <c r="D131" s="81">
        <f t="shared" ref="D131:K131" si="5">SUM(D117:D130)</f>
        <v>40154</v>
      </c>
      <c r="E131" s="81">
        <f t="shared" si="5"/>
        <v>42188</v>
      </c>
      <c r="F131" s="81">
        <f t="shared" si="5"/>
        <v>78279</v>
      </c>
      <c r="G131" s="81">
        <f t="shared" si="5"/>
        <v>87823</v>
      </c>
      <c r="H131" s="81">
        <f t="shared" si="5"/>
        <v>90465</v>
      </c>
      <c r="I131" s="81">
        <f t="shared" si="5"/>
        <v>0</v>
      </c>
      <c r="J131" s="81">
        <f t="shared" si="5"/>
        <v>0</v>
      </c>
      <c r="K131" s="81">
        <f t="shared" si="5"/>
        <v>0</v>
      </c>
      <c r="L131" s="81"/>
    </row>
    <row r="132" spans="1:12" ht="21" thickTop="1">
      <c r="A132" s="82"/>
      <c r="B132" s="83"/>
      <c r="C132" s="82"/>
      <c r="D132" s="82"/>
      <c r="E132" s="82"/>
      <c r="F132" s="82"/>
      <c r="G132" s="82"/>
      <c r="H132" s="82"/>
      <c r="I132" s="82"/>
      <c r="J132" s="82"/>
      <c r="K132" s="82"/>
      <c r="L132" s="82"/>
    </row>
    <row r="133" spans="1:12">
      <c r="A133" s="275" t="s">
        <v>141</v>
      </c>
      <c r="B133" s="296"/>
      <c r="C133" s="296"/>
      <c r="D133" s="296"/>
      <c r="E133" s="296"/>
      <c r="F133" s="296"/>
      <c r="G133" s="296"/>
      <c r="H133" s="296"/>
      <c r="I133" s="296"/>
      <c r="J133" s="296"/>
      <c r="K133" s="296"/>
      <c r="L133" s="296"/>
    </row>
    <row r="134" spans="1:12">
      <c r="A134" s="297" t="s">
        <v>32</v>
      </c>
      <c r="B134" s="298"/>
      <c r="C134" s="298"/>
      <c r="D134" s="298"/>
      <c r="E134" s="298"/>
      <c r="F134" s="298"/>
      <c r="G134" s="298"/>
      <c r="H134" s="298"/>
      <c r="I134" s="298"/>
      <c r="J134" s="298"/>
      <c r="K134" s="298"/>
      <c r="L134" s="298"/>
    </row>
    <row r="135" spans="1:12" ht="18.75" customHeight="1">
      <c r="A135" s="299" t="s">
        <v>66</v>
      </c>
      <c r="B135" s="300"/>
      <c r="C135" s="300"/>
      <c r="D135" s="77"/>
      <c r="E135" s="77"/>
      <c r="F135" s="77"/>
      <c r="G135" s="77"/>
      <c r="H135" s="77"/>
      <c r="I135" s="77"/>
      <c r="J135" s="77"/>
      <c r="K135" s="77"/>
      <c r="L135" s="78" t="s">
        <v>1</v>
      </c>
    </row>
    <row r="136" spans="1:12" s="2" customFormat="1" ht="37.5" customHeight="1">
      <c r="A136" s="301" t="s">
        <v>43</v>
      </c>
      <c r="B136" s="301" t="s">
        <v>68</v>
      </c>
      <c r="C136" s="303" t="s">
        <v>69</v>
      </c>
      <c r="D136" s="304"/>
      <c r="E136" s="304"/>
      <c r="F136" s="182" t="s">
        <v>70</v>
      </c>
      <c r="G136" s="182" t="s">
        <v>91</v>
      </c>
      <c r="H136" s="285" t="s">
        <v>131</v>
      </c>
      <c r="I136" s="286"/>
      <c r="J136" s="286"/>
      <c r="K136" s="286"/>
      <c r="L136" s="301" t="s">
        <v>107</v>
      </c>
    </row>
    <row r="137" spans="1:12" s="2" customFormat="1" ht="75" customHeight="1">
      <c r="A137" s="302"/>
      <c r="B137" s="302"/>
      <c r="C137" s="182" t="s">
        <v>117</v>
      </c>
      <c r="D137" s="182" t="s">
        <v>116</v>
      </c>
      <c r="E137" s="182" t="s">
        <v>124</v>
      </c>
      <c r="F137" s="182" t="s">
        <v>135</v>
      </c>
      <c r="G137" s="182" t="s">
        <v>135</v>
      </c>
      <c r="H137" s="182" t="s">
        <v>71</v>
      </c>
      <c r="I137" s="182" t="s">
        <v>72</v>
      </c>
      <c r="J137" s="182" t="s">
        <v>73</v>
      </c>
      <c r="K137" s="182" t="s">
        <v>74</v>
      </c>
      <c r="L137" s="302"/>
    </row>
    <row r="138" spans="1:12" s="186" customFormat="1" ht="18" customHeight="1">
      <c r="A138" s="184">
        <v>1</v>
      </c>
      <c r="B138" s="184">
        <v>2</v>
      </c>
      <c r="C138" s="184">
        <v>3</v>
      </c>
      <c r="D138" s="184">
        <v>4</v>
      </c>
      <c r="E138" s="184">
        <v>5</v>
      </c>
      <c r="F138" s="184">
        <v>6</v>
      </c>
      <c r="G138" s="184">
        <v>7</v>
      </c>
      <c r="H138" s="184">
        <v>8</v>
      </c>
      <c r="I138" s="184">
        <v>9</v>
      </c>
      <c r="J138" s="184">
        <v>10</v>
      </c>
      <c r="K138" s="184">
        <v>11</v>
      </c>
      <c r="L138" s="184">
        <v>12</v>
      </c>
    </row>
    <row r="139" spans="1:12">
      <c r="A139" s="174">
        <v>1</v>
      </c>
      <c r="B139" s="63" t="s">
        <v>75</v>
      </c>
      <c r="C139" s="79">
        <v>20102</v>
      </c>
      <c r="D139" s="79">
        <v>21559</v>
      </c>
      <c r="E139" s="79">
        <v>24722</v>
      </c>
      <c r="F139" s="79">
        <v>33665</v>
      </c>
      <c r="G139" s="79">
        <v>35000</v>
      </c>
      <c r="H139" s="79">
        <v>37744</v>
      </c>
      <c r="I139" s="79">
        <v>0</v>
      </c>
      <c r="J139" s="79">
        <v>0</v>
      </c>
      <c r="K139" s="79">
        <v>0</v>
      </c>
      <c r="L139" s="79"/>
    </row>
    <row r="140" spans="1:12">
      <c r="A140" s="174">
        <v>2</v>
      </c>
      <c r="B140" s="63" t="s">
        <v>82</v>
      </c>
      <c r="C140" s="79">
        <v>71</v>
      </c>
      <c r="D140" s="79">
        <v>108</v>
      </c>
      <c r="E140" s="79">
        <v>187</v>
      </c>
      <c r="F140" s="79">
        <v>87</v>
      </c>
      <c r="G140" s="79">
        <v>150</v>
      </c>
      <c r="H140" s="79">
        <v>300</v>
      </c>
      <c r="I140" s="79">
        <v>0</v>
      </c>
      <c r="J140" s="79">
        <v>0</v>
      </c>
      <c r="K140" s="79">
        <v>0</v>
      </c>
      <c r="L140" s="80"/>
    </row>
    <row r="141" spans="1:12" ht="30">
      <c r="A141" s="174">
        <v>3</v>
      </c>
      <c r="B141" s="63" t="s">
        <v>80</v>
      </c>
      <c r="C141" s="79">
        <v>145</v>
      </c>
      <c r="D141" s="79">
        <v>141</v>
      </c>
      <c r="E141" s="79">
        <v>145</v>
      </c>
      <c r="F141" s="79">
        <v>150</v>
      </c>
      <c r="G141" s="79">
        <v>300</v>
      </c>
      <c r="H141" s="79">
        <v>300</v>
      </c>
      <c r="I141" s="79">
        <v>0</v>
      </c>
      <c r="J141" s="79">
        <v>0</v>
      </c>
      <c r="K141" s="79">
        <v>0</v>
      </c>
      <c r="L141" s="79"/>
    </row>
    <row r="142" spans="1:12">
      <c r="A142" s="174">
        <v>4</v>
      </c>
      <c r="B142" s="63" t="s">
        <v>99</v>
      </c>
      <c r="C142" s="79">
        <v>0</v>
      </c>
      <c r="D142" s="79">
        <v>0</v>
      </c>
      <c r="E142" s="79">
        <v>0</v>
      </c>
      <c r="F142" s="79">
        <v>0</v>
      </c>
      <c r="G142" s="79">
        <v>0</v>
      </c>
      <c r="H142" s="79">
        <v>0</v>
      </c>
      <c r="I142" s="79">
        <v>0</v>
      </c>
      <c r="J142" s="79">
        <v>0</v>
      </c>
      <c r="K142" s="79">
        <v>0</v>
      </c>
      <c r="L142" s="79"/>
    </row>
    <row r="143" spans="1:12">
      <c r="A143" s="174">
        <v>5</v>
      </c>
      <c r="B143" s="63" t="s">
        <v>81</v>
      </c>
      <c r="C143" s="79">
        <v>60</v>
      </c>
      <c r="D143" s="79">
        <v>174</v>
      </c>
      <c r="E143" s="79">
        <v>180</v>
      </c>
      <c r="F143" s="79">
        <v>289</v>
      </c>
      <c r="G143" s="79">
        <v>300</v>
      </c>
      <c r="H143" s="79">
        <v>300</v>
      </c>
      <c r="I143" s="79">
        <v>0</v>
      </c>
      <c r="J143" s="79">
        <v>0</v>
      </c>
      <c r="K143" s="79">
        <v>0</v>
      </c>
      <c r="L143" s="79"/>
    </row>
    <row r="144" spans="1:12">
      <c r="A144" s="174">
        <v>6</v>
      </c>
      <c r="B144" s="63" t="s">
        <v>76</v>
      </c>
      <c r="C144" s="79">
        <v>833</v>
      </c>
      <c r="D144" s="79">
        <f>799+10</f>
        <v>809</v>
      </c>
      <c r="E144" s="79">
        <v>745</v>
      </c>
      <c r="F144" s="79">
        <v>1000</v>
      </c>
      <c r="G144" s="79">
        <v>1000</v>
      </c>
      <c r="H144" s="79">
        <v>2000</v>
      </c>
      <c r="I144" s="79">
        <v>0</v>
      </c>
      <c r="J144" s="79">
        <v>0</v>
      </c>
      <c r="K144" s="79">
        <v>0</v>
      </c>
      <c r="L144" s="79"/>
    </row>
    <row r="145" spans="1:12">
      <c r="A145" s="174">
        <v>7</v>
      </c>
      <c r="B145" s="63" t="s">
        <v>83</v>
      </c>
      <c r="C145" s="79">
        <v>4</v>
      </c>
      <c r="D145" s="79">
        <v>4</v>
      </c>
      <c r="E145" s="79">
        <v>7</v>
      </c>
      <c r="F145" s="79">
        <v>25</v>
      </c>
      <c r="G145" s="79">
        <v>30</v>
      </c>
      <c r="H145" s="79">
        <v>30</v>
      </c>
      <c r="I145" s="79">
        <v>0</v>
      </c>
      <c r="J145" s="79">
        <v>0</v>
      </c>
      <c r="K145" s="79">
        <v>0</v>
      </c>
      <c r="L145" s="79"/>
    </row>
    <row r="146" spans="1:12">
      <c r="A146" s="174">
        <v>8</v>
      </c>
      <c r="B146" s="63" t="s">
        <v>100</v>
      </c>
      <c r="C146" s="79">
        <v>0</v>
      </c>
      <c r="D146" s="79">
        <v>0</v>
      </c>
      <c r="E146" s="79">
        <v>0</v>
      </c>
      <c r="F146" s="79">
        <v>0</v>
      </c>
      <c r="G146" s="79">
        <v>0</v>
      </c>
      <c r="H146" s="79">
        <v>0</v>
      </c>
      <c r="I146" s="79">
        <v>0</v>
      </c>
      <c r="J146" s="79">
        <v>0</v>
      </c>
      <c r="K146" s="79">
        <v>0</v>
      </c>
      <c r="L146" s="79"/>
    </row>
    <row r="147" spans="1:12">
      <c r="A147" s="174">
        <v>9</v>
      </c>
      <c r="B147" s="63" t="s">
        <v>77</v>
      </c>
      <c r="C147" s="79">
        <v>17</v>
      </c>
      <c r="D147" s="79">
        <v>8</v>
      </c>
      <c r="E147" s="79">
        <v>3</v>
      </c>
      <c r="F147" s="79">
        <v>30</v>
      </c>
      <c r="G147" s="79">
        <v>70</v>
      </c>
      <c r="H147" s="79">
        <v>75</v>
      </c>
      <c r="I147" s="79">
        <v>0</v>
      </c>
      <c r="J147" s="79">
        <v>0</v>
      </c>
      <c r="K147" s="79">
        <v>0</v>
      </c>
      <c r="L147" s="79"/>
    </row>
    <row r="148" spans="1:12">
      <c r="A148" s="174">
        <v>10</v>
      </c>
      <c r="B148" s="63" t="s">
        <v>101</v>
      </c>
      <c r="C148" s="79">
        <v>0</v>
      </c>
      <c r="D148" s="79">
        <v>0</v>
      </c>
      <c r="E148" s="79">
        <v>0</v>
      </c>
      <c r="F148" s="79">
        <v>0</v>
      </c>
      <c r="G148" s="79">
        <v>0</v>
      </c>
      <c r="H148" s="79">
        <v>0</v>
      </c>
      <c r="I148" s="79">
        <v>0</v>
      </c>
      <c r="J148" s="79">
        <v>0</v>
      </c>
      <c r="K148" s="79">
        <v>0</v>
      </c>
      <c r="L148" s="79"/>
    </row>
    <row r="149" spans="1:12">
      <c r="A149" s="174">
        <v>11</v>
      </c>
      <c r="B149" s="63" t="s">
        <v>84</v>
      </c>
      <c r="C149" s="79">
        <v>385</v>
      </c>
      <c r="D149" s="79">
        <v>482</v>
      </c>
      <c r="E149" s="79">
        <v>308</v>
      </c>
      <c r="F149" s="79">
        <v>551</v>
      </c>
      <c r="G149" s="79">
        <v>700</v>
      </c>
      <c r="H149" s="79">
        <v>850</v>
      </c>
      <c r="I149" s="79">
        <v>0</v>
      </c>
      <c r="J149" s="79">
        <v>0</v>
      </c>
      <c r="K149" s="79">
        <v>0</v>
      </c>
      <c r="L149" s="79"/>
    </row>
    <row r="150" spans="1:12">
      <c r="A150" s="174">
        <v>12</v>
      </c>
      <c r="B150" s="63" t="s">
        <v>78</v>
      </c>
      <c r="C150" s="79">
        <v>0</v>
      </c>
      <c r="D150" s="79">
        <v>0</v>
      </c>
      <c r="E150" s="79">
        <v>0</v>
      </c>
      <c r="F150" s="79">
        <v>0</v>
      </c>
      <c r="G150" s="79">
        <v>0</v>
      </c>
      <c r="H150" s="79">
        <v>0</v>
      </c>
      <c r="I150" s="79">
        <v>0</v>
      </c>
      <c r="J150" s="79">
        <v>0</v>
      </c>
      <c r="K150" s="79">
        <v>0</v>
      </c>
      <c r="L150" s="79"/>
    </row>
    <row r="151" spans="1:12">
      <c r="A151" s="174">
        <v>13</v>
      </c>
      <c r="B151" s="63" t="s">
        <v>85</v>
      </c>
      <c r="C151" s="79">
        <v>0</v>
      </c>
      <c r="D151" s="79">
        <v>0</v>
      </c>
      <c r="E151" s="79">
        <v>0</v>
      </c>
      <c r="F151" s="79">
        <v>0</v>
      </c>
      <c r="G151" s="79">
        <v>0</v>
      </c>
      <c r="H151" s="79">
        <v>0</v>
      </c>
      <c r="I151" s="79">
        <v>0</v>
      </c>
      <c r="J151" s="79">
        <v>0</v>
      </c>
      <c r="K151" s="79">
        <v>0</v>
      </c>
      <c r="L151" s="79"/>
    </row>
    <row r="152" spans="1:12">
      <c r="A152" s="174">
        <v>14</v>
      </c>
      <c r="B152" s="63" t="s">
        <v>79</v>
      </c>
      <c r="C152" s="79">
        <v>0</v>
      </c>
      <c r="D152" s="79">
        <v>0</v>
      </c>
      <c r="E152" s="79">
        <v>0</v>
      </c>
      <c r="F152" s="79">
        <v>0</v>
      </c>
      <c r="G152" s="79">
        <v>0</v>
      </c>
      <c r="H152" s="79">
        <v>0</v>
      </c>
      <c r="I152" s="79">
        <v>0</v>
      </c>
      <c r="J152" s="79">
        <v>0</v>
      </c>
      <c r="K152" s="79">
        <v>0</v>
      </c>
      <c r="L152" s="79"/>
    </row>
    <row r="153" spans="1:12" ht="21" thickBot="1">
      <c r="A153" s="7" t="s">
        <v>0</v>
      </c>
      <c r="B153" s="47" t="s">
        <v>6</v>
      </c>
      <c r="C153" s="81">
        <f>SUM(C139:C152)</f>
        <v>21617</v>
      </c>
      <c r="D153" s="81">
        <f t="shared" ref="D153:K153" si="6">SUM(D139:D152)</f>
        <v>23285</v>
      </c>
      <c r="E153" s="81">
        <f t="shared" si="6"/>
        <v>26297</v>
      </c>
      <c r="F153" s="81">
        <f t="shared" si="6"/>
        <v>35797</v>
      </c>
      <c r="G153" s="81">
        <f t="shared" si="6"/>
        <v>37550</v>
      </c>
      <c r="H153" s="81">
        <f t="shared" si="6"/>
        <v>41599</v>
      </c>
      <c r="I153" s="81">
        <f t="shared" si="6"/>
        <v>0</v>
      </c>
      <c r="J153" s="81">
        <f t="shared" si="6"/>
        <v>0</v>
      </c>
      <c r="K153" s="81">
        <f t="shared" si="6"/>
        <v>0</v>
      </c>
      <c r="L153" s="81"/>
    </row>
    <row r="154" spans="1:12" ht="21" thickTop="1">
      <c r="A154" s="82"/>
      <c r="B154" s="83"/>
      <c r="C154" s="82"/>
      <c r="D154" s="82"/>
      <c r="E154" s="82"/>
      <c r="F154" s="82"/>
      <c r="G154" s="82"/>
      <c r="H154" s="82"/>
      <c r="I154" s="82"/>
      <c r="J154" s="82"/>
      <c r="K154" s="82"/>
      <c r="L154" s="82"/>
    </row>
    <row r="155" spans="1:12">
      <c r="A155" s="265" t="s">
        <v>141</v>
      </c>
      <c r="B155" s="266"/>
      <c r="C155" s="266"/>
      <c r="D155" s="266"/>
      <c r="E155" s="266"/>
      <c r="F155" s="266"/>
      <c r="G155" s="266"/>
      <c r="H155" s="266"/>
      <c r="I155" s="266"/>
      <c r="J155" s="266"/>
      <c r="K155" s="266"/>
      <c r="L155" s="266"/>
    </row>
    <row r="156" spans="1:12">
      <c r="A156" s="265" t="s">
        <v>32</v>
      </c>
      <c r="B156" s="266"/>
      <c r="C156" s="266"/>
      <c r="D156" s="266"/>
      <c r="E156" s="266"/>
      <c r="F156" s="266"/>
      <c r="G156" s="266"/>
      <c r="H156" s="266"/>
      <c r="I156" s="266"/>
      <c r="J156" s="266"/>
      <c r="K156" s="266"/>
      <c r="L156" s="266"/>
    </row>
    <row r="157" spans="1:12" ht="18.75" customHeight="1">
      <c r="A157" s="305" t="s">
        <v>86</v>
      </c>
      <c r="B157" s="306"/>
      <c r="C157" s="306"/>
      <c r="D157" s="152"/>
      <c r="E157" s="152"/>
      <c r="F157" s="152"/>
      <c r="G157" s="152"/>
      <c r="H157" s="152"/>
      <c r="I157" s="152"/>
      <c r="J157" s="152"/>
      <c r="K157" s="152"/>
      <c r="L157" s="153" t="s">
        <v>1</v>
      </c>
    </row>
    <row r="158" spans="1:12" s="116" customFormat="1" ht="37.5" customHeight="1">
      <c r="A158" s="243" t="s">
        <v>43</v>
      </c>
      <c r="B158" s="243" t="s">
        <v>68</v>
      </c>
      <c r="C158" s="307" t="s">
        <v>69</v>
      </c>
      <c r="D158" s="308"/>
      <c r="E158" s="308"/>
      <c r="F158" s="179" t="s">
        <v>70</v>
      </c>
      <c r="G158" s="179" t="s">
        <v>91</v>
      </c>
      <c r="H158" s="287" t="s">
        <v>119</v>
      </c>
      <c r="I158" s="288"/>
      <c r="J158" s="288"/>
      <c r="K158" s="288"/>
      <c r="L158" s="243" t="s">
        <v>107</v>
      </c>
    </row>
    <row r="159" spans="1:12" s="116" customFormat="1" ht="75" customHeight="1">
      <c r="A159" s="244"/>
      <c r="B159" s="244"/>
      <c r="C159" s="204" t="s">
        <v>115</v>
      </c>
      <c r="D159" s="204" t="s">
        <v>118</v>
      </c>
      <c r="E159" s="204" t="s">
        <v>117</v>
      </c>
      <c r="F159" s="179" t="s">
        <v>116</v>
      </c>
      <c r="G159" s="204" t="s">
        <v>116</v>
      </c>
      <c r="H159" s="179" t="s">
        <v>71</v>
      </c>
      <c r="I159" s="179" t="s">
        <v>72</v>
      </c>
      <c r="J159" s="179" t="s">
        <v>73</v>
      </c>
      <c r="K159" s="179" t="s">
        <v>74</v>
      </c>
      <c r="L159" s="244"/>
    </row>
    <row r="160" spans="1:12" s="187" customFormat="1" ht="18" customHeight="1">
      <c r="A160" s="155">
        <v>1</v>
      </c>
      <c r="B160" s="155">
        <v>2</v>
      </c>
      <c r="C160" s="155">
        <v>3</v>
      </c>
      <c r="D160" s="155">
        <v>4</v>
      </c>
      <c r="E160" s="155">
        <v>5</v>
      </c>
      <c r="F160" s="155">
        <v>6</v>
      </c>
      <c r="G160" s="155">
        <v>7</v>
      </c>
      <c r="H160" s="155">
        <v>8</v>
      </c>
      <c r="I160" s="155">
        <v>9</v>
      </c>
      <c r="J160" s="155">
        <v>10</v>
      </c>
      <c r="K160" s="155">
        <v>11</v>
      </c>
      <c r="L160" s="155">
        <v>12</v>
      </c>
    </row>
    <row r="161" spans="1:12">
      <c r="A161" s="173">
        <v>1</v>
      </c>
      <c r="B161" s="97" t="s">
        <v>75</v>
      </c>
      <c r="C161" s="150">
        <v>0</v>
      </c>
      <c r="D161" s="150">
        <v>0</v>
      </c>
      <c r="E161" s="150">
        <v>0</v>
      </c>
      <c r="F161" s="150">
        <v>0</v>
      </c>
      <c r="G161" s="150">
        <v>0</v>
      </c>
      <c r="H161" s="150">
        <v>0</v>
      </c>
      <c r="I161" s="150">
        <v>0</v>
      </c>
      <c r="J161" s="150">
        <v>0</v>
      </c>
      <c r="K161" s="150">
        <v>0</v>
      </c>
      <c r="L161" s="150"/>
    </row>
    <row r="162" spans="1:12">
      <c r="A162" s="173">
        <v>2</v>
      </c>
      <c r="B162" s="97" t="s">
        <v>82</v>
      </c>
      <c r="C162" s="150">
        <v>0</v>
      </c>
      <c r="D162" s="150">
        <v>0</v>
      </c>
      <c r="E162" s="150">
        <v>0</v>
      </c>
      <c r="F162" s="150">
        <v>0</v>
      </c>
      <c r="G162" s="150">
        <v>0</v>
      </c>
      <c r="H162" s="150">
        <v>0</v>
      </c>
      <c r="I162" s="150">
        <v>0</v>
      </c>
      <c r="J162" s="150">
        <v>0</v>
      </c>
      <c r="K162" s="150">
        <v>0</v>
      </c>
      <c r="L162" s="156"/>
    </row>
    <row r="163" spans="1:12" ht="30">
      <c r="A163" s="173">
        <v>3</v>
      </c>
      <c r="B163" s="97" t="s">
        <v>80</v>
      </c>
      <c r="C163" s="150">
        <v>0</v>
      </c>
      <c r="D163" s="150">
        <v>0</v>
      </c>
      <c r="E163" s="150">
        <v>0</v>
      </c>
      <c r="F163" s="150">
        <v>0</v>
      </c>
      <c r="G163" s="150">
        <v>0</v>
      </c>
      <c r="H163" s="150">
        <v>0</v>
      </c>
      <c r="I163" s="150">
        <v>0</v>
      </c>
      <c r="J163" s="150">
        <v>0</v>
      </c>
      <c r="K163" s="150">
        <v>0</v>
      </c>
      <c r="L163" s="150"/>
    </row>
    <row r="164" spans="1:12">
      <c r="A164" s="173">
        <v>4</v>
      </c>
      <c r="B164" s="97" t="s">
        <v>99</v>
      </c>
      <c r="C164" s="150">
        <v>0</v>
      </c>
      <c r="D164" s="150">
        <v>0</v>
      </c>
      <c r="E164" s="150">
        <v>0</v>
      </c>
      <c r="F164" s="150">
        <v>0</v>
      </c>
      <c r="G164" s="150">
        <v>0</v>
      </c>
      <c r="H164" s="150">
        <v>0</v>
      </c>
      <c r="I164" s="150">
        <v>0</v>
      </c>
      <c r="J164" s="150">
        <v>0</v>
      </c>
      <c r="K164" s="150">
        <v>0</v>
      </c>
      <c r="L164" s="150"/>
    </row>
    <row r="165" spans="1:12">
      <c r="A165" s="173">
        <v>5</v>
      </c>
      <c r="B165" s="97" t="s">
        <v>81</v>
      </c>
      <c r="C165" s="150">
        <v>0</v>
      </c>
      <c r="D165" s="150">
        <v>0</v>
      </c>
      <c r="E165" s="150">
        <v>0</v>
      </c>
      <c r="F165" s="150">
        <v>0</v>
      </c>
      <c r="G165" s="150">
        <v>0</v>
      </c>
      <c r="H165" s="150">
        <v>0</v>
      </c>
      <c r="I165" s="150">
        <v>0</v>
      </c>
      <c r="J165" s="150">
        <v>0</v>
      </c>
      <c r="K165" s="150">
        <v>0</v>
      </c>
      <c r="L165" s="150"/>
    </row>
    <row r="166" spans="1:12">
      <c r="A166" s="173">
        <v>6</v>
      </c>
      <c r="B166" s="97" t="s">
        <v>76</v>
      </c>
      <c r="C166" s="150">
        <v>0</v>
      </c>
      <c r="D166" s="150">
        <v>0</v>
      </c>
      <c r="E166" s="150">
        <v>0</v>
      </c>
      <c r="F166" s="150">
        <v>0</v>
      </c>
      <c r="G166" s="150">
        <v>0</v>
      </c>
      <c r="H166" s="150">
        <v>0</v>
      </c>
      <c r="I166" s="150">
        <v>0</v>
      </c>
      <c r="J166" s="150">
        <v>0</v>
      </c>
      <c r="K166" s="150">
        <v>0</v>
      </c>
      <c r="L166" s="150"/>
    </row>
    <row r="167" spans="1:12">
      <c r="A167" s="173">
        <v>7</v>
      </c>
      <c r="B167" s="97" t="s">
        <v>83</v>
      </c>
      <c r="C167" s="150">
        <v>0</v>
      </c>
      <c r="D167" s="150">
        <v>0</v>
      </c>
      <c r="E167" s="150">
        <v>0</v>
      </c>
      <c r="F167" s="150">
        <v>0</v>
      </c>
      <c r="G167" s="150">
        <v>0</v>
      </c>
      <c r="H167" s="150">
        <v>0</v>
      </c>
      <c r="I167" s="150">
        <v>0</v>
      </c>
      <c r="J167" s="150">
        <v>0</v>
      </c>
      <c r="K167" s="150">
        <v>0</v>
      </c>
      <c r="L167" s="150"/>
    </row>
    <row r="168" spans="1:12">
      <c r="A168" s="173">
        <v>8</v>
      </c>
      <c r="B168" s="97" t="s">
        <v>100</v>
      </c>
      <c r="C168" s="150">
        <v>0</v>
      </c>
      <c r="D168" s="150">
        <v>0</v>
      </c>
      <c r="E168" s="150">
        <v>0</v>
      </c>
      <c r="F168" s="150">
        <v>0</v>
      </c>
      <c r="G168" s="150">
        <v>0</v>
      </c>
      <c r="H168" s="150">
        <v>0</v>
      </c>
      <c r="I168" s="150">
        <v>0</v>
      </c>
      <c r="J168" s="150">
        <v>0</v>
      </c>
      <c r="K168" s="150">
        <v>0</v>
      </c>
      <c r="L168" s="150"/>
    </row>
    <row r="169" spans="1:12">
      <c r="A169" s="173">
        <v>9</v>
      </c>
      <c r="B169" s="97" t="s">
        <v>77</v>
      </c>
      <c r="C169" s="150">
        <v>0</v>
      </c>
      <c r="D169" s="150">
        <v>0</v>
      </c>
      <c r="E169" s="150">
        <v>0</v>
      </c>
      <c r="F169" s="150">
        <v>0</v>
      </c>
      <c r="G169" s="150">
        <v>0</v>
      </c>
      <c r="H169" s="150">
        <v>0</v>
      </c>
      <c r="I169" s="150">
        <v>0</v>
      </c>
      <c r="J169" s="150">
        <v>0</v>
      </c>
      <c r="K169" s="150">
        <v>0</v>
      </c>
      <c r="L169" s="150"/>
    </row>
    <row r="170" spans="1:12">
      <c r="A170" s="173">
        <v>10</v>
      </c>
      <c r="B170" s="97" t="s">
        <v>101</v>
      </c>
      <c r="C170" s="150">
        <v>0</v>
      </c>
      <c r="D170" s="150">
        <v>0</v>
      </c>
      <c r="E170" s="150">
        <v>0</v>
      </c>
      <c r="F170" s="150">
        <v>0</v>
      </c>
      <c r="G170" s="150">
        <v>0</v>
      </c>
      <c r="H170" s="150">
        <v>0</v>
      </c>
      <c r="I170" s="150">
        <v>0</v>
      </c>
      <c r="J170" s="150">
        <v>0</v>
      </c>
      <c r="K170" s="150">
        <v>0</v>
      </c>
      <c r="L170" s="150"/>
    </row>
    <row r="171" spans="1:12">
      <c r="A171" s="173">
        <v>11</v>
      </c>
      <c r="B171" s="97" t="s">
        <v>84</v>
      </c>
      <c r="C171" s="150">
        <v>0</v>
      </c>
      <c r="D171" s="150">
        <v>0</v>
      </c>
      <c r="E171" s="150">
        <v>0</v>
      </c>
      <c r="F171" s="150">
        <v>0</v>
      </c>
      <c r="G171" s="150">
        <v>0</v>
      </c>
      <c r="H171" s="150">
        <v>0</v>
      </c>
      <c r="I171" s="150">
        <v>0</v>
      </c>
      <c r="J171" s="150">
        <v>0</v>
      </c>
      <c r="K171" s="150">
        <v>0</v>
      </c>
      <c r="L171" s="150"/>
    </row>
    <row r="172" spans="1:12">
      <c r="A172" s="173">
        <v>12</v>
      </c>
      <c r="B172" s="97" t="s">
        <v>78</v>
      </c>
      <c r="C172" s="150">
        <v>0</v>
      </c>
      <c r="D172" s="150">
        <v>0</v>
      </c>
      <c r="E172" s="150">
        <v>0</v>
      </c>
      <c r="F172" s="150">
        <v>0</v>
      </c>
      <c r="G172" s="150">
        <v>0</v>
      </c>
      <c r="H172" s="150">
        <v>0</v>
      </c>
      <c r="I172" s="150">
        <v>0</v>
      </c>
      <c r="J172" s="150">
        <v>0</v>
      </c>
      <c r="K172" s="150">
        <v>0</v>
      </c>
      <c r="L172" s="150"/>
    </row>
    <row r="173" spans="1:12">
      <c r="A173" s="173">
        <v>13</v>
      </c>
      <c r="B173" s="97" t="s">
        <v>85</v>
      </c>
      <c r="C173" s="150">
        <v>0</v>
      </c>
      <c r="D173" s="150">
        <v>0</v>
      </c>
      <c r="E173" s="150">
        <v>0</v>
      </c>
      <c r="F173" s="150">
        <v>0</v>
      </c>
      <c r="G173" s="150">
        <v>0</v>
      </c>
      <c r="H173" s="150">
        <v>0</v>
      </c>
      <c r="I173" s="150">
        <v>0</v>
      </c>
      <c r="J173" s="150">
        <v>0</v>
      </c>
      <c r="K173" s="150">
        <v>0</v>
      </c>
      <c r="L173" s="150"/>
    </row>
    <row r="174" spans="1:12">
      <c r="A174" s="173">
        <v>14</v>
      </c>
      <c r="B174" s="97" t="s">
        <v>79</v>
      </c>
      <c r="C174" s="150">
        <v>0</v>
      </c>
      <c r="D174" s="150">
        <v>0</v>
      </c>
      <c r="E174" s="150">
        <v>0</v>
      </c>
      <c r="F174" s="150">
        <v>0</v>
      </c>
      <c r="G174" s="150">
        <v>0</v>
      </c>
      <c r="H174" s="150">
        <v>0</v>
      </c>
      <c r="I174" s="150">
        <v>0</v>
      </c>
      <c r="J174" s="150">
        <v>0</v>
      </c>
      <c r="K174" s="150">
        <v>0</v>
      </c>
      <c r="L174" s="150"/>
    </row>
    <row r="175" spans="1:12" ht="21" thickBot="1">
      <c r="A175" s="157" t="s">
        <v>0</v>
      </c>
      <c r="B175" s="128" t="s">
        <v>6</v>
      </c>
      <c r="C175" s="125">
        <f>SUM(C161:C174)</f>
        <v>0</v>
      </c>
      <c r="D175" s="125">
        <f t="shared" ref="D175:K175" si="7">SUM(D161:D174)</f>
        <v>0</v>
      </c>
      <c r="E175" s="125">
        <f t="shared" si="7"/>
        <v>0</v>
      </c>
      <c r="F175" s="125">
        <f t="shared" si="7"/>
        <v>0</v>
      </c>
      <c r="G175" s="125">
        <f t="shared" si="7"/>
        <v>0</v>
      </c>
      <c r="H175" s="125">
        <f t="shared" si="7"/>
        <v>0</v>
      </c>
      <c r="I175" s="125">
        <f t="shared" si="7"/>
        <v>0</v>
      </c>
      <c r="J175" s="125">
        <f t="shared" si="7"/>
        <v>0</v>
      </c>
      <c r="K175" s="125">
        <f t="shared" si="7"/>
        <v>0</v>
      </c>
      <c r="L175" s="125"/>
    </row>
    <row r="176" spans="1:12" ht="21" thickTop="1">
      <c r="A176" s="137"/>
      <c r="B176" s="136"/>
      <c r="C176" s="137"/>
      <c r="D176" s="137"/>
      <c r="E176" s="137"/>
      <c r="F176" s="137"/>
      <c r="G176" s="137"/>
      <c r="H176" s="137"/>
      <c r="I176" s="137"/>
      <c r="J176" s="137"/>
      <c r="K176" s="137"/>
      <c r="L176" s="137"/>
    </row>
    <row r="177" spans="1:12">
      <c r="A177" s="275" t="s">
        <v>141</v>
      </c>
      <c r="B177" s="296"/>
      <c r="C177" s="296"/>
      <c r="D177" s="296"/>
      <c r="E177" s="296"/>
      <c r="F177" s="296"/>
      <c r="G177" s="296"/>
      <c r="H177" s="296"/>
      <c r="I177" s="296"/>
      <c r="J177" s="296"/>
      <c r="K177" s="296"/>
      <c r="L177" s="296"/>
    </row>
    <row r="178" spans="1:12">
      <c r="A178" s="297" t="s">
        <v>32</v>
      </c>
      <c r="B178" s="297"/>
      <c r="C178" s="297"/>
      <c r="D178" s="297"/>
      <c r="E178" s="297"/>
      <c r="F178" s="297"/>
      <c r="G178" s="297"/>
      <c r="H178" s="297"/>
      <c r="I178" s="297"/>
      <c r="J178" s="297"/>
      <c r="K178" s="297"/>
      <c r="L178" s="297"/>
    </row>
    <row r="179" spans="1:12" ht="18.75" customHeight="1">
      <c r="A179" s="299" t="s">
        <v>31</v>
      </c>
      <c r="B179" s="300"/>
      <c r="C179" s="300"/>
      <c r="D179" s="77"/>
      <c r="E179" s="77"/>
      <c r="F179" s="77"/>
      <c r="G179" s="77"/>
      <c r="H179" s="77"/>
      <c r="I179" s="77"/>
      <c r="J179" s="77"/>
      <c r="K179" s="77"/>
      <c r="L179" s="78" t="s">
        <v>1</v>
      </c>
    </row>
    <row r="180" spans="1:12" s="2" customFormat="1" ht="37.5" customHeight="1">
      <c r="A180" s="301" t="s">
        <v>43</v>
      </c>
      <c r="B180" s="301" t="s">
        <v>68</v>
      </c>
      <c r="C180" s="303" t="s">
        <v>69</v>
      </c>
      <c r="D180" s="304"/>
      <c r="E180" s="304"/>
      <c r="F180" s="182" t="s">
        <v>70</v>
      </c>
      <c r="G180" s="182" t="s">
        <v>91</v>
      </c>
      <c r="H180" s="285" t="s">
        <v>131</v>
      </c>
      <c r="I180" s="286"/>
      <c r="J180" s="286"/>
      <c r="K180" s="286"/>
      <c r="L180" s="301" t="s">
        <v>107</v>
      </c>
    </row>
    <row r="181" spans="1:12" s="2" customFormat="1" ht="75" customHeight="1">
      <c r="A181" s="302"/>
      <c r="B181" s="302"/>
      <c r="C181" s="182" t="s">
        <v>117</v>
      </c>
      <c r="D181" s="182" t="s">
        <v>116</v>
      </c>
      <c r="E181" s="182" t="s">
        <v>124</v>
      </c>
      <c r="F181" s="182" t="s">
        <v>135</v>
      </c>
      <c r="G181" s="182" t="s">
        <v>135</v>
      </c>
      <c r="H181" s="182" t="s">
        <v>71</v>
      </c>
      <c r="I181" s="182" t="s">
        <v>72</v>
      </c>
      <c r="J181" s="182" t="s">
        <v>73</v>
      </c>
      <c r="K181" s="182" t="s">
        <v>74</v>
      </c>
      <c r="L181" s="302"/>
    </row>
    <row r="182" spans="1:12" s="186" customFormat="1" ht="18" customHeight="1">
      <c r="A182" s="184">
        <v>1</v>
      </c>
      <c r="B182" s="184">
        <v>2</v>
      </c>
      <c r="C182" s="184">
        <v>3</v>
      </c>
      <c r="D182" s="184">
        <v>4</v>
      </c>
      <c r="E182" s="184">
        <v>5</v>
      </c>
      <c r="F182" s="184">
        <v>6</v>
      </c>
      <c r="G182" s="184">
        <v>7</v>
      </c>
      <c r="H182" s="184">
        <v>8</v>
      </c>
      <c r="I182" s="184">
        <v>9</v>
      </c>
      <c r="J182" s="184">
        <v>10</v>
      </c>
      <c r="K182" s="184">
        <v>11</v>
      </c>
      <c r="L182" s="184">
        <v>12</v>
      </c>
    </row>
    <row r="183" spans="1:12">
      <c r="A183" s="174">
        <v>1</v>
      </c>
      <c r="B183" s="63" t="s">
        <v>75</v>
      </c>
      <c r="C183" s="79">
        <f t="shared" ref="C183:C196" si="8">SUM(C7+C29+C51+C73+C95+C117+C139+C161)</f>
        <v>183854</v>
      </c>
      <c r="D183" s="79">
        <f t="shared" ref="D183:K183" si="9">SUM(D7+D29+D51+D73+D95+D117+D139+D161)</f>
        <v>197411</v>
      </c>
      <c r="E183" s="79">
        <f t="shared" si="9"/>
        <v>214250</v>
      </c>
      <c r="F183" s="79">
        <f t="shared" si="9"/>
        <v>320000</v>
      </c>
      <c r="G183" s="79">
        <f t="shared" si="9"/>
        <v>333639</v>
      </c>
      <c r="H183" s="79">
        <f>SUM(H7+H29+H51+H73+H95+H117+H139+H161)</f>
        <v>363203</v>
      </c>
      <c r="I183" s="79">
        <f t="shared" si="9"/>
        <v>0</v>
      </c>
      <c r="J183" s="79">
        <f t="shared" si="9"/>
        <v>0</v>
      </c>
      <c r="K183" s="79">
        <f t="shared" si="9"/>
        <v>0</v>
      </c>
      <c r="L183" s="79"/>
    </row>
    <row r="184" spans="1:12">
      <c r="A184" s="174">
        <v>2</v>
      </c>
      <c r="B184" s="63" t="s">
        <v>82</v>
      </c>
      <c r="C184" s="79">
        <f t="shared" si="8"/>
        <v>244</v>
      </c>
      <c r="D184" s="79">
        <f t="shared" ref="D184:K185" si="10">SUM(D8+D30+D52+D74+D96+D118+D140+D162)</f>
        <v>320</v>
      </c>
      <c r="E184" s="79">
        <f t="shared" si="10"/>
        <v>690</v>
      </c>
      <c r="F184" s="79">
        <f t="shared" si="10"/>
        <v>1700</v>
      </c>
      <c r="G184" s="79">
        <f t="shared" si="10"/>
        <v>2007</v>
      </c>
      <c r="H184" s="79">
        <f t="shared" si="10"/>
        <v>2800</v>
      </c>
      <c r="I184" s="79">
        <f t="shared" si="10"/>
        <v>0</v>
      </c>
      <c r="J184" s="79">
        <f t="shared" si="10"/>
        <v>0</v>
      </c>
      <c r="K184" s="79">
        <f t="shared" si="10"/>
        <v>0</v>
      </c>
      <c r="L184" s="80"/>
    </row>
    <row r="185" spans="1:12" ht="30">
      <c r="A185" s="174">
        <v>3</v>
      </c>
      <c r="B185" s="63" t="s">
        <v>80</v>
      </c>
      <c r="C185" s="79">
        <f t="shared" si="8"/>
        <v>2712</v>
      </c>
      <c r="D185" s="79">
        <f t="shared" si="10"/>
        <v>3369</v>
      </c>
      <c r="E185" s="79">
        <f t="shared" si="10"/>
        <v>3435</v>
      </c>
      <c r="F185" s="79">
        <f t="shared" si="10"/>
        <v>6000</v>
      </c>
      <c r="G185" s="79">
        <f t="shared" si="10"/>
        <v>8450</v>
      </c>
      <c r="H185" s="79">
        <f t="shared" si="10"/>
        <v>12700</v>
      </c>
      <c r="I185" s="79">
        <f t="shared" si="10"/>
        <v>0</v>
      </c>
      <c r="J185" s="79">
        <f t="shared" si="10"/>
        <v>0</v>
      </c>
      <c r="K185" s="79">
        <f t="shared" si="10"/>
        <v>0</v>
      </c>
      <c r="L185" s="79"/>
    </row>
    <row r="186" spans="1:12">
      <c r="A186" s="174">
        <v>4</v>
      </c>
      <c r="B186" s="63" t="s">
        <v>99</v>
      </c>
      <c r="C186" s="79">
        <f t="shared" si="8"/>
        <v>0</v>
      </c>
      <c r="D186" s="79">
        <f t="shared" ref="D186:K186" si="11">SUM(D10+D32+D54+D76+D98+D120+D142+D164)</f>
        <v>0</v>
      </c>
      <c r="E186" s="79">
        <f t="shared" si="11"/>
        <v>0</v>
      </c>
      <c r="F186" s="79">
        <f t="shared" si="11"/>
        <v>1</v>
      </c>
      <c r="G186" s="79">
        <f t="shared" si="11"/>
        <v>0</v>
      </c>
      <c r="H186" s="79">
        <f t="shared" si="11"/>
        <v>0</v>
      </c>
      <c r="I186" s="79">
        <f t="shared" si="11"/>
        <v>0</v>
      </c>
      <c r="J186" s="79">
        <f t="shared" si="11"/>
        <v>0</v>
      </c>
      <c r="K186" s="79">
        <f t="shared" si="11"/>
        <v>0</v>
      </c>
      <c r="L186" s="79"/>
    </row>
    <row r="187" spans="1:12">
      <c r="A187" s="174">
        <v>5</v>
      </c>
      <c r="B187" s="63" t="s">
        <v>81</v>
      </c>
      <c r="C187" s="79">
        <f t="shared" si="8"/>
        <v>551</v>
      </c>
      <c r="D187" s="79">
        <f t="shared" ref="D187:K189" si="12">SUM(D11+D33+D55+D77+D99+D121+D143+D165)</f>
        <v>980</v>
      </c>
      <c r="E187" s="79">
        <f t="shared" si="12"/>
        <v>1091</v>
      </c>
      <c r="F187" s="79">
        <f t="shared" si="12"/>
        <v>4500</v>
      </c>
      <c r="G187" s="79">
        <f t="shared" si="12"/>
        <v>4557</v>
      </c>
      <c r="H187" s="79">
        <f t="shared" si="12"/>
        <v>4766</v>
      </c>
      <c r="I187" s="79">
        <f t="shared" si="12"/>
        <v>0</v>
      </c>
      <c r="J187" s="79">
        <f t="shared" si="12"/>
        <v>0</v>
      </c>
      <c r="K187" s="79">
        <f t="shared" si="12"/>
        <v>0</v>
      </c>
      <c r="L187" s="79"/>
    </row>
    <row r="188" spans="1:12">
      <c r="A188" s="174">
        <v>6</v>
      </c>
      <c r="B188" s="63" t="s">
        <v>76</v>
      </c>
      <c r="C188" s="79">
        <f t="shared" si="8"/>
        <v>10277</v>
      </c>
      <c r="D188" s="79">
        <f t="shared" si="12"/>
        <v>12934</v>
      </c>
      <c r="E188" s="79">
        <f t="shared" si="12"/>
        <v>10957</v>
      </c>
      <c r="F188" s="79">
        <f t="shared" si="12"/>
        <v>17500</v>
      </c>
      <c r="G188" s="79">
        <f t="shared" si="12"/>
        <v>18200</v>
      </c>
      <c r="H188" s="79">
        <f t="shared" si="12"/>
        <v>21300</v>
      </c>
      <c r="I188" s="79">
        <f t="shared" si="12"/>
        <v>0</v>
      </c>
      <c r="J188" s="79">
        <f t="shared" si="12"/>
        <v>0</v>
      </c>
      <c r="K188" s="79">
        <f t="shared" si="12"/>
        <v>0</v>
      </c>
      <c r="L188" s="79"/>
    </row>
    <row r="189" spans="1:12">
      <c r="A189" s="174">
        <v>7</v>
      </c>
      <c r="B189" s="63" t="s">
        <v>83</v>
      </c>
      <c r="C189" s="79">
        <f t="shared" si="8"/>
        <v>646</v>
      </c>
      <c r="D189" s="79">
        <f t="shared" si="12"/>
        <v>574</v>
      </c>
      <c r="E189" s="79">
        <f t="shared" si="12"/>
        <v>606</v>
      </c>
      <c r="F189" s="79">
        <f t="shared" si="12"/>
        <v>1595</v>
      </c>
      <c r="G189" s="79">
        <f t="shared" si="12"/>
        <v>2490</v>
      </c>
      <c r="H189" s="79">
        <f t="shared" si="12"/>
        <v>3630</v>
      </c>
      <c r="I189" s="79">
        <f t="shared" si="12"/>
        <v>0</v>
      </c>
      <c r="J189" s="79">
        <f t="shared" si="12"/>
        <v>0</v>
      </c>
      <c r="K189" s="79">
        <f t="shared" si="12"/>
        <v>0</v>
      </c>
      <c r="L189" s="79"/>
    </row>
    <row r="190" spans="1:12">
      <c r="A190" s="174">
        <v>8</v>
      </c>
      <c r="B190" s="63" t="s">
        <v>100</v>
      </c>
      <c r="C190" s="79">
        <f t="shared" si="8"/>
        <v>0</v>
      </c>
      <c r="D190" s="79">
        <f t="shared" ref="D190:K190" si="13">SUM(D14+D36+D58+D80+D102+D124+D146+D168)</f>
        <v>0</v>
      </c>
      <c r="E190" s="79">
        <f t="shared" si="13"/>
        <v>0</v>
      </c>
      <c r="F190" s="79">
        <f t="shared" si="13"/>
        <v>1</v>
      </c>
      <c r="G190" s="79">
        <f t="shared" si="13"/>
        <v>101</v>
      </c>
      <c r="H190" s="79">
        <f t="shared" si="13"/>
        <v>100</v>
      </c>
      <c r="I190" s="79">
        <f t="shared" si="13"/>
        <v>0</v>
      </c>
      <c r="J190" s="79">
        <f t="shared" si="13"/>
        <v>0</v>
      </c>
      <c r="K190" s="79">
        <f t="shared" si="13"/>
        <v>0</v>
      </c>
      <c r="L190" s="79"/>
    </row>
    <row r="191" spans="1:12">
      <c r="A191" s="174">
        <v>9</v>
      </c>
      <c r="B191" s="63" t="s">
        <v>77</v>
      </c>
      <c r="C191" s="79">
        <f t="shared" si="8"/>
        <v>219</v>
      </c>
      <c r="D191" s="79">
        <f t="shared" ref="D191:K191" si="14">SUM(D15+D37+D59+D81+D103+D125+D147+D169)</f>
        <v>200</v>
      </c>
      <c r="E191" s="79">
        <f t="shared" si="14"/>
        <v>156</v>
      </c>
      <c r="F191" s="79">
        <f t="shared" si="14"/>
        <v>700</v>
      </c>
      <c r="G191" s="79">
        <f t="shared" si="14"/>
        <v>2305</v>
      </c>
      <c r="H191" s="79">
        <f t="shared" si="14"/>
        <v>3675</v>
      </c>
      <c r="I191" s="79">
        <f t="shared" si="14"/>
        <v>0</v>
      </c>
      <c r="J191" s="79">
        <f t="shared" si="14"/>
        <v>0</v>
      </c>
      <c r="K191" s="79">
        <f t="shared" si="14"/>
        <v>0</v>
      </c>
      <c r="L191" s="79"/>
    </row>
    <row r="192" spans="1:12">
      <c r="A192" s="174">
        <v>10</v>
      </c>
      <c r="B192" s="63" t="s">
        <v>101</v>
      </c>
      <c r="C192" s="79">
        <f t="shared" si="8"/>
        <v>0</v>
      </c>
      <c r="D192" s="79">
        <f t="shared" ref="D192:K192" si="15">SUM(D16+D38+D60+D82+D104+D126+D148+D170)</f>
        <v>0</v>
      </c>
      <c r="E192" s="79">
        <f t="shared" si="15"/>
        <v>0</v>
      </c>
      <c r="F192" s="79">
        <f t="shared" si="15"/>
        <v>0</v>
      </c>
      <c r="G192" s="79">
        <f t="shared" si="15"/>
        <v>0</v>
      </c>
      <c r="H192" s="79">
        <f t="shared" si="15"/>
        <v>0</v>
      </c>
      <c r="I192" s="79">
        <f t="shared" si="15"/>
        <v>0</v>
      </c>
      <c r="J192" s="79">
        <f t="shared" si="15"/>
        <v>0</v>
      </c>
      <c r="K192" s="79">
        <f t="shared" si="15"/>
        <v>0</v>
      </c>
      <c r="L192" s="79"/>
    </row>
    <row r="193" spans="1:12">
      <c r="A193" s="174">
        <v>11</v>
      </c>
      <c r="B193" s="63" t="s">
        <v>84</v>
      </c>
      <c r="C193" s="79">
        <f t="shared" si="8"/>
        <v>1645</v>
      </c>
      <c r="D193" s="79">
        <f t="shared" ref="D193:K196" si="16">SUM(D17+D39+D61+D83+D105+D127+D149+D171)</f>
        <v>2717</v>
      </c>
      <c r="E193" s="79">
        <f>SUM(E17+E39+E61+E83+E105+E127+E149+E171)</f>
        <v>2481</v>
      </c>
      <c r="F193" s="79">
        <f t="shared" si="16"/>
        <v>7000</v>
      </c>
      <c r="G193" s="79">
        <f t="shared" si="16"/>
        <v>7411</v>
      </c>
      <c r="H193" s="79">
        <f t="shared" si="16"/>
        <v>7670</v>
      </c>
      <c r="I193" s="79">
        <f t="shared" si="16"/>
        <v>0</v>
      </c>
      <c r="J193" s="79">
        <f t="shared" si="16"/>
        <v>0</v>
      </c>
      <c r="K193" s="79">
        <f t="shared" si="16"/>
        <v>0</v>
      </c>
      <c r="L193" s="79"/>
    </row>
    <row r="194" spans="1:12">
      <c r="A194" s="174">
        <v>12</v>
      </c>
      <c r="B194" s="63" t="s">
        <v>78</v>
      </c>
      <c r="C194" s="79">
        <f t="shared" si="8"/>
        <v>0</v>
      </c>
      <c r="D194" s="79">
        <f t="shared" si="16"/>
        <v>0</v>
      </c>
      <c r="E194" s="79">
        <f t="shared" si="16"/>
        <v>0</v>
      </c>
      <c r="F194" s="79">
        <f t="shared" si="16"/>
        <v>1</v>
      </c>
      <c r="G194" s="79">
        <f t="shared" si="16"/>
        <v>920</v>
      </c>
      <c r="H194" s="79">
        <f t="shared" si="16"/>
        <v>1570</v>
      </c>
      <c r="I194" s="79">
        <f t="shared" si="16"/>
        <v>0</v>
      </c>
      <c r="J194" s="79">
        <f t="shared" si="16"/>
        <v>0</v>
      </c>
      <c r="K194" s="79">
        <f t="shared" si="16"/>
        <v>0</v>
      </c>
      <c r="L194" s="79"/>
    </row>
    <row r="195" spans="1:12">
      <c r="A195" s="174">
        <v>13</v>
      </c>
      <c r="B195" s="63" t="s">
        <v>85</v>
      </c>
      <c r="C195" s="79">
        <f t="shared" si="8"/>
        <v>0</v>
      </c>
      <c r="D195" s="79">
        <f t="shared" si="16"/>
        <v>0</v>
      </c>
      <c r="E195" s="79">
        <f t="shared" si="16"/>
        <v>0</v>
      </c>
      <c r="F195" s="79">
        <f t="shared" si="16"/>
        <v>1</v>
      </c>
      <c r="G195" s="79">
        <f t="shared" si="16"/>
        <v>600</v>
      </c>
      <c r="H195" s="79">
        <f t="shared" si="16"/>
        <v>400</v>
      </c>
      <c r="I195" s="79">
        <f t="shared" si="16"/>
        <v>0</v>
      </c>
      <c r="J195" s="79">
        <f t="shared" si="16"/>
        <v>0</v>
      </c>
      <c r="K195" s="79">
        <f t="shared" si="16"/>
        <v>0</v>
      </c>
      <c r="L195" s="79"/>
    </row>
    <row r="196" spans="1:12">
      <c r="A196" s="174">
        <v>14</v>
      </c>
      <c r="B196" s="63" t="s">
        <v>79</v>
      </c>
      <c r="C196" s="79">
        <f t="shared" si="8"/>
        <v>0</v>
      </c>
      <c r="D196" s="79">
        <f t="shared" si="16"/>
        <v>0</v>
      </c>
      <c r="E196" s="79">
        <f t="shared" si="16"/>
        <v>0</v>
      </c>
      <c r="F196" s="79">
        <f t="shared" si="16"/>
        <v>1</v>
      </c>
      <c r="G196" s="79">
        <f t="shared" si="16"/>
        <v>1071</v>
      </c>
      <c r="H196" s="79">
        <f t="shared" si="16"/>
        <v>2320</v>
      </c>
      <c r="I196" s="79">
        <f t="shared" si="16"/>
        <v>0</v>
      </c>
      <c r="J196" s="79">
        <f t="shared" si="16"/>
        <v>0</v>
      </c>
      <c r="K196" s="79">
        <f t="shared" si="16"/>
        <v>0</v>
      </c>
      <c r="L196" s="79"/>
    </row>
    <row r="197" spans="1:12" ht="21" thickBot="1">
      <c r="A197" s="7" t="s">
        <v>0</v>
      </c>
      <c r="B197" s="47" t="s">
        <v>6</v>
      </c>
      <c r="C197" s="81">
        <f t="shared" ref="C197:K197" si="17">SUM(C183:C196)</f>
        <v>200148</v>
      </c>
      <c r="D197" s="81">
        <f t="shared" si="17"/>
        <v>218505</v>
      </c>
      <c r="E197" s="81">
        <f t="shared" si="17"/>
        <v>233666</v>
      </c>
      <c r="F197" s="81">
        <f t="shared" si="17"/>
        <v>359000</v>
      </c>
      <c r="G197" s="81">
        <f t="shared" si="17"/>
        <v>381751</v>
      </c>
      <c r="H197" s="81">
        <f t="shared" si="17"/>
        <v>424134</v>
      </c>
      <c r="I197" s="81">
        <f t="shared" si="17"/>
        <v>0</v>
      </c>
      <c r="J197" s="81">
        <f t="shared" si="17"/>
        <v>0</v>
      </c>
      <c r="K197" s="81">
        <f t="shared" si="17"/>
        <v>0</v>
      </c>
      <c r="L197" s="81"/>
    </row>
    <row r="198" spans="1:12" ht="21" thickTop="1">
      <c r="A198" s="14"/>
      <c r="B198" s="85"/>
      <c r="C198" s="82"/>
      <c r="D198" s="82"/>
      <c r="E198" s="82"/>
      <c r="F198" s="82"/>
      <c r="G198" s="82"/>
      <c r="H198" s="82"/>
      <c r="I198" s="82"/>
      <c r="J198" s="82"/>
      <c r="K198" s="82"/>
      <c r="L198" s="82"/>
    </row>
    <row r="200" spans="1:12">
      <c r="K200" s="205" t="s">
        <v>120</v>
      </c>
    </row>
  </sheetData>
  <mergeCells count="72">
    <mergeCell ref="A1:L1"/>
    <mergeCell ref="A3:C3"/>
    <mergeCell ref="C4:E4"/>
    <mergeCell ref="H4:K4"/>
    <mergeCell ref="A2:L2"/>
    <mergeCell ref="A4:A5"/>
    <mergeCell ref="B4:B5"/>
    <mergeCell ref="L4:L5"/>
    <mergeCell ref="A23:L23"/>
    <mergeCell ref="A24:L24"/>
    <mergeCell ref="A25:C25"/>
    <mergeCell ref="A26:A27"/>
    <mergeCell ref="B26:B27"/>
    <mergeCell ref="C26:E26"/>
    <mergeCell ref="H26:K26"/>
    <mergeCell ref="L26:L27"/>
    <mergeCell ref="A45:L45"/>
    <mergeCell ref="A46:L46"/>
    <mergeCell ref="A47:C47"/>
    <mergeCell ref="A48:A49"/>
    <mergeCell ref="B48:B49"/>
    <mergeCell ref="C48:E48"/>
    <mergeCell ref="H48:K48"/>
    <mergeCell ref="L48:L49"/>
    <mergeCell ref="A89:L89"/>
    <mergeCell ref="A90:L90"/>
    <mergeCell ref="A91:C91"/>
    <mergeCell ref="A92:A93"/>
    <mergeCell ref="B92:B93"/>
    <mergeCell ref="C92:E92"/>
    <mergeCell ref="H92:K92"/>
    <mergeCell ref="L92:L93"/>
    <mergeCell ref="A111:L111"/>
    <mergeCell ref="A112:L112"/>
    <mergeCell ref="A113:C113"/>
    <mergeCell ref="A114:A115"/>
    <mergeCell ref="B114:B115"/>
    <mergeCell ref="C114:E114"/>
    <mergeCell ref="H114:K114"/>
    <mergeCell ref="L114:L115"/>
    <mergeCell ref="A133:L133"/>
    <mergeCell ref="A134:L134"/>
    <mergeCell ref="A135:C135"/>
    <mergeCell ref="A136:A137"/>
    <mergeCell ref="B136:B137"/>
    <mergeCell ref="C136:E136"/>
    <mergeCell ref="H136:K136"/>
    <mergeCell ref="L136:L137"/>
    <mergeCell ref="A178:L178"/>
    <mergeCell ref="A177:L177"/>
    <mergeCell ref="A155:L155"/>
    <mergeCell ref="A156:L156"/>
    <mergeCell ref="A157:C157"/>
    <mergeCell ref="A158:A159"/>
    <mergeCell ref="B158:B159"/>
    <mergeCell ref="C158:E158"/>
    <mergeCell ref="H158:K158"/>
    <mergeCell ref="L158:L159"/>
    <mergeCell ref="A179:C179"/>
    <mergeCell ref="A180:A181"/>
    <mergeCell ref="B180:B181"/>
    <mergeCell ref="C180:E180"/>
    <mergeCell ref="H180:K180"/>
    <mergeCell ref="L180:L181"/>
    <mergeCell ref="A67:L67"/>
    <mergeCell ref="A68:L68"/>
    <mergeCell ref="A69:C69"/>
    <mergeCell ref="A70:A71"/>
    <mergeCell ref="B70:B71"/>
    <mergeCell ref="C70:E70"/>
    <mergeCell ref="H70:K70"/>
    <mergeCell ref="L70:L71"/>
  </mergeCells>
  <phoneticPr fontId="0" type="noConversion"/>
  <pageMargins left="0.78740157480314965" right="0.19685039370078741" top="0.39370078740157483" bottom="0.39370078740157483" header="0.31496062992125984" footer="0.15748031496062992"/>
  <pageSetup paperSize="5" scale="97" orientation="landscape" r:id="rId1"/>
  <headerFooter>
    <oddFooter>&amp;Z&amp;F&amp;RPage &amp;P</oddFooter>
  </headerFooter>
  <rowBreaks count="8" manualBreakCount="8">
    <brk id="22" max="16383" man="1"/>
    <brk id="44" max="16383" man="1"/>
    <brk id="66" max="16383" man="1"/>
    <brk id="88" max="16383" man="1"/>
    <brk id="110" max="16383" man="1"/>
    <brk id="132" max="16383" man="1"/>
    <brk id="154" max="16383" man="1"/>
    <brk id="17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view="pageBreakPreview" topLeftCell="A11" zoomScaleNormal="80" zoomScaleSheetLayoutView="100" workbookViewId="0">
      <selection activeCell="L33" sqref="L33"/>
    </sheetView>
  </sheetViews>
  <sheetFormatPr defaultRowHeight="20.25"/>
  <cols>
    <col min="1" max="1" width="4.7109375" style="26" customWidth="1"/>
    <col min="2" max="2" width="23.7109375" style="26" customWidth="1"/>
    <col min="3" max="4" width="11" style="26" customWidth="1"/>
    <col min="5" max="5" width="12.7109375" style="26" customWidth="1"/>
    <col min="6" max="6" width="12.42578125" style="26" customWidth="1"/>
    <col min="7" max="7" width="11.42578125" style="26" customWidth="1"/>
    <col min="8" max="8" width="12.7109375" style="26" customWidth="1"/>
    <col min="9" max="9" width="12.85546875" style="26" customWidth="1"/>
    <col min="10" max="11" width="10.5703125" style="26" customWidth="1"/>
    <col min="12" max="12" width="60.5703125" style="26" customWidth="1"/>
    <col min="13" max="16384" width="9.140625" style="2"/>
  </cols>
  <sheetData>
    <row r="1" spans="1:13" s="76" customFormat="1">
      <c r="A1" s="275" t="s">
        <v>130</v>
      </c>
      <c r="B1" s="296"/>
      <c r="C1" s="296"/>
      <c r="D1" s="296"/>
      <c r="E1" s="296"/>
      <c r="F1" s="296"/>
      <c r="G1" s="296"/>
      <c r="H1" s="296"/>
      <c r="I1" s="296"/>
      <c r="J1" s="296"/>
      <c r="K1" s="296"/>
      <c r="L1" s="296"/>
    </row>
    <row r="2" spans="1:13" s="76" customFormat="1">
      <c r="A2" s="297" t="s">
        <v>32</v>
      </c>
      <c r="B2" s="298"/>
      <c r="C2" s="298"/>
      <c r="D2" s="298"/>
      <c r="E2" s="298"/>
      <c r="F2" s="298"/>
      <c r="G2" s="298"/>
      <c r="H2" s="298"/>
      <c r="I2" s="298"/>
      <c r="J2" s="298"/>
      <c r="K2" s="298"/>
      <c r="L2" s="298"/>
    </row>
    <row r="3" spans="1:13" s="76" customFormat="1" ht="18.75" customHeight="1">
      <c r="A3" s="299" t="s">
        <v>31</v>
      </c>
      <c r="B3" s="300"/>
      <c r="C3" s="300"/>
      <c r="D3" s="77"/>
      <c r="E3" s="77"/>
      <c r="F3" s="77"/>
      <c r="G3" s="77"/>
      <c r="H3" s="77"/>
      <c r="I3" s="77"/>
      <c r="J3" s="77"/>
      <c r="K3" s="77"/>
      <c r="L3" s="78" t="s">
        <v>1</v>
      </c>
    </row>
    <row r="4" spans="1:13" ht="37.5" customHeight="1">
      <c r="A4" s="301" t="s">
        <v>43</v>
      </c>
      <c r="B4" s="301" t="s">
        <v>68</v>
      </c>
      <c r="C4" s="303" t="s">
        <v>69</v>
      </c>
      <c r="D4" s="304"/>
      <c r="E4" s="304"/>
      <c r="F4" s="182" t="s">
        <v>70</v>
      </c>
      <c r="G4" s="182" t="s">
        <v>91</v>
      </c>
      <c r="H4" s="285" t="s">
        <v>131</v>
      </c>
      <c r="I4" s="286"/>
      <c r="J4" s="286"/>
      <c r="K4" s="286"/>
      <c r="L4" s="301" t="s">
        <v>107</v>
      </c>
      <c r="M4" s="183"/>
    </row>
    <row r="5" spans="1:13" ht="54.75" customHeight="1">
      <c r="A5" s="310"/>
      <c r="B5" s="310"/>
      <c r="C5" s="182" t="s">
        <v>117</v>
      </c>
      <c r="D5" s="182" t="s">
        <v>116</v>
      </c>
      <c r="E5" s="182" t="s">
        <v>124</v>
      </c>
      <c r="F5" s="182" t="s">
        <v>135</v>
      </c>
      <c r="G5" s="182" t="s">
        <v>135</v>
      </c>
      <c r="H5" s="182" t="s">
        <v>71</v>
      </c>
      <c r="I5" s="182" t="s">
        <v>72</v>
      </c>
      <c r="J5" s="182" t="s">
        <v>73</v>
      </c>
      <c r="K5" s="182" t="s">
        <v>74</v>
      </c>
      <c r="L5" s="302"/>
      <c r="M5" s="183"/>
    </row>
    <row r="6" spans="1:13" s="186" customFormat="1" ht="18" customHeight="1">
      <c r="A6" s="184">
        <v>1</v>
      </c>
      <c r="B6" s="184">
        <v>2</v>
      </c>
      <c r="C6" s="184">
        <v>3</v>
      </c>
      <c r="D6" s="184">
        <v>4</v>
      </c>
      <c r="E6" s="184">
        <v>5</v>
      </c>
      <c r="F6" s="184">
        <v>6</v>
      </c>
      <c r="G6" s="184">
        <v>7</v>
      </c>
      <c r="H6" s="184">
        <v>8</v>
      </c>
      <c r="I6" s="184">
        <v>9</v>
      </c>
      <c r="J6" s="184">
        <v>10</v>
      </c>
      <c r="K6" s="184">
        <v>11</v>
      </c>
      <c r="L6" s="184">
        <v>12</v>
      </c>
      <c r="M6" s="185"/>
    </row>
    <row r="7" spans="1:13" ht="57">
      <c r="A7" s="87">
        <v>1</v>
      </c>
      <c r="B7" s="86" t="s">
        <v>75</v>
      </c>
      <c r="C7" s="25">
        <f>'Page 4'!C183</f>
        <v>183854</v>
      </c>
      <c r="D7" s="25">
        <f>'Page 4'!D183</f>
        <v>197411</v>
      </c>
      <c r="E7" s="25">
        <f>'Page 4'!E183</f>
        <v>214250</v>
      </c>
      <c r="F7" s="25">
        <f>'Page 4'!F183</f>
        <v>320000</v>
      </c>
      <c r="G7" s="25">
        <f>'Page 4'!G183</f>
        <v>333639</v>
      </c>
      <c r="H7" s="25">
        <v>0</v>
      </c>
      <c r="I7" s="23">
        <f>'Page 4'!H183</f>
        <v>363203</v>
      </c>
      <c r="J7" s="25">
        <f>'Page 4'!J183</f>
        <v>0</v>
      </c>
      <c r="K7" s="25">
        <f>'Page 4'!K183</f>
        <v>0</v>
      </c>
      <c r="L7" s="160" t="s">
        <v>134</v>
      </c>
    </row>
    <row r="8" spans="1:13" ht="57.75">
      <c r="A8" s="87">
        <v>2</v>
      </c>
      <c r="B8" s="86" t="s">
        <v>87</v>
      </c>
      <c r="C8" s="25">
        <f>'Page 4'!C184</f>
        <v>244</v>
      </c>
      <c r="D8" s="25">
        <f>'Page 4'!D184</f>
        <v>320</v>
      </c>
      <c r="E8" s="25">
        <f>'Page 4'!E184</f>
        <v>690</v>
      </c>
      <c r="F8" s="25">
        <f>'Page 4'!F184</f>
        <v>1700</v>
      </c>
      <c r="G8" s="25">
        <f>'Page 4'!G184</f>
        <v>2007</v>
      </c>
      <c r="H8" s="25">
        <v>0</v>
      </c>
      <c r="I8" s="23">
        <f>'Page 4'!H184</f>
        <v>2800</v>
      </c>
      <c r="J8" s="25">
        <f>'Page 4'!J184</f>
        <v>0</v>
      </c>
      <c r="K8" s="25">
        <f>'Page 4'!K184</f>
        <v>0</v>
      </c>
      <c r="L8" s="160" t="s">
        <v>128</v>
      </c>
    </row>
    <row r="9" spans="1:13" ht="72">
      <c r="A9" s="87">
        <v>3</v>
      </c>
      <c r="B9" s="86" t="s">
        <v>88</v>
      </c>
      <c r="C9" s="25">
        <f>'Page 4'!C185</f>
        <v>2712</v>
      </c>
      <c r="D9" s="25">
        <f>'Page 4'!D185</f>
        <v>3369</v>
      </c>
      <c r="E9" s="25">
        <f>'Page 4'!E185</f>
        <v>3435</v>
      </c>
      <c r="F9" s="25">
        <f>'Page 4'!F185</f>
        <v>6000</v>
      </c>
      <c r="G9" s="25">
        <f>'Page 4'!G185</f>
        <v>8450</v>
      </c>
      <c r="H9" s="25">
        <v>0</v>
      </c>
      <c r="I9" s="23">
        <f>'Page 4'!H185</f>
        <v>12700</v>
      </c>
      <c r="J9" s="25">
        <f>'Page 4'!J185</f>
        <v>0</v>
      </c>
      <c r="K9" s="25">
        <f>'Page 4'!K185</f>
        <v>0</v>
      </c>
      <c r="L9" s="160" t="s">
        <v>95</v>
      </c>
    </row>
    <row r="10" spans="1:13">
      <c r="A10" s="87">
        <v>4</v>
      </c>
      <c r="B10" s="63" t="s">
        <v>99</v>
      </c>
      <c r="C10" s="25">
        <f>'Page 4'!C186</f>
        <v>0</v>
      </c>
      <c r="D10" s="25">
        <f>'Page 4'!D186</f>
        <v>0</v>
      </c>
      <c r="E10" s="25">
        <f>'Page 4'!E186</f>
        <v>0</v>
      </c>
      <c r="F10" s="25">
        <f>'Page 4'!F186</f>
        <v>1</v>
      </c>
      <c r="G10" s="25">
        <f>'Page 4'!G186</f>
        <v>0</v>
      </c>
      <c r="H10" s="25">
        <v>0</v>
      </c>
      <c r="I10" s="23">
        <f>'Page 4'!H186</f>
        <v>0</v>
      </c>
      <c r="J10" s="25">
        <f>'Page 4'!J186</f>
        <v>0</v>
      </c>
      <c r="K10" s="25">
        <f>'Page 4'!K186</f>
        <v>0</v>
      </c>
      <c r="L10" s="168"/>
    </row>
    <row r="11" spans="1:13" ht="75" customHeight="1">
      <c r="A11" s="87">
        <v>5</v>
      </c>
      <c r="B11" s="86" t="s">
        <v>81</v>
      </c>
      <c r="C11" s="25">
        <f>'Page 4'!C187</f>
        <v>551</v>
      </c>
      <c r="D11" s="25">
        <f>'Page 4'!D187</f>
        <v>980</v>
      </c>
      <c r="E11" s="25">
        <f>'Page 4'!E187</f>
        <v>1091</v>
      </c>
      <c r="F11" s="25">
        <f>'Page 4'!F187</f>
        <v>4500</v>
      </c>
      <c r="G11" s="25">
        <f>'Page 4'!G187</f>
        <v>4557</v>
      </c>
      <c r="H11" s="25">
        <v>0</v>
      </c>
      <c r="I11" s="23">
        <f>'Page 4'!H187</f>
        <v>4766</v>
      </c>
      <c r="J11" s="25">
        <f>'Page 4'!J187</f>
        <v>0</v>
      </c>
      <c r="K11" s="25">
        <f>'Page 4'!K187</f>
        <v>0</v>
      </c>
      <c r="L11" s="160" t="s">
        <v>105</v>
      </c>
    </row>
    <row r="12" spans="1:13" ht="43.5">
      <c r="A12" s="87">
        <v>6</v>
      </c>
      <c r="B12" s="86" t="s">
        <v>76</v>
      </c>
      <c r="C12" s="25">
        <f>'Page 4'!C188</f>
        <v>10277</v>
      </c>
      <c r="D12" s="25">
        <f>'Page 4'!D188</f>
        <v>12934</v>
      </c>
      <c r="E12" s="25">
        <f>'Page 4'!E188</f>
        <v>10957</v>
      </c>
      <c r="F12" s="25">
        <f>'Page 4'!F188</f>
        <v>17500</v>
      </c>
      <c r="G12" s="25">
        <f>'Page 4'!G188</f>
        <v>18200</v>
      </c>
      <c r="H12" s="25">
        <v>0</v>
      </c>
      <c r="I12" s="23">
        <f>'Page 4'!H188</f>
        <v>21300</v>
      </c>
      <c r="J12" s="25">
        <f>'Page 4'!J188</f>
        <v>0</v>
      </c>
      <c r="K12" s="25">
        <f>'Page 4'!K188</f>
        <v>0</v>
      </c>
      <c r="L12" s="160" t="s">
        <v>96</v>
      </c>
    </row>
    <row r="13" spans="1:13" ht="57.75">
      <c r="A13" s="87">
        <v>7</v>
      </c>
      <c r="B13" s="86" t="s">
        <v>89</v>
      </c>
      <c r="C13" s="25">
        <f>'Page 4'!C189</f>
        <v>646</v>
      </c>
      <c r="D13" s="25">
        <f>'Page 4'!D189</f>
        <v>574</v>
      </c>
      <c r="E13" s="25">
        <f>'Page 4'!E189</f>
        <v>606</v>
      </c>
      <c r="F13" s="25">
        <f>'Page 4'!F189</f>
        <v>1595</v>
      </c>
      <c r="G13" s="25">
        <f>'Page 4'!G189</f>
        <v>2490</v>
      </c>
      <c r="H13" s="25">
        <v>0</v>
      </c>
      <c r="I13" s="23">
        <f>'Page 4'!H189</f>
        <v>3630</v>
      </c>
      <c r="J13" s="25">
        <f>'Page 4'!J189</f>
        <v>0</v>
      </c>
      <c r="K13" s="25">
        <f>'Page 4'!K189</f>
        <v>0</v>
      </c>
      <c r="L13" s="160" t="s">
        <v>97</v>
      </c>
    </row>
    <row r="14" spans="1:13" s="175" customFormat="1" ht="43.5">
      <c r="A14" s="87">
        <v>8</v>
      </c>
      <c r="B14" s="63" t="s">
        <v>100</v>
      </c>
      <c r="C14" s="25">
        <f>'Page 4'!C190</f>
        <v>0</v>
      </c>
      <c r="D14" s="25">
        <f>'Page 4'!D190</f>
        <v>0</v>
      </c>
      <c r="E14" s="25">
        <f>'Page 4'!E190</f>
        <v>0</v>
      </c>
      <c r="F14" s="25">
        <f>'Page 4'!F190</f>
        <v>1</v>
      </c>
      <c r="G14" s="25">
        <f>'Page 4'!G190</f>
        <v>101</v>
      </c>
      <c r="H14" s="25">
        <v>0</v>
      </c>
      <c r="I14" s="23">
        <f>'Page 4'!H190</f>
        <v>100</v>
      </c>
      <c r="J14" s="25">
        <f>'Page 4'!J190</f>
        <v>0</v>
      </c>
      <c r="K14" s="25">
        <f>'Page 4'!K190</f>
        <v>0</v>
      </c>
      <c r="L14" s="160" t="s">
        <v>145</v>
      </c>
    </row>
    <row r="15" spans="1:13" ht="99.75" customHeight="1">
      <c r="A15" s="87">
        <v>9</v>
      </c>
      <c r="B15" s="86" t="s">
        <v>77</v>
      </c>
      <c r="C15" s="25">
        <f>'Page 4'!C191</f>
        <v>219</v>
      </c>
      <c r="D15" s="25">
        <f>'Page 4'!D191</f>
        <v>200</v>
      </c>
      <c r="E15" s="25">
        <f>'Page 4'!E191</f>
        <v>156</v>
      </c>
      <c r="F15" s="25">
        <f>'Page 4'!F191</f>
        <v>700</v>
      </c>
      <c r="G15" s="25">
        <f>'Page 4'!G191</f>
        <v>2305</v>
      </c>
      <c r="H15" s="25">
        <v>0</v>
      </c>
      <c r="I15" s="23">
        <f>'Page 4'!H191</f>
        <v>3675</v>
      </c>
      <c r="J15" s="25">
        <f>'Page 4'!J191</f>
        <v>0</v>
      </c>
      <c r="K15" s="25">
        <f>'Page 4'!K191</f>
        <v>0</v>
      </c>
      <c r="L15" s="160" t="s">
        <v>94</v>
      </c>
    </row>
    <row r="16" spans="1:13" s="175" customFormat="1">
      <c r="A16" s="87">
        <v>10</v>
      </c>
      <c r="B16" s="63" t="s">
        <v>101</v>
      </c>
      <c r="C16" s="25">
        <f>'Page 4'!C192</f>
        <v>0</v>
      </c>
      <c r="D16" s="25">
        <f>'Page 4'!D192</f>
        <v>0</v>
      </c>
      <c r="E16" s="25">
        <f>'Page 4'!E192</f>
        <v>0</v>
      </c>
      <c r="F16" s="25">
        <f>'Page 4'!F192</f>
        <v>0</v>
      </c>
      <c r="G16" s="25">
        <f>'Page 4'!G192</f>
        <v>0</v>
      </c>
      <c r="H16" s="25">
        <v>0</v>
      </c>
      <c r="I16" s="23">
        <f>'Page 4'!H192</f>
        <v>0</v>
      </c>
      <c r="J16" s="25">
        <f>'Page 4'!J192</f>
        <v>0</v>
      </c>
      <c r="K16" s="25">
        <f>'Page 4'!K192</f>
        <v>0</v>
      </c>
      <c r="L16" s="160"/>
    </row>
    <row r="17" spans="1:12" ht="72">
      <c r="A17" s="87">
        <v>11</v>
      </c>
      <c r="B17" s="86" t="s">
        <v>90</v>
      </c>
      <c r="C17" s="25">
        <f>'Page 4'!C193</f>
        <v>1645</v>
      </c>
      <c r="D17" s="25">
        <f>'Page 4'!D193</f>
        <v>2717</v>
      </c>
      <c r="E17" s="25">
        <f>'Page 4'!E193</f>
        <v>2481</v>
      </c>
      <c r="F17" s="25">
        <f>'Page 4'!F193</f>
        <v>7000</v>
      </c>
      <c r="G17" s="25">
        <f>'Page 4'!G193</f>
        <v>7411</v>
      </c>
      <c r="H17" s="25">
        <v>0</v>
      </c>
      <c r="I17" s="23">
        <f>'Page 4'!H193</f>
        <v>7670</v>
      </c>
      <c r="J17" s="25">
        <f>'Page 4'!J193</f>
        <v>0</v>
      </c>
      <c r="K17" s="25">
        <f>'Page 4'!K193</f>
        <v>0</v>
      </c>
      <c r="L17" s="160" t="s">
        <v>98</v>
      </c>
    </row>
    <row r="18" spans="1:12" ht="41.25" customHeight="1">
      <c r="A18" s="87">
        <v>12</v>
      </c>
      <c r="B18" s="86" t="s">
        <v>78</v>
      </c>
      <c r="C18" s="25">
        <f>'Page 4'!C194</f>
        <v>0</v>
      </c>
      <c r="D18" s="25">
        <f>'Page 4'!D194</f>
        <v>0</v>
      </c>
      <c r="E18" s="25">
        <f>'Page 4'!E194</f>
        <v>0</v>
      </c>
      <c r="F18" s="25">
        <f>'Page 4'!F194</f>
        <v>1</v>
      </c>
      <c r="G18" s="25">
        <f>'Page 4'!G194</f>
        <v>920</v>
      </c>
      <c r="H18" s="25">
        <v>0</v>
      </c>
      <c r="I18" s="23">
        <f>'Page 4'!H194</f>
        <v>1570</v>
      </c>
      <c r="J18" s="25">
        <f>'Page 4'!J194</f>
        <v>0</v>
      </c>
      <c r="K18" s="25">
        <f>'Page 4'!K194</f>
        <v>0</v>
      </c>
      <c r="L18" s="160" t="s">
        <v>104</v>
      </c>
    </row>
    <row r="19" spans="1:12" s="26" customFormat="1" ht="72">
      <c r="A19" s="87">
        <v>13</v>
      </c>
      <c r="B19" s="176" t="s">
        <v>102</v>
      </c>
      <c r="C19" s="25">
        <f>'Page 4'!C195</f>
        <v>0</v>
      </c>
      <c r="D19" s="25">
        <f>'Page 4'!D195</f>
        <v>0</v>
      </c>
      <c r="E19" s="25">
        <f>'Page 4'!E195</f>
        <v>0</v>
      </c>
      <c r="F19" s="25">
        <f>'Page 4'!F195</f>
        <v>1</v>
      </c>
      <c r="G19" s="25">
        <f>'Page 4'!G195</f>
        <v>600</v>
      </c>
      <c r="H19" s="25">
        <v>0</v>
      </c>
      <c r="I19" s="23">
        <f>'Page 4'!H195</f>
        <v>400</v>
      </c>
      <c r="J19" s="25">
        <f>'Page 4'!J195</f>
        <v>0</v>
      </c>
      <c r="K19" s="25">
        <f>'Page 4'!K195</f>
        <v>0</v>
      </c>
      <c r="L19" s="160" t="s">
        <v>106</v>
      </c>
    </row>
    <row r="20" spans="1:12" ht="62.25" customHeight="1">
      <c r="A20" s="87">
        <v>14</v>
      </c>
      <c r="B20" s="86" t="s">
        <v>79</v>
      </c>
      <c r="C20" s="25">
        <f>'Page 4'!C196</f>
        <v>0</v>
      </c>
      <c r="D20" s="25">
        <f>'Page 4'!D196</f>
        <v>0</v>
      </c>
      <c r="E20" s="25">
        <f>'Page 4'!E196</f>
        <v>0</v>
      </c>
      <c r="F20" s="25">
        <f>'Page 4'!F196</f>
        <v>1</v>
      </c>
      <c r="G20" s="25">
        <f>'Page 4'!G196</f>
        <v>1071</v>
      </c>
      <c r="H20" s="25">
        <v>0</v>
      </c>
      <c r="I20" s="23">
        <f>'Page 4'!H196</f>
        <v>2320</v>
      </c>
      <c r="J20" s="25">
        <f>'Page 4'!J196</f>
        <v>0</v>
      </c>
      <c r="K20" s="25">
        <f>'Page 4'!K196</f>
        <v>0</v>
      </c>
      <c r="L20" s="160" t="s">
        <v>103</v>
      </c>
    </row>
    <row r="21" spans="1:12" ht="27" customHeight="1" thickBot="1">
      <c r="A21" s="161" t="s">
        <v>0</v>
      </c>
      <c r="B21" s="162" t="s">
        <v>6</v>
      </c>
      <c r="C21" s="161">
        <f t="shared" ref="C21:K21" si="0">SUM(C7:C20)</f>
        <v>200148</v>
      </c>
      <c r="D21" s="161">
        <f t="shared" si="0"/>
        <v>218505</v>
      </c>
      <c r="E21" s="161">
        <f t="shared" si="0"/>
        <v>233666</v>
      </c>
      <c r="F21" s="161">
        <f t="shared" si="0"/>
        <v>359000</v>
      </c>
      <c r="G21" s="161">
        <f t="shared" si="0"/>
        <v>381751</v>
      </c>
      <c r="H21" s="161">
        <f t="shared" si="0"/>
        <v>0</v>
      </c>
      <c r="I21" s="161">
        <f t="shared" si="0"/>
        <v>424134</v>
      </c>
      <c r="J21" s="161">
        <f t="shared" si="0"/>
        <v>0</v>
      </c>
      <c r="K21" s="161">
        <f t="shared" si="0"/>
        <v>0</v>
      </c>
      <c r="L21" s="163" t="s">
        <v>60</v>
      </c>
    </row>
    <row r="22" spans="1:12" ht="21" thickTop="1"/>
    <row r="24" spans="1:12" s="26" customFormat="1">
      <c r="J24" s="309" t="s">
        <v>120</v>
      </c>
      <c r="K24" s="309"/>
      <c r="L24" s="309"/>
    </row>
  </sheetData>
  <mergeCells count="9">
    <mergeCell ref="J24:L24"/>
    <mergeCell ref="A1:L1"/>
    <mergeCell ref="A2:L2"/>
    <mergeCell ref="A3:C3"/>
    <mergeCell ref="A4:A5"/>
    <mergeCell ref="B4:B5"/>
    <mergeCell ref="C4:E4"/>
    <mergeCell ref="H4:K4"/>
    <mergeCell ref="L4:L5"/>
  </mergeCells>
  <phoneticPr fontId="11" type="noConversion"/>
  <pageMargins left="0.78740157480314965" right="0.15748031496062992" top="0.11811023622047245" bottom="0.11811023622047245" header="0.23622047244094491" footer="0.15748031496062992"/>
  <pageSetup paperSize="5" scale="85" fitToHeight="0" orientation="landscape" r:id="rId1"/>
  <headerFooter alignWithMargins="0">
    <oddFooter>&amp;Z&amp;F&amp;RPage &amp;P</oddFooter>
  </headerFooter>
  <rowBreaks count="1" manualBreakCount="1">
    <brk id="13" max="1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view="pageBreakPreview" zoomScaleNormal="100" zoomScaleSheetLayoutView="100" workbookViewId="0">
      <selection activeCell="N24" sqref="N24"/>
    </sheetView>
  </sheetViews>
  <sheetFormatPr defaultRowHeight="14.25"/>
  <cols>
    <col min="1" max="1" width="7.42578125" style="165" customWidth="1"/>
    <col min="2" max="2" width="29.28515625" style="165" customWidth="1"/>
    <col min="3" max="3" width="13" style="165" customWidth="1"/>
    <col min="4" max="5" width="13.42578125" style="165" customWidth="1"/>
    <col min="6" max="6" width="14" style="165" customWidth="1"/>
    <col min="7" max="7" width="13.42578125" style="165" customWidth="1"/>
    <col min="8" max="8" width="13.85546875" style="165" customWidth="1"/>
    <col min="9" max="9" width="16" style="165" customWidth="1"/>
    <col min="10" max="16384" width="9.140625" style="165"/>
  </cols>
  <sheetData>
    <row r="1" spans="1:9" ht="18" customHeight="1">
      <c r="A1" s="311" t="s">
        <v>132</v>
      </c>
      <c r="B1" s="311"/>
      <c r="C1" s="311"/>
      <c r="D1" s="311"/>
      <c r="E1" s="311"/>
      <c r="F1" s="311"/>
      <c r="G1" s="311"/>
      <c r="H1" s="311"/>
      <c r="I1" s="311"/>
    </row>
    <row r="2" spans="1:9" ht="18" customHeight="1">
      <c r="A2" s="311" t="s">
        <v>93</v>
      </c>
      <c r="B2" s="311"/>
      <c r="C2" s="311"/>
      <c r="D2" s="311"/>
      <c r="E2" s="311"/>
      <c r="F2" s="311"/>
      <c r="G2" s="311"/>
      <c r="H2" s="311"/>
      <c r="I2" s="311"/>
    </row>
    <row r="3" spans="1:9" ht="18.75" customHeight="1">
      <c r="A3" s="312" t="s">
        <v>1</v>
      </c>
      <c r="B3" s="312"/>
      <c r="C3" s="312"/>
      <c r="D3" s="312"/>
      <c r="E3" s="312"/>
      <c r="F3" s="312"/>
      <c r="G3" s="312"/>
      <c r="H3" s="312"/>
      <c r="I3" s="312"/>
    </row>
    <row r="4" spans="1:9" ht="23.25" customHeight="1">
      <c r="A4" s="166" t="s">
        <v>43</v>
      </c>
      <c r="B4" s="166" t="s">
        <v>92</v>
      </c>
      <c r="C4" s="167" t="s">
        <v>23</v>
      </c>
      <c r="D4" s="167" t="s">
        <v>24</v>
      </c>
      <c r="E4" s="167" t="s">
        <v>25</v>
      </c>
      <c r="F4" s="167" t="s">
        <v>26</v>
      </c>
      <c r="G4" s="167" t="s">
        <v>27</v>
      </c>
      <c r="H4" s="167" t="s">
        <v>28</v>
      </c>
      <c r="I4" s="167" t="s">
        <v>6</v>
      </c>
    </row>
    <row r="5" spans="1:9" ht="15">
      <c r="A5" s="88">
        <v>1</v>
      </c>
      <c r="B5" s="168" t="s">
        <v>75</v>
      </c>
      <c r="C5" s="168">
        <f>'Page 4'!H29</f>
        <v>28777</v>
      </c>
      <c r="D5" s="168">
        <f>'Page 4'!H51</f>
        <v>50247</v>
      </c>
      <c r="E5" s="168">
        <f>'Page 4'!H73</f>
        <v>70827</v>
      </c>
      <c r="F5" s="168">
        <f>'Page 4'!H95</f>
        <v>94993</v>
      </c>
      <c r="G5" s="168">
        <f>'Page 4'!H117</f>
        <v>80615</v>
      </c>
      <c r="H5" s="168">
        <f>'Page 4'!H139</f>
        <v>37744</v>
      </c>
      <c r="I5" s="169">
        <f>C5+D5+E5+F5+G5+H5</f>
        <v>363203</v>
      </c>
    </row>
    <row r="6" spans="1:9" ht="15">
      <c r="A6" s="88">
        <v>2</v>
      </c>
      <c r="B6" s="168" t="s">
        <v>82</v>
      </c>
      <c r="C6" s="168">
        <f>'Page 4'!H30</f>
        <v>200</v>
      </c>
      <c r="D6" s="168">
        <f>'Page 4'!H52</f>
        <v>250</v>
      </c>
      <c r="E6" s="168">
        <f>'Page 4'!H74</f>
        <v>250</v>
      </c>
      <c r="F6" s="168">
        <f>'Page 4'!H96</f>
        <v>750</v>
      </c>
      <c r="G6" s="168">
        <f>'Page 4'!H118</f>
        <v>1050</v>
      </c>
      <c r="H6" s="168">
        <f>'Page 4'!H140</f>
        <v>300</v>
      </c>
      <c r="I6" s="169">
        <f t="shared" ref="I6:I18" si="0">C6+D6+E6+F6+G6+H6</f>
        <v>2800</v>
      </c>
    </row>
    <row r="7" spans="1:9" ht="20.25" customHeight="1">
      <c r="A7" s="88">
        <v>3</v>
      </c>
      <c r="B7" s="168" t="s">
        <v>80</v>
      </c>
      <c r="C7" s="168">
        <f>'Page 4'!H31</f>
        <v>200</v>
      </c>
      <c r="D7" s="168">
        <f>'Page 4'!H53</f>
        <v>2700</v>
      </c>
      <c r="E7" s="168">
        <f>'Page 4'!H75</f>
        <v>2500</v>
      </c>
      <c r="F7" s="168">
        <f>'Page 4'!H97</f>
        <v>6000</v>
      </c>
      <c r="G7" s="168">
        <f>'Page 4'!H119</f>
        <v>1000</v>
      </c>
      <c r="H7" s="168">
        <f>'Page 4'!H141</f>
        <v>300</v>
      </c>
      <c r="I7" s="169">
        <f t="shared" si="0"/>
        <v>12700</v>
      </c>
    </row>
    <row r="8" spans="1:9" ht="20.25" customHeight="1">
      <c r="A8" s="88">
        <v>4</v>
      </c>
      <c r="B8" s="177" t="s">
        <v>99</v>
      </c>
      <c r="C8" s="168">
        <f>'[1]Page 4'!H32</f>
        <v>0</v>
      </c>
      <c r="D8" s="168">
        <f>'Page 4'!H54</f>
        <v>0</v>
      </c>
      <c r="E8" s="168">
        <f>'Page 4'!H76</f>
        <v>0</v>
      </c>
      <c r="F8" s="168">
        <f>'Page 4'!H98</f>
        <v>0</v>
      </c>
      <c r="G8" s="168">
        <f>'Page 4'!H120</f>
        <v>0</v>
      </c>
      <c r="H8" s="168">
        <f>'Page 4'!H142</f>
        <v>0</v>
      </c>
      <c r="I8" s="169">
        <f t="shared" si="0"/>
        <v>0</v>
      </c>
    </row>
    <row r="9" spans="1:9" ht="15">
      <c r="A9" s="88">
        <v>5</v>
      </c>
      <c r="B9" s="168" t="s">
        <v>81</v>
      </c>
      <c r="C9" s="168">
        <f>'Page 4'!H33</f>
        <v>96</v>
      </c>
      <c r="D9" s="168">
        <f>'Page 4'!H55</f>
        <v>270</v>
      </c>
      <c r="E9" s="168">
        <f>'Page 4'!H77</f>
        <v>500</v>
      </c>
      <c r="F9" s="168">
        <f>'Page 4'!H99</f>
        <v>3000</v>
      </c>
      <c r="G9" s="168">
        <f>'Page 4'!H121</f>
        <v>600</v>
      </c>
      <c r="H9" s="168">
        <f>'Page 4'!H143</f>
        <v>300</v>
      </c>
      <c r="I9" s="169">
        <f t="shared" si="0"/>
        <v>4766</v>
      </c>
    </row>
    <row r="10" spans="1:9" ht="15">
      <c r="A10" s="88">
        <v>6</v>
      </c>
      <c r="B10" s="168" t="s">
        <v>76</v>
      </c>
      <c r="C10" s="168">
        <f>'Page 4'!H34</f>
        <v>1500</v>
      </c>
      <c r="D10" s="168">
        <f>'Page 4'!H56</f>
        <v>2200</v>
      </c>
      <c r="E10" s="168">
        <f>'Page 4'!H78</f>
        <v>2500</v>
      </c>
      <c r="F10" s="168">
        <f>'Page 4'!H100</f>
        <v>10000</v>
      </c>
      <c r="G10" s="168">
        <f>'Page 4'!H122</f>
        <v>3100</v>
      </c>
      <c r="H10" s="168">
        <f>'Page 4'!H144</f>
        <v>2000</v>
      </c>
      <c r="I10" s="169">
        <f t="shared" si="0"/>
        <v>21300</v>
      </c>
    </row>
    <row r="11" spans="1:9" ht="15">
      <c r="A11" s="88">
        <v>7</v>
      </c>
      <c r="B11" s="168" t="s">
        <v>83</v>
      </c>
      <c r="C11" s="168">
        <f>'Page 4'!H35</f>
        <v>0</v>
      </c>
      <c r="D11" s="168">
        <f>'Page 4'!H57</f>
        <v>200</v>
      </c>
      <c r="E11" s="168">
        <f>'Page 4'!H79</f>
        <v>1000</v>
      </c>
      <c r="F11" s="168">
        <f>'Page 4'!H101</f>
        <v>1000</v>
      </c>
      <c r="G11" s="168">
        <f>'Page 4'!H123</f>
        <v>1400</v>
      </c>
      <c r="H11" s="168">
        <f>'Page 4'!H145</f>
        <v>30</v>
      </c>
      <c r="I11" s="169">
        <f t="shared" si="0"/>
        <v>3630</v>
      </c>
    </row>
    <row r="12" spans="1:9" ht="15">
      <c r="A12" s="88">
        <v>8</v>
      </c>
      <c r="B12" s="177" t="s">
        <v>100</v>
      </c>
      <c r="C12" s="168">
        <f>'[1]Page 4'!H36</f>
        <v>0</v>
      </c>
      <c r="D12" s="168">
        <f>'Page 4'!H58</f>
        <v>0</v>
      </c>
      <c r="E12" s="168">
        <f>'Page 4'!H80</f>
        <v>0</v>
      </c>
      <c r="F12" s="168">
        <f>'Page 4'!H102</f>
        <v>0</v>
      </c>
      <c r="G12" s="168">
        <f>'Page 4'!H124</f>
        <v>100</v>
      </c>
      <c r="H12" s="168">
        <f>'Page 4'!H146</f>
        <v>0</v>
      </c>
      <c r="I12" s="169">
        <f t="shared" si="0"/>
        <v>100</v>
      </c>
    </row>
    <row r="13" spans="1:9" ht="15">
      <c r="A13" s="88">
        <v>9</v>
      </c>
      <c r="B13" s="168" t="s">
        <v>77</v>
      </c>
      <c r="C13" s="168">
        <f>'Page 4'!H37</f>
        <v>100</v>
      </c>
      <c r="D13" s="168">
        <f>'Page 4'!H59</f>
        <v>1000</v>
      </c>
      <c r="E13" s="168">
        <f>'Page 4'!H81</f>
        <v>800</v>
      </c>
      <c r="F13" s="168">
        <f>'Page 4'!H103</f>
        <v>1000</v>
      </c>
      <c r="G13" s="168">
        <f>'Page 4'!H125</f>
        <v>700</v>
      </c>
      <c r="H13" s="168">
        <f>'Page 4'!H147</f>
        <v>75</v>
      </c>
      <c r="I13" s="169">
        <f t="shared" si="0"/>
        <v>3675</v>
      </c>
    </row>
    <row r="14" spans="1:9" ht="15">
      <c r="A14" s="88">
        <v>10</v>
      </c>
      <c r="B14" s="177" t="s">
        <v>101</v>
      </c>
      <c r="C14" s="168">
        <f>'[1]Page 4'!H38</f>
        <v>0</v>
      </c>
      <c r="D14" s="168">
        <f>'Page 4'!H60</f>
        <v>0</v>
      </c>
      <c r="E14" s="168">
        <f>'Page 4'!H82</f>
        <v>0</v>
      </c>
      <c r="F14" s="168">
        <f>'Page 4'!H104</f>
        <v>0</v>
      </c>
      <c r="G14" s="168">
        <f>'Page 4'!H126</f>
        <v>0</v>
      </c>
      <c r="H14" s="168">
        <f>'Page 4'!H148</f>
        <v>0</v>
      </c>
      <c r="I14" s="169">
        <f t="shared" si="0"/>
        <v>0</v>
      </c>
    </row>
    <row r="15" spans="1:9" ht="15">
      <c r="A15" s="88">
        <v>11</v>
      </c>
      <c r="B15" s="168" t="s">
        <v>84</v>
      </c>
      <c r="C15" s="168">
        <f>'Page 4'!H39</f>
        <v>400</v>
      </c>
      <c r="D15" s="168">
        <f>'Page 4'!H61</f>
        <v>620</v>
      </c>
      <c r="E15" s="168">
        <f>'Page 4'!H83</f>
        <v>1500</v>
      </c>
      <c r="F15" s="168">
        <f>'Page 4'!H105</f>
        <v>3000</v>
      </c>
      <c r="G15" s="168">
        <f>'Page 4'!H127</f>
        <v>1300</v>
      </c>
      <c r="H15" s="168">
        <f>'Page 4'!H149</f>
        <v>850</v>
      </c>
      <c r="I15" s="169">
        <f t="shared" si="0"/>
        <v>7670</v>
      </c>
    </row>
    <row r="16" spans="1:9" ht="15">
      <c r="A16" s="88">
        <v>12</v>
      </c>
      <c r="B16" s="168" t="s">
        <v>78</v>
      </c>
      <c r="C16" s="168">
        <f>'Page 4'!H40</f>
        <v>300</v>
      </c>
      <c r="D16" s="168">
        <f>'Page 4'!H62</f>
        <v>320</v>
      </c>
      <c r="E16" s="168">
        <f>'Page 4'!H84</f>
        <v>600</v>
      </c>
      <c r="F16" s="168">
        <f>'Page 4'!H106</f>
        <v>250</v>
      </c>
      <c r="G16" s="168">
        <f>'Page 4'!H128</f>
        <v>100</v>
      </c>
      <c r="H16" s="168">
        <f>'Page 4'!H150</f>
        <v>0</v>
      </c>
      <c r="I16" s="169">
        <f t="shared" si="0"/>
        <v>1570</v>
      </c>
    </row>
    <row r="17" spans="1:9" ht="15">
      <c r="A17" s="88">
        <v>13</v>
      </c>
      <c r="B17" s="168" t="s">
        <v>85</v>
      </c>
      <c r="C17" s="168">
        <f>'Page 4'!H41</f>
        <v>0</v>
      </c>
      <c r="D17" s="168">
        <f>'Page 4'!H63</f>
        <v>0</v>
      </c>
      <c r="E17" s="168">
        <f>'Page 4'!H85</f>
        <v>300</v>
      </c>
      <c r="F17" s="168">
        <f>'Page 4'!H107</f>
        <v>0</v>
      </c>
      <c r="G17" s="168">
        <f>'Page 4'!H129</f>
        <v>100</v>
      </c>
      <c r="H17" s="168">
        <f>'Page 4'!H151</f>
        <v>0</v>
      </c>
      <c r="I17" s="169">
        <f t="shared" si="0"/>
        <v>400</v>
      </c>
    </row>
    <row r="18" spans="1:9" ht="15">
      <c r="A18" s="88">
        <v>14</v>
      </c>
      <c r="B18" s="168" t="s">
        <v>79</v>
      </c>
      <c r="C18" s="168">
        <f>'Page 4'!H42</f>
        <v>0</v>
      </c>
      <c r="D18" s="168">
        <f>'Page 4'!H64</f>
        <v>220</v>
      </c>
      <c r="E18" s="168">
        <f>'Page 4'!H86</f>
        <v>700</v>
      </c>
      <c r="F18" s="168">
        <f>'Page 4'!H108</f>
        <v>1000</v>
      </c>
      <c r="G18" s="168">
        <f>'Page 4'!H130</f>
        <v>400</v>
      </c>
      <c r="H18" s="168">
        <f>'Page 4'!H152</f>
        <v>0</v>
      </c>
      <c r="I18" s="169">
        <f t="shared" si="0"/>
        <v>2320</v>
      </c>
    </row>
    <row r="19" spans="1:9" ht="15.75" thickBot="1">
      <c r="A19" s="313" t="s">
        <v>6</v>
      </c>
      <c r="B19" s="314"/>
      <c r="C19" s="170">
        <f>SUM(C5:C18)</f>
        <v>31573</v>
      </c>
      <c r="D19" s="170">
        <f t="shared" ref="D19:I19" si="1">SUM(D5:D18)</f>
        <v>58027</v>
      </c>
      <c r="E19" s="170">
        <f t="shared" si="1"/>
        <v>81477</v>
      </c>
      <c r="F19" s="170">
        <f t="shared" si="1"/>
        <v>120993</v>
      </c>
      <c r="G19" s="170">
        <f t="shared" si="1"/>
        <v>90465</v>
      </c>
      <c r="H19" s="170">
        <f t="shared" si="1"/>
        <v>41599</v>
      </c>
      <c r="I19" s="170">
        <f t="shared" si="1"/>
        <v>424134</v>
      </c>
    </row>
    <row r="20" spans="1:9" ht="23.25" customHeight="1" thickTop="1">
      <c r="A20" s="171"/>
      <c r="B20" s="172"/>
      <c r="C20" s="171"/>
      <c r="D20" s="171"/>
    </row>
  </sheetData>
  <mergeCells count="4">
    <mergeCell ref="A1:I1"/>
    <mergeCell ref="A2:I2"/>
    <mergeCell ref="A3:I3"/>
    <mergeCell ref="A19:B19"/>
  </mergeCells>
  <pageMargins left="0.78740157480314965" right="0.39370078740157483" top="0.59055118110236227" bottom="0.59055118110236227" header="0.19685039370078741" footer="0.19685039370078741"/>
  <pageSetup paperSize="5" scale="12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0"/>
  <sheetViews>
    <sheetView view="pageBreakPreview" topLeftCell="A4" zoomScaleNormal="100" zoomScaleSheetLayoutView="100" workbookViewId="0">
      <selection activeCell="L12" sqref="L12"/>
    </sheetView>
  </sheetViews>
  <sheetFormatPr defaultRowHeight="15.75"/>
  <cols>
    <col min="1" max="1" width="6.7109375" style="188" customWidth="1"/>
    <col min="2" max="2" width="14" style="202" customWidth="1"/>
    <col min="3" max="3" width="12.28515625" style="203" customWidth="1"/>
    <col min="4" max="5" width="10.85546875" style="188" customWidth="1"/>
    <col min="6" max="6" width="10.28515625" style="188" customWidth="1"/>
    <col min="7" max="7" width="10.5703125" style="188" customWidth="1"/>
    <col min="8" max="8" width="11.5703125" style="188" customWidth="1"/>
    <col min="9" max="16384" width="9.140625" style="188"/>
  </cols>
  <sheetData>
    <row r="2" spans="1:15" ht="26.25" customHeight="1">
      <c r="A2" s="316" t="s">
        <v>108</v>
      </c>
      <c r="B2" s="316"/>
      <c r="C2" s="316"/>
      <c r="D2" s="316"/>
      <c r="E2" s="316"/>
      <c r="F2" s="316"/>
      <c r="G2" s="316"/>
      <c r="H2" s="316"/>
    </row>
    <row r="3" spans="1:15" ht="3" customHeight="1">
      <c r="A3" s="189"/>
      <c r="B3" s="189"/>
      <c r="C3" s="189"/>
      <c r="D3" s="189"/>
      <c r="E3" s="189"/>
      <c r="F3" s="189"/>
      <c r="G3" s="189"/>
      <c r="H3" s="189"/>
    </row>
    <row r="4" spans="1:15" ht="3.75" customHeight="1">
      <c r="A4" s="189"/>
      <c r="B4" s="189"/>
      <c r="C4" s="189"/>
      <c r="D4" s="189"/>
      <c r="E4" s="189"/>
      <c r="F4" s="189"/>
      <c r="G4" s="189"/>
      <c r="H4" s="189"/>
    </row>
    <row r="5" spans="1:15" s="191" customFormat="1" ht="29.25" customHeight="1">
      <c r="A5" s="316" t="s">
        <v>130</v>
      </c>
      <c r="B5" s="316"/>
      <c r="C5" s="316"/>
      <c r="D5" s="316"/>
      <c r="E5" s="316"/>
      <c r="F5" s="316"/>
      <c r="G5" s="316"/>
      <c r="H5" s="316"/>
      <c r="I5" s="190"/>
      <c r="J5" s="190"/>
      <c r="K5" s="190"/>
      <c r="L5" s="190"/>
      <c r="M5" s="190"/>
      <c r="N5" s="190"/>
      <c r="O5" s="190"/>
    </row>
    <row r="6" spans="1:15" s="191" customFormat="1" ht="26.25" customHeight="1">
      <c r="A6" s="317" t="s">
        <v>32</v>
      </c>
      <c r="B6" s="317"/>
      <c r="C6" s="317"/>
      <c r="D6" s="317"/>
      <c r="E6" s="317"/>
      <c r="F6" s="317"/>
      <c r="G6" s="317"/>
      <c r="H6" s="317"/>
      <c r="I6" s="192"/>
      <c r="J6" s="192"/>
      <c r="K6" s="192"/>
      <c r="L6" s="192"/>
      <c r="M6" s="192"/>
      <c r="N6" s="192"/>
      <c r="O6" s="192"/>
    </row>
    <row r="7" spans="1:15" s="191" customFormat="1" ht="9.75" customHeight="1">
      <c r="A7" s="193"/>
      <c r="B7" s="193"/>
      <c r="C7" s="193"/>
      <c r="D7" s="193"/>
      <c r="E7" s="193"/>
      <c r="F7" s="193"/>
      <c r="G7" s="193"/>
      <c r="H7" s="193"/>
      <c r="I7" s="192"/>
      <c r="J7" s="192"/>
      <c r="K7" s="192"/>
      <c r="L7" s="192"/>
      <c r="M7" s="192"/>
      <c r="N7" s="192"/>
      <c r="O7" s="192"/>
    </row>
    <row r="8" spans="1:15" ht="27" customHeight="1">
      <c r="A8" s="316" t="s">
        <v>109</v>
      </c>
      <c r="B8" s="316"/>
      <c r="C8" s="316"/>
      <c r="D8" s="316"/>
      <c r="E8" s="316"/>
      <c r="F8" s="316"/>
      <c r="G8" s="316"/>
      <c r="H8" s="316"/>
    </row>
    <row r="9" spans="1:15" s="194" customFormat="1" ht="15">
      <c r="B9" s="195"/>
      <c r="C9" s="195"/>
    </row>
    <row r="10" spans="1:15" s="194" customFormat="1" ht="33" customHeight="1">
      <c r="A10" s="262" t="s">
        <v>34</v>
      </c>
      <c r="B10" s="262" t="s">
        <v>110</v>
      </c>
      <c r="C10" s="319" t="s">
        <v>33</v>
      </c>
      <c r="D10" s="320"/>
      <c r="E10" s="319" t="s">
        <v>4</v>
      </c>
      <c r="F10" s="320"/>
      <c r="G10" s="319" t="s">
        <v>5</v>
      </c>
      <c r="H10" s="320"/>
    </row>
    <row r="11" spans="1:15" s="194" customFormat="1" ht="33.75" customHeight="1">
      <c r="A11" s="318"/>
      <c r="B11" s="318"/>
      <c r="C11" s="196" t="s">
        <v>35</v>
      </c>
      <c r="D11" s="196" t="s">
        <v>36</v>
      </c>
      <c r="E11" s="196" t="s">
        <v>35</v>
      </c>
      <c r="F11" s="196" t="s">
        <v>36</v>
      </c>
      <c r="G11" s="196" t="s">
        <v>35</v>
      </c>
      <c r="H11" s="196" t="s">
        <v>36</v>
      </c>
    </row>
    <row r="12" spans="1:15" s="194" customFormat="1" ht="33" customHeight="1">
      <c r="A12" s="197">
        <v>1</v>
      </c>
      <c r="B12" s="197" t="s">
        <v>111</v>
      </c>
      <c r="C12" s="196">
        <f t="shared" ref="C12:D15" si="0">E12+G12</f>
        <v>10</v>
      </c>
      <c r="D12" s="196">
        <f t="shared" si="0"/>
        <v>17</v>
      </c>
      <c r="E12" s="196">
        <v>9</v>
      </c>
      <c r="F12" s="196">
        <v>16</v>
      </c>
      <c r="G12" s="196">
        <v>1</v>
      </c>
      <c r="H12" s="196">
        <v>1</v>
      </c>
    </row>
    <row r="13" spans="1:15" s="194" customFormat="1" ht="32.25" customHeight="1">
      <c r="A13" s="197">
        <v>2</v>
      </c>
      <c r="B13" s="197" t="s">
        <v>112</v>
      </c>
      <c r="C13" s="196">
        <f t="shared" si="0"/>
        <v>0</v>
      </c>
      <c r="D13" s="196">
        <f t="shared" si="0"/>
        <v>27</v>
      </c>
      <c r="E13" s="196">
        <v>0</v>
      </c>
      <c r="F13" s="196">
        <v>25</v>
      </c>
      <c r="G13" s="196">
        <v>0</v>
      </c>
      <c r="H13" s="196">
        <v>2</v>
      </c>
    </row>
    <row r="14" spans="1:15" s="194" customFormat="1" ht="35.25" customHeight="1">
      <c r="A14" s="198">
        <v>3</v>
      </c>
      <c r="B14" s="197" t="s">
        <v>10</v>
      </c>
      <c r="C14" s="196">
        <f t="shared" si="0"/>
        <v>60</v>
      </c>
      <c r="D14" s="196">
        <f t="shared" si="0"/>
        <v>102</v>
      </c>
      <c r="E14" s="196">
        <v>38</v>
      </c>
      <c r="F14" s="196">
        <v>75</v>
      </c>
      <c r="G14" s="196">
        <v>22</v>
      </c>
      <c r="H14" s="196">
        <v>27</v>
      </c>
    </row>
    <row r="15" spans="1:15" s="194" customFormat="1" ht="33" customHeight="1">
      <c r="A15" s="197">
        <v>4</v>
      </c>
      <c r="B15" s="197" t="s">
        <v>11</v>
      </c>
      <c r="C15" s="196">
        <f t="shared" si="0"/>
        <v>22</v>
      </c>
      <c r="D15" s="196">
        <f t="shared" si="0"/>
        <v>32</v>
      </c>
      <c r="E15" s="196">
        <v>18</v>
      </c>
      <c r="F15" s="196">
        <v>25</v>
      </c>
      <c r="G15" s="196">
        <v>4</v>
      </c>
      <c r="H15" s="196">
        <v>7</v>
      </c>
    </row>
    <row r="16" spans="1:15" s="194" customFormat="1" ht="29.25" customHeight="1">
      <c r="A16" s="54" t="s">
        <v>0</v>
      </c>
      <c r="B16" s="54" t="s">
        <v>6</v>
      </c>
      <c r="C16" s="199">
        <f t="shared" ref="C16:H16" si="1">C12+C13+C14+C15</f>
        <v>92</v>
      </c>
      <c r="D16" s="199">
        <f t="shared" si="1"/>
        <v>178</v>
      </c>
      <c r="E16" s="199">
        <f t="shared" si="1"/>
        <v>65</v>
      </c>
      <c r="F16" s="199">
        <f t="shared" si="1"/>
        <v>141</v>
      </c>
      <c r="G16" s="199">
        <f t="shared" si="1"/>
        <v>27</v>
      </c>
      <c r="H16" s="199">
        <f t="shared" si="1"/>
        <v>37</v>
      </c>
    </row>
    <row r="17" spans="2:12" s="200" customFormat="1" ht="25.5" customHeight="1">
      <c r="K17" s="194"/>
      <c r="L17" s="194"/>
    </row>
    <row r="18" spans="2:12" s="200" customFormat="1" ht="25.5" customHeight="1">
      <c r="K18" s="202"/>
      <c r="L18" s="202"/>
    </row>
    <row r="19" spans="2:12" s="200" customFormat="1" ht="21" customHeight="1"/>
    <row r="20" spans="2:12" ht="23.25" customHeight="1">
      <c r="B20" s="201"/>
      <c r="C20" s="201"/>
      <c r="D20" s="201"/>
      <c r="E20" s="315" t="s">
        <v>120</v>
      </c>
      <c r="F20" s="315"/>
      <c r="G20" s="315"/>
      <c r="H20" s="315"/>
    </row>
  </sheetData>
  <mergeCells count="10">
    <mergeCell ref="E20:H20"/>
    <mergeCell ref="A2:H2"/>
    <mergeCell ref="A5:H5"/>
    <mergeCell ref="A6:H6"/>
    <mergeCell ref="A8:H8"/>
    <mergeCell ref="A10:A11"/>
    <mergeCell ref="B10:B11"/>
    <mergeCell ref="C10:D10"/>
    <mergeCell ref="E10:F10"/>
    <mergeCell ref="G10:H10"/>
  </mergeCells>
  <pageMargins left="0.78740157480314965" right="0.39370078740157483" top="0.74803149606299213" bottom="0.74803149606299213" header="0.31496062992125984" footer="0.31496062992125984"/>
  <pageSetup paperSize="5" scale="10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Page 1</vt:lpstr>
      <vt:lpstr>Page 2</vt:lpstr>
      <vt:lpstr>Page 3</vt:lpstr>
      <vt:lpstr>Page 4</vt:lpstr>
      <vt:lpstr>Page 5</vt:lpstr>
      <vt:lpstr>Distrs.wise Abstract</vt:lpstr>
      <vt:lpstr>Table-D</vt:lpstr>
      <vt:lpstr>'Distrs.wise Abstract'!Print_Area</vt:lpstr>
      <vt:lpstr>'Page 1'!Print_Area</vt:lpstr>
      <vt:lpstr>'Page 2'!Print_Area</vt:lpstr>
      <vt:lpstr>'Page 3'!Print_Area</vt:lpstr>
      <vt:lpstr>'Page 4'!Print_Area</vt:lpstr>
      <vt:lpstr>'Page 5'!Print_Area</vt:lpstr>
      <vt:lpstr>'Table-D'!Print_Area</vt:lpstr>
      <vt:lpstr>'Page 5'!Print_Titles</vt:lpstr>
    </vt:vector>
  </TitlesOfParts>
  <Company>KOKAN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cloudconvert_19</cp:lastModifiedBy>
  <cp:lastPrinted>2025-10-09T05:46:28Z</cp:lastPrinted>
  <dcterms:created xsi:type="dcterms:W3CDTF">2012-06-14T05:07:46Z</dcterms:created>
  <dcterms:modified xsi:type="dcterms:W3CDTF">2026-01-12T07:30:31Z</dcterms:modified>
</cp:coreProperties>
</file>