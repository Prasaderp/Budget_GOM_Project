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Internship\Agenthix AI\GOM PROJECTS\BudgetMakingSystem\MAIN_PROJECT\excel_templates\s2053\subs\s20530387\"/>
    </mc:Choice>
  </mc:AlternateContent>
  <xr:revisionPtr revIDLastSave="0" documentId="13_ncr:1_{5674A96A-C4D0-45DA-A59E-DC65A90A1F54}" xr6:coauthVersionLast="47" xr6:coauthVersionMax="47" xr10:uidLastSave="{00000000-0000-0000-0000-000000000000}"/>
  <bookViews>
    <workbookView xWindow="-108" yWindow="-108" windowWidth="23256" windowHeight="12456" xr2:uid="{00000000-000D-0000-FFFF-FFFF00000000}"/>
  </bookViews>
  <sheets>
    <sheet name="Page 1" sheetId="4" r:id="rId1"/>
    <sheet name="Page 2" sheetId="3" r:id="rId2"/>
    <sheet name="Page 3" sheetId="2" r:id="rId3"/>
    <sheet name="Page 4" sheetId="1" r:id="rId4"/>
    <sheet name="Page 5" sheetId="5" r:id="rId5"/>
    <sheet name="Table-D" sheetId="6" r:id="rId6"/>
  </sheets>
  <definedNames>
    <definedName name="_xlnm.Print_Area" localSheetId="0">'Page 1'!$A$1:$Q$116</definedName>
    <definedName name="_xlnm.Print_Area" localSheetId="1">'Page 2'!$A$1:$P$67</definedName>
    <definedName name="_xlnm.Print_Area" localSheetId="2">'Page 3'!$A$1:$H$35</definedName>
    <definedName name="_xlnm.Print_Area" localSheetId="3">'Page 4'!$A$1:$L$50</definedName>
    <definedName name="_xlnm.Print_Area" localSheetId="4">'Page 5'!$A$1:$L$26</definedName>
    <definedName name="_xlnm.Print_Area" localSheetId="5">'Table-D'!$A$1:$H$20</definedName>
    <definedName name="_xlnm.Print_Titles" localSheetId="4">'Page 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3" i="4" l="1"/>
  <c r="I51" i="4"/>
  <c r="J109" i="4"/>
  <c r="J23" i="3"/>
  <c r="L102" i="4"/>
  <c r="L85" i="4"/>
  <c r="L34" i="4"/>
  <c r="L92" i="4" s="1"/>
  <c r="L65" i="4"/>
  <c r="F28" i="3"/>
  <c r="F61" i="3" s="1"/>
  <c r="F15" i="3"/>
  <c r="F48" i="3" s="1"/>
  <c r="F13" i="3"/>
  <c r="F46" i="3"/>
  <c r="G15" i="4"/>
  <c r="G70" i="4" s="1"/>
  <c r="G11" i="4"/>
  <c r="G66" i="4" s="1"/>
  <c r="G17" i="4"/>
  <c r="G72" i="4"/>
  <c r="H31" i="1"/>
  <c r="I8" i="5" s="1"/>
  <c r="H32" i="1"/>
  <c r="I9" i="5" s="1"/>
  <c r="H33" i="1"/>
  <c r="I10" i="5" s="1"/>
  <c r="H34" i="1"/>
  <c r="I11" i="5" s="1"/>
  <c r="H35" i="1"/>
  <c r="I12" i="5" s="1"/>
  <c r="H36" i="1"/>
  <c r="I13" i="5" s="1"/>
  <c r="H37" i="1"/>
  <c r="I14" i="5" s="1"/>
  <c r="H38" i="1"/>
  <c r="I15" i="5" s="1"/>
  <c r="H39" i="1"/>
  <c r="I16" i="5" s="1"/>
  <c r="H40" i="1"/>
  <c r="I17" i="5" s="1"/>
  <c r="H41" i="1"/>
  <c r="I18" i="5" s="1"/>
  <c r="H42" i="1"/>
  <c r="I19" i="5" s="1"/>
  <c r="H43" i="1"/>
  <c r="I20" i="5" s="1"/>
  <c r="H44" i="1"/>
  <c r="I21" i="5" s="1"/>
  <c r="C13" i="6"/>
  <c r="D13" i="6"/>
  <c r="C14" i="6"/>
  <c r="D14" i="6"/>
  <c r="D16" i="6" s="1"/>
  <c r="C15" i="6"/>
  <c r="D12" i="6"/>
  <c r="C12" i="6"/>
  <c r="H16" i="6"/>
  <c r="G16" i="6"/>
  <c r="F16" i="6"/>
  <c r="E16" i="6"/>
  <c r="K42" i="1"/>
  <c r="K19" i="5"/>
  <c r="J42" i="1"/>
  <c r="J19" i="5"/>
  <c r="I42" i="1"/>
  <c r="G42" i="1"/>
  <c r="G19" i="5" s="1"/>
  <c r="F42" i="1"/>
  <c r="F19" i="5" s="1"/>
  <c r="E42" i="1"/>
  <c r="E19" i="5"/>
  <c r="D42" i="1"/>
  <c r="D19" i="5" s="1"/>
  <c r="C42" i="1"/>
  <c r="C19" i="5" s="1"/>
  <c r="H10" i="3"/>
  <c r="H43" i="3" s="1"/>
  <c r="H17" i="3"/>
  <c r="F31" i="3"/>
  <c r="F64" i="3" s="1"/>
  <c r="F30" i="3"/>
  <c r="F63" i="3" s="1"/>
  <c r="K30" i="3"/>
  <c r="K63" i="3" s="1"/>
  <c r="F29" i="3"/>
  <c r="F62" i="3" s="1"/>
  <c r="K29" i="3"/>
  <c r="O28" i="3" s="1"/>
  <c r="O61" i="3" s="1"/>
  <c r="F27" i="3"/>
  <c r="F60" i="3" s="1"/>
  <c r="F26" i="3"/>
  <c r="F59" i="3"/>
  <c r="I25" i="3"/>
  <c r="I58" i="3"/>
  <c r="I32" i="3"/>
  <c r="H25" i="3"/>
  <c r="H32" i="3" s="1"/>
  <c r="G25" i="3"/>
  <c r="G58" i="3" s="1"/>
  <c r="E25" i="3"/>
  <c r="F25" i="3"/>
  <c r="F58" i="3" s="1"/>
  <c r="D25" i="3"/>
  <c r="D58" i="3" s="1"/>
  <c r="C25" i="3"/>
  <c r="C58" i="3"/>
  <c r="C32" i="3"/>
  <c r="F24" i="3"/>
  <c r="F57" i="3" s="1"/>
  <c r="K24" i="3"/>
  <c r="K57" i="3" s="1"/>
  <c r="F23" i="3"/>
  <c r="F56" i="3" s="1"/>
  <c r="F22" i="3"/>
  <c r="K22" i="3" s="1"/>
  <c r="F55" i="3"/>
  <c r="F16" i="3"/>
  <c r="F49" i="3" s="1"/>
  <c r="F14" i="3"/>
  <c r="F47" i="3"/>
  <c r="F12" i="3"/>
  <c r="F45" i="3" s="1"/>
  <c r="F11" i="3"/>
  <c r="I10" i="3"/>
  <c r="I43" i="3"/>
  <c r="G10" i="3"/>
  <c r="G43" i="3" s="1"/>
  <c r="E10" i="3"/>
  <c r="E43" i="3" s="1"/>
  <c r="E17" i="3"/>
  <c r="D10" i="3"/>
  <c r="C10" i="3"/>
  <c r="C17" i="3"/>
  <c r="F9" i="3"/>
  <c r="F42" i="3" s="1"/>
  <c r="F8" i="3"/>
  <c r="F41" i="3"/>
  <c r="F7" i="3"/>
  <c r="F100" i="4"/>
  <c r="P92" i="4"/>
  <c r="O92" i="4"/>
  <c r="N92" i="4"/>
  <c r="M92" i="4"/>
  <c r="K92" i="4"/>
  <c r="H92" i="4"/>
  <c r="G92" i="4"/>
  <c r="F92" i="4"/>
  <c r="E92" i="4"/>
  <c r="D92" i="4"/>
  <c r="E46" i="4"/>
  <c r="E104" i="4" s="1"/>
  <c r="F46" i="4"/>
  <c r="F104" i="4"/>
  <c r="G46" i="4"/>
  <c r="G104" i="4" s="1"/>
  <c r="H104" i="4"/>
  <c r="K46" i="4"/>
  <c r="K104" i="4"/>
  <c r="M46" i="4"/>
  <c r="M104" i="4" s="1"/>
  <c r="N46" i="4"/>
  <c r="N104" i="4"/>
  <c r="O46" i="4"/>
  <c r="O104" i="4" s="1"/>
  <c r="P46" i="4"/>
  <c r="D46" i="4"/>
  <c r="D104" i="4" s="1"/>
  <c r="E36" i="4"/>
  <c r="F36" i="4"/>
  <c r="F94" i="4"/>
  <c r="G36" i="4"/>
  <c r="G94" i="4" s="1"/>
  <c r="G112" i="4" s="1"/>
  <c r="H36" i="4"/>
  <c r="H94" i="4"/>
  <c r="K36" i="4"/>
  <c r="K94" i="4" s="1"/>
  <c r="K112" i="4" s="1"/>
  <c r="M36" i="4"/>
  <c r="N36" i="4"/>
  <c r="N94" i="4" s="1"/>
  <c r="N112" i="4" s="1"/>
  <c r="O36" i="4"/>
  <c r="O94" i="4" s="1"/>
  <c r="O112" i="4" s="1"/>
  <c r="P36" i="4"/>
  <c r="P94" i="4"/>
  <c r="D36" i="4"/>
  <c r="D94" i="4" s="1"/>
  <c r="I34" i="4"/>
  <c r="J34" i="4" s="1"/>
  <c r="I92" i="4"/>
  <c r="I35" i="4"/>
  <c r="J35" i="4" s="1"/>
  <c r="J93" i="4" s="1"/>
  <c r="P93" i="4"/>
  <c r="O93" i="4"/>
  <c r="N93" i="4"/>
  <c r="M93" i="4"/>
  <c r="L93" i="4"/>
  <c r="K93" i="4"/>
  <c r="H93" i="4"/>
  <c r="G93" i="4"/>
  <c r="F93" i="4"/>
  <c r="E93" i="4"/>
  <c r="D93" i="4"/>
  <c r="P91" i="4"/>
  <c r="O91" i="4"/>
  <c r="N91" i="4"/>
  <c r="M91" i="4"/>
  <c r="K91" i="4"/>
  <c r="H91" i="4"/>
  <c r="G91" i="4"/>
  <c r="F91" i="4"/>
  <c r="E91" i="4"/>
  <c r="D91" i="4"/>
  <c r="C31" i="1"/>
  <c r="C8" i="5"/>
  <c r="D31" i="1"/>
  <c r="D8" i="5" s="1"/>
  <c r="E31" i="1"/>
  <c r="E8" i="5"/>
  <c r="F31" i="1"/>
  <c r="F8" i="5" s="1"/>
  <c r="G31" i="1"/>
  <c r="G8" i="5" s="1"/>
  <c r="I31" i="1"/>
  <c r="J31" i="1"/>
  <c r="J8" i="5" s="1"/>
  <c r="K31" i="1"/>
  <c r="C32" i="1"/>
  <c r="D32" i="1"/>
  <c r="E32" i="1"/>
  <c r="F32" i="1"/>
  <c r="F9" i="5"/>
  <c r="G32" i="1"/>
  <c r="G9" i="5" s="1"/>
  <c r="I32" i="1"/>
  <c r="J32" i="1"/>
  <c r="K32" i="1"/>
  <c r="K9" i="5"/>
  <c r="C33" i="1"/>
  <c r="C10" i="5" s="1"/>
  <c r="D33" i="1"/>
  <c r="D10" i="5" s="1"/>
  <c r="E33" i="1"/>
  <c r="E10" i="5" s="1"/>
  <c r="F33" i="1"/>
  <c r="F10" i="5"/>
  <c r="G33" i="1"/>
  <c r="G10" i="5" s="1"/>
  <c r="I33" i="1"/>
  <c r="J33" i="1"/>
  <c r="J10" i="5"/>
  <c r="K33" i="1"/>
  <c r="K10" i="5" s="1"/>
  <c r="C34" i="1"/>
  <c r="C11" i="5" s="1"/>
  <c r="D34" i="1"/>
  <c r="D11" i="5" s="1"/>
  <c r="E34" i="1"/>
  <c r="E11" i="5"/>
  <c r="F34" i="1"/>
  <c r="F11" i="5" s="1"/>
  <c r="G34" i="1"/>
  <c r="G11" i="5"/>
  <c r="I34" i="1"/>
  <c r="J34" i="1"/>
  <c r="J11" i="5" s="1"/>
  <c r="K34" i="1"/>
  <c r="K11" i="5"/>
  <c r="C35" i="1"/>
  <c r="C12" i="5" s="1"/>
  <c r="D35" i="1"/>
  <c r="E35" i="1"/>
  <c r="E12" i="5" s="1"/>
  <c r="F35" i="1"/>
  <c r="F12" i="5" s="1"/>
  <c r="G35" i="1"/>
  <c r="G12" i="5"/>
  <c r="I35" i="1"/>
  <c r="J35" i="1"/>
  <c r="J12" i="5"/>
  <c r="K35" i="1"/>
  <c r="K12" i="5" s="1"/>
  <c r="C36" i="1"/>
  <c r="C13" i="5" s="1"/>
  <c r="D36" i="1"/>
  <c r="D13" i="5" s="1"/>
  <c r="E36" i="1"/>
  <c r="E13" i="5"/>
  <c r="F36" i="1"/>
  <c r="F13" i="5" s="1"/>
  <c r="G36" i="1"/>
  <c r="G13" i="5" s="1"/>
  <c r="I36" i="1"/>
  <c r="J36" i="1"/>
  <c r="J13" i="5"/>
  <c r="K36" i="1"/>
  <c r="K13" i="5" s="1"/>
  <c r="C37" i="1"/>
  <c r="C14" i="5"/>
  <c r="D37" i="1"/>
  <c r="D14" i="5" s="1"/>
  <c r="E37" i="1"/>
  <c r="E14" i="5"/>
  <c r="F37" i="1"/>
  <c r="F14" i="5" s="1"/>
  <c r="G37" i="1"/>
  <c r="G14" i="5" s="1"/>
  <c r="I37" i="1"/>
  <c r="J37" i="1"/>
  <c r="J14" i="5"/>
  <c r="K37" i="1"/>
  <c r="K14" i="5" s="1"/>
  <c r="C38" i="1"/>
  <c r="C15" i="5"/>
  <c r="D38" i="1"/>
  <c r="D15" i="5"/>
  <c r="E38" i="1"/>
  <c r="E15" i="5"/>
  <c r="F38" i="1"/>
  <c r="F15" i="5"/>
  <c r="G38" i="1"/>
  <c r="G15" i="5" s="1"/>
  <c r="I38" i="1"/>
  <c r="J38" i="1"/>
  <c r="J15" i="5" s="1"/>
  <c r="K38" i="1"/>
  <c r="K15" i="5"/>
  <c r="C39" i="1"/>
  <c r="C16" i="5"/>
  <c r="D39" i="1"/>
  <c r="D16" i="5"/>
  <c r="E39" i="1"/>
  <c r="E16" i="5" s="1"/>
  <c r="F39" i="1"/>
  <c r="F16" i="5"/>
  <c r="G39" i="1"/>
  <c r="G16" i="5" s="1"/>
  <c r="I39" i="1"/>
  <c r="J39" i="1"/>
  <c r="J16" i="5" s="1"/>
  <c r="K39" i="1"/>
  <c r="K16" i="5" s="1"/>
  <c r="C40" i="1"/>
  <c r="C17" i="5"/>
  <c r="D40" i="1"/>
  <c r="D17" i="5" s="1"/>
  <c r="E40" i="1"/>
  <c r="E17" i="5"/>
  <c r="F40" i="1"/>
  <c r="F17" i="5" s="1"/>
  <c r="G40" i="1"/>
  <c r="G17" i="5" s="1"/>
  <c r="I40" i="1"/>
  <c r="J40" i="1"/>
  <c r="J17" i="5" s="1"/>
  <c r="K40" i="1"/>
  <c r="K17" i="5"/>
  <c r="C41" i="1"/>
  <c r="C18" i="5" s="1"/>
  <c r="D41" i="1"/>
  <c r="D18" i="5"/>
  <c r="E41" i="1"/>
  <c r="E18" i="5"/>
  <c r="F41" i="1"/>
  <c r="F18" i="5" s="1"/>
  <c r="G41" i="1"/>
  <c r="G18" i="5" s="1"/>
  <c r="I41" i="1"/>
  <c r="J41" i="1"/>
  <c r="J18" i="5" s="1"/>
  <c r="K41" i="1"/>
  <c r="K18" i="5" s="1"/>
  <c r="C43" i="1"/>
  <c r="C20" i="5" s="1"/>
  <c r="D43" i="1"/>
  <c r="D20" i="5" s="1"/>
  <c r="E43" i="1"/>
  <c r="E20" i="5"/>
  <c r="F43" i="1"/>
  <c r="F20" i="5" s="1"/>
  <c r="G43" i="1"/>
  <c r="G20" i="5" s="1"/>
  <c r="I43" i="1"/>
  <c r="J43" i="1"/>
  <c r="K43" i="1"/>
  <c r="C44" i="1"/>
  <c r="C21" i="5" s="1"/>
  <c r="D44" i="1"/>
  <c r="D21" i="5" s="1"/>
  <c r="E44" i="1"/>
  <c r="E21" i="5" s="1"/>
  <c r="F44" i="1"/>
  <c r="F21" i="5" s="1"/>
  <c r="G44" i="1"/>
  <c r="G21" i="5"/>
  <c r="I44" i="1"/>
  <c r="J44" i="1"/>
  <c r="J20" i="5" s="1"/>
  <c r="K44" i="1"/>
  <c r="K20" i="5"/>
  <c r="I33" i="4"/>
  <c r="L33" i="4"/>
  <c r="L91" i="4" s="1"/>
  <c r="E53" i="4"/>
  <c r="E111" i="4"/>
  <c r="F53" i="4"/>
  <c r="F111" i="4" s="1"/>
  <c r="G53" i="4"/>
  <c r="G111" i="4"/>
  <c r="H53" i="4"/>
  <c r="H111" i="4" s="1"/>
  <c r="K53" i="4"/>
  <c r="K111" i="4"/>
  <c r="M53" i="4"/>
  <c r="M111" i="4" s="1"/>
  <c r="N53" i="4"/>
  <c r="N111" i="4" s="1"/>
  <c r="O53" i="4"/>
  <c r="O54" i="4" s="1"/>
  <c r="O111" i="4"/>
  <c r="P53" i="4"/>
  <c r="E107" i="4"/>
  <c r="F107" i="4"/>
  <c r="G107" i="4"/>
  <c r="H107" i="4"/>
  <c r="K107" i="4"/>
  <c r="M107" i="4"/>
  <c r="N107" i="4"/>
  <c r="O107" i="4"/>
  <c r="P107" i="4"/>
  <c r="E106" i="4"/>
  <c r="E108" i="4"/>
  <c r="E109" i="4"/>
  <c r="D106" i="4"/>
  <c r="D107" i="4"/>
  <c r="D108" i="4"/>
  <c r="D109" i="4"/>
  <c r="D110" i="4"/>
  <c r="D53" i="4"/>
  <c r="D111" i="4"/>
  <c r="I47" i="4"/>
  <c r="L105" i="4"/>
  <c r="I48" i="4"/>
  <c r="J48" i="4" s="1"/>
  <c r="I49" i="4"/>
  <c r="L49" i="4" s="1"/>
  <c r="J49" i="4"/>
  <c r="J107" i="4" s="1"/>
  <c r="P111" i="4"/>
  <c r="E17" i="4"/>
  <c r="E72" i="4" s="1"/>
  <c r="F17" i="4"/>
  <c r="F72" i="4"/>
  <c r="H17" i="4"/>
  <c r="K17" i="4"/>
  <c r="K72" i="4"/>
  <c r="M17" i="4"/>
  <c r="M72" i="4" s="1"/>
  <c r="N17" i="4"/>
  <c r="N72" i="4"/>
  <c r="O17" i="4"/>
  <c r="O72" i="4"/>
  <c r="P17" i="4"/>
  <c r="P72" i="4"/>
  <c r="D17" i="4"/>
  <c r="D72" i="4" s="1"/>
  <c r="I16" i="4"/>
  <c r="I17" i="4" s="1"/>
  <c r="I72" i="4" s="1"/>
  <c r="D85" i="4"/>
  <c r="E85" i="4"/>
  <c r="F85" i="4"/>
  <c r="G85" i="4"/>
  <c r="H85" i="4"/>
  <c r="K85" i="4"/>
  <c r="M85" i="4"/>
  <c r="N85" i="4"/>
  <c r="O85" i="4"/>
  <c r="P85" i="4"/>
  <c r="D86" i="4"/>
  <c r="E86" i="4"/>
  <c r="F86" i="4"/>
  <c r="G86" i="4"/>
  <c r="H86" i="4"/>
  <c r="K86" i="4"/>
  <c r="M86" i="4"/>
  <c r="N86" i="4"/>
  <c r="O86" i="4"/>
  <c r="P86" i="4"/>
  <c r="D87" i="4"/>
  <c r="E87" i="4"/>
  <c r="F87" i="4"/>
  <c r="G87" i="4"/>
  <c r="H87" i="4"/>
  <c r="K87" i="4"/>
  <c r="L87" i="4"/>
  <c r="M87" i="4"/>
  <c r="N87" i="4"/>
  <c r="O87" i="4"/>
  <c r="P87" i="4"/>
  <c r="D88" i="4"/>
  <c r="E88" i="4"/>
  <c r="F88" i="4"/>
  <c r="G88" i="4"/>
  <c r="H88" i="4"/>
  <c r="K88" i="4"/>
  <c r="M88" i="4"/>
  <c r="N88" i="4"/>
  <c r="O88" i="4"/>
  <c r="P88" i="4"/>
  <c r="D89" i="4"/>
  <c r="E89" i="4"/>
  <c r="F89" i="4"/>
  <c r="G89" i="4"/>
  <c r="H89" i="4"/>
  <c r="K89" i="4"/>
  <c r="M89" i="4"/>
  <c r="N89" i="4"/>
  <c r="O89" i="4"/>
  <c r="P89" i="4"/>
  <c r="D90" i="4"/>
  <c r="E90" i="4"/>
  <c r="F90" i="4"/>
  <c r="G90" i="4"/>
  <c r="H90" i="4"/>
  <c r="K90" i="4"/>
  <c r="M90" i="4"/>
  <c r="N90" i="4"/>
  <c r="O90" i="4"/>
  <c r="P90" i="4"/>
  <c r="D95" i="4"/>
  <c r="E95" i="4"/>
  <c r="F95" i="4"/>
  <c r="G95" i="4"/>
  <c r="H95" i="4"/>
  <c r="K95" i="4"/>
  <c r="M95" i="4"/>
  <c r="N95" i="4"/>
  <c r="O95" i="4"/>
  <c r="P95" i="4"/>
  <c r="D96" i="4"/>
  <c r="E96" i="4"/>
  <c r="F96" i="4"/>
  <c r="G96" i="4"/>
  <c r="H96" i="4"/>
  <c r="K96" i="4"/>
  <c r="M96" i="4"/>
  <c r="N96" i="4"/>
  <c r="O96" i="4"/>
  <c r="P96" i="4"/>
  <c r="D97" i="4"/>
  <c r="E97" i="4"/>
  <c r="F97" i="4"/>
  <c r="G97" i="4"/>
  <c r="H97" i="4"/>
  <c r="K97" i="4"/>
  <c r="M97" i="4"/>
  <c r="N97" i="4"/>
  <c r="O97" i="4"/>
  <c r="P97" i="4"/>
  <c r="D98" i="4"/>
  <c r="E98" i="4"/>
  <c r="F98" i="4"/>
  <c r="G98" i="4"/>
  <c r="H98" i="4"/>
  <c r="K98" i="4"/>
  <c r="M98" i="4"/>
  <c r="N98" i="4"/>
  <c r="O98" i="4"/>
  <c r="P98" i="4"/>
  <c r="D99" i="4"/>
  <c r="E99" i="4"/>
  <c r="F99" i="4"/>
  <c r="G99" i="4"/>
  <c r="H99" i="4"/>
  <c r="K99" i="4"/>
  <c r="M99" i="4"/>
  <c r="N99" i="4"/>
  <c r="O99" i="4"/>
  <c r="P99" i="4"/>
  <c r="D100" i="4"/>
  <c r="E100" i="4"/>
  <c r="G100" i="4"/>
  <c r="H100" i="4"/>
  <c r="K100" i="4"/>
  <c r="M100" i="4"/>
  <c r="N100" i="4"/>
  <c r="O100" i="4"/>
  <c r="P100" i="4"/>
  <c r="D101" i="4"/>
  <c r="E101" i="4"/>
  <c r="F101" i="4"/>
  <c r="G101" i="4"/>
  <c r="H101" i="4"/>
  <c r="K101" i="4"/>
  <c r="M101" i="4"/>
  <c r="N101" i="4"/>
  <c r="O101" i="4"/>
  <c r="P101" i="4"/>
  <c r="D102" i="4"/>
  <c r="E102" i="4"/>
  <c r="F102" i="4"/>
  <c r="G102" i="4"/>
  <c r="H102" i="4"/>
  <c r="K102" i="4"/>
  <c r="M102" i="4"/>
  <c r="N102" i="4"/>
  <c r="O102" i="4"/>
  <c r="P102" i="4"/>
  <c r="D103" i="4"/>
  <c r="E103" i="4"/>
  <c r="F103" i="4"/>
  <c r="G103" i="4"/>
  <c r="H103" i="4"/>
  <c r="K103" i="4"/>
  <c r="L103" i="4"/>
  <c r="M103" i="4"/>
  <c r="N103" i="4"/>
  <c r="O103" i="4"/>
  <c r="P103" i="4"/>
  <c r="D105" i="4"/>
  <c r="E105" i="4"/>
  <c r="F105" i="4"/>
  <c r="G105" i="4"/>
  <c r="H105" i="4"/>
  <c r="K105" i="4"/>
  <c r="M105" i="4"/>
  <c r="N105" i="4"/>
  <c r="O105" i="4"/>
  <c r="P105" i="4"/>
  <c r="F106" i="4"/>
  <c r="G106" i="4"/>
  <c r="H106" i="4"/>
  <c r="K106" i="4"/>
  <c r="M106" i="4"/>
  <c r="N106" i="4"/>
  <c r="O106" i="4"/>
  <c r="P106" i="4"/>
  <c r="F108" i="4"/>
  <c r="G108" i="4"/>
  <c r="H108" i="4"/>
  <c r="K108" i="4"/>
  <c r="M108" i="4"/>
  <c r="N108" i="4"/>
  <c r="O108" i="4"/>
  <c r="P108" i="4"/>
  <c r="F109" i="4"/>
  <c r="G109" i="4"/>
  <c r="H109" i="4"/>
  <c r="K109" i="4"/>
  <c r="M109" i="4"/>
  <c r="N109" i="4"/>
  <c r="O109" i="4"/>
  <c r="P109" i="4"/>
  <c r="E110" i="4"/>
  <c r="F110" i="4"/>
  <c r="G110" i="4"/>
  <c r="H110" i="4"/>
  <c r="K110" i="4"/>
  <c r="M110" i="4"/>
  <c r="N110" i="4"/>
  <c r="O110" i="4"/>
  <c r="P110" i="4"/>
  <c r="D63" i="4"/>
  <c r="E63" i="4"/>
  <c r="F63" i="4"/>
  <c r="G63" i="4"/>
  <c r="H63" i="4"/>
  <c r="K63" i="4"/>
  <c r="M63" i="4"/>
  <c r="N63" i="4"/>
  <c r="O63" i="4"/>
  <c r="P63" i="4"/>
  <c r="D64" i="4"/>
  <c r="E64" i="4"/>
  <c r="F64" i="4"/>
  <c r="G64" i="4"/>
  <c r="H64" i="4"/>
  <c r="K64" i="4"/>
  <c r="M64" i="4"/>
  <c r="N64" i="4"/>
  <c r="O64" i="4"/>
  <c r="P64" i="4"/>
  <c r="D65" i="4"/>
  <c r="E65" i="4"/>
  <c r="F65" i="4"/>
  <c r="G65" i="4"/>
  <c r="H65" i="4"/>
  <c r="K65" i="4"/>
  <c r="M65" i="4"/>
  <c r="N65" i="4"/>
  <c r="O65" i="4"/>
  <c r="P65" i="4"/>
  <c r="D67" i="4"/>
  <c r="E67" i="4"/>
  <c r="F67" i="4"/>
  <c r="G67" i="4"/>
  <c r="H67" i="4"/>
  <c r="K67" i="4"/>
  <c r="M67" i="4"/>
  <c r="N67" i="4"/>
  <c r="O67" i="4"/>
  <c r="P67" i="4"/>
  <c r="D68" i="4"/>
  <c r="E68" i="4"/>
  <c r="F68" i="4"/>
  <c r="G68" i="4"/>
  <c r="H68" i="4"/>
  <c r="K68" i="4"/>
  <c r="M68" i="4"/>
  <c r="N68" i="4"/>
  <c r="O68" i="4"/>
  <c r="P68" i="4"/>
  <c r="D69" i="4"/>
  <c r="E69" i="4"/>
  <c r="F69" i="4"/>
  <c r="G69" i="4"/>
  <c r="H69" i="4"/>
  <c r="K69" i="4"/>
  <c r="M69" i="4"/>
  <c r="N69" i="4"/>
  <c r="O69" i="4"/>
  <c r="P69" i="4"/>
  <c r="D71" i="4"/>
  <c r="E71" i="4"/>
  <c r="F71" i="4"/>
  <c r="G71" i="4"/>
  <c r="H71" i="4"/>
  <c r="K71" i="4"/>
  <c r="M71" i="4"/>
  <c r="N71" i="4"/>
  <c r="O71" i="4"/>
  <c r="P71" i="4"/>
  <c r="E15" i="4"/>
  <c r="E70" i="4"/>
  <c r="F15" i="4"/>
  <c r="F70" i="4" s="1"/>
  <c r="H15" i="4"/>
  <c r="H70" i="4" s="1"/>
  <c r="K15" i="4"/>
  <c r="K70" i="4" s="1"/>
  <c r="M15" i="4"/>
  <c r="M18" i="4"/>
  <c r="M70" i="4"/>
  <c r="N15" i="4"/>
  <c r="N70" i="4" s="1"/>
  <c r="O15" i="4"/>
  <c r="O70" i="4"/>
  <c r="P15" i="4"/>
  <c r="P70" i="4" s="1"/>
  <c r="D15" i="4"/>
  <c r="D70" i="4"/>
  <c r="E11" i="4"/>
  <c r="F11" i="4"/>
  <c r="H66" i="4"/>
  <c r="K11" i="4"/>
  <c r="K66" i="4"/>
  <c r="M11" i="4"/>
  <c r="M66" i="4"/>
  <c r="M73" i="4" s="1"/>
  <c r="N11" i="4"/>
  <c r="N66" i="4"/>
  <c r="O11" i="4"/>
  <c r="O66" i="4" s="1"/>
  <c r="O73" i="4" s="1"/>
  <c r="P11" i="4"/>
  <c r="P66" i="4"/>
  <c r="D11" i="4"/>
  <c r="D66" i="4" s="1"/>
  <c r="J31" i="3"/>
  <c r="J64" i="3" s="1"/>
  <c r="J30" i="3"/>
  <c r="J63" i="3"/>
  <c r="J29" i="3"/>
  <c r="J62" i="3"/>
  <c r="J28" i="3"/>
  <c r="J61" i="3"/>
  <c r="J27" i="3"/>
  <c r="J26" i="3"/>
  <c r="K26" i="3" s="1"/>
  <c r="J24" i="3"/>
  <c r="J57" i="3"/>
  <c r="J22" i="3"/>
  <c r="J55" i="3"/>
  <c r="J15" i="3"/>
  <c r="K15" i="3" s="1"/>
  <c r="K48" i="3" s="1"/>
  <c r="J48" i="3"/>
  <c r="J14" i="3"/>
  <c r="K14" i="3" s="1"/>
  <c r="J47" i="3"/>
  <c r="J13" i="3"/>
  <c r="K13" i="3"/>
  <c r="K46" i="3" s="1"/>
  <c r="N27" i="3"/>
  <c r="J46" i="3"/>
  <c r="J12" i="3"/>
  <c r="K12" i="3" s="1"/>
  <c r="N26" i="3" s="1"/>
  <c r="J45" i="3"/>
  <c r="J9" i="5"/>
  <c r="D30" i="1"/>
  <c r="D7" i="5"/>
  <c r="E30" i="1"/>
  <c r="E7" i="5" s="1"/>
  <c r="F30" i="1"/>
  <c r="G30" i="1"/>
  <c r="G7" i="5"/>
  <c r="H30" i="1"/>
  <c r="I30" i="1"/>
  <c r="J30" i="1"/>
  <c r="J7" i="5"/>
  <c r="K30" i="1"/>
  <c r="C30" i="1"/>
  <c r="C7" i="5"/>
  <c r="C31" i="2"/>
  <c r="D31" i="2"/>
  <c r="E31" i="2"/>
  <c r="F31" i="2"/>
  <c r="G31" i="2"/>
  <c r="C23" i="2"/>
  <c r="D23" i="2"/>
  <c r="E23" i="2"/>
  <c r="F23" i="2"/>
  <c r="C24" i="2"/>
  <c r="D24" i="2"/>
  <c r="E24" i="2"/>
  <c r="F24" i="2"/>
  <c r="C25" i="2"/>
  <c r="D25" i="2"/>
  <c r="E25" i="2"/>
  <c r="F25" i="2"/>
  <c r="D22" i="2"/>
  <c r="E22" i="2"/>
  <c r="F22" i="2"/>
  <c r="C22" i="2"/>
  <c r="C56" i="3"/>
  <c r="D56" i="3"/>
  <c r="E56" i="3"/>
  <c r="G56" i="3"/>
  <c r="H56" i="3"/>
  <c r="I56" i="3"/>
  <c r="C57" i="3"/>
  <c r="D57" i="3"/>
  <c r="E57" i="3"/>
  <c r="G57" i="3"/>
  <c r="H57" i="3"/>
  <c r="I57" i="3"/>
  <c r="C59" i="3"/>
  <c r="D59" i="3"/>
  <c r="E59" i="3"/>
  <c r="G59" i="3"/>
  <c r="H59" i="3"/>
  <c r="I59" i="3"/>
  <c r="C60" i="3"/>
  <c r="D60" i="3"/>
  <c r="E60" i="3"/>
  <c r="G60" i="3"/>
  <c r="H60" i="3"/>
  <c r="I60" i="3"/>
  <c r="C61" i="3"/>
  <c r="D61" i="3"/>
  <c r="E61" i="3"/>
  <c r="G61" i="3"/>
  <c r="H61" i="3"/>
  <c r="I61" i="3"/>
  <c r="C62" i="3"/>
  <c r="D62" i="3"/>
  <c r="E62" i="3"/>
  <c r="G62" i="3"/>
  <c r="H62" i="3"/>
  <c r="I62" i="3"/>
  <c r="C63" i="3"/>
  <c r="D63" i="3"/>
  <c r="E63" i="3"/>
  <c r="G63" i="3"/>
  <c r="H63" i="3"/>
  <c r="I63" i="3"/>
  <c r="C64" i="3"/>
  <c r="D64" i="3"/>
  <c r="E64" i="3"/>
  <c r="G64" i="3"/>
  <c r="H64" i="3"/>
  <c r="I64" i="3"/>
  <c r="D55" i="3"/>
  <c r="E55" i="3"/>
  <c r="G55" i="3"/>
  <c r="H55" i="3"/>
  <c r="I55" i="3"/>
  <c r="C55" i="3"/>
  <c r="C41" i="3"/>
  <c r="D41" i="3"/>
  <c r="E41" i="3"/>
  <c r="G41" i="3"/>
  <c r="H41" i="3"/>
  <c r="I41" i="3"/>
  <c r="C42" i="3"/>
  <c r="D42" i="3"/>
  <c r="E42" i="3"/>
  <c r="G42" i="3"/>
  <c r="H42" i="3"/>
  <c r="I42" i="3"/>
  <c r="C44" i="3"/>
  <c r="D44" i="3"/>
  <c r="E44" i="3"/>
  <c r="G44" i="3"/>
  <c r="H44" i="3"/>
  <c r="I44" i="3"/>
  <c r="C45" i="3"/>
  <c r="D45" i="3"/>
  <c r="E45" i="3"/>
  <c r="G45" i="3"/>
  <c r="H45" i="3"/>
  <c r="I45" i="3"/>
  <c r="C46" i="3"/>
  <c r="D46" i="3"/>
  <c r="E46" i="3"/>
  <c r="G46" i="3"/>
  <c r="H46" i="3"/>
  <c r="I46" i="3"/>
  <c r="C47" i="3"/>
  <c r="D47" i="3"/>
  <c r="E47" i="3"/>
  <c r="G47" i="3"/>
  <c r="H47" i="3"/>
  <c r="I47" i="3"/>
  <c r="C48" i="3"/>
  <c r="D48" i="3"/>
  <c r="E48" i="3"/>
  <c r="G48" i="3"/>
  <c r="H48" i="3"/>
  <c r="I48" i="3"/>
  <c r="C49" i="3"/>
  <c r="D49" i="3"/>
  <c r="E49" i="3"/>
  <c r="G49" i="3"/>
  <c r="H49" i="3"/>
  <c r="I49" i="3"/>
  <c r="D40" i="3"/>
  <c r="E40" i="3"/>
  <c r="G40" i="3"/>
  <c r="H40" i="3"/>
  <c r="I40" i="3"/>
  <c r="C40" i="3"/>
  <c r="E84" i="4"/>
  <c r="F84" i="4"/>
  <c r="G84" i="4"/>
  <c r="H84" i="4"/>
  <c r="K84" i="4"/>
  <c r="M84" i="4"/>
  <c r="N84" i="4"/>
  <c r="O84" i="4"/>
  <c r="P84" i="4"/>
  <c r="D84" i="4"/>
  <c r="E62" i="4"/>
  <c r="F62" i="4"/>
  <c r="G62" i="4"/>
  <c r="H62" i="4"/>
  <c r="K62" i="4"/>
  <c r="M62" i="4"/>
  <c r="N62" i="4"/>
  <c r="O62" i="4"/>
  <c r="P62" i="4"/>
  <c r="D62" i="4"/>
  <c r="J16" i="3"/>
  <c r="J49" i="3" s="1"/>
  <c r="H22" i="5"/>
  <c r="K22" i="1"/>
  <c r="J22" i="1"/>
  <c r="I22" i="1"/>
  <c r="H22" i="1"/>
  <c r="G22" i="1"/>
  <c r="F22" i="1"/>
  <c r="E22" i="1"/>
  <c r="D22" i="1"/>
  <c r="C22" i="1"/>
  <c r="I52" i="4"/>
  <c r="I110" i="4" s="1"/>
  <c r="I109" i="4"/>
  <c r="I50" i="4"/>
  <c r="J50" i="4" s="1"/>
  <c r="J108" i="4" s="1"/>
  <c r="I45" i="4"/>
  <c r="J45" i="4" s="1"/>
  <c r="J103" i="4" s="1"/>
  <c r="I103" i="4"/>
  <c r="I44" i="4"/>
  <c r="I43" i="4"/>
  <c r="I42" i="4"/>
  <c r="J42" i="4" s="1"/>
  <c r="I41" i="4"/>
  <c r="J41" i="4" s="1"/>
  <c r="J99" i="4" s="1"/>
  <c r="I40" i="4"/>
  <c r="J40" i="4" s="1"/>
  <c r="J98" i="4" s="1"/>
  <c r="I39" i="4"/>
  <c r="L39" i="4" s="1"/>
  <c r="L97" i="4" s="1"/>
  <c r="I97" i="4"/>
  <c r="I38" i="4"/>
  <c r="I96" i="4" s="1"/>
  <c r="I37" i="4"/>
  <c r="I32" i="4"/>
  <c r="J32" i="4" s="1"/>
  <c r="J90" i="4" s="1"/>
  <c r="I90" i="4"/>
  <c r="I31" i="4"/>
  <c r="I30" i="4"/>
  <c r="J30" i="4" s="1"/>
  <c r="L30" i="4"/>
  <c r="L88" i="4" s="1"/>
  <c r="I88" i="4"/>
  <c r="I29" i="4"/>
  <c r="J29" i="4" s="1"/>
  <c r="J87" i="4" s="1"/>
  <c r="I28" i="4"/>
  <c r="J28" i="4"/>
  <c r="J86" i="4" s="1"/>
  <c r="I86" i="4"/>
  <c r="I27" i="4"/>
  <c r="I85" i="4" s="1"/>
  <c r="J27" i="4"/>
  <c r="Q27" i="4" s="1"/>
  <c r="Q85" i="4" s="1"/>
  <c r="I26" i="4"/>
  <c r="I14" i="4"/>
  <c r="I69" i="4" s="1"/>
  <c r="J14" i="4"/>
  <c r="Q14" i="4" s="1"/>
  <c r="Q69" i="4" s="1"/>
  <c r="I13" i="4"/>
  <c r="I68" i="4" s="1"/>
  <c r="J13" i="4"/>
  <c r="I12" i="4"/>
  <c r="L12" i="4" s="1"/>
  <c r="I67" i="4"/>
  <c r="I10" i="4"/>
  <c r="I9" i="4"/>
  <c r="I64" i="4" s="1"/>
  <c r="I8" i="4"/>
  <c r="I63" i="4" s="1"/>
  <c r="I7" i="4"/>
  <c r="J7" i="4" s="1"/>
  <c r="J62" i="4" s="1"/>
  <c r="L62" i="4"/>
  <c r="H15" i="2"/>
  <c r="F10" i="2"/>
  <c r="E10" i="2"/>
  <c r="D10" i="2"/>
  <c r="C10" i="2"/>
  <c r="G9" i="2"/>
  <c r="G25" i="2" s="1"/>
  <c r="G8" i="2"/>
  <c r="G24" i="2"/>
  <c r="G7" i="2"/>
  <c r="G23" i="2"/>
  <c r="G6" i="2"/>
  <c r="G22" i="2" s="1"/>
  <c r="J11" i="3"/>
  <c r="J9" i="3"/>
  <c r="J42" i="3"/>
  <c r="J8" i="3"/>
  <c r="K8" i="3" s="1"/>
  <c r="N22" i="3" s="1"/>
  <c r="J41" i="3"/>
  <c r="J10" i="3"/>
  <c r="J43" i="3" s="1"/>
  <c r="J7" i="3"/>
  <c r="J40" i="3"/>
  <c r="G17" i="3"/>
  <c r="H54" i="4"/>
  <c r="J44" i="3"/>
  <c r="F66" i="4"/>
  <c r="K9" i="3"/>
  <c r="D32" i="3"/>
  <c r="I93" i="4"/>
  <c r="P54" i="4"/>
  <c r="P104" i="4"/>
  <c r="F54" i="4"/>
  <c r="I99" i="4"/>
  <c r="K7" i="5"/>
  <c r="L109" i="4"/>
  <c r="D54" i="4"/>
  <c r="L108" i="4"/>
  <c r="L106" i="4"/>
  <c r="L89" i="4"/>
  <c r="L86" i="4"/>
  <c r="L71" i="4"/>
  <c r="L17" i="4"/>
  <c r="L72" i="4"/>
  <c r="L69" i="4"/>
  <c r="L68" i="4"/>
  <c r="L64" i="4"/>
  <c r="H58" i="3"/>
  <c r="I106" i="4"/>
  <c r="L90" i="4"/>
  <c r="L84" i="4"/>
  <c r="L11" i="4"/>
  <c r="L66" i="4" s="1"/>
  <c r="E9" i="5"/>
  <c r="D12" i="5"/>
  <c r="K23" i="3"/>
  <c r="K56" i="3" s="1"/>
  <c r="O22" i="3"/>
  <c r="O55" i="3" s="1"/>
  <c r="J17" i="3"/>
  <c r="I17" i="3"/>
  <c r="D43" i="3"/>
  <c r="D50" i="3"/>
  <c r="D17" i="3"/>
  <c r="Q51" i="4"/>
  <c r="Q109" i="4" s="1"/>
  <c r="J100" i="4"/>
  <c r="K54" i="4"/>
  <c r="J39" i="4"/>
  <c r="J97" i="4"/>
  <c r="M94" i="4"/>
  <c r="G54" i="4"/>
  <c r="I15" i="4"/>
  <c r="I70" i="4" s="1"/>
  <c r="J68" i="4"/>
  <c r="Q13" i="4"/>
  <c r="Q68" i="4" s="1"/>
  <c r="Q7" i="4"/>
  <c r="K25" i="3"/>
  <c r="K58" i="3" s="1"/>
  <c r="G26" i="2" l="1"/>
  <c r="M112" i="4"/>
  <c r="G22" i="5"/>
  <c r="N28" i="3"/>
  <c r="K47" i="3"/>
  <c r="Q48" i="4"/>
  <c r="Q106" i="4" s="1"/>
  <c r="J106" i="4"/>
  <c r="J88" i="4"/>
  <c r="Q30" i="4"/>
  <c r="Q88" i="4" s="1"/>
  <c r="J50" i="3"/>
  <c r="J85" i="4"/>
  <c r="O23" i="3"/>
  <c r="O56" i="3" s="1"/>
  <c r="K18" i="4"/>
  <c r="P112" i="4"/>
  <c r="M54" i="4"/>
  <c r="J25" i="3"/>
  <c r="J58" i="3" s="1"/>
  <c r="Q29" i="4"/>
  <c r="Q87" i="4" s="1"/>
  <c r="I87" i="4"/>
  <c r="D65" i="3"/>
  <c r="G32" i="3"/>
  <c r="O29" i="3"/>
  <c r="O62" i="3" s="1"/>
  <c r="P18" i="4"/>
  <c r="G73" i="4"/>
  <c r="J69" i="4"/>
  <c r="O18" i="4"/>
  <c r="I107" i="4"/>
  <c r="J8" i="4"/>
  <c r="J12" i="4"/>
  <c r="J15" i="4" s="1"/>
  <c r="J70" i="4" s="1"/>
  <c r="Q49" i="4"/>
  <c r="Q107" i="4" s="1"/>
  <c r="F26" i="2"/>
  <c r="I100" i="4"/>
  <c r="G50" i="3"/>
  <c r="E26" i="2"/>
  <c r="D112" i="4"/>
  <c r="Q39" i="4"/>
  <c r="Q97" i="4" s="1"/>
  <c r="D26" i="2"/>
  <c r="C26" i="2"/>
  <c r="H50" i="3"/>
  <c r="L42" i="4"/>
  <c r="L100" i="4" s="1"/>
  <c r="H31" i="2"/>
  <c r="K41" i="3"/>
  <c r="K62" i="3"/>
  <c r="J59" i="3"/>
  <c r="C65" i="3"/>
  <c r="K28" i="3"/>
  <c r="N18" i="4"/>
  <c r="N54" i="4"/>
  <c r="L36" i="4"/>
  <c r="L94" i="4" s="1"/>
  <c r="C16" i="6"/>
  <c r="F18" i="4"/>
  <c r="L41" i="4"/>
  <c r="L99" i="4" s="1"/>
  <c r="Q45" i="4"/>
  <c r="Q103" i="4" s="1"/>
  <c r="I50" i="3"/>
  <c r="I65" i="3"/>
  <c r="F112" i="4"/>
  <c r="L40" i="4"/>
  <c r="N59" i="3"/>
  <c r="F7" i="5"/>
  <c r="F22" i="5" s="1"/>
  <c r="F45" i="1"/>
  <c r="N73" i="4"/>
  <c r="J37" i="4"/>
  <c r="L37" i="4"/>
  <c r="I46" i="4"/>
  <c r="I104" i="4" s="1"/>
  <c r="L52" i="4"/>
  <c r="L110" i="4" s="1"/>
  <c r="J52" i="4"/>
  <c r="J110" i="4" s="1"/>
  <c r="K27" i="3"/>
  <c r="J60" i="3"/>
  <c r="J65" i="3" s="1"/>
  <c r="J32" i="3"/>
  <c r="J9" i="4"/>
  <c r="Q8" i="4"/>
  <c r="Q63" i="4" s="1"/>
  <c r="J63" i="4"/>
  <c r="I65" i="4"/>
  <c r="J10" i="4"/>
  <c r="J67" i="4"/>
  <c r="I95" i="4"/>
  <c r="K8" i="5"/>
  <c r="K45" i="1"/>
  <c r="K21" i="5" s="1"/>
  <c r="F44" i="3"/>
  <c r="K11" i="3"/>
  <c r="P28" i="3"/>
  <c r="N61" i="3"/>
  <c r="P61" i="3" s="1"/>
  <c r="F40" i="3"/>
  <c r="K7" i="3"/>
  <c r="F65" i="3"/>
  <c r="F32" i="3"/>
  <c r="G18" i="4"/>
  <c r="I53" i="4"/>
  <c r="I111" i="4" s="1"/>
  <c r="E58" i="3"/>
  <c r="E65" i="3" s="1"/>
  <c r="E32" i="3"/>
  <c r="G45" i="1"/>
  <c r="E54" i="4"/>
  <c r="E94" i="4"/>
  <c r="E112" i="4" s="1"/>
  <c r="E22" i="5"/>
  <c r="C43" i="3"/>
  <c r="C50" i="3" s="1"/>
  <c r="F10" i="3"/>
  <c r="E45" i="1"/>
  <c r="J33" i="4"/>
  <c r="J91" i="4" s="1"/>
  <c r="Q33" i="4"/>
  <c r="Q91" i="4" s="1"/>
  <c r="J16" i="4"/>
  <c r="I71" i="4"/>
  <c r="L38" i="4"/>
  <c r="L96" i="4" s="1"/>
  <c r="J38" i="4"/>
  <c r="J96" i="4" s="1"/>
  <c r="K73" i="4"/>
  <c r="Q28" i="4"/>
  <c r="Q86" i="4" s="1"/>
  <c r="K61" i="3"/>
  <c r="O27" i="3"/>
  <c r="O60" i="3" s="1"/>
  <c r="L15" i="4"/>
  <c r="L67" i="4"/>
  <c r="J92" i="4"/>
  <c r="Q34" i="4"/>
  <c r="Q92" i="4" s="1"/>
  <c r="J45" i="1"/>
  <c r="J21" i="5" s="1"/>
  <c r="J22" i="5" s="1"/>
  <c r="K45" i="3"/>
  <c r="G10" i="2"/>
  <c r="H72" i="4"/>
  <c r="H73" i="4" s="1"/>
  <c r="H18" i="4"/>
  <c r="I91" i="4"/>
  <c r="G65" i="3"/>
  <c r="I45" i="1"/>
  <c r="E50" i="3"/>
  <c r="H45" i="1"/>
  <c r="I7" i="5"/>
  <c r="I22" i="5" s="1"/>
  <c r="D18" i="4"/>
  <c r="I62" i="4"/>
  <c r="Q32" i="4"/>
  <c r="Q90" i="4" s="1"/>
  <c r="K16" i="3"/>
  <c r="P73" i="4"/>
  <c r="I105" i="4"/>
  <c r="J47" i="4"/>
  <c r="D9" i="5"/>
  <c r="D22" i="5" s="1"/>
  <c r="D45" i="1"/>
  <c r="H112" i="4"/>
  <c r="N60" i="3"/>
  <c r="N55" i="3"/>
  <c r="P55" i="3" s="1"/>
  <c r="P22" i="3"/>
  <c r="L43" i="4"/>
  <c r="L101" i="4" s="1"/>
  <c r="J43" i="4"/>
  <c r="J101" i="4" s="1"/>
  <c r="I101" i="4"/>
  <c r="F73" i="4"/>
  <c r="L107" i="4"/>
  <c r="O24" i="3"/>
  <c r="I89" i="4"/>
  <c r="J31" i="4"/>
  <c r="J44" i="4"/>
  <c r="I102" i="4"/>
  <c r="E66" i="4"/>
  <c r="E73" i="4" s="1"/>
  <c r="E18" i="4"/>
  <c r="N23" i="3"/>
  <c r="K42" i="3"/>
  <c r="I84" i="4"/>
  <c r="I36" i="4"/>
  <c r="J26" i="4"/>
  <c r="Q62" i="4"/>
  <c r="K10" i="3"/>
  <c r="H65" i="3"/>
  <c r="I11" i="4"/>
  <c r="Q50" i="4"/>
  <c r="Q108" i="4" s="1"/>
  <c r="I108" i="4"/>
  <c r="D73" i="4"/>
  <c r="C9" i="5"/>
  <c r="C22" i="5" s="1"/>
  <c r="C45" i="1"/>
  <c r="Q12" i="4"/>
  <c r="J56" i="3"/>
  <c r="N29" i="3"/>
  <c r="O25" i="3"/>
  <c r="O58" i="3" s="1"/>
  <c r="K59" i="3"/>
  <c r="K31" i="3"/>
  <c r="K55" i="3"/>
  <c r="O21" i="3"/>
  <c r="O54" i="3" s="1"/>
  <c r="Q35" i="4"/>
  <c r="Q93" i="4" s="1"/>
  <c r="I98" i="4"/>
  <c r="Q42" i="4"/>
  <c r="Q100" i="4" s="1"/>
  <c r="Q40" i="4" l="1"/>
  <c r="Q98" i="4" s="1"/>
  <c r="L98" i="4"/>
  <c r="Q43" i="4"/>
  <c r="Q101" i="4" s="1"/>
  <c r="Q41" i="4"/>
  <c r="Q99" i="4" s="1"/>
  <c r="J64" i="4"/>
  <c r="J11" i="4"/>
  <c r="J36" i="4"/>
  <c r="Q26" i="4"/>
  <c r="J84" i="4"/>
  <c r="I94" i="4"/>
  <c r="I112" i="4" s="1"/>
  <c r="I54" i="4"/>
  <c r="N62" i="3"/>
  <c r="P62" i="3" s="1"/>
  <c r="P29" i="3"/>
  <c r="O26" i="3"/>
  <c r="K60" i="3"/>
  <c r="F17" i="3"/>
  <c r="F43" i="3"/>
  <c r="F50" i="3" s="1"/>
  <c r="K44" i="3"/>
  <c r="N25" i="3"/>
  <c r="Q67" i="4"/>
  <c r="Q15" i="4"/>
  <c r="Q70" i="4" s="1"/>
  <c r="P60" i="3"/>
  <c r="J95" i="4"/>
  <c r="J46" i="4"/>
  <c r="J104" i="4" s="1"/>
  <c r="J102" i="4"/>
  <c r="Q44" i="4"/>
  <c r="Q102" i="4" s="1"/>
  <c r="I18" i="4"/>
  <c r="I66" i="4"/>
  <c r="I73" i="4" s="1"/>
  <c r="O57" i="3"/>
  <c r="Q38" i="4"/>
  <c r="Q96" i="4" s="1"/>
  <c r="K64" i="3"/>
  <c r="O30" i="3"/>
  <c r="O63" i="3" s="1"/>
  <c r="K49" i="3"/>
  <c r="N30" i="3"/>
  <c r="J71" i="4"/>
  <c r="J17" i="4"/>
  <c r="J72" i="4" s="1"/>
  <c r="N21" i="3"/>
  <c r="K40" i="3"/>
  <c r="L70" i="4"/>
  <c r="L73" i="4" s="1"/>
  <c r="L18" i="4"/>
  <c r="N56" i="3"/>
  <c r="P56" i="3" s="1"/>
  <c r="P23" i="3"/>
  <c r="P24" i="3" s="1"/>
  <c r="Q52" i="4"/>
  <c r="Q110" i="4" s="1"/>
  <c r="P57" i="3"/>
  <c r="L95" i="4"/>
  <c r="L46" i="4"/>
  <c r="K22" i="5"/>
  <c r="P27" i="3"/>
  <c r="Q37" i="4"/>
  <c r="J89" i="4"/>
  <c r="Q31" i="4"/>
  <c r="Q89" i="4" s="1"/>
  <c r="Q9" i="4"/>
  <c r="J65" i="4"/>
  <c r="Q10" i="4"/>
  <c r="Q65" i="4" s="1"/>
  <c r="K32" i="3"/>
  <c r="J105" i="4"/>
  <c r="J53" i="4"/>
  <c r="J111" i="4" s="1"/>
  <c r="Q47" i="4"/>
  <c r="K17" i="3"/>
  <c r="K43" i="3"/>
  <c r="N24" i="3"/>
  <c r="Q16" i="4"/>
  <c r="L53" i="4"/>
  <c r="L111" i="4" s="1"/>
  <c r="K65" i="3" l="1"/>
  <c r="Q95" i="4"/>
  <c r="Q46" i="4"/>
  <c r="Q104" i="4" s="1"/>
  <c r="N31" i="3"/>
  <c r="N57" i="3"/>
  <c r="O59" i="3"/>
  <c r="P59" i="3" s="1"/>
  <c r="P26" i="3"/>
  <c r="P30" i="3"/>
  <c r="N63" i="3"/>
  <c r="P63" i="3" s="1"/>
  <c r="P25" i="3"/>
  <c r="P31" i="3" s="1"/>
  <c r="N58" i="3"/>
  <c r="P58" i="3" s="1"/>
  <c r="Q17" i="4"/>
  <c r="Q72" i="4" s="1"/>
  <c r="Q71" i="4"/>
  <c r="L104" i="4"/>
  <c r="L112" i="4" s="1"/>
  <c r="L54" i="4"/>
  <c r="K50" i="3"/>
  <c r="O31" i="3"/>
  <c r="Q53" i="4"/>
  <c r="Q111" i="4" s="1"/>
  <c r="Q105" i="4"/>
  <c r="P21" i="3"/>
  <c r="N54" i="3"/>
  <c r="P54" i="3" s="1"/>
  <c r="Q84" i="4"/>
  <c r="Q36" i="4"/>
  <c r="Q64" i="4"/>
  <c r="Q11" i="4"/>
  <c r="J54" i="4"/>
  <c r="J94" i="4"/>
  <c r="J112" i="4" s="1"/>
  <c r="J66" i="4"/>
  <c r="J73" i="4" s="1"/>
  <c r="J18" i="4"/>
  <c r="P64" i="3" l="1"/>
  <c r="Q18" i="4"/>
  <c r="Q66" i="4"/>
  <c r="Q73" i="4" s="1"/>
  <c r="Q94" i="4"/>
  <c r="Q112" i="4" s="1"/>
  <c r="Q54" i="4"/>
  <c r="N64" i="3"/>
  <c r="O64" i="3"/>
</calcChain>
</file>

<file path=xl/sharedStrings.xml><?xml version="1.0" encoding="utf-8"?>
<sst xmlns="http://schemas.openxmlformats.org/spreadsheetml/2006/main" count="569" uniqueCount="151">
  <si>
    <t xml:space="preserve"> --</t>
  </si>
  <si>
    <t>(आकडे हजारात)</t>
  </si>
  <si>
    <t>जिल्हा</t>
  </si>
  <si>
    <t>स्थायी पदे</t>
  </si>
  <si>
    <t>भरलेली पदे</t>
  </si>
  <si>
    <t>रिक्त पदे</t>
  </si>
  <si>
    <t>एकूण</t>
  </si>
  <si>
    <t>वर्ग</t>
  </si>
  <si>
    <t>वर्ग-1 व 2</t>
  </si>
  <si>
    <t>वर्ग-3</t>
  </si>
  <si>
    <t>वर्ग-4</t>
  </si>
  <si>
    <t>पदे</t>
  </si>
  <si>
    <t>वेतन</t>
  </si>
  <si>
    <t>ग्रेड पे</t>
  </si>
  <si>
    <t>विशेष वेतन</t>
  </si>
  <si>
    <t>महा.भत्ता</t>
  </si>
  <si>
    <t>स्था.पु.भ.</t>
  </si>
  <si>
    <t>घरभाडे</t>
  </si>
  <si>
    <t>प्रवास भत्ता</t>
  </si>
  <si>
    <t>इतर</t>
  </si>
  <si>
    <t>अस्थायी पदे</t>
  </si>
  <si>
    <t>सर्व वर्ग पदे</t>
  </si>
  <si>
    <t>विभाग</t>
  </si>
  <si>
    <t>कोकण विभाग</t>
  </si>
  <si>
    <t>मागणी क्र.सी- 1- लेखाशिर्ष 20530387</t>
  </si>
  <si>
    <t>मंजूर पदे</t>
  </si>
  <si>
    <t>अ.क्र.</t>
  </si>
  <si>
    <t>स्थायी</t>
  </si>
  <si>
    <t>अस्थायी</t>
  </si>
  <si>
    <t>जिल्हा / विभाग</t>
  </si>
  <si>
    <t>वैद्यकिय खर्च</t>
  </si>
  <si>
    <t>उत्सव/सण अग्रिम</t>
  </si>
  <si>
    <t>स्वग्राम/महाराष्ट्र दर्शन</t>
  </si>
  <si>
    <t>अ. क्र.</t>
  </si>
  <si>
    <t>पद</t>
  </si>
  <si>
    <t>मुळ वेतन</t>
  </si>
  <si>
    <t>ग्रेड वेतन</t>
  </si>
  <si>
    <t>स्थानिक पुरक भत्ता</t>
  </si>
  <si>
    <t>घर भाडे भत्ता</t>
  </si>
  <si>
    <t>वाहन भत्ता</t>
  </si>
  <si>
    <t>धूलाई भत्ता</t>
  </si>
  <si>
    <t>रोख भत्ता</t>
  </si>
  <si>
    <t>चप्पल भत्ता/ इतर</t>
  </si>
  <si>
    <t>विभागीय आयुक्त</t>
  </si>
  <si>
    <t>अपर आयुक्त</t>
  </si>
  <si>
    <t>तहसिलदार</t>
  </si>
  <si>
    <t>नायब तहसिलदार</t>
  </si>
  <si>
    <t>लघुलेखक (उच्च)</t>
  </si>
  <si>
    <t>अव्वल कारकून</t>
  </si>
  <si>
    <t>उपआयुक्त</t>
  </si>
  <si>
    <t>उपजिल्हाधिकारी</t>
  </si>
  <si>
    <t>नगर रचनाकार</t>
  </si>
  <si>
    <t>लेखाधिकारी</t>
  </si>
  <si>
    <t>उपलेखापाल</t>
  </si>
  <si>
    <t>लघुलेखक (निम्न)</t>
  </si>
  <si>
    <t>वाहन चालक</t>
  </si>
  <si>
    <t>स्वच्छता निरीक्षक</t>
  </si>
  <si>
    <t>हमाल</t>
  </si>
  <si>
    <t>मजूर</t>
  </si>
  <si>
    <t>--</t>
  </si>
  <si>
    <t>सहाय्यक संचालक</t>
  </si>
  <si>
    <t>सहाय्यक लेखाधिकारी</t>
  </si>
  <si>
    <t>उद्वाहक</t>
  </si>
  <si>
    <t>लेख्याची प्राथमिक आणि दुय्यम युनिट</t>
  </si>
  <si>
    <t>प्रत्यक्ष रक्कमा (खर्च)</t>
  </si>
  <si>
    <t>अर्थसंकल्पीय अंदाज</t>
  </si>
  <si>
    <t>मागील वर्षाच्या प्रत्यक्ष रक्कमा आणि चालु वर्षाच्या अर्थसंकल्पीय अंदाजाची तुलना करता आगामी वर्षासाठीच्या अंदाजातील वाढ किंवा घट यांच्या संबंधातील स्पष्टीकरणे.</t>
  </si>
  <si>
    <t>प्राकक्लन (एस्टिमेटिंग) अधिका-याचा</t>
  </si>
  <si>
    <t>नियंत्रक अधिका-यांचा</t>
  </si>
  <si>
    <t>प्रशासकीय विभागाचा</t>
  </si>
  <si>
    <t>वित्त विभागाचा</t>
  </si>
  <si>
    <t>01- वेतन</t>
  </si>
  <si>
    <t>13- कार्यालयीन खर्च</t>
  </si>
  <si>
    <t>17- संगणक खर्च</t>
  </si>
  <si>
    <t>51- मोटार वाहने</t>
  </si>
  <si>
    <t>03- अति. भत्ता</t>
  </si>
  <si>
    <t>11- देशांतर्गत प्रवास खर्च</t>
  </si>
  <si>
    <t>14- भाडेपट्टी व कर</t>
  </si>
  <si>
    <t>06- दूरध्वनी, वीज,पाणी व शुल्क</t>
  </si>
  <si>
    <t>03-अति. भत्ता</t>
  </si>
  <si>
    <t>24- इंधन खर्च</t>
  </si>
  <si>
    <t>50-इतर खर्च</t>
  </si>
  <si>
    <t xml:space="preserve">सुधारीत अंदाज </t>
  </si>
  <si>
    <t>लघुलेखक (निवड श्रेणी)</t>
  </si>
  <si>
    <t>एकूण (वर्ग-1 व 2)</t>
  </si>
  <si>
    <t>एकूण (वर्ग-3)</t>
  </si>
  <si>
    <t>एकूण (वर्ग-4)</t>
  </si>
  <si>
    <t>अस्थायी एकूण (वर्ग-1,2,3 व 4)</t>
  </si>
  <si>
    <t>स्थायी एकूण (वर्ग-1,2,3 व 4)</t>
  </si>
  <si>
    <t>50- इतर खर्च</t>
  </si>
  <si>
    <t>लिपिक-टंकलेखक</t>
  </si>
  <si>
    <t>चौकीदार/पहारेकरी/वॉचमन</t>
  </si>
  <si>
    <t>शिपाई/नाईक/हवालदार</t>
  </si>
  <si>
    <t>स्वच्छक/सफाईगार/सफाई कामगार</t>
  </si>
  <si>
    <t>नायब तहसिलदार (उल्हासनगर)</t>
  </si>
  <si>
    <t>लघुलेखक (उ.वि.उल्हासनगर)</t>
  </si>
  <si>
    <t>रोखपाल/वरिष्ठ वेतन श्रेणी लिपिक/भाडे वसुलीकार लिपिक/वसूली कारकून</t>
  </si>
  <si>
    <t>लघु टंकलेखक</t>
  </si>
  <si>
    <t>रचना सहायक</t>
  </si>
  <si>
    <t>विधी अधिकारी (मानधन)</t>
  </si>
  <si>
    <t>10- कंत्राटी सेवा</t>
  </si>
  <si>
    <t>16- प्रकाशने</t>
  </si>
  <si>
    <t>20- इतर प्रशासकीय खर्च</t>
  </si>
  <si>
    <t>26- जाहिरात व प्रसिध्दी खर्च</t>
  </si>
  <si>
    <t>मागील वर्षाच्या प्रत्यक्ष रक्कमा आणि चालु वर्षाच्या अर्थसंकल्पीय अंदाजाची तुलना करता आगामी वर्षासाठीच्या अंदाजातील वाढ किंवा घट यांच्या संबंधातील स्पष्टीकरणे</t>
  </si>
  <si>
    <t>सहायक संचालक नगररचना (नगररचनाकार)</t>
  </si>
  <si>
    <t>27-लहान बांधकामे</t>
  </si>
  <si>
    <t>जोडपत्र "ड"</t>
  </si>
  <si>
    <t>संवर्गनिहाय माहिती</t>
  </si>
  <si>
    <t>संवर्ग</t>
  </si>
  <si>
    <t>वर्ग-1</t>
  </si>
  <si>
    <t>वर्ग-2</t>
  </si>
  <si>
    <t>2021-2022</t>
  </si>
  <si>
    <t>2022-2023</t>
  </si>
  <si>
    <t>2023-2024</t>
  </si>
  <si>
    <t>(1) अधिकारी व कर्मचारी यांचे सातव्या वेतन आयोगानुसार वेतन व भत्ते अदा करण्याकरीता. वेळोवेळी होणारी वेतनवाढ व महागाई भत्ता दराप्रमाणे वाढीव अनुदान मिळणेस विनंती आहे. 
(2) प्रतिक्षाधीन कालावधीचे वेतन, आश्वासित प्रगती योजनेच्या लाभाचे वेतन व अतिरिक्त कार्यभाराचे विशेष वेतन इ.साठी आवश्यकता आहे.</t>
  </si>
  <si>
    <t>शासनाने ठरवून दिलेल्या वाढीव महसूल उद्दिष्ट पुर्ततेबाबत वाहन चालकांना मा.आयुक्त, उपआयुक्त या दर्जाच्या अधिकाऱ्यांसोबत फिरती करावी लागते.</t>
  </si>
  <si>
    <t xml:space="preserve">(1) या बाबीखाली जिल्हा कार्यालयाशी मोठया प्रमाणावर संपर्क साधण्यासाठी, इंटरनेटसाठी दूरध्वनीचा वापर करावा लागतो.
(2) मुंबई येथील विभागीय आयुक्त कार्यालयातील वीज देयक अदा करणेसाठी  अनुदानाची आवश्यकता आहे.
(3) कोकण भवन इमारतीच्या पाण्याचे पंप,उद्ववाहने, प्रसाधन गृहे, चौक, पॅसेज, छन्नमार्ग, आवारातील लाईटस् यासाठी लागणाच्या वीजेची देयके भरण्यासाठी दर महा अंदाजे रक्कम रु. 2,50,000/- प्रमाणे वार्षिक रक्कम रु.30,00,000/- वाढीव अनुदानाची गरज आहे.
(4) कोकण भवन इमारतीचे पाणी देयक भरणेसाठी  वार्षिक र.रु.2,50,000/- इतक्या अनुदानाची आवश्यकता आहे.
 (5) विजेचे वाढलेले दर व पाणी पट्टीची वाढीव देयके यासाठी वाढीव अनुदानाची आवश्यकता आहे.                                                                                  </t>
  </si>
  <si>
    <t>(1) कोंकण भवन इमारतीची साफसफाई यांत्रिकी पध्दतीने करणेच्या कामासाठी  अंदाजित रक्कम रूपये 1,50,00,000/- एवढया रकमेची आवश्यकता आहे.
(2) शासन, वित्त विभाग, शासन परिपत्रक क्र : संकीर्ण-2019/ प्र.क्र.22 /कोषा प्रशा-4 दि.13/08/2020 अन्वये विधी अधिकारी या (कंत्राटी)पदाच्या मानधना करीता र.रू.4,20,000/- तरतुद करण्यात आली आहे.</t>
  </si>
  <si>
    <t xml:space="preserve">कार्यालयीन अधिकारी/कर्मचारी यांच्या प्रवास खर्चाकरीता  </t>
  </si>
  <si>
    <t xml:space="preserve">(1) कार्यालयीन खर्चासाठी स्टेशनरी, जडसंग्रह वस्तु,झेरॉक्स व इतर खर्च, विविध प्रकारच्या बैठका आयोजीत करण्याकरीता, निवासी दुरध्वनी देयके अदा करण्याकरीता र.रु.46,50,000/-ची आवश्यकता आहे. 
(2) कोंकण भवन प्रशासकीय इमारतीवर दररोज राष्ट्रध्वज लावणेकामी व ध्वजदोरी खरेदी करणेकरीता अंदाजित रक्कम रुपये 2,25,000/- एवढया रकमेची तरतूद आवश्यक आहे.
 (3) विद्युत साहित्याची खरेदी, जंयती दिनाचे कार्यक्रम, टीसीएल पावडरची खरेदी व इतर  कार्यालयीन खर्चाकरीता अंदाजित र.रु.1,00,000/- अ‍नुदान आवश्यक आहे. </t>
  </si>
  <si>
    <t>विभागीय आयुक्त कार्यालयाच्या हिश्याचा वार्षिक मालमत्ता कर देयक भरणे  करीता अनुदान आवश्यक आहे.</t>
  </si>
  <si>
    <t>विविध प्रकारच्या छपाईच्या  देयक प्रदाणाकरीता नवीन बाब निर्माण करण्यासाठी टोकन रक्कमेची आवश्यकता आहे.</t>
  </si>
  <si>
    <t>संगणक, टोनर रिफिलींग / देखभाल दुरुस्तीसाठी र.रू.8,00,000/- तसेच, नवीन संगणक व प्रिंटर्स खरेदीसाठी अंदाजे र.रू.4,00,000/- ची आवश्यकता आहे.</t>
  </si>
  <si>
    <t>विविध प्रकारच्या बैठकाया कार्यालयात आयोजीत केल्या जातात त्यावेळी उपस्थिताकरीता चहा/नास्ता मागविण्यात येता त्याच्या खर्चासाठी  देयक प्रदाणाकरीता नवीन बाब निर्माण करण्यासाठी टोकन रक्कमेची आवश्यकता आहे.</t>
  </si>
  <si>
    <t>4 वाहनांकरीता पेट्रोल व डिझेल खर्चे</t>
  </si>
  <si>
    <t>जाहिरात प्रसिध्द करण्याकरीता आवश्यक खर्च 
नवीन बाब निर्माण करण्यासाठी टोकन रक्कमेची आवश्यकता आहे.</t>
  </si>
  <si>
    <t>-</t>
  </si>
  <si>
    <t>उपरोक्तबाबी व्यतिरिक्त या कार्यालयात करण्यात येणाऱ्या खर्चा करीता 
नवीन बाब निर्माण करण्यासाठी टोकन रक्कमेची आवश्यकता आहे.</t>
  </si>
  <si>
    <t>वाहन दुरस्ती करीता</t>
  </si>
  <si>
    <t>सहाय्यक संचालक(लेखा)कोकण विभाग</t>
  </si>
  <si>
    <t>2024-2025</t>
  </si>
  <si>
    <t>NPS</t>
  </si>
  <si>
    <t>2025-26</t>
  </si>
  <si>
    <t>2026-27</t>
  </si>
  <si>
    <t>अर्थसंकल्पीय अंदाजपत्रक सन 2026-2027 (प्रपत्र ड)</t>
  </si>
  <si>
    <t>अर्थसंकल्पीय अंदाजपत्रक सन 2026-2027</t>
  </si>
  <si>
    <t>अर्थसंकल्पीय अंदाजपत्रक सन 2026-2027(प्रपत्र ड)</t>
  </si>
  <si>
    <t>अर्थसंकल्पीय अंदाजपत्रक सन 2026-2027(प्रपत्र क)</t>
  </si>
  <si>
    <t>अर्थसंकल्पीय अंदाजपत्रक सन 2026-2027(प्रपत्र ब)</t>
  </si>
  <si>
    <t>अर्थसंकल्पीय अंदाजपत्रक सन 2026-2027(प्रपत्र अ)</t>
  </si>
  <si>
    <t>अर्थसंकल्पीय अंदाज 2026-2027</t>
  </si>
  <si>
    <t>2025-2026</t>
  </si>
  <si>
    <t>महागाई भत्ता 70%</t>
  </si>
  <si>
    <t xml:space="preserve">(1) या बाबीखाली जिल्हा कार्यालयाशी मोठया प्रमाणावर संपर्क साधण्यासाठी, इंटरनेटसाठी दूरध्वनीचा वापर करावा लागतो.
(2) मुंबई येथील विभागीय आयुक्त कार्यालयातील वीज देयक अदा करणेसाठी  अनुदानाची आवश्यकता आहे.
(3) कोकण भवन इमारतीच्या पाण्याचे पंप,उद्ववाहने, प्रसाधन गृहे, चौक, पॅसेज, छन्नमार्ग, आवारातील लाईटस् यासाठी लागणाच्या वीजेची देयके भरण्यासाठी दर महा अंदाजे रक्कम रु. 3,00,000/- प्रमाणे वार्षिक रक्कम रु.42,00,000/- वाढीव अनुदानाची गरज आहे. हॉटलाईन टेलिफोन करीता अंदाजित 90,000/- अनुदानाची आवश्यकता आहे.
(4) कोकण भवन इमारतीचे पाणी देयक भरणेसाठी  वार्षिक अंदाजे र.रु.12,00,000/- इतक्या अनुदानाची आवश्यकता आहे.
 (5) विजेचे वाढलेले दर व पाणी पट्टीची वाढीव देयके यासाठी वाढीव अनुदानाची आवश्यकता आहे.                                                                                  </t>
  </si>
  <si>
    <t>(1) कोंकण भवन इमारतीची साफसफाई यांत्रिकी पध्दतीने करणेच्या कामासाठी  अंदाजित रक्कम रूपये 1,70,00,000/- एवढया रकमेची आवश्यकता आहे.
(2) शासन, वित्त विभाग, शासन परिपत्रक क्र : संकीर्ण-2019/ प्र.क्र.22 /कोषा प्रशा-4 दि.13/08/2020 अन्वये विधी अधिकारी या (कंत्राटी)पदाच्या मानधना करीता र.रू.6,00,000/- तरतुद करण्यात आली आहे.</t>
  </si>
  <si>
    <t xml:space="preserve">(1) कार्यालयीन खर्चासाठी स्टेशनरी, जडसंग्रह वस्तु,झेरॉक्स व इतर खर्च, विविध प्रकारच्या बैठका आयोजीत करण्याकरीता, निवासी दुरध्वनी देयके, वाहन खरेदी, छपाई खर्च अदा करण्याकरीता अंदाजित र.रु.44,10,000/-ची आवश्यकता आहे. 
(2) कोंकण भवन प्रशासकीय इमारतीवर दररोज राष्ट्रध्वज लावणेकामी व ध्वजदोरी खरेदी करणेकरीता अंदाजित रक्कम रुपये 1,90,000/- एवढया रकमेची तरतूद आवश्यक आहे.
 (3) विद्युत साहित्याची खरेदी, जंयती दिनाचे कार्यक्रम, टीसीएल पावडरची खरेदी व इतर  कार्यालयीन खर्चाकरीता अंदाजित र.रु.1,00,000/- अ‍नुदान आवश्यक आहे. </t>
  </si>
  <si>
    <t xml:space="preserve">विभागीय आयुक्त कार्यालयाच्या हिश्याचा वार्षिक मालमत्ता कर देयक भरणे  करीता अनुदान आवश्यक आहे. </t>
  </si>
  <si>
    <t>संगणक, टोनर रिफिलींग / देखभाल, इतर  दुरुस्तीसाठी अंदाजे र.रू.8,00,000/- तसेच, नवीन संगणक व प्रिंटर्स खरेदीसाठी अंदाजे र.रू.4,00,000/- ची आवश्यकता आहे.</t>
  </si>
  <si>
    <t>अपर आयुक्त (सा.प्र.) कोकण विभाग</t>
  </si>
  <si>
    <t>अपर आयुक्त (सा.प्र.)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</si>
</sst>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6"/>
      <color indexed="8"/>
      <name val="DVB-TTYogeshEN"/>
      <family val="5"/>
    </font>
    <font>
      <sz val="16"/>
      <color indexed="8"/>
      <name val="DVB-TTYogeshEN"/>
      <family val="5"/>
    </font>
    <font>
      <b/>
      <sz val="14"/>
      <color indexed="8"/>
      <name val="DVB-TTYogeshEN"/>
      <family val="5"/>
    </font>
    <font>
      <sz val="14"/>
      <color indexed="8"/>
      <name val="DVB-TTYogeshEN"/>
      <family val="5"/>
    </font>
    <font>
      <b/>
      <sz val="14"/>
      <name val="DVB-TTYogeshEN"/>
      <family val="5"/>
    </font>
    <font>
      <b/>
      <u/>
      <sz val="18"/>
      <color indexed="8"/>
      <name val="DVB-TTYogeshEN"/>
      <family val="5"/>
    </font>
    <font>
      <b/>
      <u/>
      <sz val="16"/>
      <color indexed="8"/>
      <name val="DVB-TTYogeshEN"/>
      <family val="5"/>
    </font>
    <font>
      <b/>
      <sz val="16"/>
      <name val="DVB-TTYogeshEN"/>
      <family val="5"/>
    </font>
    <font>
      <b/>
      <sz val="12"/>
      <color indexed="8"/>
      <name val="DVB-TTYogeshEN"/>
      <family val="5"/>
    </font>
    <font>
      <sz val="15"/>
      <name val="DVB-TTYogeshEN"/>
      <family val="5"/>
    </font>
    <font>
      <sz val="15"/>
      <color indexed="8"/>
      <name val="DVB-TTYogeshEN"/>
      <family val="5"/>
    </font>
    <font>
      <b/>
      <sz val="15"/>
      <color indexed="8"/>
      <name val="DVB-TTYogeshEN"/>
      <family val="5"/>
    </font>
    <font>
      <sz val="13"/>
      <color indexed="8"/>
      <name val="DVB-TTYogeshEN"/>
      <family val="5"/>
    </font>
    <font>
      <b/>
      <sz val="14"/>
      <color indexed="8"/>
      <name val="DVOT-Surekh"/>
    </font>
    <font>
      <b/>
      <u/>
      <sz val="14"/>
      <color indexed="8"/>
      <name val="DVOT-Surekh"/>
    </font>
    <font>
      <b/>
      <u/>
      <sz val="14"/>
      <color indexed="8"/>
      <name val="DVB-TTYogeshEN"/>
      <family val="5"/>
    </font>
    <font>
      <sz val="11"/>
      <color indexed="8"/>
      <name val="DVOT-Surekh"/>
    </font>
    <font>
      <sz val="11"/>
      <color indexed="8"/>
      <name val="DVB-TTYogeshEN"/>
      <family val="5"/>
    </font>
    <font>
      <b/>
      <sz val="12"/>
      <color indexed="8"/>
      <name val="DVOT-Surekh"/>
    </font>
    <font>
      <sz val="12"/>
      <color indexed="8"/>
      <name val="DVOT-Surekh"/>
    </font>
    <font>
      <b/>
      <u/>
      <sz val="12"/>
      <color indexed="8"/>
      <name val="DVOT-Surekh"/>
    </font>
    <font>
      <sz val="12"/>
      <color indexed="8"/>
      <name val="DVB-TTYogeshEN"/>
      <family val="5"/>
    </font>
    <font>
      <b/>
      <sz val="10"/>
      <color indexed="8"/>
      <name val="DVOT-Surekh"/>
    </font>
    <font>
      <sz val="12"/>
      <name val="DVOT-Surekh"/>
    </font>
    <font>
      <sz val="12"/>
      <name val="DVB-TTYogeshEN"/>
      <family val="5"/>
    </font>
    <font>
      <b/>
      <u/>
      <sz val="14"/>
      <name val="DVOT-Surekh"/>
    </font>
    <font>
      <b/>
      <u/>
      <sz val="14"/>
      <name val="DVB-TTYogeshEN"/>
      <family val="5"/>
    </font>
    <font>
      <b/>
      <sz val="14"/>
      <name val="DVOT-Surekh"/>
    </font>
    <font>
      <sz val="11"/>
      <name val="DVOT-Surekh"/>
    </font>
    <font>
      <b/>
      <sz val="18"/>
      <color indexed="8"/>
      <name val="DVB-TTYogeshEN"/>
      <family val="5"/>
    </font>
    <font>
      <b/>
      <sz val="18"/>
      <color indexed="8"/>
      <name val="DVOT-Surekh"/>
    </font>
    <font>
      <b/>
      <sz val="11"/>
      <color indexed="8"/>
      <name val="DVOT-Surekh"/>
    </font>
    <font>
      <sz val="10"/>
      <name val="DVOT-Surekh"/>
    </font>
    <font>
      <b/>
      <sz val="12"/>
      <name val="DVOT-Surekh"/>
    </font>
    <font>
      <b/>
      <sz val="20"/>
      <name val="DVOT-Surekh"/>
    </font>
    <font>
      <b/>
      <sz val="10"/>
      <name val="DVOT-Surekh"/>
    </font>
    <font>
      <sz val="10"/>
      <color indexed="8"/>
      <name val="DVOT-SurekhMR"/>
    </font>
    <font>
      <sz val="10"/>
      <name val="DVOT-SurekhMR"/>
    </font>
    <font>
      <sz val="10.5"/>
      <name val="DVOT-SurekhMR"/>
    </font>
    <font>
      <sz val="10.5"/>
      <color indexed="8"/>
      <name val="DVOT-SurekhMR"/>
    </font>
    <font>
      <b/>
      <sz val="16"/>
      <color rgb="FFFF0000"/>
      <name val="DVB-TTYogeshEN"/>
      <family val="5"/>
    </font>
    <font>
      <b/>
      <sz val="14"/>
      <color rgb="FFFF0000"/>
      <name val="DVB-TTYogeshEN"/>
      <family val="5"/>
    </font>
    <font>
      <b/>
      <sz val="14"/>
      <color rgb="FFFF0000"/>
      <name val="DVOT-Surekh"/>
    </font>
    <font>
      <sz val="12"/>
      <color rgb="FFFF0000"/>
      <name val="DVOT-Surekh"/>
    </font>
    <font>
      <b/>
      <sz val="12"/>
      <color rgb="FFFF0000"/>
      <name val="DVOT-Surekh"/>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3">
    <xf numFmtId="0" fontId="0" fillId="0" borderId="0" xfId="0"/>
    <xf numFmtId="0" fontId="2" fillId="0" borderId="0" xfId="0" applyFont="1"/>
    <xf numFmtId="0" fontId="1" fillId="0" borderId="1" xfId="0" applyFont="1" applyBorder="1" applyAlignment="1">
      <alignment vertical="top"/>
    </xf>
    <xf numFmtId="0" fontId="2" fillId="0" borderId="1" xfId="0" applyFont="1" applyBorder="1" applyAlignment="1">
      <alignment vertical="top"/>
    </xf>
    <xf numFmtId="0" fontId="4" fillId="0" borderId="0" xfId="0" applyFont="1"/>
    <xf numFmtId="0" fontId="1" fillId="0" borderId="2" xfId="0" applyFont="1" applyBorder="1" applyAlignment="1">
      <alignment vertical="top"/>
    </xf>
    <xf numFmtId="0" fontId="1" fillId="0" borderId="1" xfId="0" applyFont="1" applyBorder="1"/>
    <xf numFmtId="0" fontId="1" fillId="0" borderId="2" xfId="0" applyFont="1" applyBorder="1"/>
    <xf numFmtId="0" fontId="2" fillId="0" borderId="1" xfId="0" applyFont="1" applyBorder="1" applyAlignment="1">
      <alignment horizontal="right"/>
    </xf>
    <xf numFmtId="0" fontId="2" fillId="0" borderId="0" xfId="0" applyFont="1" applyAlignment="1">
      <alignment horizontal="center" vertical="center" wrapText="1"/>
    </xf>
    <xf numFmtId="0" fontId="1" fillId="0" borderId="0" xfId="0" applyFont="1" applyAlignment="1">
      <alignment horizontal="center" vertical="top"/>
    </xf>
    <xf numFmtId="0" fontId="1" fillId="0" borderId="0" xfId="0" applyFont="1" applyAlignment="1">
      <alignment vertical="top"/>
    </xf>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1" fillId="0" borderId="1" xfId="0" applyFont="1" applyBorder="1" applyAlignment="1">
      <alignment horizontal="right"/>
    </xf>
    <xf numFmtId="0" fontId="1" fillId="0" borderId="1" xfId="0" applyFont="1" applyBorder="1" applyAlignment="1">
      <alignment vertical="center" wrapText="1"/>
    </xf>
    <xf numFmtId="0" fontId="1" fillId="0" borderId="2" xfId="0" applyFont="1" applyBorder="1" applyAlignment="1">
      <alignment horizontal="right" vertical="center" wrapText="1"/>
    </xf>
    <xf numFmtId="0" fontId="1" fillId="0" borderId="0" xfId="0" applyFont="1" applyAlignment="1">
      <alignment vertical="center" wrapText="1"/>
    </xf>
    <xf numFmtId="0" fontId="1" fillId="0" borderId="1" xfId="0" applyFont="1" applyBorder="1" applyAlignment="1">
      <alignment vertical="top" wrapText="1"/>
    </xf>
    <xf numFmtId="0" fontId="8" fillId="0" borderId="3" xfId="0" applyFont="1" applyBorder="1" applyAlignment="1">
      <alignment vertical="top"/>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0" xfId="0" applyFont="1" applyAlignment="1">
      <alignment vertical="top"/>
    </xf>
    <xf numFmtId="0" fontId="6" fillId="0" borderId="0" xfId="0" applyFont="1"/>
    <xf numFmtId="0" fontId="19" fillId="0" borderId="1" xfId="0" applyFont="1" applyBorder="1" applyAlignment="1">
      <alignment horizontal="center" vertical="top"/>
    </xf>
    <xf numFmtId="0" fontId="9" fillId="0" borderId="1" xfId="0" applyFont="1" applyBorder="1" applyAlignment="1">
      <alignment vertical="top"/>
    </xf>
    <xf numFmtId="0" fontId="19" fillId="0" borderId="1" xfId="0" applyFont="1" applyBorder="1" applyAlignment="1">
      <alignment vertical="top"/>
    </xf>
    <xf numFmtId="0" fontId="20" fillId="0" borderId="1" xfId="0" applyFont="1" applyBorder="1" applyAlignment="1">
      <alignment horizontal="center" vertical="top"/>
    </xf>
    <xf numFmtId="0" fontId="21" fillId="0" borderId="1" xfId="0" applyFont="1" applyBorder="1" applyAlignment="1">
      <alignment vertical="top"/>
    </xf>
    <xf numFmtId="0" fontId="19" fillId="0" borderId="2" xfId="0" applyFont="1" applyBorder="1" applyAlignment="1">
      <alignment vertical="top"/>
    </xf>
    <xf numFmtId="0" fontId="19" fillId="0" borderId="4" xfId="0" applyFont="1" applyBorder="1" applyAlignment="1">
      <alignment vertical="top"/>
    </xf>
    <xf numFmtId="0" fontId="19" fillId="0" borderId="2" xfId="0" applyFont="1" applyBorder="1" applyAlignment="1">
      <alignment horizontal="center" vertical="top"/>
    </xf>
    <xf numFmtId="0" fontId="9" fillId="0" borderId="0" xfId="0" applyFont="1" applyAlignment="1">
      <alignment horizontal="center"/>
    </xf>
    <xf numFmtId="0" fontId="7" fillId="0" borderId="0" xfId="0" applyFont="1"/>
    <xf numFmtId="0" fontId="19" fillId="0" borderId="0" xfId="0" applyFont="1"/>
    <xf numFmtId="0" fontId="22" fillId="0" borderId="0" xfId="0" applyFont="1"/>
    <xf numFmtId="0" fontId="19" fillId="0" borderId="1" xfId="0" applyFont="1" applyBorder="1" applyAlignment="1">
      <alignment horizontal="center" vertical="top" wrapText="1"/>
    </xf>
    <xf numFmtId="0" fontId="19" fillId="0" borderId="1" xfId="0" applyFont="1" applyBorder="1" applyAlignment="1">
      <alignment horizontal="center"/>
    </xf>
    <xf numFmtId="0" fontId="19" fillId="0" borderId="1" xfId="0" applyFont="1" applyBorder="1" applyAlignment="1">
      <alignment horizontal="center" vertical="center" wrapText="1"/>
    </xf>
    <xf numFmtId="0" fontId="4" fillId="2" borderId="0" xfId="0" applyFont="1" applyFill="1"/>
    <xf numFmtId="0" fontId="6" fillId="2" borderId="3" xfId="0" applyFont="1" applyFill="1" applyBorder="1" applyAlignment="1">
      <alignment vertical="top"/>
    </xf>
    <xf numFmtId="0" fontId="4" fillId="2" borderId="1" xfId="0" applyFont="1" applyFill="1" applyBorder="1" applyAlignment="1">
      <alignment horizontal="right"/>
    </xf>
    <xf numFmtId="0" fontId="8" fillId="2" borderId="1" xfId="0" applyFont="1" applyFill="1" applyBorder="1" applyAlignment="1">
      <alignment horizontal="right" vertical="top"/>
    </xf>
    <xf numFmtId="0" fontId="4" fillId="2" borderId="5" xfId="0" applyFont="1" applyFill="1" applyBorder="1" applyAlignment="1">
      <alignment horizontal="right"/>
    </xf>
    <xf numFmtId="0" fontId="3" fillId="2" borderId="1" xfId="0" applyFont="1" applyFill="1" applyBorder="1"/>
    <xf numFmtId="0" fontId="3" fillId="2" borderId="1" xfId="0" applyFont="1" applyFill="1" applyBorder="1" applyAlignment="1">
      <alignment horizontal="right"/>
    </xf>
    <xf numFmtId="0" fontId="3" fillId="2" borderId="0" xfId="0" applyFont="1" applyFill="1" applyAlignment="1">
      <alignment horizontal="right"/>
    </xf>
    <xf numFmtId="0" fontId="4" fillId="2" borderId="0" xfId="0" applyFont="1" applyFill="1" applyAlignment="1">
      <alignment vertical="top"/>
    </xf>
    <xf numFmtId="0" fontId="4" fillId="2" borderId="0" xfId="0" applyFont="1" applyFill="1" applyAlignment="1">
      <alignment vertical="top" wrapText="1"/>
    </xf>
    <xf numFmtId="0" fontId="15" fillId="2" borderId="3" xfId="0" applyFont="1" applyFill="1" applyBorder="1" applyAlignment="1">
      <alignment vertical="top"/>
    </xf>
    <xf numFmtId="0" fontId="16" fillId="2" borderId="3" xfId="0" applyFont="1" applyFill="1" applyBorder="1" applyAlignment="1">
      <alignment vertical="top"/>
    </xf>
    <xf numFmtId="0" fontId="24" fillId="2" borderId="1" xfId="0" applyFont="1" applyFill="1" applyBorder="1" applyAlignment="1">
      <alignment horizontal="center" vertical="center"/>
    </xf>
    <xf numFmtId="0" fontId="24" fillId="2" borderId="1" xfId="0" applyFont="1" applyFill="1" applyBorder="1" applyAlignment="1">
      <alignment horizontal="center" vertical="center" wrapText="1"/>
    </xf>
    <xf numFmtId="0" fontId="20" fillId="2" borderId="1" xfId="0" applyFont="1" applyFill="1" applyBorder="1" applyAlignment="1">
      <alignment wrapText="1"/>
    </xf>
    <xf numFmtId="0" fontId="20" fillId="2" borderId="1" xfId="0" applyFont="1" applyFill="1" applyBorder="1" applyAlignment="1">
      <alignment vertical="top" wrapText="1"/>
    </xf>
    <xf numFmtId="0" fontId="24" fillId="2" borderId="1" xfId="0" applyFont="1" applyFill="1" applyBorder="1" applyAlignment="1">
      <alignment vertical="top" wrapText="1"/>
    </xf>
    <xf numFmtId="0" fontId="20" fillId="2" borderId="5" xfId="0" applyFont="1" applyFill="1" applyBorder="1" applyAlignment="1">
      <alignment vertical="top" wrapText="1"/>
    </xf>
    <xf numFmtId="0" fontId="3" fillId="2" borderId="5" xfId="0" applyFont="1" applyFill="1" applyBorder="1" applyAlignment="1">
      <alignment horizontal="right"/>
    </xf>
    <xf numFmtId="1" fontId="14" fillId="2" borderId="0" xfId="0" applyNumberFormat="1" applyFont="1" applyFill="1" applyAlignment="1">
      <alignment horizontal="center" vertical="top"/>
    </xf>
    <xf numFmtId="1" fontId="28" fillId="2" borderId="0" xfId="0" applyNumberFormat="1" applyFont="1" applyFill="1" applyAlignment="1">
      <alignment horizontal="center" vertical="top"/>
    </xf>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horizontal="center" vertical="top"/>
    </xf>
    <xf numFmtId="0" fontId="12" fillId="0" borderId="0" xfId="0" applyFont="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0" fontId="2" fillId="2" borderId="0" xfId="0" applyFont="1" applyFill="1"/>
    <xf numFmtId="0" fontId="2" fillId="2" borderId="1" xfId="0" applyFont="1" applyFill="1" applyBorder="1" applyAlignment="1">
      <alignment vertical="top" wrapText="1"/>
    </xf>
    <xf numFmtId="0" fontId="1" fillId="2" borderId="2" xfId="0" applyFont="1" applyFill="1" applyBorder="1" applyAlignment="1">
      <alignment vertical="top"/>
    </xf>
    <xf numFmtId="0" fontId="1" fillId="2" borderId="0" xfId="0" applyFont="1" applyFill="1" applyAlignment="1">
      <alignment vertical="top"/>
    </xf>
    <xf numFmtId="0" fontId="1" fillId="2" borderId="0" xfId="0" applyFont="1" applyFill="1" applyAlignment="1">
      <alignment horizontal="center" vertical="top"/>
    </xf>
    <xf numFmtId="0" fontId="2" fillId="2" borderId="0" xfId="0" applyFont="1" applyFill="1" applyAlignment="1">
      <alignment vertical="top"/>
    </xf>
    <xf numFmtId="0" fontId="29" fillId="0" borderId="3" xfId="0" applyFont="1" applyBorder="1" applyAlignment="1">
      <alignment horizontal="right" vertical="top"/>
    </xf>
    <xf numFmtId="0" fontId="20" fillId="0" borderId="1" xfId="0" applyFont="1" applyBorder="1" applyAlignment="1">
      <alignment horizontal="center" vertical="top" wrapText="1"/>
    </xf>
    <xf numFmtId="0" fontId="13" fillId="0" borderId="1" xfId="0" applyFont="1" applyBorder="1" applyAlignment="1">
      <alignment horizontal="center" vertical="top"/>
    </xf>
    <xf numFmtId="0" fontId="13" fillId="0" borderId="0" xfId="0" applyFont="1" applyAlignment="1">
      <alignment vertical="top"/>
    </xf>
    <xf numFmtId="0" fontId="20" fillId="2" borderId="1" xfId="0" applyFont="1" applyFill="1" applyBorder="1" applyAlignment="1">
      <alignment horizontal="center" vertical="top" wrapText="1"/>
    </xf>
    <xf numFmtId="0" fontId="3" fillId="0" borderId="2" xfId="0" applyFont="1" applyBorder="1" applyAlignment="1">
      <alignment horizontal="center" vertical="top"/>
    </xf>
    <xf numFmtId="0" fontId="14" fillId="0" borderId="2" xfId="0" applyFont="1" applyBorder="1" applyAlignment="1">
      <alignment horizontal="center" vertical="top"/>
    </xf>
    <xf numFmtId="0" fontId="20" fillId="0" borderId="1" xfId="0" applyFont="1" applyBorder="1" applyAlignment="1">
      <alignment vertical="top" wrapText="1"/>
    </xf>
    <xf numFmtId="0" fontId="10" fillId="0" borderId="1" xfId="0" applyFont="1" applyBorder="1" applyAlignment="1">
      <alignment horizontal="right" vertical="top"/>
    </xf>
    <xf numFmtId="0" fontId="11" fillId="0" borderId="1" xfId="0" applyFont="1" applyBorder="1" applyAlignment="1">
      <alignment horizontal="right"/>
    </xf>
    <xf numFmtId="0" fontId="11" fillId="0" borderId="5" xfId="0" applyFont="1" applyBorder="1" applyAlignment="1">
      <alignment horizontal="right"/>
    </xf>
    <xf numFmtId="0" fontId="30" fillId="0" borderId="2" xfId="0" applyFont="1" applyBorder="1" applyAlignment="1">
      <alignment horizontal="center" vertical="top"/>
    </xf>
    <xf numFmtId="0" fontId="31" fillId="0" borderId="2" xfId="0" applyFont="1" applyBorder="1" applyAlignment="1">
      <alignment horizontal="center" vertical="top"/>
    </xf>
    <xf numFmtId="0" fontId="30" fillId="0" borderId="2" xfId="0" applyFont="1" applyBorder="1" applyAlignment="1">
      <alignment vertical="top"/>
    </xf>
    <xf numFmtId="0" fontId="31" fillId="0" borderId="1" xfId="0" applyFont="1" applyBorder="1" applyAlignment="1">
      <alignment horizontal="center" vertical="top" wrapText="1"/>
    </xf>
    <xf numFmtId="0" fontId="22" fillId="2" borderId="6" xfId="0" applyFont="1" applyFill="1" applyBorder="1" applyAlignment="1">
      <alignment horizontal="center" vertical="top"/>
    </xf>
    <xf numFmtId="0" fontId="1" fillId="0" borderId="1" xfId="0" applyFont="1" applyBorder="1" applyAlignment="1">
      <alignment horizontal="right" vertical="center" wrapText="1"/>
    </xf>
    <xf numFmtId="0" fontId="1" fillId="2" borderId="1" xfId="0" applyFont="1" applyFill="1" applyBorder="1" applyAlignment="1">
      <alignment vertical="top" wrapText="1"/>
    </xf>
    <xf numFmtId="0" fontId="10" fillId="0" borderId="5" xfId="0" applyFont="1" applyBorder="1" applyAlignment="1">
      <alignment horizontal="right" vertical="top"/>
    </xf>
    <xf numFmtId="0" fontId="8" fillId="2" borderId="5" xfId="0" applyFont="1" applyFill="1" applyBorder="1" applyAlignment="1">
      <alignment horizontal="right" vertical="top"/>
    </xf>
    <xf numFmtId="0" fontId="20" fillId="2" borderId="6" xfId="0" applyFont="1" applyFill="1" applyBorder="1" applyAlignment="1">
      <alignment vertical="top" wrapText="1"/>
    </xf>
    <xf numFmtId="0" fontId="41" fillId="0" borderId="1" xfId="0" applyFont="1" applyBorder="1" applyAlignment="1">
      <alignment horizontal="right" vertical="top"/>
    </xf>
    <xf numFmtId="0" fontId="42" fillId="0" borderId="1" xfId="0" applyFont="1" applyBorder="1" applyAlignment="1">
      <alignment horizontal="right" vertical="top"/>
    </xf>
    <xf numFmtId="1" fontId="43" fillId="2" borderId="0" xfId="0" applyNumberFormat="1" applyFont="1" applyFill="1" applyAlignment="1">
      <alignment horizontal="center" vertical="top"/>
    </xf>
    <xf numFmtId="0" fontId="41" fillId="0" borderId="0" xfId="0" applyFont="1" applyAlignment="1">
      <alignment horizontal="right" vertical="top"/>
    </xf>
    <xf numFmtId="0" fontId="32" fillId="0" borderId="0" xfId="0" applyFont="1" applyAlignment="1">
      <alignment vertical="top"/>
    </xf>
    <xf numFmtId="0" fontId="20" fillId="2" borderId="5" xfId="0" applyFont="1" applyFill="1" applyBorder="1" applyAlignment="1">
      <alignment horizontal="center" vertical="top" wrapText="1"/>
    </xf>
    <xf numFmtId="0" fontId="24" fillId="2" borderId="5"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0" fillId="2" borderId="5" xfId="0" applyFont="1" applyFill="1" applyBorder="1" applyAlignment="1">
      <alignment vertical="top"/>
    </xf>
    <xf numFmtId="0" fontId="0" fillId="0" borderId="4" xfId="0" applyBorder="1"/>
    <xf numFmtId="0" fontId="4" fillId="2" borderId="1" xfId="0" applyFont="1" applyFill="1" applyBorder="1" applyAlignment="1">
      <alignment horizontal="right" vertical="top"/>
    </xf>
    <xf numFmtId="0" fontId="3" fillId="2" borderId="1" xfId="0" applyFont="1" applyFill="1" applyBorder="1" applyAlignment="1">
      <alignment horizontal="right" vertical="top"/>
    </xf>
    <xf numFmtId="0" fontId="3" fillId="2" borderId="1" xfId="0" applyFont="1" applyFill="1" applyBorder="1" applyAlignment="1">
      <alignment vertical="top"/>
    </xf>
    <xf numFmtId="0" fontId="11" fillId="2" borderId="1" xfId="0" applyFont="1" applyFill="1" applyBorder="1" applyAlignment="1">
      <alignment horizontal="right" vertical="top"/>
    </xf>
    <xf numFmtId="0" fontId="12" fillId="2" borderId="1" xfId="0" applyFont="1" applyFill="1" applyBorder="1" applyAlignment="1">
      <alignment horizontal="right" vertical="top"/>
    </xf>
    <xf numFmtId="0" fontId="4" fillId="2" borderId="5" xfId="0" applyFont="1" applyFill="1" applyBorder="1" applyAlignment="1">
      <alignment horizontal="right" vertical="top"/>
    </xf>
    <xf numFmtId="0" fontId="3" fillId="2" borderId="5" xfId="0" applyFont="1" applyFill="1" applyBorder="1" applyAlignment="1">
      <alignment horizontal="right" vertical="top"/>
    </xf>
    <xf numFmtId="0" fontId="1" fillId="0" borderId="4" xfId="0" applyFont="1" applyBorder="1"/>
    <xf numFmtId="0" fontId="22" fillId="2" borderId="6" xfId="0" applyFont="1" applyFill="1" applyBorder="1" applyAlignment="1">
      <alignment vertical="top" wrapText="1"/>
    </xf>
    <xf numFmtId="0" fontId="22" fillId="2" borderId="4" xfId="0" applyFont="1" applyFill="1" applyBorder="1" applyAlignment="1">
      <alignment vertical="top" wrapText="1"/>
    </xf>
    <xf numFmtId="0" fontId="20" fillId="2" borderId="6" xfId="0" applyFont="1" applyFill="1" applyBorder="1" applyAlignment="1">
      <alignment vertical="top"/>
    </xf>
    <xf numFmtId="0" fontId="20" fillId="2" borderId="4" xfId="0" applyFont="1" applyFill="1" applyBorder="1" applyAlignment="1">
      <alignment vertical="top"/>
    </xf>
    <xf numFmtId="0" fontId="2" fillId="2" borderId="1" xfId="0" applyFont="1" applyFill="1" applyBorder="1" applyAlignment="1">
      <alignment horizontal="right" vertical="center" wrapText="1"/>
    </xf>
    <xf numFmtId="0" fontId="44" fillId="0" borderId="1" xfId="0" applyFont="1" applyBorder="1" applyAlignment="1">
      <alignment vertical="top" wrapText="1"/>
    </xf>
    <xf numFmtId="0" fontId="33" fillId="0" borderId="0" xfId="0" applyFont="1" applyAlignment="1">
      <alignment horizontal="center" vertical="center"/>
    </xf>
    <xf numFmtId="0" fontId="15"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1" fillId="2" borderId="0" xfId="0" applyFont="1" applyFill="1" applyAlignment="1">
      <alignment horizontal="center" vertical="center"/>
    </xf>
    <xf numFmtId="0" fontId="14" fillId="2" borderId="0" xfId="0" applyFont="1" applyFill="1" applyAlignment="1">
      <alignment horizontal="center" vertical="center"/>
    </xf>
    <xf numFmtId="0" fontId="24" fillId="0" borderId="0" xfId="0" applyFont="1" applyAlignment="1">
      <alignment horizontal="center" vertical="center"/>
    </xf>
    <xf numFmtId="0" fontId="23" fillId="2" borderId="3" xfId="0" applyFont="1" applyFill="1" applyBorder="1" applyAlignment="1">
      <alignment horizontal="center" vertical="center"/>
    </xf>
    <xf numFmtId="0" fontId="24" fillId="0" borderId="1" xfId="0" applyFont="1" applyBorder="1" applyAlignment="1">
      <alignment horizontal="center" vertical="center"/>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34" fillId="0" borderId="1" xfId="0" applyFont="1" applyBorder="1" applyAlignment="1">
      <alignment horizontal="center" vertical="center"/>
    </xf>
    <xf numFmtId="0" fontId="35" fillId="0" borderId="0" xfId="0" applyFont="1" applyAlignment="1">
      <alignment horizontal="center" vertical="center"/>
    </xf>
    <xf numFmtId="0" fontId="32" fillId="0" borderId="0" xfId="0" applyFont="1" applyAlignment="1">
      <alignment horizontal="center" vertical="center"/>
    </xf>
    <xf numFmtId="0" fontId="34" fillId="0" borderId="0" xfId="0" applyFont="1" applyAlignment="1">
      <alignment horizontal="center" vertical="center"/>
    </xf>
    <xf numFmtId="0" fontId="36" fillId="0" borderId="0" xfId="0" applyFont="1" applyAlignment="1">
      <alignment horizontal="center" vertical="center"/>
    </xf>
    <xf numFmtId="0" fontId="37" fillId="0" borderId="1" xfId="0" applyFont="1" applyBorder="1" applyAlignment="1">
      <alignment horizontal="left" vertical="center" wrapText="1"/>
    </xf>
    <xf numFmtId="0" fontId="38" fillId="0" borderId="1" xfId="0" applyFont="1" applyBorder="1" applyAlignment="1">
      <alignment horizontal="left" vertical="center" wrapText="1"/>
    </xf>
    <xf numFmtId="0" fontId="37" fillId="0" borderId="1" xfId="0" applyFont="1" applyBorder="1" applyAlignment="1">
      <alignment vertical="center" wrapText="1"/>
    </xf>
    <xf numFmtId="0" fontId="37" fillId="0" borderId="1" xfId="0" applyFont="1" applyBorder="1" applyAlignment="1">
      <alignment horizontal="center" vertical="center" wrapText="1"/>
    </xf>
    <xf numFmtId="0" fontId="37" fillId="0" borderId="1" xfId="0" applyFont="1" applyBorder="1" applyAlignment="1">
      <alignment horizontal="left" vertical="top" wrapText="1"/>
    </xf>
    <xf numFmtId="0" fontId="39" fillId="0" borderId="1" xfId="0" applyFont="1" applyBorder="1" applyAlignment="1">
      <alignment horizontal="left" vertical="center" wrapText="1"/>
    </xf>
    <xf numFmtId="0" fontId="40" fillId="0" borderId="1" xfId="0" applyFont="1" applyBorder="1" applyAlignment="1">
      <alignment horizontal="left" vertical="center" wrapText="1"/>
    </xf>
    <xf numFmtId="0" fontId="40" fillId="0" borderId="1" xfId="0" applyFont="1" applyBorder="1" applyAlignment="1">
      <alignment vertical="center" wrapText="1"/>
    </xf>
    <xf numFmtId="0" fontId="40" fillId="0" borderId="1" xfId="0" applyFont="1" applyBorder="1" applyAlignment="1">
      <alignment horizontal="center" vertical="center" wrapText="1"/>
    </xf>
    <xf numFmtId="0" fontId="32" fillId="0" borderId="0" xfId="0" applyFont="1" applyAlignment="1">
      <alignment horizontal="center" vertical="top"/>
    </xf>
    <xf numFmtId="0" fontId="24" fillId="2" borderId="5"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15" fillId="2" borderId="0" xfId="0" applyFont="1" applyFill="1" applyAlignment="1">
      <alignment horizontal="center"/>
    </xf>
    <xf numFmtId="0" fontId="16" fillId="2" borderId="0" xfId="0" applyFont="1" applyFill="1" applyAlignment="1">
      <alignment horizontal="center"/>
    </xf>
    <xf numFmtId="1" fontId="43" fillId="2" borderId="1" xfId="0" applyNumberFormat="1" applyFont="1" applyFill="1" applyBorder="1" applyAlignment="1">
      <alignment horizontal="center" vertical="top"/>
    </xf>
    <xf numFmtId="0" fontId="26" fillId="2" borderId="7" xfId="0" applyFont="1" applyFill="1" applyBorder="1" applyAlignment="1">
      <alignment horizontal="left" vertical="top"/>
    </xf>
    <xf numFmtId="0" fontId="27" fillId="2" borderId="8" xfId="0" applyFont="1" applyFill="1" applyBorder="1" applyAlignment="1">
      <alignment horizontal="left" vertical="top"/>
    </xf>
    <xf numFmtId="0" fontId="27" fillId="2" borderId="9" xfId="0" applyFont="1" applyFill="1" applyBorder="1" applyAlignment="1">
      <alignment horizontal="left" vertical="top"/>
    </xf>
    <xf numFmtId="0" fontId="20" fillId="2" borderId="5" xfId="0" applyFont="1" applyFill="1" applyBorder="1" applyAlignment="1">
      <alignment horizontal="center" vertical="top" wrapText="1"/>
    </xf>
    <xf numFmtId="0" fontId="22" fillId="2" borderId="6" xfId="0" applyFont="1" applyFill="1" applyBorder="1" applyAlignment="1">
      <alignment horizontal="center" vertical="top" wrapText="1"/>
    </xf>
    <xf numFmtId="0" fontId="25" fillId="2" borderId="4" xfId="0" applyFont="1" applyFill="1" applyBorder="1" applyAlignment="1">
      <alignment horizontal="center" vertical="center" wrapText="1"/>
    </xf>
    <xf numFmtId="0" fontId="24" fillId="2" borderId="5" xfId="0" applyFont="1" applyFill="1" applyBorder="1" applyAlignment="1">
      <alignment horizontal="center" vertical="top" wrapText="1"/>
    </xf>
    <xf numFmtId="0" fontId="25" fillId="2" borderId="6" xfId="0" applyFont="1" applyFill="1" applyBorder="1" applyAlignment="1">
      <alignment horizontal="center" vertical="top" wrapText="1"/>
    </xf>
    <xf numFmtId="0" fontId="25" fillId="2" borderId="4" xfId="0" applyFont="1" applyFill="1" applyBorder="1" applyAlignment="1">
      <alignment horizontal="center" vertical="top" wrapText="1"/>
    </xf>
    <xf numFmtId="0" fontId="22" fillId="2" borderId="4" xfId="0" applyFont="1" applyFill="1" applyBorder="1" applyAlignment="1">
      <alignment horizontal="center" vertical="top" wrapText="1"/>
    </xf>
    <xf numFmtId="0" fontId="17" fillId="2" borderId="3" xfId="0" applyFont="1" applyFill="1" applyBorder="1" applyAlignment="1">
      <alignment horizontal="right"/>
    </xf>
    <xf numFmtId="0" fontId="18" fillId="2" borderId="3" xfId="0" applyFont="1" applyFill="1" applyBorder="1" applyAlignment="1">
      <alignment horizontal="right"/>
    </xf>
    <xf numFmtId="0" fontId="15" fillId="2" borderId="0" xfId="0" applyFont="1" applyFill="1" applyAlignment="1">
      <alignment horizontal="center" vertical="top"/>
    </xf>
    <xf numFmtId="0" fontId="16" fillId="2" borderId="0" xfId="0" applyFont="1" applyFill="1" applyAlignment="1">
      <alignment horizontal="center" vertical="top"/>
    </xf>
    <xf numFmtId="0" fontId="20" fillId="2" borderId="5" xfId="0" applyFont="1" applyFill="1" applyBorder="1" applyAlignment="1">
      <alignment horizontal="center" vertical="top"/>
    </xf>
    <xf numFmtId="0" fontId="22" fillId="2" borderId="6" xfId="0" applyFont="1" applyFill="1" applyBorder="1" applyAlignment="1">
      <alignment horizontal="center" vertical="top"/>
    </xf>
    <xf numFmtId="0" fontId="24" fillId="2" borderId="5" xfId="0" applyFont="1" applyFill="1" applyBorder="1" applyAlignment="1">
      <alignment horizontal="center" vertical="top"/>
    </xf>
    <xf numFmtId="0" fontId="25" fillId="2" borderId="4" xfId="0" applyFont="1" applyFill="1" applyBorder="1" applyAlignment="1">
      <alignment horizontal="center" vertical="top"/>
    </xf>
    <xf numFmtId="0" fontId="20" fillId="2" borderId="6" xfId="0" applyFont="1" applyFill="1" applyBorder="1" applyAlignment="1">
      <alignment horizontal="center" vertical="top" wrapText="1"/>
    </xf>
    <xf numFmtId="0" fontId="20" fillId="2" borderId="4" xfId="0" applyFont="1" applyFill="1" applyBorder="1" applyAlignment="1">
      <alignment horizontal="center" vertical="top" wrapText="1"/>
    </xf>
    <xf numFmtId="0" fontId="20" fillId="2" borderId="6" xfId="0" applyFont="1" applyFill="1" applyBorder="1" applyAlignment="1">
      <alignment horizontal="center" vertical="top"/>
    </xf>
    <xf numFmtId="0" fontId="20" fillId="2" borderId="4" xfId="0" applyFont="1" applyFill="1" applyBorder="1" applyAlignment="1">
      <alignment horizontal="center" vertical="top"/>
    </xf>
    <xf numFmtId="0" fontId="32" fillId="0" borderId="0" xfId="0" applyFont="1" applyAlignment="1">
      <alignment horizontal="left"/>
    </xf>
    <xf numFmtId="0" fontId="14" fillId="0" borderId="0" xfId="0" applyFont="1" applyAlignment="1">
      <alignment horizontal="center"/>
    </xf>
    <xf numFmtId="0" fontId="3"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9" fillId="0" borderId="1" xfId="0" applyFont="1" applyBorder="1" applyAlignment="1">
      <alignment horizontal="center" vertical="top"/>
    </xf>
    <xf numFmtId="0" fontId="9" fillId="0" borderId="1" xfId="0" applyFont="1" applyBorder="1" applyAlignment="1">
      <alignment horizontal="center" vertical="top"/>
    </xf>
    <xf numFmtId="0" fontId="1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4" xfId="0" applyFont="1" applyBorder="1" applyAlignment="1">
      <alignment horizontal="center" vertical="center" wrapText="1"/>
    </xf>
    <xf numFmtId="0" fontId="17" fillId="0" borderId="3" xfId="0" applyFont="1" applyBorder="1" applyAlignment="1">
      <alignment horizontal="right"/>
    </xf>
    <xf numFmtId="0" fontId="18" fillId="0" borderId="3" xfId="0" applyFont="1" applyBorder="1" applyAlignment="1">
      <alignment horizontal="right"/>
    </xf>
    <xf numFmtId="0" fontId="19" fillId="0" borderId="7" xfId="0" applyFont="1" applyBorder="1" applyAlignment="1">
      <alignment horizontal="center" vertical="top"/>
    </xf>
    <xf numFmtId="0" fontId="9" fillId="0" borderId="8" xfId="0" applyFont="1" applyBorder="1" applyAlignment="1">
      <alignment horizontal="center" vertical="top"/>
    </xf>
    <xf numFmtId="0" fontId="9" fillId="0" borderId="9" xfId="0" applyFont="1" applyBorder="1" applyAlignment="1">
      <alignment horizontal="center" vertical="top"/>
    </xf>
    <xf numFmtId="0" fontId="32" fillId="0" borderId="0" xfId="0" applyFont="1" applyAlignment="1">
      <alignment horizontal="left" vertical="top"/>
    </xf>
    <xf numFmtId="0" fontId="19" fillId="0" borderId="1" xfId="0" applyFont="1" applyBorder="1" applyAlignment="1">
      <alignment horizontal="center" vertical="top" wrapText="1"/>
    </xf>
    <xf numFmtId="0" fontId="9" fillId="0" borderId="1" xfId="0" applyFont="1" applyBorder="1" applyAlignment="1">
      <alignment horizontal="center" vertical="top" wrapText="1"/>
    </xf>
    <xf numFmtId="0" fontId="9" fillId="0" borderId="3" xfId="0" applyFont="1" applyBorder="1" applyAlignment="1">
      <alignment horizontal="center"/>
    </xf>
    <xf numFmtId="0" fontId="19" fillId="0" borderId="0" xfId="0" applyFont="1" applyAlignment="1">
      <alignment horizontal="center"/>
    </xf>
    <xf numFmtId="0" fontId="9" fillId="0" borderId="0" xfId="0" applyFont="1" applyAlignment="1">
      <alignment horizontal="center"/>
    </xf>
    <xf numFmtId="0" fontId="19" fillId="0" borderId="5" xfId="0" applyFont="1" applyBorder="1" applyAlignment="1">
      <alignment horizontal="center" vertical="top" wrapText="1"/>
    </xf>
    <xf numFmtId="0" fontId="9" fillId="0" borderId="4" xfId="0" applyFont="1" applyBorder="1" applyAlignment="1">
      <alignment horizontal="center" vertical="top" wrapText="1"/>
    </xf>
    <xf numFmtId="0" fontId="23" fillId="0" borderId="3" xfId="0" applyFont="1" applyBorder="1" applyAlignment="1">
      <alignment horizontal="right"/>
    </xf>
    <xf numFmtId="0" fontId="14" fillId="0" borderId="3" xfId="0" applyFont="1" applyBorder="1" applyAlignment="1">
      <alignment horizontal="left" vertical="top"/>
    </xf>
    <xf numFmtId="0" fontId="3" fillId="0" borderId="3" xfId="0" applyFont="1" applyBorder="1" applyAlignment="1">
      <alignment horizontal="left" vertical="top"/>
    </xf>
    <xf numFmtId="0" fontId="20" fillId="0" borderId="5" xfId="0" applyFont="1" applyBorder="1" applyAlignment="1">
      <alignment horizontal="center" vertical="top" wrapText="1"/>
    </xf>
    <xf numFmtId="0" fontId="22" fillId="0" borderId="4" xfId="0" applyFont="1" applyBorder="1" applyAlignment="1">
      <alignment horizontal="center" vertical="top" wrapText="1"/>
    </xf>
    <xf numFmtId="0" fontId="20" fillId="0" borderId="1" xfId="0" applyFont="1" applyBorder="1" applyAlignment="1">
      <alignment horizontal="center" vertical="top" wrapText="1"/>
    </xf>
    <xf numFmtId="0" fontId="22" fillId="0" borderId="1" xfId="0" applyFont="1" applyBorder="1" applyAlignment="1">
      <alignment horizontal="center" vertical="top" wrapText="1"/>
    </xf>
    <xf numFmtId="0" fontId="9" fillId="0" borderId="0" xfId="0" applyFont="1" applyAlignment="1">
      <alignment horizontal="center" vertical="top"/>
    </xf>
    <xf numFmtId="0" fontId="32" fillId="0" borderId="0" xfId="0" applyFont="1" applyAlignment="1">
      <alignment horizontal="center"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19" fillId="0" borderId="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9" xfId="0" applyFont="1" applyBorder="1" applyAlignment="1">
      <alignment horizontal="center" vertical="center" wrapText="1"/>
    </xf>
    <xf numFmtId="0" fontId="45" fillId="2" borderId="1" xfId="0" applyFont="1" applyFill="1" applyBorder="1" applyAlignment="1">
      <alignment vertical="top" wrapText="1"/>
    </xf>
    <xf numFmtId="1" fontId="43" fillId="2" borderId="1" xfId="0" applyNumberFormat="1"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6"/>
  <sheetViews>
    <sheetView tabSelected="1" view="pageBreakPreview" topLeftCell="A96" zoomScale="75" zoomScaleNormal="75" zoomScaleSheetLayoutView="75" workbookViewId="0">
      <selection activeCell="C112" sqref="C112"/>
    </sheetView>
  </sheetViews>
  <sheetFormatPr defaultColWidth="9.109375" defaultRowHeight="17.399999999999999"/>
  <cols>
    <col min="1" max="1" width="3.5546875" style="48" customWidth="1"/>
    <col min="2" max="2" width="10" style="49" bestFit="1" customWidth="1"/>
    <col min="3" max="3" width="28.33203125" style="48" customWidth="1"/>
    <col min="4" max="4" width="9.6640625" style="40" customWidth="1"/>
    <col min="5" max="5" width="10.6640625" style="40" customWidth="1"/>
    <col min="6" max="6" width="8" style="40" customWidth="1"/>
    <col min="7" max="7" width="10.6640625" style="40" customWidth="1"/>
    <col min="8" max="8" width="9.44140625" style="40" customWidth="1"/>
    <col min="9" max="9" width="9.88671875" style="40" customWidth="1"/>
    <col min="10" max="10" width="10.88671875" style="40" customWidth="1"/>
    <col min="11" max="11" width="9.109375" style="40"/>
    <col min="12" max="12" width="9" style="40" customWidth="1"/>
    <col min="13" max="13" width="8.88671875" style="40" customWidth="1"/>
    <col min="14" max="14" width="7.88671875" style="40" customWidth="1"/>
    <col min="15" max="15" width="7.33203125" style="40" customWidth="1"/>
    <col min="16" max="16" width="9.88671875" style="40" customWidth="1"/>
    <col min="17" max="17" width="11.33203125" style="40" customWidth="1"/>
    <col min="18" max="16384" width="9.109375" style="40"/>
  </cols>
  <sheetData>
    <row r="1" spans="1:17">
      <c r="A1" s="161" t="s">
        <v>135</v>
      </c>
      <c r="B1" s="162"/>
      <c r="C1" s="162"/>
      <c r="D1" s="162"/>
      <c r="E1" s="162"/>
      <c r="F1" s="162"/>
      <c r="G1" s="162"/>
      <c r="H1" s="162"/>
      <c r="I1" s="162"/>
      <c r="J1" s="162"/>
      <c r="K1" s="162"/>
      <c r="L1" s="162"/>
      <c r="M1" s="162"/>
      <c r="N1" s="162"/>
      <c r="O1" s="162"/>
      <c r="P1" s="162"/>
      <c r="Q1" s="162"/>
    </row>
    <row r="2" spans="1:17">
      <c r="A2" s="146" t="s">
        <v>24</v>
      </c>
      <c r="B2" s="147"/>
      <c r="C2" s="147"/>
      <c r="D2" s="147"/>
      <c r="E2" s="147"/>
      <c r="F2" s="147"/>
      <c r="G2" s="147"/>
      <c r="H2" s="147"/>
      <c r="I2" s="147"/>
      <c r="J2" s="147"/>
      <c r="K2" s="147"/>
      <c r="L2" s="147"/>
      <c r="M2" s="147"/>
      <c r="N2" s="147"/>
      <c r="O2" s="147"/>
      <c r="P2" s="147"/>
      <c r="Q2" s="147"/>
    </row>
    <row r="3" spans="1:17" ht="22.8">
      <c r="A3" s="50" t="s">
        <v>149</v>
      </c>
      <c r="B3" s="51"/>
      <c r="C3" s="51"/>
      <c r="D3" s="41"/>
      <c r="E3" s="41"/>
      <c r="F3" s="41"/>
      <c r="G3" s="41"/>
      <c r="H3" s="41"/>
      <c r="I3" s="41"/>
      <c r="J3" s="41"/>
      <c r="K3" s="41"/>
      <c r="L3" s="41"/>
      <c r="M3" s="41"/>
      <c r="N3" s="41"/>
      <c r="O3" s="159" t="s">
        <v>1</v>
      </c>
      <c r="P3" s="160"/>
      <c r="Q3" s="160"/>
    </row>
    <row r="4" spans="1:17" ht="35.25" customHeight="1">
      <c r="A4" s="155" t="s">
        <v>33</v>
      </c>
      <c r="B4" s="155" t="s">
        <v>7</v>
      </c>
      <c r="C4" s="165" t="s">
        <v>34</v>
      </c>
      <c r="D4" s="52" t="s">
        <v>25</v>
      </c>
      <c r="E4" s="52" t="s">
        <v>25</v>
      </c>
      <c r="F4" s="144" t="s">
        <v>14</v>
      </c>
      <c r="G4" s="144" t="s">
        <v>35</v>
      </c>
      <c r="H4" s="144" t="s">
        <v>36</v>
      </c>
      <c r="I4" s="144" t="s">
        <v>6</v>
      </c>
      <c r="J4" s="144" t="s">
        <v>143</v>
      </c>
      <c r="K4" s="144" t="s">
        <v>37</v>
      </c>
      <c r="L4" s="144" t="s">
        <v>38</v>
      </c>
      <c r="M4" s="144" t="s">
        <v>39</v>
      </c>
      <c r="N4" s="144" t="s">
        <v>40</v>
      </c>
      <c r="O4" s="144" t="s">
        <v>41</v>
      </c>
      <c r="P4" s="144" t="s">
        <v>42</v>
      </c>
      <c r="Q4" s="144" t="s">
        <v>6</v>
      </c>
    </row>
    <row r="5" spans="1:17" ht="22.5" customHeight="1">
      <c r="A5" s="156"/>
      <c r="B5" s="156"/>
      <c r="C5" s="166"/>
      <c r="D5" s="53" t="s">
        <v>133</v>
      </c>
      <c r="E5" s="53" t="s">
        <v>134</v>
      </c>
      <c r="F5" s="145"/>
      <c r="G5" s="145"/>
      <c r="H5" s="145"/>
      <c r="I5" s="145"/>
      <c r="J5" s="145"/>
      <c r="K5" s="145"/>
      <c r="L5" s="145"/>
      <c r="M5" s="154"/>
      <c r="N5" s="154"/>
      <c r="O5" s="154"/>
      <c r="P5" s="154"/>
      <c r="Q5" s="154"/>
    </row>
    <row r="6" spans="1:17">
      <c r="A6" s="157"/>
      <c r="B6" s="157"/>
      <c r="C6" s="149" t="s">
        <v>27</v>
      </c>
      <c r="D6" s="150"/>
      <c r="E6" s="150"/>
      <c r="F6" s="150"/>
      <c r="G6" s="150"/>
      <c r="H6" s="150"/>
      <c r="I6" s="150"/>
      <c r="J6" s="150"/>
      <c r="K6" s="150"/>
      <c r="L6" s="150"/>
      <c r="M6" s="150"/>
      <c r="N6" s="150"/>
      <c r="O6" s="150"/>
      <c r="P6" s="150"/>
      <c r="Q6" s="151"/>
    </row>
    <row r="7" spans="1:17" ht="21">
      <c r="A7" s="163">
        <v>1</v>
      </c>
      <c r="B7" s="57" t="s">
        <v>8</v>
      </c>
      <c r="C7" s="55" t="s">
        <v>43</v>
      </c>
      <c r="D7" s="81">
        <v>1</v>
      </c>
      <c r="E7" s="46">
        <v>1</v>
      </c>
      <c r="F7" s="42">
        <v>0</v>
      </c>
      <c r="G7" s="42">
        <v>2171</v>
      </c>
      <c r="H7" s="42">
        <v>0</v>
      </c>
      <c r="I7" s="43">
        <f>SUM(G7:H7)</f>
        <v>2171</v>
      </c>
      <c r="J7" s="104">
        <f>ROUND(I7*0.7,0)</f>
        <v>1520</v>
      </c>
      <c r="K7" s="42">
        <v>4</v>
      </c>
      <c r="L7" s="104">
        <v>0</v>
      </c>
      <c r="M7" s="42">
        <v>0</v>
      </c>
      <c r="N7" s="42">
        <v>0</v>
      </c>
      <c r="O7" s="42">
        <v>0</v>
      </c>
      <c r="P7" s="42">
        <v>0</v>
      </c>
      <c r="Q7" s="43">
        <f>SUM(F7+I7+J7+K7+L7+M7+N7+O7+P7)</f>
        <v>3695</v>
      </c>
    </row>
    <row r="8" spans="1:17" ht="21">
      <c r="A8" s="164"/>
      <c r="B8" s="93"/>
      <c r="C8" s="55" t="s">
        <v>44</v>
      </c>
      <c r="D8" s="81">
        <v>1</v>
      </c>
      <c r="E8" s="46">
        <v>1</v>
      </c>
      <c r="F8" s="42">
        <v>0</v>
      </c>
      <c r="G8" s="42">
        <v>1849</v>
      </c>
      <c r="H8" s="42">
        <v>0</v>
      </c>
      <c r="I8" s="43">
        <f t="shared" ref="I8:I14" si="0">SUM(G8:H8)</f>
        <v>1849</v>
      </c>
      <c r="J8" s="104">
        <f t="shared" ref="J8:J16" si="1">ROUND(I8*0.7,0)</f>
        <v>1294</v>
      </c>
      <c r="K8" s="42">
        <v>4</v>
      </c>
      <c r="L8" s="42">
        <v>555</v>
      </c>
      <c r="M8" s="42">
        <v>0</v>
      </c>
      <c r="N8" s="42">
        <v>0</v>
      </c>
      <c r="O8" s="42">
        <v>0</v>
      </c>
      <c r="P8" s="42">
        <v>0</v>
      </c>
      <c r="Q8" s="43">
        <f t="shared" ref="Q8:Q14" si="2">SUM(F8+I8+J8+K8+L8+M8+N8+O8+P8)</f>
        <v>3702</v>
      </c>
    </row>
    <row r="9" spans="1:17" ht="21">
      <c r="A9" s="164"/>
      <c r="B9" s="93"/>
      <c r="C9" s="55" t="s">
        <v>45</v>
      </c>
      <c r="D9" s="81">
        <v>3</v>
      </c>
      <c r="E9" s="46">
        <v>3</v>
      </c>
      <c r="F9" s="42">
        <v>0</v>
      </c>
      <c r="G9" s="42">
        <v>2218</v>
      </c>
      <c r="H9" s="42">
        <v>0</v>
      </c>
      <c r="I9" s="43">
        <f t="shared" si="0"/>
        <v>2218</v>
      </c>
      <c r="J9" s="104">
        <f t="shared" si="1"/>
        <v>1553</v>
      </c>
      <c r="K9" s="42">
        <v>11</v>
      </c>
      <c r="L9" s="104">
        <v>451</v>
      </c>
      <c r="M9" s="42">
        <v>129</v>
      </c>
      <c r="N9" s="42">
        <v>0</v>
      </c>
      <c r="O9" s="42">
        <v>0</v>
      </c>
      <c r="P9" s="42">
        <v>0</v>
      </c>
      <c r="Q9" s="43">
        <f>SUM(F9+I9+J9+K9+L9+M9+N9+O9+P9)</f>
        <v>4362</v>
      </c>
    </row>
    <row r="10" spans="1:17" ht="21">
      <c r="A10" s="164"/>
      <c r="B10" s="93"/>
      <c r="C10" s="57" t="s">
        <v>46</v>
      </c>
      <c r="D10" s="91">
        <v>2</v>
      </c>
      <c r="E10" s="58">
        <v>2</v>
      </c>
      <c r="F10" s="42">
        <v>0</v>
      </c>
      <c r="G10" s="42">
        <v>1333</v>
      </c>
      <c r="H10" s="42">
        <v>0</v>
      </c>
      <c r="I10" s="92">
        <f t="shared" si="0"/>
        <v>1333</v>
      </c>
      <c r="J10" s="104">
        <f t="shared" si="1"/>
        <v>933</v>
      </c>
      <c r="K10" s="42">
        <v>7</v>
      </c>
      <c r="L10" s="104">
        <v>400</v>
      </c>
      <c r="M10" s="42">
        <v>65</v>
      </c>
      <c r="N10" s="42">
        <v>0</v>
      </c>
      <c r="O10" s="42">
        <v>0</v>
      </c>
      <c r="P10" s="44">
        <v>0</v>
      </c>
      <c r="Q10" s="92">
        <f>SUM(F10+I10+J10+K10+L10+M10+N10+O10+P10)</f>
        <v>2738</v>
      </c>
    </row>
    <row r="11" spans="1:17" ht="21" customHeight="1">
      <c r="A11" s="88"/>
      <c r="B11" s="211"/>
      <c r="C11" s="211" t="s">
        <v>84</v>
      </c>
      <c r="D11" s="95">
        <f>D7+D8+D9+D10</f>
        <v>7</v>
      </c>
      <c r="E11" s="95">
        <f t="shared" ref="E11:Q11" si="3">E7+E8+E9+E10</f>
        <v>7</v>
      </c>
      <c r="F11" s="95">
        <f t="shared" si="3"/>
        <v>0</v>
      </c>
      <c r="G11" s="95">
        <f t="shared" si="3"/>
        <v>7571</v>
      </c>
      <c r="H11" s="95">
        <v>0</v>
      </c>
      <c r="I11" s="95">
        <f t="shared" si="3"/>
        <v>7571</v>
      </c>
      <c r="J11" s="95">
        <f t="shared" si="3"/>
        <v>5300</v>
      </c>
      <c r="K11" s="95">
        <f t="shared" si="3"/>
        <v>26</v>
      </c>
      <c r="L11" s="95">
        <f t="shared" si="3"/>
        <v>1406</v>
      </c>
      <c r="M11" s="95">
        <f t="shared" si="3"/>
        <v>194</v>
      </c>
      <c r="N11" s="95">
        <f t="shared" si="3"/>
        <v>0</v>
      </c>
      <c r="O11" s="95">
        <f t="shared" si="3"/>
        <v>0</v>
      </c>
      <c r="P11" s="95">
        <f t="shared" si="3"/>
        <v>0</v>
      </c>
      <c r="Q11" s="95">
        <f t="shared" si="3"/>
        <v>14497</v>
      </c>
    </row>
    <row r="12" spans="1:17" ht="21">
      <c r="A12" s="163">
        <v>2</v>
      </c>
      <c r="B12" s="152" t="s">
        <v>9</v>
      </c>
      <c r="C12" s="56" t="s">
        <v>47</v>
      </c>
      <c r="D12" s="82">
        <v>1</v>
      </c>
      <c r="E12" s="58">
        <v>1</v>
      </c>
      <c r="F12" s="42">
        <v>0</v>
      </c>
      <c r="G12" s="42">
        <v>774</v>
      </c>
      <c r="H12" s="42">
        <v>0</v>
      </c>
      <c r="I12" s="43">
        <f t="shared" si="0"/>
        <v>774</v>
      </c>
      <c r="J12" s="104">
        <f t="shared" si="1"/>
        <v>542</v>
      </c>
      <c r="K12" s="42">
        <v>4</v>
      </c>
      <c r="L12" s="104">
        <f>ROUND(I12*0.3,0)</f>
        <v>232</v>
      </c>
      <c r="M12" s="42">
        <v>32</v>
      </c>
      <c r="N12" s="44">
        <v>0</v>
      </c>
      <c r="O12" s="44">
        <v>0</v>
      </c>
      <c r="P12" s="44">
        <v>0</v>
      </c>
      <c r="Q12" s="43">
        <f t="shared" si="2"/>
        <v>1584</v>
      </c>
    </row>
    <row r="13" spans="1:17" ht="21">
      <c r="A13" s="164"/>
      <c r="B13" s="153"/>
      <c r="C13" s="56" t="s">
        <v>48</v>
      </c>
      <c r="D13" s="82">
        <v>22</v>
      </c>
      <c r="E13" s="58">
        <v>22</v>
      </c>
      <c r="F13" s="42">
        <v>0</v>
      </c>
      <c r="G13" s="42">
        <v>11846</v>
      </c>
      <c r="H13" s="42">
        <v>0</v>
      </c>
      <c r="I13" s="43">
        <f t="shared" si="0"/>
        <v>11846</v>
      </c>
      <c r="J13" s="104">
        <f t="shared" si="1"/>
        <v>8292</v>
      </c>
      <c r="K13" s="42">
        <v>79</v>
      </c>
      <c r="L13" s="104">
        <v>2574</v>
      </c>
      <c r="M13" s="42">
        <v>713</v>
      </c>
      <c r="N13" s="44">
        <v>0</v>
      </c>
      <c r="O13" s="44">
        <v>0</v>
      </c>
      <c r="P13" s="44">
        <v>0</v>
      </c>
      <c r="Q13" s="43">
        <f t="shared" si="2"/>
        <v>23504</v>
      </c>
    </row>
    <row r="14" spans="1:17" ht="21">
      <c r="A14" s="164"/>
      <c r="B14" s="153"/>
      <c r="C14" s="56" t="s">
        <v>90</v>
      </c>
      <c r="D14" s="82">
        <v>18</v>
      </c>
      <c r="E14" s="46">
        <v>18</v>
      </c>
      <c r="F14" s="42">
        <v>0</v>
      </c>
      <c r="G14" s="42">
        <v>6878</v>
      </c>
      <c r="H14" s="42">
        <v>0</v>
      </c>
      <c r="I14" s="43">
        <f t="shared" si="0"/>
        <v>6878</v>
      </c>
      <c r="J14" s="104">
        <f t="shared" si="1"/>
        <v>4815</v>
      </c>
      <c r="K14" s="42">
        <v>65</v>
      </c>
      <c r="L14" s="104">
        <v>1751</v>
      </c>
      <c r="M14" s="42">
        <v>562</v>
      </c>
      <c r="N14" s="42">
        <v>0</v>
      </c>
      <c r="O14" s="42">
        <v>0</v>
      </c>
      <c r="P14" s="42">
        <v>0</v>
      </c>
      <c r="Q14" s="43">
        <f t="shared" si="2"/>
        <v>14071</v>
      </c>
    </row>
    <row r="15" spans="1:17" ht="21" customHeight="1">
      <c r="A15" s="88"/>
      <c r="B15" s="211"/>
      <c r="C15" s="211" t="s">
        <v>85</v>
      </c>
      <c r="D15" s="95">
        <f>D12+D13+D14</f>
        <v>41</v>
      </c>
      <c r="E15" s="95">
        <f t="shared" ref="E15:Q15" si="4">E12+E13+E14</f>
        <v>41</v>
      </c>
      <c r="F15" s="95">
        <f t="shared" si="4"/>
        <v>0</v>
      </c>
      <c r="G15" s="95">
        <f t="shared" si="4"/>
        <v>19498</v>
      </c>
      <c r="H15" s="95">
        <f t="shared" si="4"/>
        <v>0</v>
      </c>
      <c r="I15" s="95">
        <f t="shared" si="4"/>
        <v>19498</v>
      </c>
      <c r="J15" s="95">
        <f>SUM(J12:J14)</f>
        <v>13649</v>
      </c>
      <c r="K15" s="95">
        <f t="shared" si="4"/>
        <v>148</v>
      </c>
      <c r="L15" s="95">
        <f t="shared" si="4"/>
        <v>4557</v>
      </c>
      <c r="M15" s="95">
        <f t="shared" si="4"/>
        <v>1307</v>
      </c>
      <c r="N15" s="95">
        <f t="shared" si="4"/>
        <v>0</v>
      </c>
      <c r="O15" s="95">
        <f t="shared" si="4"/>
        <v>0</v>
      </c>
      <c r="P15" s="95">
        <f t="shared" si="4"/>
        <v>0</v>
      </c>
      <c r="Q15" s="95">
        <f t="shared" si="4"/>
        <v>39159</v>
      </c>
    </row>
    <row r="16" spans="1:17" ht="21">
      <c r="A16" s="102">
        <v>3</v>
      </c>
      <c r="B16" s="57" t="s">
        <v>10</v>
      </c>
      <c r="C16" s="54" t="s">
        <v>92</v>
      </c>
      <c r="D16" s="83">
        <v>18</v>
      </c>
      <c r="E16" s="58">
        <v>18</v>
      </c>
      <c r="F16" s="42">
        <v>0</v>
      </c>
      <c r="G16" s="42">
        <v>6892</v>
      </c>
      <c r="H16" s="42">
        <v>0</v>
      </c>
      <c r="I16" s="43">
        <f>SUM(G16:H16)</f>
        <v>6892</v>
      </c>
      <c r="J16" s="104">
        <f t="shared" si="1"/>
        <v>4824</v>
      </c>
      <c r="K16" s="42">
        <v>73</v>
      </c>
      <c r="L16" s="104">
        <v>1646</v>
      </c>
      <c r="M16" s="42">
        <v>505</v>
      </c>
      <c r="N16" s="42">
        <v>54</v>
      </c>
      <c r="O16" s="44">
        <v>0</v>
      </c>
      <c r="P16" s="44">
        <v>0</v>
      </c>
      <c r="Q16" s="43">
        <f>SUM(F16+I16+J16+K16+L16+M16+N16+O16+P16)</f>
        <v>13994</v>
      </c>
    </row>
    <row r="17" spans="1:17" ht="21" customHeight="1">
      <c r="A17" s="103"/>
      <c r="B17" s="211"/>
      <c r="C17" s="211" t="s">
        <v>86</v>
      </c>
      <c r="D17" s="95">
        <f>D16</f>
        <v>18</v>
      </c>
      <c r="E17" s="95">
        <f t="shared" ref="E17:Q17" si="5">E16</f>
        <v>18</v>
      </c>
      <c r="F17" s="95">
        <f t="shared" si="5"/>
        <v>0</v>
      </c>
      <c r="G17" s="95">
        <f t="shared" si="5"/>
        <v>6892</v>
      </c>
      <c r="H17" s="95">
        <f t="shared" si="5"/>
        <v>0</v>
      </c>
      <c r="I17" s="95">
        <f t="shared" si="5"/>
        <v>6892</v>
      </c>
      <c r="J17" s="95">
        <f t="shared" si="5"/>
        <v>4824</v>
      </c>
      <c r="K17" s="95">
        <f t="shared" si="5"/>
        <v>73</v>
      </c>
      <c r="L17" s="95">
        <f t="shared" si="5"/>
        <v>1646</v>
      </c>
      <c r="M17" s="95">
        <f t="shared" si="5"/>
        <v>505</v>
      </c>
      <c r="N17" s="95">
        <f t="shared" si="5"/>
        <v>54</v>
      </c>
      <c r="O17" s="95">
        <f t="shared" si="5"/>
        <v>0</v>
      </c>
      <c r="P17" s="95">
        <f t="shared" si="5"/>
        <v>0</v>
      </c>
      <c r="Q17" s="95">
        <f t="shared" si="5"/>
        <v>13994</v>
      </c>
    </row>
    <row r="18" spans="1:17" ht="21">
      <c r="A18" s="148" t="s">
        <v>88</v>
      </c>
      <c r="B18" s="148"/>
      <c r="C18" s="148"/>
      <c r="D18" s="94">
        <f t="shared" ref="D18:Q18" si="6">D11+D15+D17</f>
        <v>66</v>
      </c>
      <c r="E18" s="94">
        <f t="shared" si="6"/>
        <v>66</v>
      </c>
      <c r="F18" s="94">
        <f t="shared" si="6"/>
        <v>0</v>
      </c>
      <c r="G18" s="94">
        <f t="shared" si="6"/>
        <v>33961</v>
      </c>
      <c r="H18" s="94">
        <f t="shared" si="6"/>
        <v>0</v>
      </c>
      <c r="I18" s="94">
        <f t="shared" si="6"/>
        <v>33961</v>
      </c>
      <c r="J18" s="94">
        <f t="shared" si="6"/>
        <v>23773</v>
      </c>
      <c r="K18" s="94">
        <f t="shared" si="6"/>
        <v>247</v>
      </c>
      <c r="L18" s="94">
        <f t="shared" si="6"/>
        <v>7609</v>
      </c>
      <c r="M18" s="94">
        <f t="shared" si="6"/>
        <v>2006</v>
      </c>
      <c r="N18" s="94">
        <f t="shared" si="6"/>
        <v>54</v>
      </c>
      <c r="O18" s="94">
        <f t="shared" si="6"/>
        <v>0</v>
      </c>
      <c r="P18" s="94">
        <f t="shared" si="6"/>
        <v>0</v>
      </c>
      <c r="Q18" s="94">
        <f t="shared" si="6"/>
        <v>67650</v>
      </c>
    </row>
    <row r="19" spans="1:17">
      <c r="A19" s="59"/>
      <c r="B19" s="59"/>
      <c r="C19" s="60"/>
      <c r="D19" s="47"/>
      <c r="E19" s="47"/>
      <c r="F19" s="47"/>
      <c r="G19" s="47"/>
      <c r="H19" s="47"/>
      <c r="I19" s="47"/>
      <c r="J19" s="47"/>
      <c r="K19" s="47"/>
      <c r="L19" s="47"/>
      <c r="M19" s="47"/>
      <c r="N19" s="47"/>
      <c r="O19" s="47"/>
      <c r="P19" s="47"/>
      <c r="Q19" s="47"/>
    </row>
    <row r="20" spans="1:17">
      <c r="A20" s="161" t="s">
        <v>136</v>
      </c>
      <c r="B20" s="162"/>
      <c r="C20" s="162"/>
      <c r="D20" s="162"/>
      <c r="E20" s="162"/>
      <c r="F20" s="162"/>
      <c r="G20" s="162"/>
      <c r="H20" s="162"/>
      <c r="I20" s="162"/>
      <c r="J20" s="162"/>
      <c r="K20" s="162"/>
      <c r="L20" s="162"/>
      <c r="M20" s="162"/>
      <c r="N20" s="162"/>
      <c r="O20" s="162"/>
      <c r="P20" s="162"/>
      <c r="Q20" s="162"/>
    </row>
    <row r="21" spans="1:17">
      <c r="A21" s="146" t="s">
        <v>24</v>
      </c>
      <c r="B21" s="147"/>
      <c r="C21" s="147"/>
      <c r="D21" s="147"/>
      <c r="E21" s="147"/>
      <c r="F21" s="147"/>
      <c r="G21" s="147"/>
      <c r="H21" s="147"/>
      <c r="I21" s="147"/>
      <c r="J21" s="147"/>
      <c r="K21" s="147"/>
      <c r="L21" s="147"/>
      <c r="M21" s="147"/>
      <c r="N21" s="147"/>
      <c r="O21" s="147"/>
      <c r="P21" s="147"/>
      <c r="Q21" s="147"/>
    </row>
    <row r="22" spans="1:17" ht="22.8">
      <c r="A22" s="50" t="s">
        <v>149</v>
      </c>
      <c r="B22" s="51"/>
      <c r="C22" s="51"/>
      <c r="D22" s="41"/>
      <c r="E22" s="41"/>
      <c r="F22" s="41"/>
      <c r="G22" s="41"/>
      <c r="H22" s="41"/>
      <c r="I22" s="41"/>
      <c r="J22" s="41"/>
      <c r="K22" s="41"/>
      <c r="L22" s="41"/>
      <c r="M22" s="41"/>
      <c r="N22" s="41"/>
      <c r="O22" s="159" t="s">
        <v>1</v>
      </c>
      <c r="P22" s="160"/>
      <c r="Q22" s="160"/>
    </row>
    <row r="23" spans="1:17" ht="37.5" customHeight="1">
      <c r="A23" s="155" t="s">
        <v>33</v>
      </c>
      <c r="B23" s="155" t="s">
        <v>7</v>
      </c>
      <c r="C23" s="165" t="s">
        <v>34</v>
      </c>
      <c r="D23" s="52" t="s">
        <v>25</v>
      </c>
      <c r="E23" s="52" t="s">
        <v>25</v>
      </c>
      <c r="F23" s="144" t="s">
        <v>14</v>
      </c>
      <c r="G23" s="144" t="s">
        <v>35</v>
      </c>
      <c r="H23" s="144" t="s">
        <v>36</v>
      </c>
      <c r="I23" s="144" t="s">
        <v>6</v>
      </c>
      <c r="J23" s="144" t="s">
        <v>143</v>
      </c>
      <c r="K23" s="144" t="s">
        <v>37</v>
      </c>
      <c r="L23" s="144" t="s">
        <v>38</v>
      </c>
      <c r="M23" s="144" t="s">
        <v>39</v>
      </c>
      <c r="N23" s="144" t="s">
        <v>40</v>
      </c>
      <c r="O23" s="144" t="s">
        <v>41</v>
      </c>
      <c r="P23" s="144" t="s">
        <v>42</v>
      </c>
      <c r="Q23" s="144" t="s">
        <v>6</v>
      </c>
    </row>
    <row r="24" spans="1:17" ht="21.75" customHeight="1">
      <c r="A24" s="156"/>
      <c r="B24" s="156"/>
      <c r="C24" s="166"/>
      <c r="D24" s="53" t="s">
        <v>133</v>
      </c>
      <c r="E24" s="53" t="s">
        <v>134</v>
      </c>
      <c r="F24" s="145"/>
      <c r="G24" s="145"/>
      <c r="H24" s="145"/>
      <c r="I24" s="145"/>
      <c r="J24" s="145"/>
      <c r="K24" s="154"/>
      <c r="L24" s="154"/>
      <c r="M24" s="154"/>
      <c r="N24" s="154"/>
      <c r="O24" s="154"/>
      <c r="P24" s="154"/>
      <c r="Q24" s="154"/>
    </row>
    <row r="25" spans="1:17">
      <c r="A25" s="157"/>
      <c r="B25" s="157"/>
      <c r="C25" s="149" t="s">
        <v>28</v>
      </c>
      <c r="D25" s="150"/>
      <c r="E25" s="150"/>
      <c r="F25" s="150"/>
      <c r="G25" s="150"/>
      <c r="H25" s="150"/>
      <c r="I25" s="150"/>
      <c r="J25" s="150"/>
      <c r="K25" s="150"/>
      <c r="L25" s="150"/>
      <c r="M25" s="150"/>
      <c r="N25" s="150"/>
      <c r="O25" s="150"/>
      <c r="P25" s="150"/>
      <c r="Q25" s="151"/>
    </row>
    <row r="26" spans="1:17">
      <c r="A26" s="163">
        <v>1</v>
      </c>
      <c r="B26" s="152" t="s">
        <v>8</v>
      </c>
      <c r="C26" s="55" t="s">
        <v>49</v>
      </c>
      <c r="D26" s="42">
        <v>2</v>
      </c>
      <c r="E26" s="46">
        <v>2</v>
      </c>
      <c r="F26" s="42">
        <v>0</v>
      </c>
      <c r="G26" s="42">
        <v>3248</v>
      </c>
      <c r="H26" s="42">
        <v>0</v>
      </c>
      <c r="I26" s="45">
        <f>SUM(G26:H26)</f>
        <v>3248</v>
      </c>
      <c r="J26" s="104">
        <f>ROUND(I26*0.7,0)</f>
        <v>2274</v>
      </c>
      <c r="K26" s="42">
        <v>7</v>
      </c>
      <c r="L26" s="42">
        <v>974</v>
      </c>
      <c r="M26" s="42">
        <v>0</v>
      </c>
      <c r="N26" s="42">
        <v>0</v>
      </c>
      <c r="O26" s="42">
        <v>0</v>
      </c>
      <c r="P26" s="42">
        <v>0</v>
      </c>
      <c r="Q26" s="46">
        <f>SUM(F26+I26+J26+K26+L26+M26+N26+O26+P26)</f>
        <v>6503</v>
      </c>
    </row>
    <row r="27" spans="1:17">
      <c r="A27" s="169"/>
      <c r="B27" s="153"/>
      <c r="C27" s="55" t="s">
        <v>50</v>
      </c>
      <c r="D27" s="42">
        <v>1</v>
      </c>
      <c r="E27" s="46">
        <v>1</v>
      </c>
      <c r="F27" s="42">
        <v>0</v>
      </c>
      <c r="G27" s="42">
        <v>1205</v>
      </c>
      <c r="H27" s="42">
        <v>0</v>
      </c>
      <c r="I27" s="45">
        <f t="shared" ref="I27:I52" si="7">SUM(G27:H27)</f>
        <v>1205</v>
      </c>
      <c r="J27" s="104">
        <f t="shared" ref="J27:J35" si="8">ROUND(I27*0.7,0)</f>
        <v>844</v>
      </c>
      <c r="K27" s="42">
        <v>4</v>
      </c>
      <c r="L27" s="42">
        <v>361</v>
      </c>
      <c r="M27" s="42">
        <v>65</v>
      </c>
      <c r="N27" s="42">
        <v>0</v>
      </c>
      <c r="O27" s="42">
        <v>0</v>
      </c>
      <c r="P27" s="42">
        <v>0</v>
      </c>
      <c r="Q27" s="46">
        <f t="shared" ref="Q27:Q52" si="9">SUM(F27+I27+J27+K27+L27+M27+N27+O27+P27)</f>
        <v>2479</v>
      </c>
    </row>
    <row r="28" spans="1:17" ht="30">
      <c r="A28" s="169"/>
      <c r="B28" s="153"/>
      <c r="C28" s="55" t="s">
        <v>105</v>
      </c>
      <c r="D28" s="104">
        <v>1</v>
      </c>
      <c r="E28" s="105">
        <v>1</v>
      </c>
      <c r="F28" s="104">
        <v>0</v>
      </c>
      <c r="G28" s="104">
        <v>1115</v>
      </c>
      <c r="H28" s="104">
        <v>0</v>
      </c>
      <c r="I28" s="106">
        <f t="shared" si="7"/>
        <v>1115</v>
      </c>
      <c r="J28" s="104">
        <f t="shared" si="8"/>
        <v>781</v>
      </c>
      <c r="K28" s="104">
        <v>4</v>
      </c>
      <c r="L28" s="104">
        <v>334</v>
      </c>
      <c r="M28" s="104">
        <v>65</v>
      </c>
      <c r="N28" s="104">
        <v>0</v>
      </c>
      <c r="O28" s="104">
        <v>0</v>
      </c>
      <c r="P28" s="104">
        <v>0</v>
      </c>
      <c r="Q28" s="105">
        <f t="shared" si="9"/>
        <v>2299</v>
      </c>
    </row>
    <row r="29" spans="1:17">
      <c r="A29" s="169"/>
      <c r="B29" s="153"/>
      <c r="C29" s="55" t="s">
        <v>60</v>
      </c>
      <c r="D29" s="42">
        <v>1</v>
      </c>
      <c r="E29" s="46">
        <v>1</v>
      </c>
      <c r="F29" s="42">
        <v>0</v>
      </c>
      <c r="G29" s="42">
        <v>979</v>
      </c>
      <c r="H29" s="42">
        <v>0</v>
      </c>
      <c r="I29" s="45">
        <f t="shared" si="7"/>
        <v>979</v>
      </c>
      <c r="J29" s="104">
        <f t="shared" si="8"/>
        <v>685</v>
      </c>
      <c r="K29" s="42">
        <v>4</v>
      </c>
      <c r="L29" s="42">
        <v>294</v>
      </c>
      <c r="M29" s="42">
        <v>65</v>
      </c>
      <c r="N29" s="42">
        <v>0</v>
      </c>
      <c r="O29" s="42">
        <v>0</v>
      </c>
      <c r="P29" s="42">
        <v>0</v>
      </c>
      <c r="Q29" s="46">
        <f t="shared" si="9"/>
        <v>2027</v>
      </c>
    </row>
    <row r="30" spans="1:17">
      <c r="A30" s="169"/>
      <c r="B30" s="153"/>
      <c r="C30" s="55" t="s">
        <v>46</v>
      </c>
      <c r="D30" s="44">
        <v>3</v>
      </c>
      <c r="E30" s="58">
        <v>3</v>
      </c>
      <c r="F30" s="44">
        <v>0</v>
      </c>
      <c r="G30" s="42">
        <v>1938</v>
      </c>
      <c r="H30" s="42">
        <v>0</v>
      </c>
      <c r="I30" s="45">
        <f t="shared" si="7"/>
        <v>1938</v>
      </c>
      <c r="J30" s="104">
        <f t="shared" si="8"/>
        <v>1357</v>
      </c>
      <c r="K30" s="42">
        <v>11</v>
      </c>
      <c r="L30" s="42">
        <f>ROUND(I30*0.3,0)</f>
        <v>581</v>
      </c>
      <c r="M30" s="42">
        <v>97</v>
      </c>
      <c r="N30" s="42">
        <v>0</v>
      </c>
      <c r="O30" s="42">
        <v>0</v>
      </c>
      <c r="P30" s="42">
        <v>0</v>
      </c>
      <c r="Q30" s="46">
        <f t="shared" si="9"/>
        <v>3984</v>
      </c>
    </row>
    <row r="31" spans="1:17">
      <c r="A31" s="169"/>
      <c r="B31" s="153"/>
      <c r="C31" s="55" t="s">
        <v>94</v>
      </c>
      <c r="D31" s="44">
        <v>1</v>
      </c>
      <c r="E31" s="58">
        <v>1</v>
      </c>
      <c r="F31" s="44">
        <v>0</v>
      </c>
      <c r="G31" s="42">
        <v>675</v>
      </c>
      <c r="H31" s="42">
        <v>0</v>
      </c>
      <c r="I31" s="45">
        <f t="shared" si="7"/>
        <v>675</v>
      </c>
      <c r="J31" s="104">
        <f t="shared" si="8"/>
        <v>473</v>
      </c>
      <c r="K31" s="42">
        <v>3</v>
      </c>
      <c r="L31" s="42">
        <v>202</v>
      </c>
      <c r="M31" s="42">
        <v>32</v>
      </c>
      <c r="N31" s="42">
        <v>0</v>
      </c>
      <c r="O31" s="42">
        <v>0</v>
      </c>
      <c r="P31" s="42">
        <v>0</v>
      </c>
      <c r="Q31" s="46">
        <f t="shared" si="9"/>
        <v>1385</v>
      </c>
    </row>
    <row r="32" spans="1:17">
      <c r="A32" s="169"/>
      <c r="B32" s="153"/>
      <c r="C32" s="55" t="s">
        <v>52</v>
      </c>
      <c r="D32" s="42">
        <v>1</v>
      </c>
      <c r="E32" s="46">
        <v>1</v>
      </c>
      <c r="F32" s="42">
        <v>0</v>
      </c>
      <c r="G32" s="42">
        <v>870</v>
      </c>
      <c r="H32" s="42">
        <v>0</v>
      </c>
      <c r="I32" s="45">
        <f t="shared" si="7"/>
        <v>870</v>
      </c>
      <c r="J32" s="104">
        <f t="shared" si="8"/>
        <v>609</v>
      </c>
      <c r="K32" s="42">
        <v>4</v>
      </c>
      <c r="L32" s="42">
        <v>261</v>
      </c>
      <c r="M32" s="42">
        <v>65</v>
      </c>
      <c r="N32" s="42">
        <v>0</v>
      </c>
      <c r="O32" s="42">
        <v>0</v>
      </c>
      <c r="P32" s="42">
        <v>0</v>
      </c>
      <c r="Q32" s="46">
        <f t="shared" si="9"/>
        <v>1809</v>
      </c>
    </row>
    <row r="33" spans="1:17">
      <c r="A33" s="169"/>
      <c r="B33" s="153"/>
      <c r="C33" s="54" t="s">
        <v>98</v>
      </c>
      <c r="D33" s="42">
        <v>1</v>
      </c>
      <c r="E33" s="46">
        <v>1</v>
      </c>
      <c r="F33" s="42">
        <v>0</v>
      </c>
      <c r="G33" s="42">
        <v>487</v>
      </c>
      <c r="H33" s="42">
        <v>0</v>
      </c>
      <c r="I33" s="45">
        <f>SUM(G33:H33)</f>
        <v>487</v>
      </c>
      <c r="J33" s="104">
        <f t="shared" si="8"/>
        <v>341</v>
      </c>
      <c r="K33" s="42">
        <v>3</v>
      </c>
      <c r="L33" s="42">
        <f>ROUND(I33*0.3,0)</f>
        <v>146</v>
      </c>
      <c r="M33" s="42">
        <v>32</v>
      </c>
      <c r="N33" s="42">
        <v>0</v>
      </c>
      <c r="O33" s="42">
        <v>0</v>
      </c>
      <c r="P33" s="42">
        <v>0</v>
      </c>
      <c r="Q33" s="46">
        <f>SUM(F33+I33+J33+K33+L33+M33+N33+O33+P33)</f>
        <v>1009</v>
      </c>
    </row>
    <row r="34" spans="1:17">
      <c r="A34" s="169"/>
      <c r="B34" s="153"/>
      <c r="C34" s="54" t="s">
        <v>61</v>
      </c>
      <c r="D34" s="44">
        <v>1</v>
      </c>
      <c r="E34" s="58">
        <v>1</v>
      </c>
      <c r="F34" s="44">
        <v>0</v>
      </c>
      <c r="G34" s="42">
        <v>512</v>
      </c>
      <c r="H34" s="42">
        <v>0</v>
      </c>
      <c r="I34" s="45">
        <f>SUM(G34:H34)</f>
        <v>512</v>
      </c>
      <c r="J34" s="104">
        <f t="shared" si="8"/>
        <v>358</v>
      </c>
      <c r="K34" s="42">
        <v>3</v>
      </c>
      <c r="L34" s="42">
        <f>ROUND(I34*0.3,0)</f>
        <v>154</v>
      </c>
      <c r="M34" s="42">
        <v>32</v>
      </c>
      <c r="N34" s="42">
        <v>0</v>
      </c>
      <c r="O34" s="42">
        <v>0</v>
      </c>
      <c r="P34" s="42">
        <v>0</v>
      </c>
      <c r="Q34" s="46">
        <f>SUM(F34+I34+J34+K34+L34+M34+N34+O34+P34)</f>
        <v>1059</v>
      </c>
    </row>
    <row r="35" spans="1:17">
      <c r="A35" s="169"/>
      <c r="B35" s="158"/>
      <c r="C35" s="54" t="s">
        <v>99</v>
      </c>
      <c r="D35" s="42">
        <v>1</v>
      </c>
      <c r="E35" s="46">
        <v>1</v>
      </c>
      <c r="F35" s="42">
        <v>0</v>
      </c>
      <c r="G35" s="42">
        <v>0</v>
      </c>
      <c r="H35" s="42">
        <v>0</v>
      </c>
      <c r="I35" s="45">
        <f t="shared" si="7"/>
        <v>0</v>
      </c>
      <c r="J35" s="104">
        <f t="shared" si="8"/>
        <v>0</v>
      </c>
      <c r="K35" s="42">
        <v>0</v>
      </c>
      <c r="L35" s="42">
        <v>0</v>
      </c>
      <c r="M35" s="42">
        <v>0</v>
      </c>
      <c r="N35" s="42">
        <v>0</v>
      </c>
      <c r="O35" s="42">
        <v>0</v>
      </c>
      <c r="P35" s="42">
        <v>0</v>
      </c>
      <c r="Q35" s="46">
        <f t="shared" si="9"/>
        <v>0</v>
      </c>
    </row>
    <row r="36" spans="1:17" ht="21" customHeight="1">
      <c r="A36" s="170"/>
      <c r="B36" s="211"/>
      <c r="C36" s="211" t="s">
        <v>84</v>
      </c>
      <c r="D36" s="95">
        <f>D26+D27+D28+D29+D30+D31+D32+D33+D34+D35</f>
        <v>13</v>
      </c>
      <c r="E36" s="95">
        <f t="shared" ref="E36:Q36" si="10">E26+E27+E28+E29+E30+E31+E32+E33+E34+E35</f>
        <v>13</v>
      </c>
      <c r="F36" s="95">
        <f t="shared" si="10"/>
        <v>0</v>
      </c>
      <c r="G36" s="95">
        <f t="shared" si="10"/>
        <v>11029</v>
      </c>
      <c r="H36" s="95">
        <f t="shared" si="10"/>
        <v>0</v>
      </c>
      <c r="I36" s="95">
        <f t="shared" si="10"/>
        <v>11029</v>
      </c>
      <c r="J36" s="95">
        <f t="shared" si="10"/>
        <v>7722</v>
      </c>
      <c r="K36" s="95">
        <f t="shared" si="10"/>
        <v>43</v>
      </c>
      <c r="L36" s="95">
        <f t="shared" si="10"/>
        <v>3307</v>
      </c>
      <c r="M36" s="95">
        <f t="shared" si="10"/>
        <v>453</v>
      </c>
      <c r="N36" s="95">
        <f t="shared" si="10"/>
        <v>0</v>
      </c>
      <c r="O36" s="95">
        <f t="shared" si="10"/>
        <v>0</v>
      </c>
      <c r="P36" s="95">
        <f t="shared" si="10"/>
        <v>0</v>
      </c>
      <c r="Q36" s="95">
        <f t="shared" si="10"/>
        <v>22554</v>
      </c>
    </row>
    <row r="37" spans="1:17">
      <c r="A37" s="163">
        <v>2</v>
      </c>
      <c r="B37" s="152" t="s">
        <v>9</v>
      </c>
      <c r="C37" s="55" t="s">
        <v>53</v>
      </c>
      <c r="D37" s="44">
        <v>1</v>
      </c>
      <c r="E37" s="58">
        <v>1</v>
      </c>
      <c r="F37" s="44">
        <v>0</v>
      </c>
      <c r="G37" s="42">
        <v>534</v>
      </c>
      <c r="H37" s="42">
        <v>0</v>
      </c>
      <c r="I37" s="45">
        <f t="shared" si="7"/>
        <v>534</v>
      </c>
      <c r="J37" s="104">
        <f>ROUND(I37*0.7,0)</f>
        <v>374</v>
      </c>
      <c r="K37" s="42">
        <v>4</v>
      </c>
      <c r="L37" s="42">
        <f>ROUND(I37*0.3,0)</f>
        <v>160</v>
      </c>
      <c r="M37" s="42">
        <v>33</v>
      </c>
      <c r="N37" s="42">
        <v>0</v>
      </c>
      <c r="O37" s="42">
        <v>0</v>
      </c>
      <c r="P37" s="44">
        <v>0</v>
      </c>
      <c r="Q37" s="46">
        <f t="shared" si="9"/>
        <v>1105</v>
      </c>
    </row>
    <row r="38" spans="1:17">
      <c r="A38" s="169"/>
      <c r="B38" s="167"/>
      <c r="C38" s="55" t="s">
        <v>83</v>
      </c>
      <c r="D38" s="42">
        <v>1</v>
      </c>
      <c r="E38" s="46">
        <v>1</v>
      </c>
      <c r="F38" s="42">
        <v>0</v>
      </c>
      <c r="G38" s="42">
        <v>1259</v>
      </c>
      <c r="H38" s="42">
        <v>0</v>
      </c>
      <c r="I38" s="45">
        <f t="shared" si="7"/>
        <v>1259</v>
      </c>
      <c r="J38" s="104">
        <f t="shared" ref="J38:J45" si="11">ROUND(I38*0.7,0)</f>
        <v>881</v>
      </c>
      <c r="K38" s="42">
        <v>3</v>
      </c>
      <c r="L38" s="42">
        <f t="shared" ref="L38:L43" si="12">ROUND(I38*0.3,0)</f>
        <v>378</v>
      </c>
      <c r="M38" s="42">
        <v>33</v>
      </c>
      <c r="N38" s="42">
        <v>0</v>
      </c>
      <c r="O38" s="42">
        <v>0</v>
      </c>
      <c r="P38" s="42">
        <v>0</v>
      </c>
      <c r="Q38" s="46">
        <f t="shared" si="9"/>
        <v>2554</v>
      </c>
    </row>
    <row r="39" spans="1:17">
      <c r="A39" s="169"/>
      <c r="B39" s="167"/>
      <c r="C39" s="55" t="s">
        <v>54</v>
      </c>
      <c r="D39" s="44">
        <v>2</v>
      </c>
      <c r="E39" s="58">
        <v>2</v>
      </c>
      <c r="F39" s="44">
        <v>0</v>
      </c>
      <c r="G39" s="42">
        <v>1495</v>
      </c>
      <c r="H39" s="42">
        <v>0</v>
      </c>
      <c r="I39" s="45">
        <f t="shared" si="7"/>
        <v>1495</v>
      </c>
      <c r="J39" s="104">
        <f t="shared" si="11"/>
        <v>1047</v>
      </c>
      <c r="K39" s="42">
        <v>7</v>
      </c>
      <c r="L39" s="42">
        <f t="shared" si="12"/>
        <v>449</v>
      </c>
      <c r="M39" s="42">
        <v>97</v>
      </c>
      <c r="N39" s="42">
        <v>0</v>
      </c>
      <c r="O39" s="42">
        <v>0</v>
      </c>
      <c r="P39" s="44">
        <v>0</v>
      </c>
      <c r="Q39" s="46">
        <f t="shared" si="9"/>
        <v>3095</v>
      </c>
    </row>
    <row r="40" spans="1:17">
      <c r="A40" s="169"/>
      <c r="B40" s="167"/>
      <c r="C40" s="55" t="s">
        <v>95</v>
      </c>
      <c r="D40" s="44">
        <v>1</v>
      </c>
      <c r="E40" s="58">
        <v>1</v>
      </c>
      <c r="F40" s="44">
        <v>0</v>
      </c>
      <c r="G40" s="42">
        <v>473</v>
      </c>
      <c r="H40" s="42">
        <v>0</v>
      </c>
      <c r="I40" s="45">
        <f t="shared" si="7"/>
        <v>473</v>
      </c>
      <c r="J40" s="104">
        <f t="shared" si="11"/>
        <v>331</v>
      </c>
      <c r="K40" s="42">
        <v>3</v>
      </c>
      <c r="L40" s="42">
        <f t="shared" si="12"/>
        <v>142</v>
      </c>
      <c r="M40" s="42">
        <v>32</v>
      </c>
      <c r="N40" s="42">
        <v>0</v>
      </c>
      <c r="O40" s="42">
        <v>0</v>
      </c>
      <c r="P40" s="44">
        <v>0</v>
      </c>
      <c r="Q40" s="46">
        <f t="shared" si="9"/>
        <v>981</v>
      </c>
    </row>
    <row r="41" spans="1:17">
      <c r="A41" s="169"/>
      <c r="B41" s="167"/>
      <c r="C41" s="55" t="s">
        <v>97</v>
      </c>
      <c r="D41" s="42">
        <v>1</v>
      </c>
      <c r="E41" s="46">
        <v>1</v>
      </c>
      <c r="F41" s="42">
        <v>0</v>
      </c>
      <c r="G41" s="42">
        <v>312</v>
      </c>
      <c r="H41" s="42">
        <v>0</v>
      </c>
      <c r="I41" s="45">
        <f t="shared" si="7"/>
        <v>312</v>
      </c>
      <c r="J41" s="104">
        <f t="shared" si="11"/>
        <v>218</v>
      </c>
      <c r="K41" s="42">
        <v>4</v>
      </c>
      <c r="L41" s="42">
        <f t="shared" si="12"/>
        <v>94</v>
      </c>
      <c r="M41" s="42">
        <v>32</v>
      </c>
      <c r="N41" s="42">
        <v>0</v>
      </c>
      <c r="O41" s="42">
        <v>0</v>
      </c>
      <c r="P41" s="42">
        <v>0</v>
      </c>
      <c r="Q41" s="46">
        <f t="shared" si="9"/>
        <v>660</v>
      </c>
    </row>
    <row r="42" spans="1:17" ht="45">
      <c r="A42" s="169"/>
      <c r="B42" s="167"/>
      <c r="C42" s="55" t="s">
        <v>96</v>
      </c>
      <c r="D42" s="109">
        <v>9</v>
      </c>
      <c r="E42" s="110">
        <v>9</v>
      </c>
      <c r="F42" s="109">
        <v>0</v>
      </c>
      <c r="G42" s="104">
        <v>2193</v>
      </c>
      <c r="H42" s="104">
        <v>0</v>
      </c>
      <c r="I42" s="106">
        <f t="shared" si="7"/>
        <v>2193</v>
      </c>
      <c r="J42" s="104">
        <f t="shared" si="11"/>
        <v>1535</v>
      </c>
      <c r="K42" s="104">
        <v>33</v>
      </c>
      <c r="L42" s="104">
        <f t="shared" si="12"/>
        <v>658</v>
      </c>
      <c r="M42" s="104">
        <v>108</v>
      </c>
      <c r="N42" s="104">
        <v>0</v>
      </c>
      <c r="O42" s="104">
        <v>0</v>
      </c>
      <c r="P42" s="109">
        <v>0</v>
      </c>
      <c r="Q42" s="105">
        <f t="shared" si="9"/>
        <v>4527</v>
      </c>
    </row>
    <row r="43" spans="1:17">
      <c r="A43" s="169"/>
      <c r="B43" s="167"/>
      <c r="C43" s="56" t="s">
        <v>90</v>
      </c>
      <c r="D43" s="44">
        <v>1</v>
      </c>
      <c r="E43" s="58">
        <v>1</v>
      </c>
      <c r="F43" s="44">
        <v>0</v>
      </c>
      <c r="G43" s="42">
        <v>309</v>
      </c>
      <c r="H43" s="42">
        <v>0</v>
      </c>
      <c r="I43" s="45">
        <f t="shared" si="7"/>
        <v>309</v>
      </c>
      <c r="J43" s="104">
        <f t="shared" si="11"/>
        <v>216</v>
      </c>
      <c r="K43" s="42">
        <v>4</v>
      </c>
      <c r="L43" s="42">
        <f t="shared" si="12"/>
        <v>93</v>
      </c>
      <c r="M43" s="42">
        <v>32</v>
      </c>
      <c r="N43" s="42">
        <v>0</v>
      </c>
      <c r="O43" s="42">
        <v>0</v>
      </c>
      <c r="P43" s="44">
        <v>0</v>
      </c>
      <c r="Q43" s="46">
        <f t="shared" si="9"/>
        <v>654</v>
      </c>
    </row>
    <row r="44" spans="1:17">
      <c r="A44" s="169"/>
      <c r="B44" s="167"/>
      <c r="C44" s="55" t="s">
        <v>55</v>
      </c>
      <c r="D44" s="44">
        <v>4</v>
      </c>
      <c r="E44" s="58">
        <v>4</v>
      </c>
      <c r="F44" s="44">
        <v>0</v>
      </c>
      <c r="G44" s="42">
        <v>2122</v>
      </c>
      <c r="H44" s="42">
        <v>0</v>
      </c>
      <c r="I44" s="45">
        <f t="shared" si="7"/>
        <v>2122</v>
      </c>
      <c r="J44" s="104">
        <f t="shared" si="11"/>
        <v>1485</v>
      </c>
      <c r="K44" s="42">
        <v>14</v>
      </c>
      <c r="L44" s="42">
        <v>323</v>
      </c>
      <c r="M44" s="42">
        <v>130</v>
      </c>
      <c r="N44" s="42">
        <v>12</v>
      </c>
      <c r="O44" s="42">
        <v>0</v>
      </c>
      <c r="P44" s="44">
        <v>0</v>
      </c>
      <c r="Q44" s="46">
        <f t="shared" si="9"/>
        <v>4086</v>
      </c>
    </row>
    <row r="45" spans="1:17">
      <c r="A45" s="169"/>
      <c r="B45" s="168"/>
      <c r="C45" s="55" t="s">
        <v>56</v>
      </c>
      <c r="D45" s="42">
        <v>1</v>
      </c>
      <c r="E45" s="46">
        <v>1</v>
      </c>
      <c r="F45" s="42">
        <v>0</v>
      </c>
      <c r="G45" s="42">
        <v>312</v>
      </c>
      <c r="H45" s="42">
        <v>0</v>
      </c>
      <c r="I45" s="45">
        <f t="shared" si="7"/>
        <v>312</v>
      </c>
      <c r="J45" s="104">
        <f t="shared" si="11"/>
        <v>218</v>
      </c>
      <c r="K45" s="42">
        <v>3</v>
      </c>
      <c r="L45" s="42">
        <v>94</v>
      </c>
      <c r="M45" s="42">
        <v>32</v>
      </c>
      <c r="N45" s="42">
        <v>0</v>
      </c>
      <c r="O45" s="42">
        <v>0</v>
      </c>
      <c r="P45" s="42">
        <v>0</v>
      </c>
      <c r="Q45" s="46">
        <f t="shared" si="9"/>
        <v>659</v>
      </c>
    </row>
    <row r="46" spans="1:17" ht="21" customHeight="1">
      <c r="A46" s="170"/>
      <c r="B46" s="211"/>
      <c r="C46" s="211" t="s">
        <v>85</v>
      </c>
      <c r="D46" s="95">
        <f>D37+D38+D39+D40+D41+D42+D43+D44+D45</f>
        <v>21</v>
      </c>
      <c r="E46" s="95">
        <f t="shared" ref="E46:Q46" si="13">E37+E38+E39+E40+E41+E42+E43+E44+E45</f>
        <v>21</v>
      </c>
      <c r="F46" s="95">
        <f t="shared" si="13"/>
        <v>0</v>
      </c>
      <c r="G46" s="95">
        <f t="shared" si="13"/>
        <v>9009</v>
      </c>
      <c r="H46" s="95">
        <v>0</v>
      </c>
      <c r="I46" s="95">
        <f t="shared" si="13"/>
        <v>9009</v>
      </c>
      <c r="J46" s="95">
        <f t="shared" si="13"/>
        <v>6305</v>
      </c>
      <c r="K46" s="95">
        <f t="shared" si="13"/>
        <v>75</v>
      </c>
      <c r="L46" s="95">
        <f t="shared" si="13"/>
        <v>2391</v>
      </c>
      <c r="M46" s="95">
        <f t="shared" si="13"/>
        <v>529</v>
      </c>
      <c r="N46" s="95">
        <f t="shared" si="13"/>
        <v>12</v>
      </c>
      <c r="O46" s="95">
        <f t="shared" si="13"/>
        <v>0</v>
      </c>
      <c r="P46" s="95">
        <f t="shared" si="13"/>
        <v>0</v>
      </c>
      <c r="Q46" s="95">
        <f t="shared" si="13"/>
        <v>18321</v>
      </c>
    </row>
    <row r="47" spans="1:17">
      <c r="A47" s="152">
        <v>3</v>
      </c>
      <c r="B47" s="163" t="s">
        <v>10</v>
      </c>
      <c r="C47" s="54" t="s">
        <v>92</v>
      </c>
      <c r="D47" s="42">
        <v>3</v>
      </c>
      <c r="E47" s="46">
        <v>3</v>
      </c>
      <c r="F47" s="42">
        <v>0</v>
      </c>
      <c r="G47" s="42">
        <v>920</v>
      </c>
      <c r="H47" s="42">
        <v>0</v>
      </c>
      <c r="I47" s="45">
        <f>SUM(G47:H47)</f>
        <v>920</v>
      </c>
      <c r="J47" s="104">
        <f>ROUND(I47*0.7,0)</f>
        <v>644</v>
      </c>
      <c r="K47" s="42">
        <v>10</v>
      </c>
      <c r="L47" s="42">
        <v>276</v>
      </c>
      <c r="M47" s="42">
        <v>76</v>
      </c>
      <c r="N47" s="42">
        <v>9</v>
      </c>
      <c r="O47" s="42">
        <v>0</v>
      </c>
      <c r="P47" s="42">
        <v>0</v>
      </c>
      <c r="Q47" s="46">
        <f>SUM(F47+I47+J47+K47+L47+M47+N47+O47+P47)</f>
        <v>1935</v>
      </c>
    </row>
    <row r="48" spans="1:17">
      <c r="A48" s="167"/>
      <c r="B48" s="169"/>
      <c r="C48" s="55" t="s">
        <v>91</v>
      </c>
      <c r="D48" s="44">
        <v>5</v>
      </c>
      <c r="E48" s="58">
        <v>5</v>
      </c>
      <c r="F48" s="42">
        <v>0</v>
      </c>
      <c r="G48" s="42">
        <v>1668</v>
      </c>
      <c r="H48" s="42">
        <v>0</v>
      </c>
      <c r="I48" s="45">
        <f t="shared" si="7"/>
        <v>1668</v>
      </c>
      <c r="J48" s="104">
        <f>ROUND(I48*0.7,0)</f>
        <v>1168</v>
      </c>
      <c r="K48" s="42">
        <v>18</v>
      </c>
      <c r="L48" s="42">
        <v>361</v>
      </c>
      <c r="M48" s="42">
        <v>121</v>
      </c>
      <c r="N48" s="42">
        <v>15</v>
      </c>
      <c r="O48" s="44">
        <v>0</v>
      </c>
      <c r="P48" s="44">
        <v>0</v>
      </c>
      <c r="Q48" s="46">
        <f t="shared" si="9"/>
        <v>3351</v>
      </c>
    </row>
    <row r="49" spans="1:18">
      <c r="A49" s="167"/>
      <c r="B49" s="169"/>
      <c r="C49" s="55" t="s">
        <v>62</v>
      </c>
      <c r="D49" s="44">
        <v>1</v>
      </c>
      <c r="E49" s="58">
        <v>1</v>
      </c>
      <c r="F49" s="42">
        <v>0</v>
      </c>
      <c r="G49" s="42">
        <v>203</v>
      </c>
      <c r="H49" s="42">
        <v>0</v>
      </c>
      <c r="I49" s="45">
        <f>SUM(G49:H49)</f>
        <v>203</v>
      </c>
      <c r="J49" s="104">
        <f>ROUND(I49*0.7,0)</f>
        <v>142</v>
      </c>
      <c r="K49" s="42">
        <v>4</v>
      </c>
      <c r="L49" s="42">
        <f>ROUND(I49*0.3,0)</f>
        <v>61</v>
      </c>
      <c r="M49" s="42">
        <v>12</v>
      </c>
      <c r="N49" s="42">
        <v>3</v>
      </c>
      <c r="O49" s="44">
        <v>0</v>
      </c>
      <c r="P49" s="44">
        <v>0</v>
      </c>
      <c r="Q49" s="46">
        <f>SUM(F49+I49+J49+K49+L49+M49+N49+O49+P49)</f>
        <v>425</v>
      </c>
    </row>
    <row r="50" spans="1:18">
      <c r="A50" s="167"/>
      <c r="B50" s="169"/>
      <c r="C50" s="55" t="s">
        <v>57</v>
      </c>
      <c r="D50" s="42">
        <v>8</v>
      </c>
      <c r="E50" s="46">
        <v>8</v>
      </c>
      <c r="F50" s="42">
        <v>0</v>
      </c>
      <c r="G50" s="42">
        <v>2656</v>
      </c>
      <c r="H50" s="42">
        <v>0</v>
      </c>
      <c r="I50" s="45">
        <f t="shared" si="7"/>
        <v>2656</v>
      </c>
      <c r="J50" s="104">
        <f>ROUND(I50*0.7,0)</f>
        <v>1859</v>
      </c>
      <c r="K50" s="42">
        <v>29</v>
      </c>
      <c r="L50" s="42">
        <v>658</v>
      </c>
      <c r="M50" s="42">
        <v>178</v>
      </c>
      <c r="N50" s="42">
        <v>24</v>
      </c>
      <c r="O50" s="42">
        <v>0</v>
      </c>
      <c r="P50" s="42">
        <v>0</v>
      </c>
      <c r="Q50" s="46">
        <f t="shared" si="9"/>
        <v>5404</v>
      </c>
    </row>
    <row r="51" spans="1:18" s="48" customFormat="1" ht="30">
      <c r="A51" s="167"/>
      <c r="B51" s="169"/>
      <c r="C51" s="55" t="s">
        <v>93</v>
      </c>
      <c r="D51" s="104">
        <v>6</v>
      </c>
      <c r="E51" s="105">
        <v>6</v>
      </c>
      <c r="F51" s="104">
        <v>0</v>
      </c>
      <c r="G51" s="104">
        <v>1422</v>
      </c>
      <c r="H51" s="104">
        <v>0</v>
      </c>
      <c r="I51" s="106">
        <f t="shared" si="7"/>
        <v>1422</v>
      </c>
      <c r="J51" s="104">
        <v>996</v>
      </c>
      <c r="K51" s="104">
        <v>22</v>
      </c>
      <c r="L51" s="104">
        <v>426</v>
      </c>
      <c r="M51" s="104">
        <v>113</v>
      </c>
      <c r="N51" s="104">
        <v>18</v>
      </c>
      <c r="O51" s="104">
        <v>0</v>
      </c>
      <c r="P51" s="104">
        <v>0</v>
      </c>
      <c r="Q51" s="105">
        <f t="shared" si="9"/>
        <v>2997</v>
      </c>
    </row>
    <row r="52" spans="1:18">
      <c r="A52" s="167"/>
      <c r="B52" s="170"/>
      <c r="C52" s="57" t="s">
        <v>58</v>
      </c>
      <c r="D52" s="42">
        <v>2</v>
      </c>
      <c r="E52" s="46">
        <v>2</v>
      </c>
      <c r="F52" s="42">
        <v>0</v>
      </c>
      <c r="G52" s="42">
        <v>375</v>
      </c>
      <c r="H52" s="42">
        <v>0</v>
      </c>
      <c r="I52" s="45">
        <f t="shared" si="7"/>
        <v>375</v>
      </c>
      <c r="J52" s="104">
        <f>ROUND(I52*0.7,0)</f>
        <v>263</v>
      </c>
      <c r="K52" s="42">
        <v>7</v>
      </c>
      <c r="L52" s="42">
        <f>ROUND(I52*0.3,0)</f>
        <v>113</v>
      </c>
      <c r="M52" s="42">
        <v>24</v>
      </c>
      <c r="N52" s="42">
        <v>6</v>
      </c>
      <c r="O52" s="42">
        <v>0</v>
      </c>
      <c r="P52" s="42">
        <v>0</v>
      </c>
      <c r="Q52" s="46">
        <f t="shared" si="9"/>
        <v>788</v>
      </c>
    </row>
    <row r="53" spans="1:18" ht="21" customHeight="1">
      <c r="A53" s="168"/>
      <c r="B53" s="211"/>
      <c r="C53" s="211" t="s">
        <v>86</v>
      </c>
      <c r="D53" s="95">
        <f>D47+D48+D49+D50+D51+D52</f>
        <v>25</v>
      </c>
      <c r="E53" s="95">
        <f t="shared" ref="E53:Q53" si="14">E47+E48+E49+E50+E51+E52</f>
        <v>25</v>
      </c>
      <c r="F53" s="95">
        <f t="shared" si="14"/>
        <v>0</v>
      </c>
      <c r="G53" s="95">
        <f t="shared" si="14"/>
        <v>7244</v>
      </c>
      <c r="H53" s="95">
        <f t="shared" si="14"/>
        <v>0</v>
      </c>
      <c r="I53" s="95">
        <f t="shared" si="14"/>
        <v>7244</v>
      </c>
      <c r="J53" s="95">
        <f t="shared" si="14"/>
        <v>5072</v>
      </c>
      <c r="K53" s="95">
        <f t="shared" si="14"/>
        <v>90</v>
      </c>
      <c r="L53" s="95">
        <f t="shared" si="14"/>
        <v>1895</v>
      </c>
      <c r="M53" s="95">
        <f t="shared" si="14"/>
        <v>524</v>
      </c>
      <c r="N53" s="95">
        <f t="shared" si="14"/>
        <v>75</v>
      </c>
      <c r="O53" s="95">
        <f t="shared" si="14"/>
        <v>0</v>
      </c>
      <c r="P53" s="95">
        <f t="shared" si="14"/>
        <v>0</v>
      </c>
      <c r="Q53" s="95">
        <f t="shared" si="14"/>
        <v>14900</v>
      </c>
    </row>
    <row r="54" spans="1:18" ht="21">
      <c r="A54" s="148" t="s">
        <v>87</v>
      </c>
      <c r="B54" s="148"/>
      <c r="C54" s="148"/>
      <c r="D54" s="94">
        <f t="shared" ref="D54:Q54" si="15">D36+D46+D53</f>
        <v>59</v>
      </c>
      <c r="E54" s="94">
        <f t="shared" si="15"/>
        <v>59</v>
      </c>
      <c r="F54" s="94">
        <f t="shared" si="15"/>
        <v>0</v>
      </c>
      <c r="G54" s="94">
        <f t="shared" si="15"/>
        <v>27282</v>
      </c>
      <c r="H54" s="94">
        <f t="shared" si="15"/>
        <v>0</v>
      </c>
      <c r="I54" s="94">
        <f t="shared" si="15"/>
        <v>27282</v>
      </c>
      <c r="J54" s="94">
        <f t="shared" si="15"/>
        <v>19099</v>
      </c>
      <c r="K54" s="94">
        <f t="shared" si="15"/>
        <v>208</v>
      </c>
      <c r="L54" s="94">
        <f t="shared" si="15"/>
        <v>7593</v>
      </c>
      <c r="M54" s="94">
        <f t="shared" si="15"/>
        <v>1506</v>
      </c>
      <c r="N54" s="94">
        <f t="shared" si="15"/>
        <v>87</v>
      </c>
      <c r="O54" s="94">
        <f t="shared" si="15"/>
        <v>0</v>
      </c>
      <c r="P54" s="94">
        <f t="shared" si="15"/>
        <v>0</v>
      </c>
      <c r="Q54" s="94">
        <f t="shared" si="15"/>
        <v>55775</v>
      </c>
      <c r="R54" s="97"/>
    </row>
    <row r="55" spans="1:18" ht="16.5" customHeight="1">
      <c r="A55" s="59"/>
      <c r="B55" s="96"/>
      <c r="C55" s="96"/>
      <c r="D55" s="97"/>
      <c r="E55" s="97"/>
      <c r="F55" s="97"/>
      <c r="G55" s="97"/>
      <c r="H55" s="97"/>
      <c r="I55" s="97"/>
      <c r="J55" s="97"/>
      <c r="K55" s="97"/>
      <c r="L55" s="97"/>
      <c r="M55" s="97"/>
      <c r="N55" s="97"/>
      <c r="O55" s="97"/>
      <c r="P55" s="97"/>
      <c r="Q55" s="97"/>
    </row>
    <row r="56" spans="1:18">
      <c r="A56" s="161" t="s">
        <v>137</v>
      </c>
      <c r="B56" s="162"/>
      <c r="C56" s="162"/>
      <c r="D56" s="162"/>
      <c r="E56" s="162"/>
      <c r="F56" s="162"/>
      <c r="G56" s="162"/>
      <c r="H56" s="162"/>
      <c r="I56" s="162"/>
      <c r="J56" s="162"/>
      <c r="K56" s="162"/>
      <c r="L56" s="162"/>
      <c r="M56" s="162"/>
      <c r="N56" s="162"/>
      <c r="O56" s="162"/>
      <c r="P56" s="162"/>
      <c r="Q56" s="162"/>
    </row>
    <row r="57" spans="1:18">
      <c r="A57" s="146" t="s">
        <v>24</v>
      </c>
      <c r="B57" s="147"/>
      <c r="C57" s="147"/>
      <c r="D57" s="147"/>
      <c r="E57" s="147"/>
      <c r="F57" s="147"/>
      <c r="G57" s="147"/>
      <c r="H57" s="147"/>
      <c r="I57" s="147"/>
      <c r="J57" s="147"/>
      <c r="K57" s="147"/>
      <c r="L57" s="147"/>
      <c r="M57" s="147"/>
      <c r="N57" s="147"/>
      <c r="O57" s="147"/>
      <c r="P57" s="147"/>
      <c r="Q57" s="147"/>
    </row>
    <row r="58" spans="1:18" ht="22.8">
      <c r="A58" s="50" t="s">
        <v>23</v>
      </c>
      <c r="B58" s="51"/>
      <c r="C58" s="51"/>
      <c r="D58" s="41"/>
      <c r="E58" s="41"/>
      <c r="F58" s="41"/>
      <c r="G58" s="41"/>
      <c r="H58" s="41"/>
      <c r="I58" s="41"/>
      <c r="J58" s="41"/>
      <c r="K58" s="41"/>
      <c r="L58" s="41"/>
      <c r="M58" s="41"/>
      <c r="N58" s="41"/>
      <c r="O58" s="159" t="s">
        <v>1</v>
      </c>
      <c r="P58" s="160"/>
      <c r="Q58" s="160"/>
    </row>
    <row r="59" spans="1:18" ht="30">
      <c r="A59" s="155" t="s">
        <v>33</v>
      </c>
      <c r="B59" s="155" t="s">
        <v>7</v>
      </c>
      <c r="C59" s="165" t="s">
        <v>34</v>
      </c>
      <c r="D59" s="52" t="s">
        <v>25</v>
      </c>
      <c r="E59" s="52" t="s">
        <v>25</v>
      </c>
      <c r="F59" s="144" t="s">
        <v>14</v>
      </c>
      <c r="G59" s="144" t="s">
        <v>35</v>
      </c>
      <c r="H59" s="144" t="s">
        <v>36</v>
      </c>
      <c r="I59" s="144" t="s">
        <v>6</v>
      </c>
      <c r="J59" s="144" t="s">
        <v>143</v>
      </c>
      <c r="K59" s="144" t="s">
        <v>37</v>
      </c>
      <c r="L59" s="144" t="s">
        <v>38</v>
      </c>
      <c r="M59" s="144" t="s">
        <v>39</v>
      </c>
      <c r="N59" s="144" t="s">
        <v>40</v>
      </c>
      <c r="O59" s="100" t="s">
        <v>41</v>
      </c>
      <c r="P59" s="144" t="s">
        <v>42</v>
      </c>
      <c r="Q59" s="144" t="s">
        <v>6</v>
      </c>
    </row>
    <row r="60" spans="1:18" ht="18.75" customHeight="1">
      <c r="A60" s="156"/>
      <c r="B60" s="156"/>
      <c r="C60" s="166"/>
      <c r="D60" s="53" t="s">
        <v>133</v>
      </c>
      <c r="E60" s="53" t="s">
        <v>134</v>
      </c>
      <c r="F60" s="145"/>
      <c r="G60" s="145"/>
      <c r="H60" s="145"/>
      <c r="I60" s="145"/>
      <c r="J60" s="145"/>
      <c r="K60" s="154"/>
      <c r="L60" s="154"/>
      <c r="M60" s="154"/>
      <c r="N60" s="154"/>
      <c r="O60" s="101"/>
      <c r="P60" s="154"/>
      <c r="Q60" s="154"/>
    </row>
    <row r="61" spans="1:18">
      <c r="A61" s="157"/>
      <c r="B61" s="157"/>
      <c r="C61" s="149" t="s">
        <v>27</v>
      </c>
      <c r="D61" s="150"/>
      <c r="E61" s="150"/>
      <c r="F61" s="150"/>
      <c r="G61" s="150"/>
      <c r="H61" s="150"/>
      <c r="I61" s="150"/>
      <c r="J61" s="150"/>
      <c r="K61" s="150"/>
      <c r="L61" s="150"/>
      <c r="M61" s="150"/>
      <c r="N61" s="150"/>
      <c r="O61" s="150"/>
      <c r="P61" s="150"/>
      <c r="Q61" s="151"/>
    </row>
    <row r="62" spans="1:18" s="4" customFormat="1" ht="19.2">
      <c r="A62" s="163">
        <v>1</v>
      </c>
      <c r="B62" s="152" t="s">
        <v>8</v>
      </c>
      <c r="C62" s="55" t="s">
        <v>43</v>
      </c>
      <c r="D62" s="65">
        <f t="shared" ref="D62:Q62" si="16">D7</f>
        <v>1</v>
      </c>
      <c r="E62" s="66">
        <f t="shared" si="16"/>
        <v>1</v>
      </c>
      <c r="F62" s="65">
        <f t="shared" si="16"/>
        <v>0</v>
      </c>
      <c r="G62" s="65">
        <f t="shared" si="16"/>
        <v>2171</v>
      </c>
      <c r="H62" s="65">
        <f t="shared" si="16"/>
        <v>0</v>
      </c>
      <c r="I62" s="66">
        <f t="shared" si="16"/>
        <v>2171</v>
      </c>
      <c r="J62" s="65">
        <f t="shared" si="16"/>
        <v>1520</v>
      </c>
      <c r="K62" s="65">
        <f t="shared" si="16"/>
        <v>4</v>
      </c>
      <c r="L62" s="65">
        <f t="shared" si="16"/>
        <v>0</v>
      </c>
      <c r="M62" s="65">
        <f t="shared" si="16"/>
        <v>0</v>
      </c>
      <c r="N62" s="65">
        <f t="shared" si="16"/>
        <v>0</v>
      </c>
      <c r="O62" s="65">
        <f t="shared" si="16"/>
        <v>0</v>
      </c>
      <c r="P62" s="65">
        <f t="shared" si="16"/>
        <v>0</v>
      </c>
      <c r="Q62" s="66">
        <f t="shared" si="16"/>
        <v>3695</v>
      </c>
    </row>
    <row r="63" spans="1:18" s="4" customFormat="1" ht="19.2">
      <c r="A63" s="169"/>
      <c r="B63" s="153"/>
      <c r="C63" s="55" t="s">
        <v>44</v>
      </c>
      <c r="D63" s="65">
        <f t="shared" ref="D63:Q63" si="17">D8</f>
        <v>1</v>
      </c>
      <c r="E63" s="66">
        <f t="shared" si="17"/>
        <v>1</v>
      </c>
      <c r="F63" s="65">
        <f t="shared" si="17"/>
        <v>0</v>
      </c>
      <c r="G63" s="65">
        <f t="shared" si="17"/>
        <v>1849</v>
      </c>
      <c r="H63" s="65">
        <f t="shared" si="17"/>
        <v>0</v>
      </c>
      <c r="I63" s="66">
        <f t="shared" si="17"/>
        <v>1849</v>
      </c>
      <c r="J63" s="65">
        <f t="shared" si="17"/>
        <v>1294</v>
      </c>
      <c r="K63" s="65">
        <f t="shared" si="17"/>
        <v>4</v>
      </c>
      <c r="L63" s="65">
        <f t="shared" si="17"/>
        <v>555</v>
      </c>
      <c r="M63" s="65">
        <f t="shared" si="17"/>
        <v>0</v>
      </c>
      <c r="N63" s="65">
        <f t="shared" si="17"/>
        <v>0</v>
      </c>
      <c r="O63" s="65">
        <f t="shared" si="17"/>
        <v>0</v>
      </c>
      <c r="P63" s="65">
        <f t="shared" si="17"/>
        <v>0</v>
      </c>
      <c r="Q63" s="66">
        <f t="shared" si="17"/>
        <v>3702</v>
      </c>
    </row>
    <row r="64" spans="1:18" s="4" customFormat="1" ht="19.2">
      <c r="A64" s="169"/>
      <c r="B64" s="153"/>
      <c r="C64" s="55" t="s">
        <v>45</v>
      </c>
      <c r="D64" s="65">
        <f t="shared" ref="D64:Q64" si="18">D9</f>
        <v>3</v>
      </c>
      <c r="E64" s="66">
        <f t="shared" si="18"/>
        <v>3</v>
      </c>
      <c r="F64" s="65">
        <f t="shared" si="18"/>
        <v>0</v>
      </c>
      <c r="G64" s="65">
        <f t="shared" si="18"/>
        <v>2218</v>
      </c>
      <c r="H64" s="65">
        <f t="shared" si="18"/>
        <v>0</v>
      </c>
      <c r="I64" s="66">
        <f t="shared" si="18"/>
        <v>2218</v>
      </c>
      <c r="J64" s="65">
        <f t="shared" si="18"/>
        <v>1553</v>
      </c>
      <c r="K64" s="65">
        <f t="shared" si="18"/>
        <v>11</v>
      </c>
      <c r="L64" s="65">
        <f t="shared" si="18"/>
        <v>451</v>
      </c>
      <c r="M64" s="65">
        <f t="shared" si="18"/>
        <v>129</v>
      </c>
      <c r="N64" s="65">
        <f t="shared" si="18"/>
        <v>0</v>
      </c>
      <c r="O64" s="65">
        <f t="shared" si="18"/>
        <v>0</v>
      </c>
      <c r="P64" s="65">
        <f t="shared" si="18"/>
        <v>0</v>
      </c>
      <c r="Q64" s="66">
        <f t="shared" si="18"/>
        <v>4362</v>
      </c>
    </row>
    <row r="65" spans="1:17" s="4" customFormat="1" ht="19.2">
      <c r="A65" s="169"/>
      <c r="B65" s="153"/>
      <c r="C65" s="55" t="s">
        <v>46</v>
      </c>
      <c r="D65" s="65">
        <f t="shared" ref="D65:Q65" si="19">D10</f>
        <v>2</v>
      </c>
      <c r="E65" s="66">
        <f t="shared" si="19"/>
        <v>2</v>
      </c>
      <c r="F65" s="65">
        <f t="shared" si="19"/>
        <v>0</v>
      </c>
      <c r="G65" s="65">
        <f t="shared" si="19"/>
        <v>1333</v>
      </c>
      <c r="H65" s="65">
        <f t="shared" si="19"/>
        <v>0</v>
      </c>
      <c r="I65" s="66">
        <f t="shared" si="19"/>
        <v>1333</v>
      </c>
      <c r="J65" s="65">
        <f t="shared" si="19"/>
        <v>933</v>
      </c>
      <c r="K65" s="65">
        <f t="shared" si="19"/>
        <v>7</v>
      </c>
      <c r="L65" s="65">
        <f t="shared" si="19"/>
        <v>400</v>
      </c>
      <c r="M65" s="65">
        <f t="shared" si="19"/>
        <v>65</v>
      </c>
      <c r="N65" s="65">
        <f t="shared" si="19"/>
        <v>0</v>
      </c>
      <c r="O65" s="65">
        <f t="shared" si="19"/>
        <v>0</v>
      </c>
      <c r="P65" s="65">
        <f t="shared" si="19"/>
        <v>0</v>
      </c>
      <c r="Q65" s="66">
        <f t="shared" si="19"/>
        <v>2738</v>
      </c>
    </row>
    <row r="66" spans="1:17" ht="21" customHeight="1">
      <c r="A66" s="170"/>
      <c r="B66" s="211"/>
      <c r="C66" s="211" t="s">
        <v>84</v>
      </c>
      <c r="D66" s="95">
        <f t="shared" ref="D66:Q66" si="20">D11</f>
        <v>7</v>
      </c>
      <c r="E66" s="95">
        <f t="shared" si="20"/>
        <v>7</v>
      </c>
      <c r="F66" s="95">
        <f t="shared" si="20"/>
        <v>0</v>
      </c>
      <c r="G66" s="95">
        <f t="shared" si="20"/>
        <v>7571</v>
      </c>
      <c r="H66" s="95">
        <f t="shared" si="20"/>
        <v>0</v>
      </c>
      <c r="I66" s="95">
        <f t="shared" si="20"/>
        <v>7571</v>
      </c>
      <c r="J66" s="95">
        <f t="shared" si="20"/>
        <v>5300</v>
      </c>
      <c r="K66" s="95">
        <f t="shared" si="20"/>
        <v>26</v>
      </c>
      <c r="L66" s="95">
        <f t="shared" si="20"/>
        <v>1406</v>
      </c>
      <c r="M66" s="95">
        <f t="shared" si="20"/>
        <v>194</v>
      </c>
      <c r="N66" s="95">
        <f t="shared" si="20"/>
        <v>0</v>
      </c>
      <c r="O66" s="95">
        <f t="shared" si="20"/>
        <v>0</v>
      </c>
      <c r="P66" s="95">
        <f t="shared" si="20"/>
        <v>0</v>
      </c>
      <c r="Q66" s="95">
        <f t="shared" si="20"/>
        <v>14497</v>
      </c>
    </row>
    <row r="67" spans="1:17" s="4" customFormat="1" ht="19.2">
      <c r="A67" s="163">
        <v>2</v>
      </c>
      <c r="B67" s="152" t="s">
        <v>9</v>
      </c>
      <c r="C67" s="56" t="s">
        <v>47</v>
      </c>
      <c r="D67" s="65">
        <f t="shared" ref="D67:Q67" si="21">D12</f>
        <v>1</v>
      </c>
      <c r="E67" s="66">
        <f t="shared" si="21"/>
        <v>1</v>
      </c>
      <c r="F67" s="65">
        <f t="shared" si="21"/>
        <v>0</v>
      </c>
      <c r="G67" s="65">
        <f t="shared" si="21"/>
        <v>774</v>
      </c>
      <c r="H67" s="65">
        <f t="shared" si="21"/>
        <v>0</v>
      </c>
      <c r="I67" s="66">
        <f t="shared" si="21"/>
        <v>774</v>
      </c>
      <c r="J67" s="65">
        <f t="shared" si="21"/>
        <v>542</v>
      </c>
      <c r="K67" s="65">
        <f t="shared" si="21"/>
        <v>4</v>
      </c>
      <c r="L67" s="65">
        <f t="shared" si="21"/>
        <v>232</v>
      </c>
      <c r="M67" s="65">
        <f t="shared" si="21"/>
        <v>32</v>
      </c>
      <c r="N67" s="65">
        <f t="shared" si="21"/>
        <v>0</v>
      </c>
      <c r="O67" s="65">
        <f t="shared" si="21"/>
        <v>0</v>
      </c>
      <c r="P67" s="65">
        <f t="shared" si="21"/>
        <v>0</v>
      </c>
      <c r="Q67" s="66">
        <f t="shared" si="21"/>
        <v>1584</v>
      </c>
    </row>
    <row r="68" spans="1:17" s="4" customFormat="1" ht="19.2">
      <c r="A68" s="169"/>
      <c r="B68" s="153"/>
      <c r="C68" s="56" t="s">
        <v>48</v>
      </c>
      <c r="D68" s="65">
        <f t="shared" ref="D68:Q68" si="22">D13</f>
        <v>22</v>
      </c>
      <c r="E68" s="66">
        <f t="shared" si="22"/>
        <v>22</v>
      </c>
      <c r="F68" s="65">
        <f t="shared" si="22"/>
        <v>0</v>
      </c>
      <c r="G68" s="65">
        <f t="shared" si="22"/>
        <v>11846</v>
      </c>
      <c r="H68" s="65">
        <f t="shared" si="22"/>
        <v>0</v>
      </c>
      <c r="I68" s="66">
        <f t="shared" si="22"/>
        <v>11846</v>
      </c>
      <c r="J68" s="65">
        <f t="shared" si="22"/>
        <v>8292</v>
      </c>
      <c r="K68" s="65">
        <f t="shared" si="22"/>
        <v>79</v>
      </c>
      <c r="L68" s="65">
        <f t="shared" si="22"/>
        <v>2574</v>
      </c>
      <c r="M68" s="65">
        <f t="shared" si="22"/>
        <v>713</v>
      </c>
      <c r="N68" s="65">
        <f t="shared" si="22"/>
        <v>0</v>
      </c>
      <c r="O68" s="65">
        <f t="shared" si="22"/>
        <v>0</v>
      </c>
      <c r="P68" s="65">
        <f t="shared" si="22"/>
        <v>0</v>
      </c>
      <c r="Q68" s="66">
        <f t="shared" si="22"/>
        <v>23504</v>
      </c>
    </row>
    <row r="69" spans="1:17" s="4" customFormat="1" ht="19.2">
      <c r="A69" s="169"/>
      <c r="B69" s="153"/>
      <c r="C69" s="56" t="s">
        <v>90</v>
      </c>
      <c r="D69" s="65">
        <f t="shared" ref="D69:Q69" si="23">D14</f>
        <v>18</v>
      </c>
      <c r="E69" s="66">
        <f t="shared" si="23"/>
        <v>18</v>
      </c>
      <c r="F69" s="65">
        <f t="shared" si="23"/>
        <v>0</v>
      </c>
      <c r="G69" s="65">
        <f t="shared" si="23"/>
        <v>6878</v>
      </c>
      <c r="H69" s="65">
        <f t="shared" si="23"/>
        <v>0</v>
      </c>
      <c r="I69" s="66">
        <f t="shared" si="23"/>
        <v>6878</v>
      </c>
      <c r="J69" s="65">
        <f t="shared" si="23"/>
        <v>4815</v>
      </c>
      <c r="K69" s="65">
        <f t="shared" si="23"/>
        <v>65</v>
      </c>
      <c r="L69" s="65">
        <f t="shared" si="23"/>
        <v>1751</v>
      </c>
      <c r="M69" s="65">
        <f t="shared" si="23"/>
        <v>562</v>
      </c>
      <c r="N69" s="65">
        <f t="shared" si="23"/>
        <v>0</v>
      </c>
      <c r="O69" s="65">
        <f t="shared" si="23"/>
        <v>0</v>
      </c>
      <c r="P69" s="65">
        <f t="shared" si="23"/>
        <v>0</v>
      </c>
      <c r="Q69" s="66">
        <f t="shared" si="23"/>
        <v>14071</v>
      </c>
    </row>
    <row r="70" spans="1:17" ht="21" customHeight="1">
      <c r="A70" s="170"/>
      <c r="B70" s="211"/>
      <c r="C70" s="211" t="s">
        <v>85</v>
      </c>
      <c r="D70" s="95">
        <f t="shared" ref="D70:Q70" si="24">D15</f>
        <v>41</v>
      </c>
      <c r="E70" s="95">
        <f t="shared" si="24"/>
        <v>41</v>
      </c>
      <c r="F70" s="95">
        <f t="shared" si="24"/>
        <v>0</v>
      </c>
      <c r="G70" s="95">
        <f t="shared" si="24"/>
        <v>19498</v>
      </c>
      <c r="H70" s="95">
        <f t="shared" si="24"/>
        <v>0</v>
      </c>
      <c r="I70" s="95">
        <f t="shared" si="24"/>
        <v>19498</v>
      </c>
      <c r="J70" s="95">
        <f t="shared" si="24"/>
        <v>13649</v>
      </c>
      <c r="K70" s="95">
        <f t="shared" si="24"/>
        <v>148</v>
      </c>
      <c r="L70" s="95">
        <f t="shared" si="24"/>
        <v>4557</v>
      </c>
      <c r="M70" s="95">
        <f t="shared" si="24"/>
        <v>1307</v>
      </c>
      <c r="N70" s="95">
        <f t="shared" si="24"/>
        <v>0</v>
      </c>
      <c r="O70" s="95">
        <f t="shared" si="24"/>
        <v>0</v>
      </c>
      <c r="P70" s="95">
        <f t="shared" si="24"/>
        <v>0</v>
      </c>
      <c r="Q70" s="95">
        <f t="shared" si="24"/>
        <v>39159</v>
      </c>
    </row>
    <row r="71" spans="1:17" s="4" customFormat="1" ht="19.2">
      <c r="A71" s="163">
        <v>3</v>
      </c>
      <c r="B71" s="99" t="s">
        <v>10</v>
      </c>
      <c r="C71" s="54" t="s">
        <v>92</v>
      </c>
      <c r="D71" s="65">
        <f t="shared" ref="D71:Q71" si="25">D16</f>
        <v>18</v>
      </c>
      <c r="E71" s="66">
        <f t="shared" si="25"/>
        <v>18</v>
      </c>
      <c r="F71" s="65">
        <f t="shared" si="25"/>
        <v>0</v>
      </c>
      <c r="G71" s="65">
        <f t="shared" si="25"/>
        <v>6892</v>
      </c>
      <c r="H71" s="65">
        <f t="shared" si="25"/>
        <v>0</v>
      </c>
      <c r="I71" s="66">
        <f t="shared" si="25"/>
        <v>6892</v>
      </c>
      <c r="J71" s="65">
        <f t="shared" si="25"/>
        <v>4824</v>
      </c>
      <c r="K71" s="65">
        <f t="shared" si="25"/>
        <v>73</v>
      </c>
      <c r="L71" s="65">
        <f t="shared" si="25"/>
        <v>1646</v>
      </c>
      <c r="M71" s="65">
        <f t="shared" si="25"/>
        <v>505</v>
      </c>
      <c r="N71" s="65">
        <f t="shared" si="25"/>
        <v>54</v>
      </c>
      <c r="O71" s="65">
        <f t="shared" si="25"/>
        <v>0</v>
      </c>
      <c r="P71" s="65">
        <f t="shared" si="25"/>
        <v>0</v>
      </c>
      <c r="Q71" s="66">
        <f t="shared" si="25"/>
        <v>13994</v>
      </c>
    </row>
    <row r="72" spans="1:17" ht="21" customHeight="1">
      <c r="A72" s="170"/>
      <c r="B72" s="211"/>
      <c r="C72" s="211" t="s">
        <v>86</v>
      </c>
      <c r="D72" s="95">
        <f t="shared" ref="D72:Q72" si="26">D17</f>
        <v>18</v>
      </c>
      <c r="E72" s="95">
        <f t="shared" si="26"/>
        <v>18</v>
      </c>
      <c r="F72" s="95">
        <f t="shared" si="26"/>
        <v>0</v>
      </c>
      <c r="G72" s="95">
        <f t="shared" si="26"/>
        <v>6892</v>
      </c>
      <c r="H72" s="95">
        <f t="shared" si="26"/>
        <v>0</v>
      </c>
      <c r="I72" s="95">
        <f t="shared" si="26"/>
        <v>6892</v>
      </c>
      <c r="J72" s="95">
        <f t="shared" si="26"/>
        <v>4824</v>
      </c>
      <c r="K72" s="95">
        <f t="shared" si="26"/>
        <v>73</v>
      </c>
      <c r="L72" s="95">
        <f t="shared" si="26"/>
        <v>1646</v>
      </c>
      <c r="M72" s="95">
        <f t="shared" si="26"/>
        <v>505</v>
      </c>
      <c r="N72" s="95">
        <f t="shared" si="26"/>
        <v>54</v>
      </c>
      <c r="O72" s="95">
        <f t="shared" si="26"/>
        <v>0</v>
      </c>
      <c r="P72" s="95">
        <f t="shared" si="26"/>
        <v>0</v>
      </c>
      <c r="Q72" s="95">
        <f t="shared" si="26"/>
        <v>13994</v>
      </c>
    </row>
    <row r="73" spans="1:17" ht="21">
      <c r="A73" s="148" t="s">
        <v>88</v>
      </c>
      <c r="B73" s="148"/>
      <c r="C73" s="148"/>
      <c r="D73" s="94">
        <f t="shared" ref="D73:Q73" si="27">D66+D70+D72</f>
        <v>66</v>
      </c>
      <c r="E73" s="94">
        <f t="shared" si="27"/>
        <v>66</v>
      </c>
      <c r="F73" s="94">
        <f t="shared" si="27"/>
        <v>0</v>
      </c>
      <c r="G73" s="94">
        <f t="shared" si="27"/>
        <v>33961</v>
      </c>
      <c r="H73" s="94">
        <f t="shared" si="27"/>
        <v>0</v>
      </c>
      <c r="I73" s="94">
        <f t="shared" si="27"/>
        <v>33961</v>
      </c>
      <c r="J73" s="94">
        <f t="shared" si="27"/>
        <v>23773</v>
      </c>
      <c r="K73" s="94">
        <f t="shared" si="27"/>
        <v>247</v>
      </c>
      <c r="L73" s="94">
        <f t="shared" si="27"/>
        <v>7609</v>
      </c>
      <c r="M73" s="94">
        <f t="shared" si="27"/>
        <v>2006</v>
      </c>
      <c r="N73" s="94">
        <f t="shared" si="27"/>
        <v>54</v>
      </c>
      <c r="O73" s="94">
        <f t="shared" si="27"/>
        <v>0</v>
      </c>
      <c r="P73" s="94">
        <f t="shared" si="27"/>
        <v>0</v>
      </c>
      <c r="Q73" s="94">
        <f t="shared" si="27"/>
        <v>67650</v>
      </c>
    </row>
    <row r="74" spans="1:17" s="4" customFormat="1" ht="19.2">
      <c r="A74" s="61"/>
      <c r="B74" s="62"/>
      <c r="C74" s="63"/>
      <c r="D74" s="64"/>
      <c r="E74" s="64"/>
      <c r="F74" s="64"/>
      <c r="G74" s="64"/>
      <c r="H74" s="64"/>
      <c r="I74" s="64"/>
      <c r="J74" s="64"/>
      <c r="K74" s="64"/>
      <c r="L74" s="64"/>
      <c r="M74" s="64"/>
      <c r="N74" s="64"/>
      <c r="O74" s="64"/>
      <c r="P74" s="64"/>
      <c r="Q74" s="64"/>
    </row>
    <row r="75" spans="1:17" s="4" customFormat="1" ht="19.2">
      <c r="A75" s="61"/>
      <c r="B75" s="62"/>
      <c r="C75" s="63"/>
      <c r="D75" s="64"/>
      <c r="E75" s="64"/>
      <c r="F75" s="64"/>
      <c r="G75" s="64"/>
      <c r="H75" s="64"/>
      <c r="I75" s="64"/>
      <c r="J75" s="64"/>
      <c r="K75" s="64"/>
      <c r="L75" s="64"/>
      <c r="M75" s="64"/>
      <c r="N75" s="64"/>
      <c r="O75" s="64"/>
      <c r="P75" s="64"/>
      <c r="Q75" s="64"/>
    </row>
    <row r="76" spans="1:17" s="4" customFormat="1" ht="19.2">
      <c r="A76" s="61"/>
      <c r="B76" s="62"/>
      <c r="C76" s="63"/>
      <c r="D76" s="64"/>
      <c r="E76" s="64"/>
      <c r="F76" s="64"/>
      <c r="G76" s="64"/>
      <c r="H76" s="64"/>
      <c r="I76" s="64"/>
      <c r="J76" s="64"/>
      <c r="K76" s="64"/>
      <c r="L76" s="64"/>
      <c r="M76" s="64"/>
      <c r="N76" s="64"/>
      <c r="O76" s="64"/>
      <c r="P76" s="64"/>
      <c r="Q76" s="64"/>
    </row>
    <row r="77" spans="1:17">
      <c r="M77" s="98" t="s">
        <v>130</v>
      </c>
      <c r="N77" s="98"/>
      <c r="O77" s="98"/>
    </row>
    <row r="78" spans="1:17">
      <c r="A78" s="161" t="s">
        <v>137</v>
      </c>
      <c r="B78" s="162"/>
      <c r="C78" s="162"/>
      <c r="D78" s="162"/>
      <c r="E78" s="162"/>
      <c r="F78" s="162"/>
      <c r="G78" s="162"/>
      <c r="H78" s="162"/>
      <c r="I78" s="162"/>
      <c r="J78" s="162"/>
      <c r="K78" s="162"/>
      <c r="L78" s="162"/>
      <c r="M78" s="162"/>
      <c r="N78" s="162"/>
      <c r="O78" s="162"/>
      <c r="P78" s="162"/>
      <c r="Q78" s="162"/>
    </row>
    <row r="79" spans="1:17">
      <c r="A79" s="146" t="s">
        <v>24</v>
      </c>
      <c r="B79" s="147"/>
      <c r="C79" s="147"/>
      <c r="D79" s="147"/>
      <c r="E79" s="147"/>
      <c r="F79" s="147"/>
      <c r="G79" s="147"/>
      <c r="H79" s="147"/>
      <c r="I79" s="147"/>
      <c r="J79" s="147"/>
      <c r="K79" s="147"/>
      <c r="L79" s="147"/>
      <c r="M79" s="147"/>
      <c r="N79" s="147"/>
      <c r="O79" s="147"/>
      <c r="P79" s="147"/>
      <c r="Q79" s="147"/>
    </row>
    <row r="80" spans="1:17" ht="22.8">
      <c r="A80" s="50" t="s">
        <v>23</v>
      </c>
      <c r="B80" s="51"/>
      <c r="C80" s="51"/>
      <c r="D80" s="41"/>
      <c r="E80" s="41"/>
      <c r="F80" s="41"/>
      <c r="G80" s="41"/>
      <c r="H80" s="41"/>
      <c r="I80" s="41"/>
      <c r="J80" s="41"/>
      <c r="K80" s="41"/>
      <c r="L80" s="41"/>
      <c r="M80" s="41"/>
      <c r="N80" s="41"/>
      <c r="O80" s="159" t="s">
        <v>1</v>
      </c>
      <c r="P80" s="160"/>
      <c r="Q80" s="160"/>
    </row>
    <row r="81" spans="1:17" ht="39" customHeight="1">
      <c r="A81" s="155" t="s">
        <v>33</v>
      </c>
      <c r="B81" s="155" t="s">
        <v>7</v>
      </c>
      <c r="C81" s="165" t="s">
        <v>34</v>
      </c>
      <c r="D81" s="52" t="s">
        <v>25</v>
      </c>
      <c r="E81" s="52" t="s">
        <v>25</v>
      </c>
      <c r="F81" s="144" t="s">
        <v>14</v>
      </c>
      <c r="G81" s="144" t="s">
        <v>35</v>
      </c>
      <c r="H81" s="144" t="s">
        <v>36</v>
      </c>
      <c r="I81" s="144" t="s">
        <v>6</v>
      </c>
      <c r="J81" s="144" t="s">
        <v>143</v>
      </c>
      <c r="K81" s="144" t="s">
        <v>37</v>
      </c>
      <c r="L81" s="144" t="s">
        <v>38</v>
      </c>
      <c r="M81" s="144" t="s">
        <v>39</v>
      </c>
      <c r="N81" s="144" t="s">
        <v>40</v>
      </c>
      <c r="O81" s="144" t="s">
        <v>41</v>
      </c>
      <c r="P81" s="144" t="s">
        <v>42</v>
      </c>
      <c r="Q81" s="144" t="s">
        <v>6</v>
      </c>
    </row>
    <row r="82" spans="1:17" ht="18.75" customHeight="1">
      <c r="A82" s="156"/>
      <c r="B82" s="156"/>
      <c r="C82" s="166"/>
      <c r="D82" s="53" t="s">
        <v>133</v>
      </c>
      <c r="E82" s="53" t="s">
        <v>134</v>
      </c>
      <c r="F82" s="145"/>
      <c r="G82" s="145"/>
      <c r="H82" s="145"/>
      <c r="I82" s="145"/>
      <c r="J82" s="145"/>
      <c r="K82" s="154"/>
      <c r="L82" s="154"/>
      <c r="M82" s="154"/>
      <c r="N82" s="154"/>
      <c r="O82" s="154"/>
      <c r="P82" s="154"/>
      <c r="Q82" s="154"/>
    </row>
    <row r="83" spans="1:17">
      <c r="A83" s="157"/>
      <c r="B83" s="157"/>
      <c r="C83" s="149" t="s">
        <v>28</v>
      </c>
      <c r="D83" s="150"/>
      <c r="E83" s="150"/>
      <c r="F83" s="150"/>
      <c r="G83" s="150"/>
      <c r="H83" s="150"/>
      <c r="I83" s="150"/>
      <c r="J83" s="150"/>
      <c r="K83" s="150"/>
      <c r="L83" s="150"/>
      <c r="M83" s="150"/>
      <c r="N83" s="150"/>
      <c r="O83" s="150"/>
      <c r="P83" s="150"/>
      <c r="Q83" s="151"/>
    </row>
    <row r="84" spans="1:17" s="4" customFormat="1" ht="19.2">
      <c r="A84" s="163">
        <v>1</v>
      </c>
      <c r="B84" s="152" t="s">
        <v>8</v>
      </c>
      <c r="C84" s="55" t="s">
        <v>49</v>
      </c>
      <c r="D84" s="65">
        <f t="shared" ref="D84:Q84" si="28">D26</f>
        <v>2</v>
      </c>
      <c r="E84" s="66">
        <f t="shared" si="28"/>
        <v>2</v>
      </c>
      <c r="F84" s="65">
        <f t="shared" si="28"/>
        <v>0</v>
      </c>
      <c r="G84" s="65">
        <f t="shared" si="28"/>
        <v>3248</v>
      </c>
      <c r="H84" s="65">
        <f t="shared" si="28"/>
        <v>0</v>
      </c>
      <c r="I84" s="66">
        <f t="shared" si="28"/>
        <v>3248</v>
      </c>
      <c r="J84" s="65">
        <f t="shared" si="28"/>
        <v>2274</v>
      </c>
      <c r="K84" s="65">
        <f t="shared" si="28"/>
        <v>7</v>
      </c>
      <c r="L84" s="65">
        <f t="shared" si="28"/>
        <v>974</v>
      </c>
      <c r="M84" s="65">
        <f t="shared" si="28"/>
        <v>0</v>
      </c>
      <c r="N84" s="65">
        <f t="shared" si="28"/>
        <v>0</v>
      </c>
      <c r="O84" s="65">
        <f t="shared" si="28"/>
        <v>0</v>
      </c>
      <c r="P84" s="65">
        <f t="shared" si="28"/>
        <v>0</v>
      </c>
      <c r="Q84" s="66">
        <f t="shared" si="28"/>
        <v>6503</v>
      </c>
    </row>
    <row r="85" spans="1:17" s="4" customFormat="1" ht="19.2">
      <c r="A85" s="169"/>
      <c r="B85" s="153"/>
      <c r="C85" s="55" t="s">
        <v>50</v>
      </c>
      <c r="D85" s="65">
        <f t="shared" ref="D85:Q85" si="29">D27</f>
        <v>1</v>
      </c>
      <c r="E85" s="66">
        <f t="shared" si="29"/>
        <v>1</v>
      </c>
      <c r="F85" s="65">
        <f t="shared" si="29"/>
        <v>0</v>
      </c>
      <c r="G85" s="65">
        <f t="shared" si="29"/>
        <v>1205</v>
      </c>
      <c r="H85" s="65">
        <f t="shared" si="29"/>
        <v>0</v>
      </c>
      <c r="I85" s="66">
        <f t="shared" si="29"/>
        <v>1205</v>
      </c>
      <c r="J85" s="65">
        <f t="shared" si="29"/>
        <v>844</v>
      </c>
      <c r="K85" s="65">
        <f t="shared" si="29"/>
        <v>4</v>
      </c>
      <c r="L85" s="65">
        <f t="shared" si="29"/>
        <v>361</v>
      </c>
      <c r="M85" s="65">
        <f t="shared" si="29"/>
        <v>65</v>
      </c>
      <c r="N85" s="65">
        <f t="shared" si="29"/>
        <v>0</v>
      </c>
      <c r="O85" s="65">
        <f t="shared" si="29"/>
        <v>0</v>
      </c>
      <c r="P85" s="65">
        <f t="shared" si="29"/>
        <v>0</v>
      </c>
      <c r="Q85" s="66">
        <f t="shared" si="29"/>
        <v>2479</v>
      </c>
    </row>
    <row r="86" spans="1:17" s="4" customFormat="1" ht="19.2">
      <c r="A86" s="169"/>
      <c r="B86" s="153"/>
      <c r="C86" s="55" t="s">
        <v>51</v>
      </c>
      <c r="D86" s="65">
        <f t="shared" ref="D86:Q86" si="30">D28</f>
        <v>1</v>
      </c>
      <c r="E86" s="66">
        <f t="shared" si="30"/>
        <v>1</v>
      </c>
      <c r="F86" s="65">
        <f t="shared" si="30"/>
        <v>0</v>
      </c>
      <c r="G86" s="65">
        <f t="shared" si="30"/>
        <v>1115</v>
      </c>
      <c r="H86" s="65">
        <f t="shared" si="30"/>
        <v>0</v>
      </c>
      <c r="I86" s="66">
        <f t="shared" si="30"/>
        <v>1115</v>
      </c>
      <c r="J86" s="65">
        <f t="shared" si="30"/>
        <v>781</v>
      </c>
      <c r="K86" s="65">
        <f t="shared" si="30"/>
        <v>4</v>
      </c>
      <c r="L86" s="65">
        <f t="shared" si="30"/>
        <v>334</v>
      </c>
      <c r="M86" s="65">
        <f t="shared" si="30"/>
        <v>65</v>
      </c>
      <c r="N86" s="65">
        <f t="shared" si="30"/>
        <v>0</v>
      </c>
      <c r="O86" s="65">
        <f t="shared" si="30"/>
        <v>0</v>
      </c>
      <c r="P86" s="65">
        <f t="shared" si="30"/>
        <v>0</v>
      </c>
      <c r="Q86" s="66">
        <f t="shared" si="30"/>
        <v>2299</v>
      </c>
    </row>
    <row r="87" spans="1:17" s="4" customFormat="1" ht="19.2">
      <c r="A87" s="169"/>
      <c r="B87" s="153"/>
      <c r="C87" s="55" t="s">
        <v>60</v>
      </c>
      <c r="D87" s="65">
        <f t="shared" ref="D87:Q87" si="31">D29</f>
        <v>1</v>
      </c>
      <c r="E87" s="66">
        <f t="shared" si="31"/>
        <v>1</v>
      </c>
      <c r="F87" s="65">
        <f t="shared" si="31"/>
        <v>0</v>
      </c>
      <c r="G87" s="65">
        <f t="shared" si="31"/>
        <v>979</v>
      </c>
      <c r="H87" s="65">
        <f t="shared" si="31"/>
        <v>0</v>
      </c>
      <c r="I87" s="66">
        <f t="shared" si="31"/>
        <v>979</v>
      </c>
      <c r="J87" s="65">
        <f t="shared" si="31"/>
        <v>685</v>
      </c>
      <c r="K87" s="65">
        <f t="shared" si="31"/>
        <v>4</v>
      </c>
      <c r="L87" s="65">
        <f t="shared" si="31"/>
        <v>294</v>
      </c>
      <c r="M87" s="65">
        <f t="shared" si="31"/>
        <v>65</v>
      </c>
      <c r="N87" s="65">
        <f t="shared" si="31"/>
        <v>0</v>
      </c>
      <c r="O87" s="65">
        <f t="shared" si="31"/>
        <v>0</v>
      </c>
      <c r="P87" s="65">
        <f t="shared" si="31"/>
        <v>0</v>
      </c>
      <c r="Q87" s="66">
        <f t="shared" si="31"/>
        <v>2027</v>
      </c>
    </row>
    <row r="88" spans="1:17" s="4" customFormat="1" ht="19.2">
      <c r="A88" s="169"/>
      <c r="B88" s="153"/>
      <c r="C88" s="55" t="s">
        <v>46</v>
      </c>
      <c r="D88" s="65">
        <f t="shared" ref="D88:Q88" si="32">D30</f>
        <v>3</v>
      </c>
      <c r="E88" s="66">
        <f t="shared" si="32"/>
        <v>3</v>
      </c>
      <c r="F88" s="65">
        <f t="shared" si="32"/>
        <v>0</v>
      </c>
      <c r="G88" s="65">
        <f t="shared" si="32"/>
        <v>1938</v>
      </c>
      <c r="H88" s="65">
        <f t="shared" si="32"/>
        <v>0</v>
      </c>
      <c r="I88" s="66">
        <f t="shared" si="32"/>
        <v>1938</v>
      </c>
      <c r="J88" s="65">
        <f t="shared" si="32"/>
        <v>1357</v>
      </c>
      <c r="K88" s="65">
        <f t="shared" si="32"/>
        <v>11</v>
      </c>
      <c r="L88" s="65">
        <f t="shared" si="32"/>
        <v>581</v>
      </c>
      <c r="M88" s="65">
        <f t="shared" si="32"/>
        <v>97</v>
      </c>
      <c r="N88" s="65">
        <f t="shared" si="32"/>
        <v>0</v>
      </c>
      <c r="O88" s="65">
        <f t="shared" si="32"/>
        <v>0</v>
      </c>
      <c r="P88" s="65">
        <f t="shared" si="32"/>
        <v>0</v>
      </c>
      <c r="Q88" s="66">
        <f t="shared" si="32"/>
        <v>3984</v>
      </c>
    </row>
    <row r="89" spans="1:17" s="4" customFormat="1" ht="19.2">
      <c r="A89" s="169"/>
      <c r="B89" s="153"/>
      <c r="C89" s="55" t="s">
        <v>94</v>
      </c>
      <c r="D89" s="65">
        <f t="shared" ref="D89:Q89" si="33">D31</f>
        <v>1</v>
      </c>
      <c r="E89" s="66">
        <f t="shared" si="33"/>
        <v>1</v>
      </c>
      <c r="F89" s="65">
        <f t="shared" si="33"/>
        <v>0</v>
      </c>
      <c r="G89" s="65">
        <f t="shared" si="33"/>
        <v>675</v>
      </c>
      <c r="H89" s="65">
        <f t="shared" si="33"/>
        <v>0</v>
      </c>
      <c r="I89" s="66">
        <f t="shared" si="33"/>
        <v>675</v>
      </c>
      <c r="J89" s="65">
        <f t="shared" si="33"/>
        <v>473</v>
      </c>
      <c r="K89" s="65">
        <f t="shared" si="33"/>
        <v>3</v>
      </c>
      <c r="L89" s="65">
        <f t="shared" si="33"/>
        <v>202</v>
      </c>
      <c r="M89" s="65">
        <f t="shared" si="33"/>
        <v>32</v>
      </c>
      <c r="N89" s="65">
        <f t="shared" si="33"/>
        <v>0</v>
      </c>
      <c r="O89" s="65">
        <f t="shared" si="33"/>
        <v>0</v>
      </c>
      <c r="P89" s="65">
        <f t="shared" si="33"/>
        <v>0</v>
      </c>
      <c r="Q89" s="66">
        <f t="shared" si="33"/>
        <v>1385</v>
      </c>
    </row>
    <row r="90" spans="1:17" s="4" customFormat="1" ht="19.2">
      <c r="A90" s="169"/>
      <c r="B90" s="153"/>
      <c r="C90" s="55" t="s">
        <v>52</v>
      </c>
      <c r="D90" s="65">
        <f t="shared" ref="D90:Q90" si="34">D32</f>
        <v>1</v>
      </c>
      <c r="E90" s="66">
        <f t="shared" si="34"/>
        <v>1</v>
      </c>
      <c r="F90" s="65">
        <f t="shared" si="34"/>
        <v>0</v>
      </c>
      <c r="G90" s="65">
        <f t="shared" si="34"/>
        <v>870</v>
      </c>
      <c r="H90" s="65">
        <f t="shared" si="34"/>
        <v>0</v>
      </c>
      <c r="I90" s="66">
        <f t="shared" si="34"/>
        <v>870</v>
      </c>
      <c r="J90" s="65">
        <f t="shared" si="34"/>
        <v>609</v>
      </c>
      <c r="K90" s="65">
        <f t="shared" si="34"/>
        <v>4</v>
      </c>
      <c r="L90" s="65">
        <f t="shared" si="34"/>
        <v>261</v>
      </c>
      <c r="M90" s="65">
        <f t="shared" si="34"/>
        <v>65</v>
      </c>
      <c r="N90" s="65">
        <f t="shared" si="34"/>
        <v>0</v>
      </c>
      <c r="O90" s="65">
        <f t="shared" si="34"/>
        <v>0</v>
      </c>
      <c r="P90" s="65">
        <f t="shared" si="34"/>
        <v>0</v>
      </c>
      <c r="Q90" s="66">
        <f t="shared" si="34"/>
        <v>1809</v>
      </c>
    </row>
    <row r="91" spans="1:17" s="4" customFormat="1" ht="19.2">
      <c r="A91" s="169"/>
      <c r="B91" s="153"/>
      <c r="C91" s="54" t="s">
        <v>98</v>
      </c>
      <c r="D91" s="65">
        <f t="shared" ref="D91:Q91" si="35">D33</f>
        <v>1</v>
      </c>
      <c r="E91" s="66">
        <f t="shared" si="35"/>
        <v>1</v>
      </c>
      <c r="F91" s="65">
        <f t="shared" si="35"/>
        <v>0</v>
      </c>
      <c r="G91" s="65">
        <f t="shared" si="35"/>
        <v>487</v>
      </c>
      <c r="H91" s="65">
        <f t="shared" si="35"/>
        <v>0</v>
      </c>
      <c r="I91" s="66">
        <f t="shared" si="35"/>
        <v>487</v>
      </c>
      <c r="J91" s="65">
        <f t="shared" si="35"/>
        <v>341</v>
      </c>
      <c r="K91" s="65">
        <f t="shared" si="35"/>
        <v>3</v>
      </c>
      <c r="L91" s="65">
        <f t="shared" si="35"/>
        <v>146</v>
      </c>
      <c r="M91" s="65">
        <f t="shared" si="35"/>
        <v>32</v>
      </c>
      <c r="N91" s="65">
        <f t="shared" si="35"/>
        <v>0</v>
      </c>
      <c r="O91" s="65">
        <f t="shared" si="35"/>
        <v>0</v>
      </c>
      <c r="P91" s="65">
        <f t="shared" si="35"/>
        <v>0</v>
      </c>
      <c r="Q91" s="66">
        <f t="shared" si="35"/>
        <v>1009</v>
      </c>
    </row>
    <row r="92" spans="1:17" s="4" customFormat="1" ht="19.2">
      <c r="A92" s="169"/>
      <c r="B92" s="153"/>
      <c r="C92" s="54" t="s">
        <v>61</v>
      </c>
      <c r="D92" s="65">
        <f t="shared" ref="D92:Q92" si="36">D34</f>
        <v>1</v>
      </c>
      <c r="E92" s="66">
        <f t="shared" si="36"/>
        <v>1</v>
      </c>
      <c r="F92" s="65">
        <f t="shared" si="36"/>
        <v>0</v>
      </c>
      <c r="G92" s="65">
        <f t="shared" si="36"/>
        <v>512</v>
      </c>
      <c r="H92" s="65">
        <f t="shared" si="36"/>
        <v>0</v>
      </c>
      <c r="I92" s="66">
        <f t="shared" si="36"/>
        <v>512</v>
      </c>
      <c r="J92" s="65">
        <f t="shared" si="36"/>
        <v>358</v>
      </c>
      <c r="K92" s="65">
        <f t="shared" si="36"/>
        <v>3</v>
      </c>
      <c r="L92" s="65">
        <f t="shared" si="36"/>
        <v>154</v>
      </c>
      <c r="M92" s="65">
        <f t="shared" si="36"/>
        <v>32</v>
      </c>
      <c r="N92" s="65">
        <f t="shared" si="36"/>
        <v>0</v>
      </c>
      <c r="O92" s="65">
        <f t="shared" si="36"/>
        <v>0</v>
      </c>
      <c r="P92" s="65">
        <f t="shared" si="36"/>
        <v>0</v>
      </c>
      <c r="Q92" s="66">
        <f t="shared" si="36"/>
        <v>1059</v>
      </c>
    </row>
    <row r="93" spans="1:17" s="4" customFormat="1" ht="21.75" customHeight="1">
      <c r="A93" s="169"/>
      <c r="B93" s="158"/>
      <c r="C93" s="54" t="s">
        <v>99</v>
      </c>
      <c r="D93" s="65">
        <f t="shared" ref="D93:Q93" si="37">D35</f>
        <v>1</v>
      </c>
      <c r="E93" s="66">
        <f t="shared" si="37"/>
        <v>1</v>
      </c>
      <c r="F93" s="65">
        <f t="shared" si="37"/>
        <v>0</v>
      </c>
      <c r="G93" s="65">
        <f t="shared" si="37"/>
        <v>0</v>
      </c>
      <c r="H93" s="65">
        <f t="shared" si="37"/>
        <v>0</v>
      </c>
      <c r="I93" s="66">
        <f t="shared" si="37"/>
        <v>0</v>
      </c>
      <c r="J93" s="65">
        <f t="shared" si="37"/>
        <v>0</v>
      </c>
      <c r="K93" s="65">
        <f t="shared" si="37"/>
        <v>0</v>
      </c>
      <c r="L93" s="65">
        <f t="shared" si="37"/>
        <v>0</v>
      </c>
      <c r="M93" s="65">
        <f t="shared" si="37"/>
        <v>0</v>
      </c>
      <c r="N93" s="65">
        <f t="shared" si="37"/>
        <v>0</v>
      </c>
      <c r="O93" s="65">
        <f t="shared" si="37"/>
        <v>0</v>
      </c>
      <c r="P93" s="65">
        <f t="shared" si="37"/>
        <v>0</v>
      </c>
      <c r="Q93" s="66">
        <f t="shared" si="37"/>
        <v>0</v>
      </c>
    </row>
    <row r="94" spans="1:17" ht="21" customHeight="1">
      <c r="A94" s="170"/>
      <c r="B94" s="211"/>
      <c r="C94" s="211" t="s">
        <v>84</v>
      </c>
      <c r="D94" s="95">
        <f t="shared" ref="D94:D111" si="38">D36</f>
        <v>13</v>
      </c>
      <c r="E94" s="95">
        <f t="shared" ref="E94:Q94" si="39">E36</f>
        <v>13</v>
      </c>
      <c r="F94" s="95">
        <f t="shared" si="39"/>
        <v>0</v>
      </c>
      <c r="G94" s="95">
        <f t="shared" si="39"/>
        <v>11029</v>
      </c>
      <c r="H94" s="95">
        <f t="shared" si="39"/>
        <v>0</v>
      </c>
      <c r="I94" s="95">
        <f t="shared" si="39"/>
        <v>11029</v>
      </c>
      <c r="J94" s="95">
        <f t="shared" si="39"/>
        <v>7722</v>
      </c>
      <c r="K94" s="95">
        <f t="shared" si="39"/>
        <v>43</v>
      </c>
      <c r="L94" s="95">
        <f t="shared" si="39"/>
        <v>3307</v>
      </c>
      <c r="M94" s="95">
        <f t="shared" si="39"/>
        <v>453</v>
      </c>
      <c r="N94" s="95">
        <f t="shared" si="39"/>
        <v>0</v>
      </c>
      <c r="O94" s="95">
        <f t="shared" si="39"/>
        <v>0</v>
      </c>
      <c r="P94" s="95">
        <f t="shared" si="39"/>
        <v>0</v>
      </c>
      <c r="Q94" s="95">
        <f t="shared" si="39"/>
        <v>22554</v>
      </c>
    </row>
    <row r="95" spans="1:17" s="4" customFormat="1" ht="19.2">
      <c r="A95" s="102">
        <v>2</v>
      </c>
      <c r="B95" s="57" t="s">
        <v>9</v>
      </c>
      <c r="C95" s="55" t="s">
        <v>53</v>
      </c>
      <c r="D95" s="65">
        <f t="shared" si="38"/>
        <v>1</v>
      </c>
      <c r="E95" s="66">
        <f t="shared" ref="E95:Q95" si="40">E37</f>
        <v>1</v>
      </c>
      <c r="F95" s="65">
        <f t="shared" si="40"/>
        <v>0</v>
      </c>
      <c r="G95" s="65">
        <f t="shared" si="40"/>
        <v>534</v>
      </c>
      <c r="H95" s="65">
        <f t="shared" si="40"/>
        <v>0</v>
      </c>
      <c r="I95" s="66">
        <f t="shared" si="40"/>
        <v>534</v>
      </c>
      <c r="J95" s="65">
        <f t="shared" si="40"/>
        <v>374</v>
      </c>
      <c r="K95" s="65">
        <f t="shared" si="40"/>
        <v>4</v>
      </c>
      <c r="L95" s="65">
        <f t="shared" si="40"/>
        <v>160</v>
      </c>
      <c r="M95" s="65">
        <f t="shared" si="40"/>
        <v>33</v>
      </c>
      <c r="N95" s="65">
        <f t="shared" si="40"/>
        <v>0</v>
      </c>
      <c r="O95" s="65">
        <f t="shared" si="40"/>
        <v>0</v>
      </c>
      <c r="P95" s="65">
        <f t="shared" si="40"/>
        <v>0</v>
      </c>
      <c r="Q95" s="66">
        <f t="shared" si="40"/>
        <v>1105</v>
      </c>
    </row>
    <row r="96" spans="1:17" s="4" customFormat="1" ht="19.2">
      <c r="A96" s="114"/>
      <c r="B96" s="112"/>
      <c r="C96" s="55" t="s">
        <v>83</v>
      </c>
      <c r="D96" s="65">
        <f t="shared" si="38"/>
        <v>1</v>
      </c>
      <c r="E96" s="66">
        <f t="shared" ref="E96:Q96" si="41">E38</f>
        <v>1</v>
      </c>
      <c r="F96" s="65">
        <f t="shared" si="41"/>
        <v>0</v>
      </c>
      <c r="G96" s="65">
        <f t="shared" si="41"/>
        <v>1259</v>
      </c>
      <c r="H96" s="65">
        <f t="shared" si="41"/>
        <v>0</v>
      </c>
      <c r="I96" s="66">
        <f t="shared" si="41"/>
        <v>1259</v>
      </c>
      <c r="J96" s="65">
        <f t="shared" si="41"/>
        <v>881</v>
      </c>
      <c r="K96" s="65">
        <f t="shared" si="41"/>
        <v>3</v>
      </c>
      <c r="L96" s="65">
        <f t="shared" si="41"/>
        <v>378</v>
      </c>
      <c r="M96" s="65">
        <f t="shared" si="41"/>
        <v>33</v>
      </c>
      <c r="N96" s="65">
        <f t="shared" si="41"/>
        <v>0</v>
      </c>
      <c r="O96" s="65">
        <f t="shared" si="41"/>
        <v>0</v>
      </c>
      <c r="P96" s="65">
        <f t="shared" si="41"/>
        <v>0</v>
      </c>
      <c r="Q96" s="66">
        <f t="shared" si="41"/>
        <v>2554</v>
      </c>
    </row>
    <row r="97" spans="1:17" s="4" customFormat="1" ht="19.2">
      <c r="A97" s="114"/>
      <c r="B97" s="112"/>
      <c r="C97" s="55" t="s">
        <v>54</v>
      </c>
      <c r="D97" s="65">
        <f t="shared" si="38"/>
        <v>2</v>
      </c>
      <c r="E97" s="66">
        <f t="shared" ref="E97:Q97" si="42">E39</f>
        <v>2</v>
      </c>
      <c r="F97" s="65">
        <f t="shared" si="42"/>
        <v>0</v>
      </c>
      <c r="G97" s="65">
        <f t="shared" si="42"/>
        <v>1495</v>
      </c>
      <c r="H97" s="65">
        <f t="shared" si="42"/>
        <v>0</v>
      </c>
      <c r="I97" s="66">
        <f t="shared" si="42"/>
        <v>1495</v>
      </c>
      <c r="J97" s="65">
        <f t="shared" si="42"/>
        <v>1047</v>
      </c>
      <c r="K97" s="65">
        <f t="shared" si="42"/>
        <v>7</v>
      </c>
      <c r="L97" s="65">
        <f t="shared" si="42"/>
        <v>449</v>
      </c>
      <c r="M97" s="65">
        <f t="shared" si="42"/>
        <v>97</v>
      </c>
      <c r="N97" s="65">
        <f t="shared" si="42"/>
        <v>0</v>
      </c>
      <c r="O97" s="65">
        <f t="shared" si="42"/>
        <v>0</v>
      </c>
      <c r="P97" s="65">
        <f t="shared" si="42"/>
        <v>0</v>
      </c>
      <c r="Q97" s="66">
        <f t="shared" si="42"/>
        <v>3095</v>
      </c>
    </row>
    <row r="98" spans="1:17" s="4" customFormat="1" ht="19.2">
      <c r="A98" s="114"/>
      <c r="B98" s="112"/>
      <c r="C98" s="55" t="s">
        <v>95</v>
      </c>
      <c r="D98" s="65">
        <f t="shared" si="38"/>
        <v>1</v>
      </c>
      <c r="E98" s="66">
        <f t="shared" ref="E98:Q98" si="43">E40</f>
        <v>1</v>
      </c>
      <c r="F98" s="65">
        <f t="shared" si="43"/>
        <v>0</v>
      </c>
      <c r="G98" s="65">
        <f t="shared" si="43"/>
        <v>473</v>
      </c>
      <c r="H98" s="65">
        <f t="shared" si="43"/>
        <v>0</v>
      </c>
      <c r="I98" s="66">
        <f t="shared" si="43"/>
        <v>473</v>
      </c>
      <c r="J98" s="65">
        <f t="shared" si="43"/>
        <v>331</v>
      </c>
      <c r="K98" s="65">
        <f t="shared" si="43"/>
        <v>3</v>
      </c>
      <c r="L98" s="65">
        <f t="shared" si="43"/>
        <v>142</v>
      </c>
      <c r="M98" s="65">
        <f t="shared" si="43"/>
        <v>32</v>
      </c>
      <c r="N98" s="65">
        <f t="shared" si="43"/>
        <v>0</v>
      </c>
      <c r="O98" s="65">
        <f t="shared" si="43"/>
        <v>0</v>
      </c>
      <c r="P98" s="65">
        <f t="shared" si="43"/>
        <v>0</v>
      </c>
      <c r="Q98" s="66">
        <f t="shared" si="43"/>
        <v>981</v>
      </c>
    </row>
    <row r="99" spans="1:17" s="4" customFormat="1" ht="19.2">
      <c r="A99" s="114"/>
      <c r="B99" s="112"/>
      <c r="C99" s="55" t="s">
        <v>97</v>
      </c>
      <c r="D99" s="65">
        <f t="shared" si="38"/>
        <v>1</v>
      </c>
      <c r="E99" s="66">
        <f t="shared" ref="E99:Q99" si="44">E41</f>
        <v>1</v>
      </c>
      <c r="F99" s="65">
        <f t="shared" si="44"/>
        <v>0</v>
      </c>
      <c r="G99" s="65">
        <f t="shared" si="44"/>
        <v>312</v>
      </c>
      <c r="H99" s="65">
        <f t="shared" si="44"/>
        <v>0</v>
      </c>
      <c r="I99" s="66">
        <f t="shared" si="44"/>
        <v>312</v>
      </c>
      <c r="J99" s="65">
        <f t="shared" si="44"/>
        <v>218</v>
      </c>
      <c r="K99" s="65">
        <f t="shared" si="44"/>
        <v>4</v>
      </c>
      <c r="L99" s="65">
        <f t="shared" si="44"/>
        <v>94</v>
      </c>
      <c r="M99" s="65">
        <f t="shared" si="44"/>
        <v>32</v>
      </c>
      <c r="N99" s="65">
        <f t="shared" si="44"/>
        <v>0</v>
      </c>
      <c r="O99" s="65">
        <f t="shared" si="44"/>
        <v>0</v>
      </c>
      <c r="P99" s="65">
        <f t="shared" si="44"/>
        <v>0</v>
      </c>
      <c r="Q99" s="66">
        <f t="shared" si="44"/>
        <v>660</v>
      </c>
    </row>
    <row r="100" spans="1:17" s="4" customFormat="1" ht="45">
      <c r="A100" s="114"/>
      <c r="B100" s="112"/>
      <c r="C100" s="55" t="s">
        <v>96</v>
      </c>
      <c r="D100" s="107">
        <f t="shared" si="38"/>
        <v>9</v>
      </c>
      <c r="E100" s="108">
        <f t="shared" ref="E100:Q100" si="45">E42</f>
        <v>9</v>
      </c>
      <c r="F100" s="107">
        <f t="shared" si="45"/>
        <v>0</v>
      </c>
      <c r="G100" s="107">
        <f t="shared" si="45"/>
        <v>2193</v>
      </c>
      <c r="H100" s="107">
        <f t="shared" si="45"/>
        <v>0</v>
      </c>
      <c r="I100" s="108">
        <f t="shared" si="45"/>
        <v>2193</v>
      </c>
      <c r="J100" s="107">
        <f t="shared" si="45"/>
        <v>1535</v>
      </c>
      <c r="K100" s="107">
        <f t="shared" si="45"/>
        <v>33</v>
      </c>
      <c r="L100" s="107">
        <f t="shared" si="45"/>
        <v>658</v>
      </c>
      <c r="M100" s="107">
        <f t="shared" si="45"/>
        <v>108</v>
      </c>
      <c r="N100" s="107">
        <f t="shared" si="45"/>
        <v>0</v>
      </c>
      <c r="O100" s="107">
        <f t="shared" si="45"/>
        <v>0</v>
      </c>
      <c r="P100" s="107">
        <f t="shared" si="45"/>
        <v>0</v>
      </c>
      <c r="Q100" s="108">
        <f t="shared" si="45"/>
        <v>4527</v>
      </c>
    </row>
    <row r="101" spans="1:17" s="4" customFormat="1" ht="19.2">
      <c r="A101" s="114"/>
      <c r="B101" s="112"/>
      <c r="C101" s="56" t="s">
        <v>90</v>
      </c>
      <c r="D101" s="65">
        <f t="shared" si="38"/>
        <v>1</v>
      </c>
      <c r="E101" s="66">
        <f t="shared" ref="E101:Q101" si="46">E43</f>
        <v>1</v>
      </c>
      <c r="F101" s="65">
        <f t="shared" si="46"/>
        <v>0</v>
      </c>
      <c r="G101" s="65">
        <f t="shared" si="46"/>
        <v>309</v>
      </c>
      <c r="H101" s="65">
        <f t="shared" si="46"/>
        <v>0</v>
      </c>
      <c r="I101" s="66">
        <f t="shared" si="46"/>
        <v>309</v>
      </c>
      <c r="J101" s="65">
        <f t="shared" si="46"/>
        <v>216</v>
      </c>
      <c r="K101" s="65">
        <f t="shared" si="46"/>
        <v>4</v>
      </c>
      <c r="L101" s="65">
        <f t="shared" si="46"/>
        <v>93</v>
      </c>
      <c r="M101" s="65">
        <f t="shared" si="46"/>
        <v>32</v>
      </c>
      <c r="N101" s="65">
        <f t="shared" si="46"/>
        <v>0</v>
      </c>
      <c r="O101" s="65">
        <f t="shared" si="46"/>
        <v>0</v>
      </c>
      <c r="P101" s="65">
        <f t="shared" si="46"/>
        <v>0</v>
      </c>
      <c r="Q101" s="66">
        <f t="shared" si="46"/>
        <v>654</v>
      </c>
    </row>
    <row r="102" spans="1:17" s="4" customFormat="1" ht="19.2">
      <c r="A102" s="114"/>
      <c r="B102" s="112"/>
      <c r="C102" s="55" t="s">
        <v>55</v>
      </c>
      <c r="D102" s="65">
        <f t="shared" si="38"/>
        <v>4</v>
      </c>
      <c r="E102" s="66">
        <f t="shared" ref="E102:Q102" si="47">E44</f>
        <v>4</v>
      </c>
      <c r="F102" s="65">
        <f t="shared" si="47"/>
        <v>0</v>
      </c>
      <c r="G102" s="65">
        <f t="shared" si="47"/>
        <v>2122</v>
      </c>
      <c r="H102" s="65">
        <f t="shared" si="47"/>
        <v>0</v>
      </c>
      <c r="I102" s="66">
        <f t="shared" si="47"/>
        <v>2122</v>
      </c>
      <c r="J102" s="65">
        <f t="shared" si="47"/>
        <v>1485</v>
      </c>
      <c r="K102" s="65">
        <f t="shared" si="47"/>
        <v>14</v>
      </c>
      <c r="L102" s="65">
        <f t="shared" si="47"/>
        <v>323</v>
      </c>
      <c r="M102" s="65">
        <f t="shared" si="47"/>
        <v>130</v>
      </c>
      <c r="N102" s="65">
        <f t="shared" si="47"/>
        <v>12</v>
      </c>
      <c r="O102" s="65">
        <f t="shared" si="47"/>
        <v>0</v>
      </c>
      <c r="P102" s="65">
        <f t="shared" si="47"/>
        <v>0</v>
      </c>
      <c r="Q102" s="66">
        <f t="shared" si="47"/>
        <v>4086</v>
      </c>
    </row>
    <row r="103" spans="1:17" s="4" customFormat="1" ht="19.2">
      <c r="A103" s="114"/>
      <c r="B103" s="113"/>
      <c r="C103" s="55" t="s">
        <v>56</v>
      </c>
      <c r="D103" s="65">
        <f t="shared" si="38"/>
        <v>1</v>
      </c>
      <c r="E103" s="66">
        <f t="shared" ref="E103:Q103" si="48">E45</f>
        <v>1</v>
      </c>
      <c r="F103" s="65">
        <f t="shared" si="48"/>
        <v>0</v>
      </c>
      <c r="G103" s="65">
        <f t="shared" si="48"/>
        <v>312</v>
      </c>
      <c r="H103" s="65">
        <f t="shared" si="48"/>
        <v>0</v>
      </c>
      <c r="I103" s="66">
        <f t="shared" si="48"/>
        <v>312</v>
      </c>
      <c r="J103" s="65">
        <f t="shared" si="48"/>
        <v>218</v>
      </c>
      <c r="K103" s="65">
        <f t="shared" si="48"/>
        <v>3</v>
      </c>
      <c r="L103" s="65">
        <f t="shared" si="48"/>
        <v>94</v>
      </c>
      <c r="M103" s="65">
        <f t="shared" si="48"/>
        <v>32</v>
      </c>
      <c r="N103" s="65">
        <f t="shared" si="48"/>
        <v>0</v>
      </c>
      <c r="O103" s="65">
        <f t="shared" si="48"/>
        <v>0</v>
      </c>
      <c r="P103" s="65">
        <f t="shared" si="48"/>
        <v>0</v>
      </c>
      <c r="Q103" s="66">
        <f t="shared" si="48"/>
        <v>659</v>
      </c>
    </row>
    <row r="104" spans="1:17" ht="21" customHeight="1">
      <c r="A104" s="115"/>
      <c r="B104" s="211"/>
      <c r="C104" s="211" t="s">
        <v>85</v>
      </c>
      <c r="D104" s="95">
        <f t="shared" si="38"/>
        <v>21</v>
      </c>
      <c r="E104" s="95">
        <f t="shared" ref="E104:Q104" si="49">E46</f>
        <v>21</v>
      </c>
      <c r="F104" s="95">
        <f t="shared" si="49"/>
        <v>0</v>
      </c>
      <c r="G104" s="95">
        <f t="shared" si="49"/>
        <v>9009</v>
      </c>
      <c r="H104" s="95">
        <f t="shared" si="49"/>
        <v>0</v>
      </c>
      <c r="I104" s="95">
        <f t="shared" si="49"/>
        <v>9009</v>
      </c>
      <c r="J104" s="95">
        <f t="shared" si="49"/>
        <v>6305</v>
      </c>
      <c r="K104" s="95">
        <f t="shared" si="49"/>
        <v>75</v>
      </c>
      <c r="L104" s="95">
        <f t="shared" si="49"/>
        <v>2391</v>
      </c>
      <c r="M104" s="95">
        <f t="shared" si="49"/>
        <v>529</v>
      </c>
      <c r="N104" s="95">
        <f t="shared" si="49"/>
        <v>12</v>
      </c>
      <c r="O104" s="95">
        <f t="shared" si="49"/>
        <v>0</v>
      </c>
      <c r="P104" s="95">
        <f t="shared" si="49"/>
        <v>0</v>
      </c>
      <c r="Q104" s="95">
        <f t="shared" si="49"/>
        <v>18321</v>
      </c>
    </row>
    <row r="105" spans="1:17" s="4" customFormat="1" ht="19.2">
      <c r="A105" s="152">
        <v>3</v>
      </c>
      <c r="B105" s="163" t="s">
        <v>10</v>
      </c>
      <c r="C105" s="54" t="s">
        <v>92</v>
      </c>
      <c r="D105" s="65">
        <f t="shared" si="38"/>
        <v>3</v>
      </c>
      <c r="E105" s="66">
        <f t="shared" ref="E105:Q105" si="50">E47</f>
        <v>3</v>
      </c>
      <c r="F105" s="65">
        <f t="shared" si="50"/>
        <v>0</v>
      </c>
      <c r="G105" s="65">
        <f t="shared" si="50"/>
        <v>920</v>
      </c>
      <c r="H105" s="65">
        <f t="shared" si="50"/>
        <v>0</v>
      </c>
      <c r="I105" s="66">
        <f t="shared" si="50"/>
        <v>920</v>
      </c>
      <c r="J105" s="65">
        <f t="shared" si="50"/>
        <v>644</v>
      </c>
      <c r="K105" s="65">
        <f t="shared" si="50"/>
        <v>10</v>
      </c>
      <c r="L105" s="65">
        <f t="shared" si="50"/>
        <v>276</v>
      </c>
      <c r="M105" s="65">
        <f t="shared" si="50"/>
        <v>76</v>
      </c>
      <c r="N105" s="65">
        <f t="shared" si="50"/>
        <v>9</v>
      </c>
      <c r="O105" s="65">
        <f t="shared" si="50"/>
        <v>0</v>
      </c>
      <c r="P105" s="65">
        <f t="shared" si="50"/>
        <v>0</v>
      </c>
      <c r="Q105" s="66">
        <f t="shared" si="50"/>
        <v>1935</v>
      </c>
    </row>
    <row r="106" spans="1:17" s="4" customFormat="1" ht="19.2">
      <c r="A106" s="167"/>
      <c r="B106" s="169"/>
      <c r="C106" s="55" t="s">
        <v>91</v>
      </c>
      <c r="D106" s="65">
        <f t="shared" si="38"/>
        <v>5</v>
      </c>
      <c r="E106" s="66">
        <f t="shared" ref="E106:Q106" si="51">E48</f>
        <v>5</v>
      </c>
      <c r="F106" s="65">
        <f t="shared" si="51"/>
        <v>0</v>
      </c>
      <c r="G106" s="65">
        <f t="shared" si="51"/>
        <v>1668</v>
      </c>
      <c r="H106" s="65">
        <f t="shared" si="51"/>
        <v>0</v>
      </c>
      <c r="I106" s="66">
        <f t="shared" si="51"/>
        <v>1668</v>
      </c>
      <c r="J106" s="65">
        <f t="shared" si="51"/>
        <v>1168</v>
      </c>
      <c r="K106" s="65">
        <f t="shared" si="51"/>
        <v>18</v>
      </c>
      <c r="L106" s="65">
        <f t="shared" si="51"/>
        <v>361</v>
      </c>
      <c r="M106" s="65">
        <f t="shared" si="51"/>
        <v>121</v>
      </c>
      <c r="N106" s="65">
        <f t="shared" si="51"/>
        <v>15</v>
      </c>
      <c r="O106" s="65">
        <f t="shared" si="51"/>
        <v>0</v>
      </c>
      <c r="P106" s="65">
        <f t="shared" si="51"/>
        <v>0</v>
      </c>
      <c r="Q106" s="66">
        <f t="shared" si="51"/>
        <v>3351</v>
      </c>
    </row>
    <row r="107" spans="1:17" s="4" customFormat="1" ht="19.2">
      <c r="A107" s="167"/>
      <c r="B107" s="169"/>
      <c r="C107" s="55" t="s">
        <v>62</v>
      </c>
      <c r="D107" s="65">
        <f t="shared" si="38"/>
        <v>1</v>
      </c>
      <c r="E107" s="65">
        <f t="shared" ref="E107:Q107" si="52">E49</f>
        <v>1</v>
      </c>
      <c r="F107" s="65">
        <f t="shared" si="52"/>
        <v>0</v>
      </c>
      <c r="G107" s="65">
        <f t="shared" si="52"/>
        <v>203</v>
      </c>
      <c r="H107" s="65">
        <f t="shared" si="52"/>
        <v>0</v>
      </c>
      <c r="I107" s="66">
        <f t="shared" si="52"/>
        <v>203</v>
      </c>
      <c r="J107" s="65">
        <f t="shared" si="52"/>
        <v>142</v>
      </c>
      <c r="K107" s="65">
        <f t="shared" si="52"/>
        <v>4</v>
      </c>
      <c r="L107" s="65">
        <f t="shared" si="52"/>
        <v>61</v>
      </c>
      <c r="M107" s="65">
        <f t="shared" si="52"/>
        <v>12</v>
      </c>
      <c r="N107" s="65">
        <f t="shared" si="52"/>
        <v>3</v>
      </c>
      <c r="O107" s="65">
        <f t="shared" si="52"/>
        <v>0</v>
      </c>
      <c r="P107" s="65">
        <f t="shared" si="52"/>
        <v>0</v>
      </c>
      <c r="Q107" s="66">
        <f t="shared" si="52"/>
        <v>425</v>
      </c>
    </row>
    <row r="108" spans="1:17" s="4" customFormat="1" ht="19.2">
      <c r="A108" s="167"/>
      <c r="B108" s="169"/>
      <c r="C108" s="55" t="s">
        <v>57</v>
      </c>
      <c r="D108" s="65">
        <f t="shared" si="38"/>
        <v>8</v>
      </c>
      <c r="E108" s="66">
        <f t="shared" ref="E108:Q108" si="53">E50</f>
        <v>8</v>
      </c>
      <c r="F108" s="65">
        <f t="shared" si="53"/>
        <v>0</v>
      </c>
      <c r="G108" s="65">
        <f t="shared" si="53"/>
        <v>2656</v>
      </c>
      <c r="H108" s="65">
        <f t="shared" si="53"/>
        <v>0</v>
      </c>
      <c r="I108" s="66">
        <f t="shared" si="53"/>
        <v>2656</v>
      </c>
      <c r="J108" s="65">
        <f t="shared" si="53"/>
        <v>1859</v>
      </c>
      <c r="K108" s="65">
        <f t="shared" si="53"/>
        <v>29</v>
      </c>
      <c r="L108" s="65">
        <f t="shared" si="53"/>
        <v>658</v>
      </c>
      <c r="M108" s="65">
        <f t="shared" si="53"/>
        <v>178</v>
      </c>
      <c r="N108" s="65">
        <f t="shared" si="53"/>
        <v>24</v>
      </c>
      <c r="O108" s="65">
        <f t="shared" si="53"/>
        <v>0</v>
      </c>
      <c r="P108" s="65">
        <f t="shared" si="53"/>
        <v>0</v>
      </c>
      <c r="Q108" s="66">
        <f t="shared" si="53"/>
        <v>5404</v>
      </c>
    </row>
    <row r="109" spans="1:17" s="4" customFormat="1" ht="30">
      <c r="A109" s="167"/>
      <c r="B109" s="169"/>
      <c r="C109" s="55" t="s">
        <v>93</v>
      </c>
      <c r="D109" s="107">
        <f t="shared" si="38"/>
        <v>6</v>
      </c>
      <c r="E109" s="108">
        <f t="shared" ref="E109:Q109" si="54">E51</f>
        <v>6</v>
      </c>
      <c r="F109" s="107">
        <f t="shared" si="54"/>
        <v>0</v>
      </c>
      <c r="G109" s="107">
        <f t="shared" si="54"/>
        <v>1422</v>
      </c>
      <c r="H109" s="107">
        <f t="shared" si="54"/>
        <v>0</v>
      </c>
      <c r="I109" s="108">
        <f t="shared" si="54"/>
        <v>1422</v>
      </c>
      <c r="J109" s="107">
        <f t="shared" si="54"/>
        <v>996</v>
      </c>
      <c r="K109" s="107">
        <f t="shared" si="54"/>
        <v>22</v>
      </c>
      <c r="L109" s="107">
        <f t="shared" si="54"/>
        <v>426</v>
      </c>
      <c r="M109" s="107">
        <f t="shared" si="54"/>
        <v>113</v>
      </c>
      <c r="N109" s="107">
        <f t="shared" si="54"/>
        <v>18</v>
      </c>
      <c r="O109" s="107">
        <f t="shared" si="54"/>
        <v>0</v>
      </c>
      <c r="P109" s="107">
        <f t="shared" si="54"/>
        <v>0</v>
      </c>
      <c r="Q109" s="108">
        <f t="shared" si="54"/>
        <v>2997</v>
      </c>
    </row>
    <row r="110" spans="1:17" s="4" customFormat="1" ht="19.2">
      <c r="A110" s="167"/>
      <c r="B110" s="170"/>
      <c r="C110" s="57" t="s">
        <v>58</v>
      </c>
      <c r="D110" s="65">
        <f t="shared" si="38"/>
        <v>2</v>
      </c>
      <c r="E110" s="66">
        <f t="shared" ref="E110:Q110" si="55">E52</f>
        <v>2</v>
      </c>
      <c r="F110" s="65">
        <f t="shared" si="55"/>
        <v>0</v>
      </c>
      <c r="G110" s="65">
        <f t="shared" si="55"/>
        <v>375</v>
      </c>
      <c r="H110" s="65">
        <f t="shared" si="55"/>
        <v>0</v>
      </c>
      <c r="I110" s="66">
        <f t="shared" si="55"/>
        <v>375</v>
      </c>
      <c r="J110" s="65">
        <f t="shared" si="55"/>
        <v>263</v>
      </c>
      <c r="K110" s="65">
        <f t="shared" si="55"/>
        <v>7</v>
      </c>
      <c r="L110" s="65">
        <f t="shared" si="55"/>
        <v>113</v>
      </c>
      <c r="M110" s="65">
        <f t="shared" si="55"/>
        <v>24</v>
      </c>
      <c r="N110" s="65">
        <f t="shared" si="55"/>
        <v>6</v>
      </c>
      <c r="O110" s="65">
        <f t="shared" si="55"/>
        <v>0</v>
      </c>
      <c r="P110" s="65">
        <f t="shared" si="55"/>
        <v>0</v>
      </c>
      <c r="Q110" s="66">
        <f t="shared" si="55"/>
        <v>788</v>
      </c>
    </row>
    <row r="111" spans="1:17" ht="21" customHeight="1">
      <c r="A111" s="168"/>
      <c r="B111" s="211"/>
      <c r="C111" s="211" t="s">
        <v>86</v>
      </c>
      <c r="D111" s="95">
        <f t="shared" si="38"/>
        <v>25</v>
      </c>
      <c r="E111" s="95">
        <f t="shared" ref="E111:Q111" si="56">E53</f>
        <v>25</v>
      </c>
      <c r="F111" s="95">
        <f t="shared" si="56"/>
        <v>0</v>
      </c>
      <c r="G111" s="95">
        <f t="shared" si="56"/>
        <v>7244</v>
      </c>
      <c r="H111" s="95">
        <f t="shared" si="56"/>
        <v>0</v>
      </c>
      <c r="I111" s="95">
        <f t="shared" si="56"/>
        <v>7244</v>
      </c>
      <c r="J111" s="95">
        <f t="shared" si="56"/>
        <v>5072</v>
      </c>
      <c r="K111" s="95">
        <f t="shared" si="56"/>
        <v>90</v>
      </c>
      <c r="L111" s="95">
        <f t="shared" si="56"/>
        <v>1895</v>
      </c>
      <c r="M111" s="95">
        <f t="shared" si="56"/>
        <v>524</v>
      </c>
      <c r="N111" s="95">
        <f t="shared" si="56"/>
        <v>75</v>
      </c>
      <c r="O111" s="95">
        <f t="shared" si="56"/>
        <v>0</v>
      </c>
      <c r="P111" s="95">
        <f t="shared" si="56"/>
        <v>0</v>
      </c>
      <c r="Q111" s="95">
        <f t="shared" si="56"/>
        <v>14900</v>
      </c>
    </row>
    <row r="112" spans="1:17" ht="21">
      <c r="A112" s="212"/>
      <c r="B112" s="212"/>
      <c r="C112" s="212" t="s">
        <v>87</v>
      </c>
      <c r="D112" s="94">
        <f>D94+D104+D111</f>
        <v>59</v>
      </c>
      <c r="E112" s="94">
        <f t="shared" ref="E112:Q112" si="57">E94+E104+E111</f>
        <v>59</v>
      </c>
      <c r="F112" s="94">
        <f t="shared" si="57"/>
        <v>0</v>
      </c>
      <c r="G112" s="94">
        <f t="shared" si="57"/>
        <v>27282</v>
      </c>
      <c r="H112" s="94">
        <f t="shared" si="57"/>
        <v>0</v>
      </c>
      <c r="I112" s="94">
        <f t="shared" si="57"/>
        <v>27282</v>
      </c>
      <c r="J112" s="94">
        <f t="shared" si="57"/>
        <v>19099</v>
      </c>
      <c r="K112" s="94">
        <f t="shared" si="57"/>
        <v>208</v>
      </c>
      <c r="L112" s="94">
        <f t="shared" si="57"/>
        <v>7593</v>
      </c>
      <c r="M112" s="94">
        <f t="shared" si="57"/>
        <v>1506</v>
      </c>
      <c r="N112" s="94">
        <f t="shared" si="57"/>
        <v>87</v>
      </c>
      <c r="O112" s="94">
        <f t="shared" si="57"/>
        <v>0</v>
      </c>
      <c r="P112" s="94">
        <f t="shared" si="57"/>
        <v>0</v>
      </c>
      <c r="Q112" s="94">
        <f t="shared" si="57"/>
        <v>55775</v>
      </c>
    </row>
    <row r="115" spans="10:15" s="23" customFormat="1" ht="20.399999999999999">
      <c r="J115" s="143"/>
      <c r="K115" s="143"/>
      <c r="L115" s="143"/>
    </row>
    <row r="116" spans="10:15">
      <c r="M116" s="98" t="s">
        <v>130</v>
      </c>
      <c r="N116" s="98"/>
      <c r="O116" s="98"/>
    </row>
  </sheetData>
  <mergeCells count="97">
    <mergeCell ref="I81:I82"/>
    <mergeCell ref="J81:J82"/>
    <mergeCell ref="A84:A94"/>
    <mergeCell ref="A47:A53"/>
    <mergeCell ref="B105:B110"/>
    <mergeCell ref="A105:A111"/>
    <mergeCell ref="C83:Q83"/>
    <mergeCell ref="B84:B93"/>
    <mergeCell ref="Q81:Q82"/>
    <mergeCell ref="L81:L82"/>
    <mergeCell ref="N81:N82"/>
    <mergeCell ref="O81:O82"/>
    <mergeCell ref="K81:K82"/>
    <mergeCell ref="O80:Q80"/>
    <mergeCell ref="A81:A83"/>
    <mergeCell ref="B81:B83"/>
    <mergeCell ref="C81:C82"/>
    <mergeCell ref="F81:F82"/>
    <mergeCell ref="G81:G82"/>
    <mergeCell ref="H81:H82"/>
    <mergeCell ref="M81:M82"/>
    <mergeCell ref="P81:P82"/>
    <mergeCell ref="A78:Q78"/>
    <mergeCell ref="G59:G60"/>
    <mergeCell ref="H59:H60"/>
    <mergeCell ref="A79:Q79"/>
    <mergeCell ref="A71:A72"/>
    <mergeCell ref="A67:A70"/>
    <mergeCell ref="A73:C73"/>
    <mergeCell ref="C59:C60"/>
    <mergeCell ref="F59:F60"/>
    <mergeCell ref="B47:B52"/>
    <mergeCell ref="A54:C54"/>
    <mergeCell ref="L23:L24"/>
    <mergeCell ref="M23:M24"/>
    <mergeCell ref="C61:Q61"/>
    <mergeCell ref="B67:B69"/>
    <mergeCell ref="M59:M60"/>
    <mergeCell ref="N59:N60"/>
    <mergeCell ref="A62:A66"/>
    <mergeCell ref="P23:P24"/>
    <mergeCell ref="Q23:Q24"/>
    <mergeCell ref="I23:I24"/>
    <mergeCell ref="A20:Q20"/>
    <mergeCell ref="O22:Q22"/>
    <mergeCell ref="C23:C24"/>
    <mergeCell ref="N23:N24"/>
    <mergeCell ref="A1:Q1"/>
    <mergeCell ref="A2:Q2"/>
    <mergeCell ref="K4:K5"/>
    <mergeCell ref="O4:O5"/>
    <mergeCell ref="N4:N5"/>
    <mergeCell ref="A18:C18"/>
    <mergeCell ref="A12:A14"/>
    <mergeCell ref="B12:B14"/>
    <mergeCell ref="P4:P5"/>
    <mergeCell ref="A4:A6"/>
    <mergeCell ref="C4:C5"/>
    <mergeCell ref="F4:F5"/>
    <mergeCell ref="A7:A10"/>
    <mergeCell ref="C6:Q6"/>
    <mergeCell ref="I4:I5"/>
    <mergeCell ref="B4:B6"/>
    <mergeCell ref="J4:J5"/>
    <mergeCell ref="B26:B35"/>
    <mergeCell ref="Q4:Q5"/>
    <mergeCell ref="O3:Q3"/>
    <mergeCell ref="G4:G5"/>
    <mergeCell ref="H4:H5"/>
    <mergeCell ref="L4:L5"/>
    <mergeCell ref="M4:M5"/>
    <mergeCell ref="J23:J24"/>
    <mergeCell ref="K23:K24"/>
    <mergeCell ref="B23:B25"/>
    <mergeCell ref="O23:O24"/>
    <mergeCell ref="J115:L115"/>
    <mergeCell ref="F23:F24"/>
    <mergeCell ref="G23:G24"/>
    <mergeCell ref="H23:H24"/>
    <mergeCell ref="A21:Q21"/>
    <mergeCell ref="C25:Q25"/>
    <mergeCell ref="B62:B65"/>
    <mergeCell ref="L59:L60"/>
    <mergeCell ref="A57:Q57"/>
    <mergeCell ref="P59:P60"/>
    <mergeCell ref="A23:A25"/>
    <mergeCell ref="O58:Q58"/>
    <mergeCell ref="A59:A61"/>
    <mergeCell ref="B59:B61"/>
    <mergeCell ref="Q59:Q60"/>
    <mergeCell ref="I59:I60"/>
    <mergeCell ref="J59:J60"/>
    <mergeCell ref="K59:K60"/>
    <mergeCell ref="B37:B45"/>
    <mergeCell ref="A37:A46"/>
    <mergeCell ref="A26:A36"/>
    <mergeCell ref="A56:Q56"/>
  </mergeCells>
  <phoneticPr fontId="0" type="noConversion"/>
  <pageMargins left="0.78740157480314965" right="0.15748031496062992" top="0.19685039370078741" bottom="0.31496062992125984" header="0.15748031496062992" footer="0.15748031496062992"/>
  <pageSetup paperSize="5" scale="95" orientation="landscape" r:id="rId1"/>
  <headerFooter>
    <oddFooter>&amp;Z&amp;F&amp;RPage &amp;P</oddFooter>
  </headerFooter>
  <rowBreaks count="6" manualBreakCount="6">
    <brk id="19" max="16" man="1"/>
    <brk id="46" max="16" man="1"/>
    <brk id="55" max="16" man="1"/>
    <brk id="77" max="16" man="1"/>
    <brk id="104" max="16" man="1"/>
    <brk id="132"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7"/>
  <sheetViews>
    <sheetView view="pageBreakPreview" topLeftCell="A31" zoomScaleNormal="75" zoomScaleSheetLayoutView="100" workbookViewId="0">
      <selection activeCell="N14" sqref="N14"/>
    </sheetView>
  </sheetViews>
  <sheetFormatPr defaultColWidth="9.109375" defaultRowHeight="20.399999999999999"/>
  <cols>
    <col min="1" max="1" width="9.6640625" style="1" customWidth="1"/>
    <col min="2" max="2" width="14.5546875" style="1" customWidth="1"/>
    <col min="3" max="3" width="11.88671875" style="1" customWidth="1"/>
    <col min="4" max="4" width="12.33203125" style="1" customWidth="1"/>
    <col min="5" max="5" width="12.44140625" style="1" customWidth="1"/>
    <col min="6" max="6" width="13.6640625" style="1" customWidth="1"/>
    <col min="7" max="7" width="12.5546875" style="1" customWidth="1"/>
    <col min="8" max="8" width="13" style="1" customWidth="1"/>
    <col min="9" max="9" width="12.6640625" style="1" customWidth="1"/>
    <col min="10" max="10" width="12.33203125" style="1" customWidth="1"/>
    <col min="11" max="11" width="11.5546875" style="1" customWidth="1"/>
    <col min="12" max="12" width="2.6640625" style="1" customWidth="1"/>
    <col min="13" max="13" width="13.109375" style="1" customWidth="1"/>
    <col min="14" max="14" width="13.33203125" style="1" customWidth="1"/>
    <col min="15" max="15" width="12.33203125" style="1" customWidth="1"/>
    <col min="16" max="16" width="11.6640625" style="1" customWidth="1"/>
    <col min="17" max="16384" width="9.109375" style="1"/>
  </cols>
  <sheetData>
    <row r="1" spans="1:17">
      <c r="A1" s="172" t="s">
        <v>138</v>
      </c>
      <c r="B1" s="173"/>
      <c r="C1" s="173"/>
      <c r="D1" s="173"/>
      <c r="E1" s="173"/>
      <c r="F1" s="173"/>
      <c r="G1" s="173"/>
      <c r="H1" s="173"/>
      <c r="I1" s="173"/>
      <c r="J1" s="173"/>
      <c r="K1" s="173"/>
      <c r="L1" s="173"/>
      <c r="M1" s="173"/>
      <c r="N1" s="173"/>
      <c r="O1" s="173"/>
      <c r="P1" s="173"/>
    </row>
    <row r="2" spans="1:17" ht="24" customHeight="1">
      <c r="A2" s="174" t="s">
        <v>24</v>
      </c>
      <c r="B2" s="175"/>
      <c r="C2" s="175"/>
      <c r="D2" s="175"/>
      <c r="E2" s="175"/>
      <c r="F2" s="175"/>
      <c r="G2" s="175"/>
      <c r="H2" s="175"/>
      <c r="I2" s="175"/>
      <c r="J2" s="175"/>
      <c r="K2" s="175"/>
      <c r="L2" s="175"/>
      <c r="M2" s="175"/>
      <c r="N2" s="175"/>
      <c r="O2" s="175"/>
      <c r="P2" s="175"/>
      <c r="Q2" s="24"/>
    </row>
    <row r="3" spans="1:17" ht="21" customHeight="1">
      <c r="A3" s="184" t="s">
        <v>1</v>
      </c>
      <c r="B3" s="185"/>
      <c r="C3" s="185"/>
      <c r="D3" s="185"/>
      <c r="E3" s="185"/>
      <c r="F3" s="185"/>
      <c r="G3" s="185"/>
      <c r="H3" s="185"/>
      <c r="I3" s="185"/>
      <c r="J3" s="185"/>
      <c r="K3" s="185"/>
    </row>
    <row r="4" spans="1:17">
      <c r="A4" s="179" t="s">
        <v>2</v>
      </c>
      <c r="B4" s="186" t="s">
        <v>3</v>
      </c>
      <c r="C4" s="187"/>
      <c r="D4" s="187"/>
      <c r="E4" s="187"/>
      <c r="F4" s="187"/>
      <c r="G4" s="187"/>
      <c r="H4" s="187"/>
      <c r="I4" s="187"/>
      <c r="J4" s="187"/>
      <c r="K4" s="188"/>
    </row>
    <row r="5" spans="1:17">
      <c r="A5" s="180"/>
      <c r="B5" s="26"/>
      <c r="C5" s="179" t="s">
        <v>4</v>
      </c>
      <c r="D5" s="180"/>
      <c r="E5" s="180"/>
      <c r="F5" s="180"/>
      <c r="G5" s="179" t="s">
        <v>5</v>
      </c>
      <c r="H5" s="180"/>
      <c r="I5" s="180"/>
      <c r="J5" s="180"/>
      <c r="K5" s="25" t="s">
        <v>6</v>
      </c>
    </row>
    <row r="6" spans="1:17">
      <c r="A6" s="181" t="s">
        <v>150</v>
      </c>
      <c r="B6" s="27" t="s">
        <v>7</v>
      </c>
      <c r="C6" s="28" t="s">
        <v>8</v>
      </c>
      <c r="D6" s="28" t="s">
        <v>9</v>
      </c>
      <c r="E6" s="28" t="s">
        <v>10</v>
      </c>
      <c r="F6" s="28" t="s">
        <v>6</v>
      </c>
      <c r="G6" s="28" t="s">
        <v>8</v>
      </c>
      <c r="H6" s="28" t="s">
        <v>9</v>
      </c>
      <c r="I6" s="28" t="s">
        <v>10</v>
      </c>
      <c r="J6" s="28" t="s">
        <v>6</v>
      </c>
      <c r="K6" s="28" t="s">
        <v>6</v>
      </c>
    </row>
    <row r="7" spans="1:17" ht="21">
      <c r="A7" s="182"/>
      <c r="B7" s="29" t="s">
        <v>11</v>
      </c>
      <c r="C7" s="3">
        <v>6</v>
      </c>
      <c r="D7" s="3">
        <v>40</v>
      </c>
      <c r="E7" s="3">
        <v>14</v>
      </c>
      <c r="F7" s="2">
        <f t="shared" ref="F7:F16" si="0">SUM(C7:E7)</f>
        <v>60</v>
      </c>
      <c r="G7" s="3">
        <v>1</v>
      </c>
      <c r="H7" s="3">
        <v>1</v>
      </c>
      <c r="I7" s="3">
        <v>4</v>
      </c>
      <c r="J7" s="2">
        <f>SUM(G7:I7)</f>
        <v>6</v>
      </c>
      <c r="K7" s="2">
        <f>SUM(J7,F7)</f>
        <v>66</v>
      </c>
    </row>
    <row r="8" spans="1:17" ht="21">
      <c r="A8" s="182"/>
      <c r="B8" s="27" t="s">
        <v>12</v>
      </c>
      <c r="C8" s="3">
        <v>6877</v>
      </c>
      <c r="D8" s="3">
        <v>19056</v>
      </c>
      <c r="E8" s="3">
        <v>6098</v>
      </c>
      <c r="F8" s="2">
        <f t="shared" si="0"/>
        <v>32031</v>
      </c>
      <c r="G8" s="3">
        <v>695</v>
      </c>
      <c r="H8" s="3">
        <v>442</v>
      </c>
      <c r="I8" s="3">
        <v>793</v>
      </c>
      <c r="J8" s="2">
        <f>SUM(G8:I8)</f>
        <v>1930</v>
      </c>
      <c r="K8" s="2">
        <f>SUM(J8,F8)</f>
        <v>33961</v>
      </c>
    </row>
    <row r="9" spans="1:17" ht="21">
      <c r="A9" s="182"/>
      <c r="B9" s="27" t="s">
        <v>13</v>
      </c>
      <c r="C9" s="3">
        <v>0</v>
      </c>
      <c r="D9" s="3">
        <v>0</v>
      </c>
      <c r="E9" s="3">
        <v>0</v>
      </c>
      <c r="F9" s="2">
        <f t="shared" si="0"/>
        <v>0</v>
      </c>
      <c r="G9" s="3">
        <v>0</v>
      </c>
      <c r="H9" s="3">
        <v>0</v>
      </c>
      <c r="I9" s="3">
        <v>0</v>
      </c>
      <c r="J9" s="2">
        <f>SUM(G9:I9)</f>
        <v>0</v>
      </c>
      <c r="K9" s="2">
        <f>SUM(J9,F9)</f>
        <v>0</v>
      </c>
    </row>
    <row r="10" spans="1:17" ht="21.6" thickBot="1">
      <c r="A10" s="182"/>
      <c r="B10" s="30" t="s">
        <v>6</v>
      </c>
      <c r="C10" s="5">
        <f>SUM(C8:C9)</f>
        <v>6877</v>
      </c>
      <c r="D10" s="5">
        <f>SUM(D8:D9)</f>
        <v>19056</v>
      </c>
      <c r="E10" s="5">
        <f>SUM(E8:E9)</f>
        <v>6098</v>
      </c>
      <c r="F10" s="5">
        <f t="shared" si="0"/>
        <v>32031</v>
      </c>
      <c r="G10" s="5">
        <f>SUM(G8:G9)</f>
        <v>695</v>
      </c>
      <c r="H10" s="5">
        <f>SUM(H8:H9)</f>
        <v>442</v>
      </c>
      <c r="I10" s="5">
        <f>SUM(I8:I9)</f>
        <v>793</v>
      </c>
      <c r="J10" s="5">
        <f>SUM(J8:J9)</f>
        <v>1930</v>
      </c>
      <c r="K10" s="5">
        <f>SUM(K8:K9)</f>
        <v>33961</v>
      </c>
    </row>
    <row r="11" spans="1:17" ht="21.6" thickTop="1">
      <c r="A11" s="182"/>
      <c r="B11" s="31" t="s">
        <v>14</v>
      </c>
      <c r="C11" s="3">
        <v>0</v>
      </c>
      <c r="D11" s="3">
        <v>0</v>
      </c>
      <c r="E11" s="3">
        <v>0</v>
      </c>
      <c r="F11" s="2">
        <f t="shared" si="0"/>
        <v>0</v>
      </c>
      <c r="G11" s="3">
        <v>0</v>
      </c>
      <c r="H11" s="3">
        <v>0</v>
      </c>
      <c r="I11" s="3">
        <v>0</v>
      </c>
      <c r="J11" s="2">
        <f t="shared" ref="J11:J16" si="1">SUM(G11:I11)</f>
        <v>0</v>
      </c>
      <c r="K11" s="2">
        <f t="shared" ref="K11:K16" si="2">SUM(J11,F11)</f>
        <v>0</v>
      </c>
    </row>
    <row r="12" spans="1:17" ht="21">
      <c r="A12" s="182"/>
      <c r="B12" s="27" t="s">
        <v>15</v>
      </c>
      <c r="C12" s="3">
        <v>4814</v>
      </c>
      <c r="D12" s="3">
        <v>13339</v>
      </c>
      <c r="E12" s="3">
        <v>4269</v>
      </c>
      <c r="F12" s="2">
        <f t="shared" si="0"/>
        <v>22422</v>
      </c>
      <c r="G12" s="3">
        <v>486</v>
      </c>
      <c r="H12" s="3">
        <v>309</v>
      </c>
      <c r="I12" s="3">
        <v>556</v>
      </c>
      <c r="J12" s="2">
        <f t="shared" si="1"/>
        <v>1351</v>
      </c>
      <c r="K12" s="2">
        <f t="shared" si="2"/>
        <v>23773</v>
      </c>
    </row>
    <row r="13" spans="1:17" ht="21">
      <c r="A13" s="182"/>
      <c r="B13" s="27" t="s">
        <v>16</v>
      </c>
      <c r="C13" s="3">
        <v>22</v>
      </c>
      <c r="D13" s="3">
        <v>144</v>
      </c>
      <c r="E13" s="3">
        <v>59</v>
      </c>
      <c r="F13" s="2">
        <f t="shared" si="0"/>
        <v>225</v>
      </c>
      <c r="G13" s="3">
        <v>4</v>
      </c>
      <c r="H13" s="3">
        <v>4</v>
      </c>
      <c r="I13" s="3">
        <v>14</v>
      </c>
      <c r="J13" s="2">
        <f t="shared" si="1"/>
        <v>22</v>
      </c>
      <c r="K13" s="2">
        <f t="shared" si="2"/>
        <v>247</v>
      </c>
    </row>
    <row r="14" spans="1:17" ht="21">
      <c r="A14" s="182"/>
      <c r="B14" s="27" t="s">
        <v>17</v>
      </c>
      <c r="C14" s="3">
        <v>1197</v>
      </c>
      <c r="D14" s="3">
        <v>4424</v>
      </c>
      <c r="E14" s="3">
        <v>1408</v>
      </c>
      <c r="F14" s="2">
        <f t="shared" si="0"/>
        <v>7029</v>
      </c>
      <c r="G14" s="3">
        <v>209</v>
      </c>
      <c r="H14" s="3">
        <v>133</v>
      </c>
      <c r="I14" s="3">
        <v>238</v>
      </c>
      <c r="J14" s="2">
        <f t="shared" si="1"/>
        <v>580</v>
      </c>
      <c r="K14" s="2">
        <f t="shared" si="2"/>
        <v>7609</v>
      </c>
    </row>
    <row r="15" spans="1:17" ht="21">
      <c r="A15" s="182"/>
      <c r="B15" s="27" t="s">
        <v>18</v>
      </c>
      <c r="C15" s="3">
        <v>162</v>
      </c>
      <c r="D15" s="3">
        <v>1275</v>
      </c>
      <c r="E15" s="3">
        <v>457</v>
      </c>
      <c r="F15" s="2">
        <f t="shared" si="0"/>
        <v>1894</v>
      </c>
      <c r="G15" s="3">
        <v>32</v>
      </c>
      <c r="H15" s="3">
        <v>32</v>
      </c>
      <c r="I15" s="3">
        <v>48</v>
      </c>
      <c r="J15" s="2">
        <f t="shared" si="1"/>
        <v>112</v>
      </c>
      <c r="K15" s="2">
        <f t="shared" si="2"/>
        <v>2006</v>
      </c>
    </row>
    <row r="16" spans="1:17" ht="21">
      <c r="A16" s="182"/>
      <c r="B16" s="27" t="s">
        <v>19</v>
      </c>
      <c r="C16" s="3">
        <v>0</v>
      </c>
      <c r="D16" s="3">
        <v>0</v>
      </c>
      <c r="E16" s="3">
        <v>42</v>
      </c>
      <c r="F16" s="2">
        <f t="shared" si="0"/>
        <v>42</v>
      </c>
      <c r="G16" s="3">
        <v>0</v>
      </c>
      <c r="H16" s="3">
        <v>0</v>
      </c>
      <c r="I16" s="3">
        <v>12</v>
      </c>
      <c r="J16" s="2">
        <f t="shared" si="1"/>
        <v>12</v>
      </c>
      <c r="K16" s="2">
        <f t="shared" si="2"/>
        <v>54</v>
      </c>
    </row>
    <row r="17" spans="1:16" ht="21.6" thickBot="1">
      <c r="A17" s="183"/>
      <c r="B17" s="32" t="s">
        <v>6</v>
      </c>
      <c r="C17" s="5">
        <f>SUM(C10:C16)</f>
        <v>13072</v>
      </c>
      <c r="D17" s="5">
        <f t="shared" ref="D17:K17" si="3">SUM(D10:D16)</f>
        <v>38238</v>
      </c>
      <c r="E17" s="5">
        <f t="shared" si="3"/>
        <v>12333</v>
      </c>
      <c r="F17" s="5">
        <f t="shared" si="3"/>
        <v>63643</v>
      </c>
      <c r="G17" s="5">
        <f t="shared" si="3"/>
        <v>1426</v>
      </c>
      <c r="H17" s="5">
        <f t="shared" si="3"/>
        <v>920</v>
      </c>
      <c r="I17" s="5">
        <f t="shared" si="3"/>
        <v>1661</v>
      </c>
      <c r="J17" s="5">
        <f t="shared" si="3"/>
        <v>4007</v>
      </c>
      <c r="K17" s="5">
        <f t="shared" si="3"/>
        <v>67650</v>
      </c>
    </row>
    <row r="18" spans="1:16" ht="17.25" customHeight="1" thickTop="1"/>
    <row r="19" spans="1:16">
      <c r="A19" s="179" t="s">
        <v>2</v>
      </c>
      <c r="B19" s="186" t="s">
        <v>20</v>
      </c>
      <c r="C19" s="187"/>
      <c r="D19" s="187"/>
      <c r="E19" s="187"/>
      <c r="F19" s="187"/>
      <c r="G19" s="187"/>
      <c r="H19" s="187"/>
      <c r="I19" s="187"/>
      <c r="J19" s="187"/>
      <c r="K19" s="188"/>
      <c r="M19" s="176" t="s">
        <v>21</v>
      </c>
      <c r="N19" s="177"/>
      <c r="O19" s="177"/>
      <c r="P19" s="178"/>
    </row>
    <row r="20" spans="1:16" ht="21" thickBot="1">
      <c r="A20" s="180"/>
      <c r="B20" s="26"/>
      <c r="C20" s="179" t="s">
        <v>4</v>
      </c>
      <c r="D20" s="180"/>
      <c r="E20" s="180"/>
      <c r="F20" s="180"/>
      <c r="G20" s="179" t="s">
        <v>5</v>
      </c>
      <c r="H20" s="180"/>
      <c r="I20" s="180"/>
      <c r="J20" s="180"/>
      <c r="K20" s="25" t="s">
        <v>6</v>
      </c>
      <c r="M20" s="27" t="s">
        <v>7</v>
      </c>
      <c r="N20" s="25" t="s">
        <v>3</v>
      </c>
      <c r="O20" s="27" t="s">
        <v>20</v>
      </c>
      <c r="P20" s="32" t="s">
        <v>6</v>
      </c>
    </row>
    <row r="21" spans="1:16" ht="21" customHeight="1" thickTop="1">
      <c r="A21" s="181" t="s">
        <v>150</v>
      </c>
      <c r="B21" s="27" t="s">
        <v>7</v>
      </c>
      <c r="C21" s="28" t="s">
        <v>8</v>
      </c>
      <c r="D21" s="28" t="s">
        <v>9</v>
      </c>
      <c r="E21" s="28" t="s">
        <v>10</v>
      </c>
      <c r="F21" s="28" t="s">
        <v>6</v>
      </c>
      <c r="G21" s="28" t="s">
        <v>8</v>
      </c>
      <c r="H21" s="28" t="s">
        <v>9</v>
      </c>
      <c r="I21" s="28" t="s">
        <v>10</v>
      </c>
      <c r="J21" s="28" t="s">
        <v>6</v>
      </c>
      <c r="K21" s="28" t="s">
        <v>6</v>
      </c>
      <c r="M21" s="29" t="s">
        <v>11</v>
      </c>
      <c r="N21" s="8">
        <f t="shared" ref="N21:N30" si="4">K7</f>
        <v>66</v>
      </c>
      <c r="O21" s="8">
        <f>K22</f>
        <v>59</v>
      </c>
      <c r="P21" s="6">
        <f>SUM(N21:O21)</f>
        <v>125</v>
      </c>
    </row>
    <row r="22" spans="1:16" ht="21">
      <c r="A22" s="182"/>
      <c r="B22" s="29" t="s">
        <v>11</v>
      </c>
      <c r="C22" s="3">
        <v>9</v>
      </c>
      <c r="D22" s="3">
        <v>9</v>
      </c>
      <c r="E22" s="3">
        <v>12</v>
      </c>
      <c r="F22" s="2">
        <f t="shared" ref="F22:F31" si="5">SUM(C22:E22)</f>
        <v>30</v>
      </c>
      <c r="G22" s="3">
        <v>4</v>
      </c>
      <c r="H22" s="3">
        <v>12</v>
      </c>
      <c r="I22" s="3">
        <v>13</v>
      </c>
      <c r="J22" s="2">
        <f>SUM(G22:I22)</f>
        <v>29</v>
      </c>
      <c r="K22" s="2">
        <f>SUM(J22,F22)</f>
        <v>59</v>
      </c>
      <c r="M22" s="27" t="s">
        <v>12</v>
      </c>
      <c r="N22" s="8">
        <f t="shared" si="4"/>
        <v>33961</v>
      </c>
      <c r="O22" s="8">
        <f t="shared" ref="O22:O30" si="6">K23</f>
        <v>27282</v>
      </c>
      <c r="P22" s="6">
        <f t="shared" ref="P22:P30" si="7">SUM(N22:O22)</f>
        <v>61243</v>
      </c>
    </row>
    <row r="23" spans="1:16" ht="21">
      <c r="A23" s="182"/>
      <c r="B23" s="27" t="s">
        <v>12</v>
      </c>
      <c r="C23" s="3">
        <v>8764</v>
      </c>
      <c r="D23" s="3">
        <v>5719</v>
      </c>
      <c r="E23" s="3">
        <v>4408</v>
      </c>
      <c r="F23" s="2">
        <f t="shared" si="5"/>
        <v>18891</v>
      </c>
      <c r="G23" s="3">
        <v>2265</v>
      </c>
      <c r="H23" s="3">
        <v>3290</v>
      </c>
      <c r="I23" s="3">
        <v>2836</v>
      </c>
      <c r="J23" s="2">
        <f>SUM(G23:I23)</f>
        <v>8391</v>
      </c>
      <c r="K23" s="2">
        <f>SUM(J23,F23)</f>
        <v>27282</v>
      </c>
      <c r="M23" s="27" t="s">
        <v>13</v>
      </c>
      <c r="N23" s="8">
        <f t="shared" si="4"/>
        <v>0</v>
      </c>
      <c r="O23" s="8">
        <f t="shared" si="6"/>
        <v>0</v>
      </c>
      <c r="P23" s="6">
        <f t="shared" si="7"/>
        <v>0</v>
      </c>
    </row>
    <row r="24" spans="1:16" ht="21.6" thickBot="1">
      <c r="A24" s="182"/>
      <c r="B24" s="27" t="s">
        <v>13</v>
      </c>
      <c r="C24" s="3">
        <v>0</v>
      </c>
      <c r="D24" s="3">
        <v>0</v>
      </c>
      <c r="E24" s="3">
        <v>0</v>
      </c>
      <c r="F24" s="2">
        <f t="shared" si="5"/>
        <v>0</v>
      </c>
      <c r="G24" s="3">
        <v>0</v>
      </c>
      <c r="H24" s="3">
        <v>0</v>
      </c>
      <c r="I24" s="3">
        <v>0</v>
      </c>
      <c r="J24" s="2">
        <f>SUM(G24:I24)</f>
        <v>0</v>
      </c>
      <c r="K24" s="2">
        <f>SUM(J24,F24)</f>
        <v>0</v>
      </c>
      <c r="M24" s="30" t="s">
        <v>6</v>
      </c>
      <c r="N24" s="15">
        <f t="shared" si="4"/>
        <v>33961</v>
      </c>
      <c r="O24" s="15">
        <f t="shared" si="6"/>
        <v>27282</v>
      </c>
      <c r="P24" s="7">
        <f>SUM(P22:P23)</f>
        <v>61243</v>
      </c>
    </row>
    <row r="25" spans="1:16" ht="22.2" thickTop="1" thickBot="1">
      <c r="A25" s="182"/>
      <c r="B25" s="30" t="s">
        <v>6</v>
      </c>
      <c r="C25" s="5">
        <f>SUM(C23:C24)</f>
        <v>8764</v>
      </c>
      <c r="D25" s="5">
        <f>SUM(D23:D24)</f>
        <v>5719</v>
      </c>
      <c r="E25" s="5">
        <f>SUM(E23:E24)</f>
        <v>4408</v>
      </c>
      <c r="F25" s="5">
        <f t="shared" si="5"/>
        <v>18891</v>
      </c>
      <c r="G25" s="5">
        <f>SUM(G23:G24)</f>
        <v>2265</v>
      </c>
      <c r="H25" s="5">
        <f>SUM(H23:H24)</f>
        <v>3290</v>
      </c>
      <c r="I25" s="5">
        <f>SUM(I23:I24)</f>
        <v>2836</v>
      </c>
      <c r="J25" s="5">
        <f>SUM(J23:J24)</f>
        <v>8391</v>
      </c>
      <c r="K25" s="5">
        <f>SUM(K23:K24)</f>
        <v>27282</v>
      </c>
      <c r="M25" s="31" t="s">
        <v>14</v>
      </c>
      <c r="N25" s="8">
        <f t="shared" si="4"/>
        <v>0</v>
      </c>
      <c r="O25" s="8">
        <f t="shared" si="6"/>
        <v>0</v>
      </c>
      <c r="P25" s="111">
        <f t="shared" si="7"/>
        <v>0</v>
      </c>
    </row>
    <row r="26" spans="1:16" ht="21.6" thickTop="1">
      <c r="A26" s="182"/>
      <c r="B26" s="31" t="s">
        <v>14</v>
      </c>
      <c r="C26" s="3">
        <v>0</v>
      </c>
      <c r="D26" s="3">
        <v>0</v>
      </c>
      <c r="E26" s="3">
        <v>0</v>
      </c>
      <c r="F26" s="2">
        <f t="shared" si="5"/>
        <v>0</v>
      </c>
      <c r="G26" s="3">
        <v>0</v>
      </c>
      <c r="H26" s="3">
        <v>0</v>
      </c>
      <c r="I26" s="3">
        <v>0</v>
      </c>
      <c r="J26" s="2">
        <f t="shared" ref="J26:J31" si="8">SUM(G26:I26)</f>
        <v>0</v>
      </c>
      <c r="K26" s="2">
        <f t="shared" ref="K26:K31" si="9">SUM(J26,F26)</f>
        <v>0</v>
      </c>
      <c r="M26" s="27" t="s">
        <v>15</v>
      </c>
      <c r="N26" s="8">
        <f t="shared" si="4"/>
        <v>23773</v>
      </c>
      <c r="O26" s="8">
        <f t="shared" si="6"/>
        <v>19099</v>
      </c>
      <c r="P26" s="111">
        <f t="shared" si="7"/>
        <v>42872</v>
      </c>
    </row>
    <row r="27" spans="1:16" ht="21">
      <c r="A27" s="182"/>
      <c r="B27" s="27" t="s">
        <v>15</v>
      </c>
      <c r="C27" s="3">
        <v>6136</v>
      </c>
      <c r="D27" s="3">
        <v>4003</v>
      </c>
      <c r="E27" s="3">
        <v>3086</v>
      </c>
      <c r="F27" s="2">
        <f t="shared" si="5"/>
        <v>13225</v>
      </c>
      <c r="G27" s="3">
        <v>1586</v>
      </c>
      <c r="H27" s="3">
        <v>2302</v>
      </c>
      <c r="I27" s="3">
        <v>1986</v>
      </c>
      <c r="J27" s="2">
        <f t="shared" si="8"/>
        <v>5874</v>
      </c>
      <c r="K27" s="2">
        <f t="shared" si="9"/>
        <v>19099</v>
      </c>
      <c r="M27" s="27" t="s">
        <v>16</v>
      </c>
      <c r="N27" s="8">
        <f t="shared" si="4"/>
        <v>247</v>
      </c>
      <c r="O27" s="8">
        <f t="shared" si="6"/>
        <v>208</v>
      </c>
      <c r="P27" s="6">
        <f t="shared" si="7"/>
        <v>455</v>
      </c>
    </row>
    <row r="28" spans="1:16" ht="21">
      <c r="A28" s="182"/>
      <c r="B28" s="27" t="s">
        <v>16</v>
      </c>
      <c r="C28" s="3">
        <v>32</v>
      </c>
      <c r="D28" s="3">
        <v>32</v>
      </c>
      <c r="E28" s="3">
        <v>43</v>
      </c>
      <c r="F28" s="2">
        <f t="shared" si="5"/>
        <v>107</v>
      </c>
      <c r="G28" s="3">
        <v>11</v>
      </c>
      <c r="H28" s="3">
        <v>43</v>
      </c>
      <c r="I28" s="3">
        <v>47</v>
      </c>
      <c r="J28" s="2">
        <f t="shared" si="8"/>
        <v>101</v>
      </c>
      <c r="K28" s="2">
        <f t="shared" si="9"/>
        <v>208</v>
      </c>
      <c r="M28" s="27" t="s">
        <v>17</v>
      </c>
      <c r="N28" s="8">
        <f t="shared" si="4"/>
        <v>7609</v>
      </c>
      <c r="O28" s="8">
        <f t="shared" si="6"/>
        <v>7593</v>
      </c>
      <c r="P28" s="6">
        <f t="shared" si="7"/>
        <v>15202</v>
      </c>
    </row>
    <row r="29" spans="1:16" ht="21">
      <c r="A29" s="182"/>
      <c r="B29" s="27" t="s">
        <v>17</v>
      </c>
      <c r="C29" s="3">
        <v>2629</v>
      </c>
      <c r="D29" s="3">
        <v>1402</v>
      </c>
      <c r="E29" s="3">
        <v>1044</v>
      </c>
      <c r="F29" s="2">
        <f t="shared" si="5"/>
        <v>5075</v>
      </c>
      <c r="G29" s="3">
        <v>680</v>
      </c>
      <c r="H29" s="3">
        <v>987</v>
      </c>
      <c r="I29" s="3">
        <v>851</v>
      </c>
      <c r="J29" s="2">
        <f t="shared" si="8"/>
        <v>2518</v>
      </c>
      <c r="K29" s="2">
        <f t="shared" si="9"/>
        <v>7593</v>
      </c>
      <c r="M29" s="27" t="s">
        <v>18</v>
      </c>
      <c r="N29" s="8">
        <f t="shared" si="4"/>
        <v>2006</v>
      </c>
      <c r="O29" s="8">
        <f t="shared" si="6"/>
        <v>1506</v>
      </c>
      <c r="P29" s="6">
        <f t="shared" si="7"/>
        <v>3512</v>
      </c>
    </row>
    <row r="30" spans="1:16" ht="21">
      <c r="A30" s="182"/>
      <c r="B30" s="27" t="s">
        <v>18</v>
      </c>
      <c r="C30" s="3">
        <v>324</v>
      </c>
      <c r="D30" s="3">
        <v>324</v>
      </c>
      <c r="E30" s="3">
        <v>307</v>
      </c>
      <c r="F30" s="2">
        <f t="shared" si="5"/>
        <v>955</v>
      </c>
      <c r="G30" s="3">
        <v>129</v>
      </c>
      <c r="H30" s="3">
        <v>205</v>
      </c>
      <c r="I30" s="3">
        <v>217</v>
      </c>
      <c r="J30" s="2">
        <f t="shared" si="8"/>
        <v>551</v>
      </c>
      <c r="K30" s="2">
        <f t="shared" si="9"/>
        <v>1506</v>
      </c>
      <c r="M30" s="27" t="s">
        <v>19</v>
      </c>
      <c r="N30" s="8">
        <f t="shared" si="4"/>
        <v>54</v>
      </c>
      <c r="O30" s="8">
        <f t="shared" si="6"/>
        <v>87</v>
      </c>
      <c r="P30" s="6">
        <f t="shared" si="7"/>
        <v>141</v>
      </c>
    </row>
    <row r="31" spans="1:16" ht="21.6" thickBot="1">
      <c r="A31" s="182"/>
      <c r="B31" s="27" t="s">
        <v>19</v>
      </c>
      <c r="C31" s="3">
        <v>0</v>
      </c>
      <c r="D31" s="3">
        <v>12</v>
      </c>
      <c r="E31" s="3">
        <v>36</v>
      </c>
      <c r="F31" s="2">
        <f t="shared" si="5"/>
        <v>48</v>
      </c>
      <c r="G31" s="3">
        <v>0</v>
      </c>
      <c r="H31" s="3">
        <v>0</v>
      </c>
      <c r="I31" s="3">
        <v>39</v>
      </c>
      <c r="J31" s="2">
        <f t="shared" si="8"/>
        <v>39</v>
      </c>
      <c r="K31" s="2">
        <f t="shared" si="9"/>
        <v>87</v>
      </c>
      <c r="M31" s="32" t="s">
        <v>6</v>
      </c>
      <c r="N31" s="7">
        <f>SUM(N24:N30)</f>
        <v>67650</v>
      </c>
      <c r="O31" s="7">
        <f>SUM(O24:O30)</f>
        <v>55775</v>
      </c>
      <c r="P31" s="7">
        <f>SUM(P24:P30)</f>
        <v>123425</v>
      </c>
    </row>
    <row r="32" spans="1:16" ht="22.2" thickTop="1" thickBot="1">
      <c r="A32" s="183"/>
      <c r="B32" s="32" t="s">
        <v>6</v>
      </c>
      <c r="C32" s="5">
        <f>SUM(C25:C31)</f>
        <v>17885</v>
      </c>
      <c r="D32" s="5">
        <f t="shared" ref="D32:K32" si="10">SUM(D25:D31)</f>
        <v>11492</v>
      </c>
      <c r="E32" s="5">
        <f t="shared" si="10"/>
        <v>8924</v>
      </c>
      <c r="F32" s="5">
        <f t="shared" si="10"/>
        <v>38301</v>
      </c>
      <c r="G32" s="5">
        <f t="shared" si="10"/>
        <v>4671</v>
      </c>
      <c r="H32" s="5">
        <f t="shared" si="10"/>
        <v>6827</v>
      </c>
      <c r="I32" s="5">
        <f t="shared" si="10"/>
        <v>5976</v>
      </c>
      <c r="J32" s="5">
        <f t="shared" si="10"/>
        <v>17474</v>
      </c>
      <c r="K32" s="5">
        <f t="shared" si="10"/>
        <v>55775</v>
      </c>
    </row>
    <row r="33" spans="1:17" ht="21.6" thickTop="1">
      <c r="A33" s="9"/>
      <c r="B33" s="10"/>
      <c r="C33" s="11"/>
      <c r="D33" s="11"/>
      <c r="E33" s="11"/>
      <c r="F33" s="11"/>
      <c r="G33" s="11"/>
      <c r="H33" s="11"/>
      <c r="I33" s="11"/>
      <c r="J33" s="11"/>
      <c r="K33" s="11"/>
    </row>
    <row r="34" spans="1:17">
      <c r="A34" s="172" t="s">
        <v>138</v>
      </c>
      <c r="B34" s="173"/>
      <c r="C34" s="173"/>
      <c r="D34" s="173"/>
      <c r="E34" s="173"/>
      <c r="F34" s="173"/>
      <c r="G34" s="173"/>
      <c r="H34" s="173"/>
      <c r="I34" s="173"/>
      <c r="J34" s="173"/>
      <c r="K34" s="173"/>
      <c r="L34" s="173"/>
      <c r="M34" s="173"/>
      <c r="N34" s="173"/>
      <c r="O34" s="173"/>
      <c r="P34" s="173"/>
    </row>
    <row r="35" spans="1:17" ht="21" customHeight="1">
      <c r="A35" s="174" t="s">
        <v>24</v>
      </c>
      <c r="B35" s="175"/>
      <c r="C35" s="175"/>
      <c r="D35" s="175"/>
      <c r="E35" s="175"/>
      <c r="F35" s="175"/>
      <c r="G35" s="175"/>
      <c r="H35" s="175"/>
      <c r="I35" s="175"/>
      <c r="J35" s="175"/>
      <c r="K35" s="175"/>
      <c r="L35" s="175"/>
      <c r="M35" s="175"/>
      <c r="N35" s="175"/>
      <c r="O35" s="175"/>
      <c r="P35" s="175"/>
      <c r="Q35" s="24"/>
    </row>
    <row r="36" spans="1:17" ht="18" customHeight="1">
      <c r="A36" s="184" t="s">
        <v>1</v>
      </c>
      <c r="B36" s="185"/>
      <c r="C36" s="185"/>
      <c r="D36" s="185"/>
      <c r="E36" s="185"/>
      <c r="F36" s="185"/>
      <c r="G36" s="185"/>
      <c r="H36" s="185"/>
      <c r="I36" s="185"/>
      <c r="J36" s="185"/>
      <c r="K36" s="185"/>
    </row>
    <row r="37" spans="1:17" ht="18.75" customHeight="1">
      <c r="A37" s="179" t="s">
        <v>22</v>
      </c>
      <c r="B37" s="186" t="s">
        <v>3</v>
      </c>
      <c r="C37" s="187"/>
      <c r="D37" s="187"/>
      <c r="E37" s="187"/>
      <c r="F37" s="187"/>
      <c r="G37" s="187"/>
      <c r="H37" s="187"/>
      <c r="I37" s="187"/>
      <c r="J37" s="187"/>
      <c r="K37" s="188"/>
    </row>
    <row r="38" spans="1:17">
      <c r="A38" s="180"/>
      <c r="B38" s="26"/>
      <c r="C38" s="179" t="s">
        <v>4</v>
      </c>
      <c r="D38" s="180"/>
      <c r="E38" s="180"/>
      <c r="F38" s="180"/>
      <c r="G38" s="179" t="s">
        <v>5</v>
      </c>
      <c r="H38" s="180"/>
      <c r="I38" s="180"/>
      <c r="J38" s="180"/>
      <c r="K38" s="25" t="s">
        <v>6</v>
      </c>
    </row>
    <row r="39" spans="1:17">
      <c r="A39" s="181" t="s">
        <v>23</v>
      </c>
      <c r="B39" s="27" t="s">
        <v>7</v>
      </c>
      <c r="C39" s="28" t="s">
        <v>8</v>
      </c>
      <c r="D39" s="28" t="s">
        <v>9</v>
      </c>
      <c r="E39" s="28" t="s">
        <v>10</v>
      </c>
      <c r="F39" s="28" t="s">
        <v>6</v>
      </c>
      <c r="G39" s="28" t="s">
        <v>8</v>
      </c>
      <c r="H39" s="28" t="s">
        <v>9</v>
      </c>
      <c r="I39" s="28" t="s">
        <v>10</v>
      </c>
      <c r="J39" s="28" t="s">
        <v>6</v>
      </c>
      <c r="K39" s="28" t="s">
        <v>6</v>
      </c>
    </row>
    <row r="40" spans="1:17" ht="21">
      <c r="A40" s="182"/>
      <c r="B40" s="29" t="s">
        <v>11</v>
      </c>
      <c r="C40" s="8">
        <f>C7</f>
        <v>6</v>
      </c>
      <c r="D40" s="8">
        <f t="shared" ref="D40:K40" si="11">D7</f>
        <v>40</v>
      </c>
      <c r="E40" s="8">
        <f t="shared" si="11"/>
        <v>14</v>
      </c>
      <c r="F40" s="15">
        <f t="shared" si="11"/>
        <v>60</v>
      </c>
      <c r="G40" s="8">
        <f t="shared" si="11"/>
        <v>1</v>
      </c>
      <c r="H40" s="8">
        <f t="shared" si="11"/>
        <v>1</v>
      </c>
      <c r="I40" s="8">
        <f t="shared" si="11"/>
        <v>4</v>
      </c>
      <c r="J40" s="15">
        <f t="shared" si="11"/>
        <v>6</v>
      </c>
      <c r="K40" s="15">
        <f t="shared" si="11"/>
        <v>66</v>
      </c>
    </row>
    <row r="41" spans="1:17" ht="21">
      <c r="A41" s="182"/>
      <c r="B41" s="27" t="s">
        <v>12</v>
      </c>
      <c r="C41" s="8">
        <f t="shared" ref="C41:K41" si="12">C8</f>
        <v>6877</v>
      </c>
      <c r="D41" s="8">
        <f t="shared" si="12"/>
        <v>19056</v>
      </c>
      <c r="E41" s="8">
        <f t="shared" si="12"/>
        <v>6098</v>
      </c>
      <c r="F41" s="15">
        <f t="shared" si="12"/>
        <v>32031</v>
      </c>
      <c r="G41" s="8">
        <f t="shared" si="12"/>
        <v>695</v>
      </c>
      <c r="H41" s="8">
        <f t="shared" si="12"/>
        <v>442</v>
      </c>
      <c r="I41" s="8">
        <f t="shared" si="12"/>
        <v>793</v>
      </c>
      <c r="J41" s="15">
        <f t="shared" si="12"/>
        <v>1930</v>
      </c>
      <c r="K41" s="15">
        <f t="shared" si="12"/>
        <v>33961</v>
      </c>
    </row>
    <row r="42" spans="1:17" ht="21">
      <c r="A42" s="182"/>
      <c r="B42" s="27" t="s">
        <v>13</v>
      </c>
      <c r="C42" s="8">
        <f t="shared" ref="C42:K42" si="13">C9</f>
        <v>0</v>
      </c>
      <c r="D42" s="8">
        <f t="shared" si="13"/>
        <v>0</v>
      </c>
      <c r="E42" s="8">
        <f t="shared" si="13"/>
        <v>0</v>
      </c>
      <c r="F42" s="15">
        <f t="shared" si="13"/>
        <v>0</v>
      </c>
      <c r="G42" s="8">
        <f t="shared" si="13"/>
        <v>0</v>
      </c>
      <c r="H42" s="8">
        <f t="shared" si="13"/>
        <v>0</v>
      </c>
      <c r="I42" s="8">
        <f t="shared" si="13"/>
        <v>0</v>
      </c>
      <c r="J42" s="15">
        <f t="shared" si="13"/>
        <v>0</v>
      </c>
      <c r="K42" s="15">
        <f t="shared" si="13"/>
        <v>0</v>
      </c>
    </row>
    <row r="43" spans="1:17" ht="21.6" thickBot="1">
      <c r="A43" s="182"/>
      <c r="B43" s="30" t="s">
        <v>6</v>
      </c>
      <c r="C43" s="15">
        <f t="shared" ref="C43:K43" si="14">C10</f>
        <v>6877</v>
      </c>
      <c r="D43" s="15">
        <f t="shared" si="14"/>
        <v>19056</v>
      </c>
      <c r="E43" s="15">
        <f t="shared" si="14"/>
        <v>6098</v>
      </c>
      <c r="F43" s="15">
        <f t="shared" si="14"/>
        <v>32031</v>
      </c>
      <c r="G43" s="15">
        <f t="shared" si="14"/>
        <v>695</v>
      </c>
      <c r="H43" s="15">
        <f t="shared" si="14"/>
        <v>442</v>
      </c>
      <c r="I43" s="15">
        <f t="shared" si="14"/>
        <v>793</v>
      </c>
      <c r="J43" s="15">
        <f t="shared" si="14"/>
        <v>1930</v>
      </c>
      <c r="K43" s="15">
        <f t="shared" si="14"/>
        <v>33961</v>
      </c>
    </row>
    <row r="44" spans="1:17" ht="21.6" thickTop="1">
      <c r="A44" s="182"/>
      <c r="B44" s="31" t="s">
        <v>14</v>
      </c>
      <c r="C44" s="8">
        <f t="shared" ref="C44:K44" si="15">C11</f>
        <v>0</v>
      </c>
      <c r="D44" s="8">
        <f t="shared" si="15"/>
        <v>0</v>
      </c>
      <c r="E44" s="8">
        <f t="shared" si="15"/>
        <v>0</v>
      </c>
      <c r="F44" s="15">
        <f t="shared" si="15"/>
        <v>0</v>
      </c>
      <c r="G44" s="8">
        <f t="shared" si="15"/>
        <v>0</v>
      </c>
      <c r="H44" s="8">
        <f t="shared" si="15"/>
        <v>0</v>
      </c>
      <c r="I44" s="8">
        <f t="shared" si="15"/>
        <v>0</v>
      </c>
      <c r="J44" s="15">
        <f t="shared" si="15"/>
        <v>0</v>
      </c>
      <c r="K44" s="15">
        <f t="shared" si="15"/>
        <v>0</v>
      </c>
    </row>
    <row r="45" spans="1:17" ht="21">
      <c r="A45" s="182"/>
      <c r="B45" s="27" t="s">
        <v>15</v>
      </c>
      <c r="C45" s="8">
        <f t="shared" ref="C45:K45" si="16">C12</f>
        <v>4814</v>
      </c>
      <c r="D45" s="8">
        <f t="shared" si="16"/>
        <v>13339</v>
      </c>
      <c r="E45" s="8">
        <f t="shared" si="16"/>
        <v>4269</v>
      </c>
      <c r="F45" s="15">
        <f t="shared" si="16"/>
        <v>22422</v>
      </c>
      <c r="G45" s="8">
        <f t="shared" si="16"/>
        <v>486</v>
      </c>
      <c r="H45" s="8">
        <f t="shared" si="16"/>
        <v>309</v>
      </c>
      <c r="I45" s="8">
        <f t="shared" si="16"/>
        <v>556</v>
      </c>
      <c r="J45" s="15">
        <f t="shared" si="16"/>
        <v>1351</v>
      </c>
      <c r="K45" s="15">
        <f t="shared" si="16"/>
        <v>23773</v>
      </c>
    </row>
    <row r="46" spans="1:17" ht="21">
      <c r="A46" s="182"/>
      <c r="B46" s="27" t="s">
        <v>16</v>
      </c>
      <c r="C46" s="8">
        <f t="shared" ref="C46:K46" si="17">C13</f>
        <v>22</v>
      </c>
      <c r="D46" s="8">
        <f t="shared" si="17"/>
        <v>144</v>
      </c>
      <c r="E46" s="8">
        <f t="shared" si="17"/>
        <v>59</v>
      </c>
      <c r="F46" s="15">
        <f t="shared" si="17"/>
        <v>225</v>
      </c>
      <c r="G46" s="8">
        <f t="shared" si="17"/>
        <v>4</v>
      </c>
      <c r="H46" s="8">
        <f t="shared" si="17"/>
        <v>4</v>
      </c>
      <c r="I46" s="8">
        <f t="shared" si="17"/>
        <v>14</v>
      </c>
      <c r="J46" s="15">
        <f t="shared" si="17"/>
        <v>22</v>
      </c>
      <c r="K46" s="15">
        <f t="shared" si="17"/>
        <v>247</v>
      </c>
    </row>
    <row r="47" spans="1:17" ht="21">
      <c r="A47" s="182"/>
      <c r="B47" s="27" t="s">
        <v>17</v>
      </c>
      <c r="C47" s="8">
        <f t="shared" ref="C47:K47" si="18">C14</f>
        <v>1197</v>
      </c>
      <c r="D47" s="8">
        <f t="shared" si="18"/>
        <v>4424</v>
      </c>
      <c r="E47" s="8">
        <f t="shared" si="18"/>
        <v>1408</v>
      </c>
      <c r="F47" s="15">
        <f t="shared" si="18"/>
        <v>7029</v>
      </c>
      <c r="G47" s="8">
        <f t="shared" si="18"/>
        <v>209</v>
      </c>
      <c r="H47" s="8">
        <f t="shared" si="18"/>
        <v>133</v>
      </c>
      <c r="I47" s="8">
        <f t="shared" si="18"/>
        <v>238</v>
      </c>
      <c r="J47" s="15">
        <f t="shared" si="18"/>
        <v>580</v>
      </c>
      <c r="K47" s="15">
        <f t="shared" si="18"/>
        <v>7609</v>
      </c>
    </row>
    <row r="48" spans="1:17" ht="21">
      <c r="A48" s="182"/>
      <c r="B48" s="27" t="s">
        <v>18</v>
      </c>
      <c r="C48" s="8">
        <f t="shared" ref="C48:K48" si="19">C15</f>
        <v>162</v>
      </c>
      <c r="D48" s="8">
        <f t="shared" si="19"/>
        <v>1275</v>
      </c>
      <c r="E48" s="8">
        <f t="shared" si="19"/>
        <v>457</v>
      </c>
      <c r="F48" s="15">
        <f t="shared" si="19"/>
        <v>1894</v>
      </c>
      <c r="G48" s="8">
        <f t="shared" si="19"/>
        <v>32</v>
      </c>
      <c r="H48" s="8">
        <f t="shared" si="19"/>
        <v>32</v>
      </c>
      <c r="I48" s="8">
        <f t="shared" si="19"/>
        <v>48</v>
      </c>
      <c r="J48" s="15">
        <f t="shared" si="19"/>
        <v>112</v>
      </c>
      <c r="K48" s="15">
        <f t="shared" si="19"/>
        <v>2006</v>
      </c>
    </row>
    <row r="49" spans="1:16" ht="21">
      <c r="A49" s="182"/>
      <c r="B49" s="27" t="s">
        <v>19</v>
      </c>
      <c r="C49" s="8">
        <f t="shared" ref="C49:K49" si="20">C16</f>
        <v>0</v>
      </c>
      <c r="D49" s="8">
        <f t="shared" si="20"/>
        <v>0</v>
      </c>
      <c r="E49" s="8">
        <f t="shared" si="20"/>
        <v>42</v>
      </c>
      <c r="F49" s="15">
        <f t="shared" si="20"/>
        <v>42</v>
      </c>
      <c r="G49" s="8">
        <f t="shared" si="20"/>
        <v>0</v>
      </c>
      <c r="H49" s="8">
        <f t="shared" si="20"/>
        <v>0</v>
      </c>
      <c r="I49" s="8">
        <f t="shared" si="20"/>
        <v>12</v>
      </c>
      <c r="J49" s="15">
        <f t="shared" si="20"/>
        <v>12</v>
      </c>
      <c r="K49" s="15">
        <f t="shared" si="20"/>
        <v>54</v>
      </c>
    </row>
    <row r="50" spans="1:16" ht="21.6" thickBot="1">
      <c r="A50" s="183"/>
      <c r="B50" s="32" t="s">
        <v>6</v>
      </c>
      <c r="C50" s="5">
        <f t="shared" ref="C50:K50" si="21">SUM(C43:C49)</f>
        <v>13072</v>
      </c>
      <c r="D50" s="5">
        <f t="shared" si="21"/>
        <v>38238</v>
      </c>
      <c r="E50" s="5">
        <f t="shared" si="21"/>
        <v>12333</v>
      </c>
      <c r="F50" s="5">
        <f t="shared" si="21"/>
        <v>63643</v>
      </c>
      <c r="G50" s="5">
        <f t="shared" si="21"/>
        <v>1426</v>
      </c>
      <c r="H50" s="5">
        <f t="shared" si="21"/>
        <v>920</v>
      </c>
      <c r="I50" s="5">
        <f t="shared" si="21"/>
        <v>1661</v>
      </c>
      <c r="J50" s="5">
        <f t="shared" si="21"/>
        <v>4007</v>
      </c>
      <c r="K50" s="5">
        <f t="shared" si="21"/>
        <v>67650</v>
      </c>
    </row>
    <row r="51" spans="1:16" ht="12" customHeight="1" thickTop="1"/>
    <row r="52" spans="1:16">
      <c r="A52" s="179" t="s">
        <v>22</v>
      </c>
      <c r="B52" s="186" t="s">
        <v>20</v>
      </c>
      <c r="C52" s="187"/>
      <c r="D52" s="187"/>
      <c r="E52" s="187"/>
      <c r="F52" s="187"/>
      <c r="G52" s="187"/>
      <c r="H52" s="187"/>
      <c r="I52" s="187"/>
      <c r="J52" s="187"/>
      <c r="K52" s="188"/>
      <c r="M52" s="176" t="s">
        <v>21</v>
      </c>
      <c r="N52" s="177"/>
      <c r="O52" s="177"/>
      <c r="P52" s="178"/>
    </row>
    <row r="53" spans="1:16" ht="21" thickBot="1">
      <c r="A53" s="180"/>
      <c r="B53" s="26"/>
      <c r="C53" s="179" t="s">
        <v>4</v>
      </c>
      <c r="D53" s="180"/>
      <c r="E53" s="180"/>
      <c r="F53" s="180"/>
      <c r="G53" s="179" t="s">
        <v>5</v>
      </c>
      <c r="H53" s="180"/>
      <c r="I53" s="180"/>
      <c r="J53" s="180"/>
      <c r="K53" s="25" t="s">
        <v>6</v>
      </c>
      <c r="M53" s="27" t="s">
        <v>7</v>
      </c>
      <c r="N53" s="25" t="s">
        <v>3</v>
      </c>
      <c r="O53" s="27" t="s">
        <v>20</v>
      </c>
      <c r="P53" s="32" t="s">
        <v>6</v>
      </c>
    </row>
    <row r="54" spans="1:16" ht="21.6" thickTop="1">
      <c r="A54" s="181" t="s">
        <v>23</v>
      </c>
      <c r="B54" s="27" t="s">
        <v>7</v>
      </c>
      <c r="C54" s="28" t="s">
        <v>8</v>
      </c>
      <c r="D54" s="28" t="s">
        <v>9</v>
      </c>
      <c r="E54" s="28" t="s">
        <v>10</v>
      </c>
      <c r="F54" s="28" t="s">
        <v>6</v>
      </c>
      <c r="G54" s="28" t="s">
        <v>8</v>
      </c>
      <c r="H54" s="28" t="s">
        <v>9</v>
      </c>
      <c r="I54" s="28" t="s">
        <v>10</v>
      </c>
      <c r="J54" s="28" t="s">
        <v>6</v>
      </c>
      <c r="K54" s="28" t="s">
        <v>6</v>
      </c>
      <c r="M54" s="29" t="s">
        <v>11</v>
      </c>
      <c r="N54" s="8">
        <f t="shared" ref="N54:O63" si="22">N21</f>
        <v>66</v>
      </c>
      <c r="O54" s="8">
        <f t="shared" si="22"/>
        <v>59</v>
      </c>
      <c r="P54" s="6">
        <f>SUM(N54:O54)</f>
        <v>125</v>
      </c>
    </row>
    <row r="55" spans="1:16" ht="21">
      <c r="A55" s="182"/>
      <c r="B55" s="29" t="s">
        <v>11</v>
      </c>
      <c r="C55" s="8">
        <f>C22</f>
        <v>9</v>
      </c>
      <c r="D55" s="8">
        <f t="shared" ref="D55:K55" si="23">D22</f>
        <v>9</v>
      </c>
      <c r="E55" s="8">
        <f t="shared" si="23"/>
        <v>12</v>
      </c>
      <c r="F55" s="15">
        <f t="shared" si="23"/>
        <v>30</v>
      </c>
      <c r="G55" s="8">
        <f t="shared" si="23"/>
        <v>4</v>
      </c>
      <c r="H55" s="8">
        <f t="shared" si="23"/>
        <v>12</v>
      </c>
      <c r="I55" s="8">
        <f t="shared" si="23"/>
        <v>13</v>
      </c>
      <c r="J55" s="15">
        <f t="shared" si="23"/>
        <v>29</v>
      </c>
      <c r="K55" s="15">
        <f t="shared" si="23"/>
        <v>59</v>
      </c>
      <c r="M55" s="27" t="s">
        <v>12</v>
      </c>
      <c r="N55" s="8">
        <f t="shared" si="22"/>
        <v>33961</v>
      </c>
      <c r="O55" s="8">
        <f t="shared" si="22"/>
        <v>27282</v>
      </c>
      <c r="P55" s="6">
        <f t="shared" ref="P55:P63" si="24">SUM(N55:O55)</f>
        <v>61243</v>
      </c>
    </row>
    <row r="56" spans="1:16" ht="21">
      <c r="A56" s="182"/>
      <c r="B56" s="27" t="s">
        <v>12</v>
      </c>
      <c r="C56" s="8">
        <f t="shared" ref="C56:K56" si="25">C23</f>
        <v>8764</v>
      </c>
      <c r="D56" s="8">
        <f t="shared" si="25"/>
        <v>5719</v>
      </c>
      <c r="E56" s="8">
        <f t="shared" si="25"/>
        <v>4408</v>
      </c>
      <c r="F56" s="15">
        <f t="shared" si="25"/>
        <v>18891</v>
      </c>
      <c r="G56" s="8">
        <f t="shared" si="25"/>
        <v>2265</v>
      </c>
      <c r="H56" s="8">
        <f t="shared" si="25"/>
        <v>3290</v>
      </c>
      <c r="I56" s="8">
        <f t="shared" si="25"/>
        <v>2836</v>
      </c>
      <c r="J56" s="15">
        <f t="shared" si="25"/>
        <v>8391</v>
      </c>
      <c r="K56" s="15">
        <f t="shared" si="25"/>
        <v>27282</v>
      </c>
      <c r="M56" s="27" t="s">
        <v>13</v>
      </c>
      <c r="N56" s="8">
        <f t="shared" si="22"/>
        <v>0</v>
      </c>
      <c r="O56" s="8">
        <f t="shared" si="22"/>
        <v>0</v>
      </c>
      <c r="P56" s="6">
        <f t="shared" si="24"/>
        <v>0</v>
      </c>
    </row>
    <row r="57" spans="1:16" ht="21.6" thickBot="1">
      <c r="A57" s="182"/>
      <c r="B57" s="27" t="s">
        <v>13</v>
      </c>
      <c r="C57" s="8">
        <f t="shared" ref="C57:K57" si="26">C24</f>
        <v>0</v>
      </c>
      <c r="D57" s="8">
        <f t="shared" si="26"/>
        <v>0</v>
      </c>
      <c r="E57" s="8">
        <f t="shared" si="26"/>
        <v>0</v>
      </c>
      <c r="F57" s="15">
        <f t="shared" si="26"/>
        <v>0</v>
      </c>
      <c r="G57" s="8">
        <f t="shared" si="26"/>
        <v>0</v>
      </c>
      <c r="H57" s="8">
        <f t="shared" si="26"/>
        <v>0</v>
      </c>
      <c r="I57" s="8">
        <f t="shared" si="26"/>
        <v>0</v>
      </c>
      <c r="J57" s="15">
        <f t="shared" si="26"/>
        <v>0</v>
      </c>
      <c r="K57" s="15">
        <f t="shared" si="26"/>
        <v>0</v>
      </c>
      <c r="M57" s="30" t="s">
        <v>6</v>
      </c>
      <c r="N57" s="15">
        <f t="shared" si="22"/>
        <v>33961</v>
      </c>
      <c r="O57" s="15">
        <f t="shared" si="22"/>
        <v>27282</v>
      </c>
      <c r="P57" s="7">
        <f>SUM(P55:P56)</f>
        <v>61243</v>
      </c>
    </row>
    <row r="58" spans="1:16" ht="22.2" thickTop="1" thickBot="1">
      <c r="A58" s="182"/>
      <c r="B58" s="30" t="s">
        <v>6</v>
      </c>
      <c r="C58" s="15">
        <f t="shared" ref="C58:K58" si="27">C25</f>
        <v>8764</v>
      </c>
      <c r="D58" s="15">
        <f t="shared" si="27"/>
        <v>5719</v>
      </c>
      <c r="E58" s="15">
        <f t="shared" si="27"/>
        <v>4408</v>
      </c>
      <c r="F58" s="15">
        <f t="shared" si="27"/>
        <v>18891</v>
      </c>
      <c r="G58" s="15">
        <f t="shared" si="27"/>
        <v>2265</v>
      </c>
      <c r="H58" s="15">
        <f t="shared" si="27"/>
        <v>3290</v>
      </c>
      <c r="I58" s="15">
        <f t="shared" si="27"/>
        <v>2836</v>
      </c>
      <c r="J58" s="15">
        <f t="shared" si="27"/>
        <v>8391</v>
      </c>
      <c r="K58" s="15">
        <f t="shared" si="27"/>
        <v>27282</v>
      </c>
      <c r="M58" s="31" t="s">
        <v>14</v>
      </c>
      <c r="N58" s="8">
        <f t="shared" si="22"/>
        <v>0</v>
      </c>
      <c r="O58" s="8">
        <f t="shared" si="22"/>
        <v>0</v>
      </c>
      <c r="P58" s="111">
        <f t="shared" si="24"/>
        <v>0</v>
      </c>
    </row>
    <row r="59" spans="1:16" ht="21.6" thickTop="1">
      <c r="A59" s="182"/>
      <c r="B59" s="31" t="s">
        <v>14</v>
      </c>
      <c r="C59" s="8">
        <f t="shared" ref="C59:K59" si="28">C26</f>
        <v>0</v>
      </c>
      <c r="D59" s="8">
        <f t="shared" si="28"/>
        <v>0</v>
      </c>
      <c r="E59" s="8">
        <f t="shared" si="28"/>
        <v>0</v>
      </c>
      <c r="F59" s="15">
        <f t="shared" si="28"/>
        <v>0</v>
      </c>
      <c r="G59" s="8">
        <f t="shared" si="28"/>
        <v>0</v>
      </c>
      <c r="H59" s="8">
        <f t="shared" si="28"/>
        <v>0</v>
      </c>
      <c r="I59" s="8">
        <f t="shared" si="28"/>
        <v>0</v>
      </c>
      <c r="J59" s="15">
        <f t="shared" si="28"/>
        <v>0</v>
      </c>
      <c r="K59" s="15">
        <f t="shared" si="28"/>
        <v>0</v>
      </c>
      <c r="M59" s="27" t="s">
        <v>15</v>
      </c>
      <c r="N59" s="8">
        <f t="shared" si="22"/>
        <v>23773</v>
      </c>
      <c r="O59" s="8">
        <f t="shared" si="22"/>
        <v>19099</v>
      </c>
      <c r="P59" s="111">
        <f t="shared" si="24"/>
        <v>42872</v>
      </c>
    </row>
    <row r="60" spans="1:16" ht="21">
      <c r="A60" s="182"/>
      <c r="B60" s="27" t="s">
        <v>15</v>
      </c>
      <c r="C60" s="8">
        <f t="shared" ref="C60:K60" si="29">C27</f>
        <v>6136</v>
      </c>
      <c r="D60" s="8">
        <f t="shared" si="29"/>
        <v>4003</v>
      </c>
      <c r="E60" s="8">
        <f t="shared" si="29"/>
        <v>3086</v>
      </c>
      <c r="F60" s="15">
        <f t="shared" si="29"/>
        <v>13225</v>
      </c>
      <c r="G60" s="8">
        <f t="shared" si="29"/>
        <v>1586</v>
      </c>
      <c r="H60" s="8">
        <f t="shared" si="29"/>
        <v>2302</v>
      </c>
      <c r="I60" s="8">
        <f t="shared" si="29"/>
        <v>1986</v>
      </c>
      <c r="J60" s="15">
        <f t="shared" si="29"/>
        <v>5874</v>
      </c>
      <c r="K60" s="15">
        <f t="shared" si="29"/>
        <v>19099</v>
      </c>
      <c r="M60" s="27" t="s">
        <v>16</v>
      </c>
      <c r="N60" s="8">
        <f t="shared" si="22"/>
        <v>247</v>
      </c>
      <c r="O60" s="8">
        <f t="shared" si="22"/>
        <v>208</v>
      </c>
      <c r="P60" s="6">
        <f t="shared" si="24"/>
        <v>455</v>
      </c>
    </row>
    <row r="61" spans="1:16" ht="21">
      <c r="A61" s="182"/>
      <c r="B61" s="27" t="s">
        <v>16</v>
      </c>
      <c r="C61" s="8">
        <f t="shared" ref="C61:K61" si="30">C28</f>
        <v>32</v>
      </c>
      <c r="D61" s="8">
        <f t="shared" si="30"/>
        <v>32</v>
      </c>
      <c r="E61" s="8">
        <f t="shared" si="30"/>
        <v>43</v>
      </c>
      <c r="F61" s="15">
        <f t="shared" si="30"/>
        <v>107</v>
      </c>
      <c r="G61" s="8">
        <f t="shared" si="30"/>
        <v>11</v>
      </c>
      <c r="H61" s="8">
        <f t="shared" si="30"/>
        <v>43</v>
      </c>
      <c r="I61" s="8">
        <f t="shared" si="30"/>
        <v>47</v>
      </c>
      <c r="J61" s="15">
        <f t="shared" si="30"/>
        <v>101</v>
      </c>
      <c r="K61" s="15">
        <f t="shared" si="30"/>
        <v>208</v>
      </c>
      <c r="M61" s="27" t="s">
        <v>17</v>
      </c>
      <c r="N61" s="8">
        <f t="shared" si="22"/>
        <v>7609</v>
      </c>
      <c r="O61" s="8">
        <f t="shared" si="22"/>
        <v>7593</v>
      </c>
      <c r="P61" s="6">
        <f t="shared" si="24"/>
        <v>15202</v>
      </c>
    </row>
    <row r="62" spans="1:16" ht="21">
      <c r="A62" s="182"/>
      <c r="B62" s="27" t="s">
        <v>17</v>
      </c>
      <c r="C62" s="8">
        <f t="shared" ref="C62:K62" si="31">C29</f>
        <v>2629</v>
      </c>
      <c r="D62" s="8">
        <f t="shared" si="31"/>
        <v>1402</v>
      </c>
      <c r="E62" s="8">
        <f t="shared" si="31"/>
        <v>1044</v>
      </c>
      <c r="F62" s="15">
        <f t="shared" si="31"/>
        <v>5075</v>
      </c>
      <c r="G62" s="8">
        <f t="shared" si="31"/>
        <v>680</v>
      </c>
      <c r="H62" s="8">
        <f t="shared" si="31"/>
        <v>987</v>
      </c>
      <c r="I62" s="8">
        <f t="shared" si="31"/>
        <v>851</v>
      </c>
      <c r="J62" s="15">
        <f t="shared" si="31"/>
        <v>2518</v>
      </c>
      <c r="K62" s="15">
        <f t="shared" si="31"/>
        <v>7593</v>
      </c>
      <c r="M62" s="27" t="s">
        <v>18</v>
      </c>
      <c r="N62" s="8">
        <f t="shared" si="22"/>
        <v>2006</v>
      </c>
      <c r="O62" s="8">
        <f t="shared" si="22"/>
        <v>1506</v>
      </c>
      <c r="P62" s="6">
        <f t="shared" si="24"/>
        <v>3512</v>
      </c>
    </row>
    <row r="63" spans="1:16" ht="21">
      <c r="A63" s="182"/>
      <c r="B63" s="27" t="s">
        <v>18</v>
      </c>
      <c r="C63" s="8">
        <f t="shared" ref="C63:K63" si="32">C30</f>
        <v>324</v>
      </c>
      <c r="D63" s="8">
        <f t="shared" si="32"/>
        <v>324</v>
      </c>
      <c r="E63" s="8">
        <f t="shared" si="32"/>
        <v>307</v>
      </c>
      <c r="F63" s="15">
        <f t="shared" si="32"/>
        <v>955</v>
      </c>
      <c r="G63" s="8">
        <f t="shared" si="32"/>
        <v>129</v>
      </c>
      <c r="H63" s="8">
        <f t="shared" si="32"/>
        <v>205</v>
      </c>
      <c r="I63" s="8">
        <f t="shared" si="32"/>
        <v>217</v>
      </c>
      <c r="J63" s="15">
        <f t="shared" si="32"/>
        <v>551</v>
      </c>
      <c r="K63" s="15">
        <f t="shared" si="32"/>
        <v>1506</v>
      </c>
      <c r="M63" s="27" t="s">
        <v>19</v>
      </c>
      <c r="N63" s="8">
        <f t="shared" si="22"/>
        <v>54</v>
      </c>
      <c r="O63" s="8">
        <f t="shared" si="22"/>
        <v>87</v>
      </c>
      <c r="P63" s="6">
        <f t="shared" si="24"/>
        <v>141</v>
      </c>
    </row>
    <row r="64" spans="1:16" ht="21.6" thickBot="1">
      <c r="A64" s="182"/>
      <c r="B64" s="27" t="s">
        <v>19</v>
      </c>
      <c r="C64" s="8">
        <f t="shared" ref="C64:K64" si="33">C31</f>
        <v>0</v>
      </c>
      <c r="D64" s="8">
        <f t="shared" si="33"/>
        <v>12</v>
      </c>
      <c r="E64" s="8">
        <f t="shared" si="33"/>
        <v>36</v>
      </c>
      <c r="F64" s="15">
        <f t="shared" si="33"/>
        <v>48</v>
      </c>
      <c r="G64" s="8">
        <f t="shared" si="33"/>
        <v>0</v>
      </c>
      <c r="H64" s="8">
        <f t="shared" si="33"/>
        <v>0</v>
      </c>
      <c r="I64" s="8">
        <f t="shared" si="33"/>
        <v>39</v>
      </c>
      <c r="J64" s="15">
        <f t="shared" si="33"/>
        <v>39</v>
      </c>
      <c r="K64" s="15">
        <f t="shared" si="33"/>
        <v>87</v>
      </c>
      <c r="M64" s="32" t="s">
        <v>6</v>
      </c>
      <c r="N64" s="7">
        <f>SUM(N57:N63)</f>
        <v>67650</v>
      </c>
      <c r="O64" s="7">
        <f>SUM(O57:O63)</f>
        <v>55775</v>
      </c>
      <c r="P64" s="7">
        <f>SUM(P57:P63)</f>
        <v>123425</v>
      </c>
    </row>
    <row r="65" spans="1:16" ht="22.2" thickTop="1" thickBot="1">
      <c r="A65" s="183"/>
      <c r="B65" s="32" t="s">
        <v>6</v>
      </c>
      <c r="C65" s="5">
        <f t="shared" ref="C65:K65" si="34">SUM(C58:C64)</f>
        <v>17885</v>
      </c>
      <c r="D65" s="5">
        <f t="shared" si="34"/>
        <v>11492</v>
      </c>
      <c r="E65" s="5">
        <f t="shared" si="34"/>
        <v>8924</v>
      </c>
      <c r="F65" s="5">
        <f t="shared" si="34"/>
        <v>38301</v>
      </c>
      <c r="G65" s="5">
        <f t="shared" si="34"/>
        <v>4671</v>
      </c>
      <c r="H65" s="5">
        <f t="shared" si="34"/>
        <v>6827</v>
      </c>
      <c r="I65" s="5">
        <f t="shared" si="34"/>
        <v>5976</v>
      </c>
      <c r="J65" s="5">
        <f t="shared" si="34"/>
        <v>17474</v>
      </c>
      <c r="K65" s="5">
        <f t="shared" si="34"/>
        <v>55775</v>
      </c>
    </row>
    <row r="66" spans="1:16" ht="17.25" customHeight="1" thickTop="1"/>
    <row r="67" spans="1:16">
      <c r="N67" s="171" t="s">
        <v>130</v>
      </c>
      <c r="O67" s="171"/>
      <c r="P67" s="171"/>
    </row>
  </sheetData>
  <mergeCells count="29">
    <mergeCell ref="M52:P52"/>
    <mergeCell ref="C53:F53"/>
    <mergeCell ref="G53:J53"/>
    <mergeCell ref="A36:K36"/>
    <mergeCell ref="A37:A38"/>
    <mergeCell ref="B37:K37"/>
    <mergeCell ref="C38:F38"/>
    <mergeCell ref="G38:J38"/>
    <mergeCell ref="B4:K4"/>
    <mergeCell ref="C5:F5"/>
    <mergeCell ref="G5:J5"/>
    <mergeCell ref="A34:P34"/>
    <mergeCell ref="A35:P35"/>
    <mergeCell ref="N67:P67"/>
    <mergeCell ref="A1:P1"/>
    <mergeCell ref="A2:P2"/>
    <mergeCell ref="M19:P19"/>
    <mergeCell ref="C20:F20"/>
    <mergeCell ref="G20:J20"/>
    <mergeCell ref="A21:A32"/>
    <mergeCell ref="A3:K3"/>
    <mergeCell ref="A6:A17"/>
    <mergeCell ref="A19:A20"/>
    <mergeCell ref="B19:K19"/>
    <mergeCell ref="A54:A65"/>
    <mergeCell ref="A39:A50"/>
    <mergeCell ref="A52:A53"/>
    <mergeCell ref="B52:K52"/>
    <mergeCell ref="A4:A5"/>
  </mergeCells>
  <phoneticPr fontId="0" type="noConversion"/>
  <pageMargins left="0.78740157480314965" right="0.19685039370078741" top="0.11811023622047245" bottom="0.11811023622047245" header="0.15748031496062992" footer="0.15748031496062992"/>
  <pageSetup paperSize="5" scale="83" orientation="landscape" r:id="rId1"/>
  <headerFooter>
    <oddFooter>&amp;Z&amp;F&amp;RPage &amp;P</oddFooter>
  </headerFooter>
  <rowBreaks count="1" manualBreakCount="1">
    <brk id="33"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5"/>
  <sheetViews>
    <sheetView view="pageBreakPreview" topLeftCell="A11" zoomScaleNormal="75" zoomScaleSheetLayoutView="100" workbookViewId="0">
      <selection activeCell="N20" sqref="N20"/>
    </sheetView>
  </sheetViews>
  <sheetFormatPr defaultColWidth="9.109375" defaultRowHeight="20.399999999999999"/>
  <cols>
    <col min="1" max="1" width="7.5546875" style="1" customWidth="1"/>
    <col min="2" max="2" width="26.88671875" style="1" customWidth="1"/>
    <col min="3" max="3" width="16.44140625" style="1" customWidth="1"/>
    <col min="4" max="4" width="18.88671875" style="1" customWidth="1"/>
    <col min="5" max="5" width="20" style="1" customWidth="1"/>
    <col min="6" max="6" width="17.5546875" style="1" customWidth="1"/>
    <col min="7" max="7" width="14" style="1" customWidth="1"/>
    <col min="8" max="8" width="11" style="1" customWidth="1"/>
    <col min="9" max="16384" width="9.109375" style="1"/>
  </cols>
  <sheetData>
    <row r="1" spans="1:15" ht="21">
      <c r="A1" s="193" t="s">
        <v>139</v>
      </c>
      <c r="B1" s="194"/>
      <c r="C1" s="194"/>
      <c r="D1" s="194"/>
      <c r="E1" s="194"/>
      <c r="F1" s="194"/>
      <c r="G1" s="194"/>
      <c r="H1" s="194"/>
      <c r="I1" s="12"/>
      <c r="J1" s="12"/>
      <c r="K1" s="12"/>
      <c r="L1" s="12"/>
      <c r="M1" s="12"/>
      <c r="N1" s="12"/>
      <c r="O1" s="12"/>
    </row>
    <row r="2" spans="1:15" ht="21">
      <c r="A2" s="193" t="s">
        <v>24</v>
      </c>
      <c r="B2" s="194"/>
      <c r="C2" s="194"/>
      <c r="D2" s="194"/>
      <c r="E2" s="194"/>
      <c r="F2" s="194"/>
      <c r="G2" s="194"/>
      <c r="H2" s="194"/>
      <c r="I2" s="34"/>
      <c r="J2" s="34"/>
      <c r="K2" s="34"/>
      <c r="L2" s="34"/>
      <c r="M2" s="34"/>
      <c r="N2" s="34"/>
      <c r="O2" s="34"/>
    </row>
    <row r="3" spans="1:15">
      <c r="A3" s="35" t="s">
        <v>25</v>
      </c>
      <c r="B3" s="33"/>
      <c r="C3" s="36"/>
      <c r="D3" s="36"/>
      <c r="E3" s="36"/>
      <c r="F3" s="36"/>
      <c r="G3" s="36"/>
      <c r="H3" s="36"/>
    </row>
    <row r="4" spans="1:15">
      <c r="A4" s="195" t="s">
        <v>26</v>
      </c>
      <c r="B4" s="195" t="s">
        <v>7</v>
      </c>
      <c r="C4" s="176" t="s">
        <v>27</v>
      </c>
      <c r="D4" s="178"/>
      <c r="E4" s="176" t="s">
        <v>28</v>
      </c>
      <c r="F4" s="178"/>
      <c r="G4" s="190" t="s">
        <v>6</v>
      </c>
      <c r="H4" s="36"/>
    </row>
    <row r="5" spans="1:15">
      <c r="A5" s="196"/>
      <c r="B5" s="196"/>
      <c r="C5" s="38" t="s">
        <v>4</v>
      </c>
      <c r="D5" s="38" t="s">
        <v>5</v>
      </c>
      <c r="E5" s="38" t="s">
        <v>4</v>
      </c>
      <c r="F5" s="38" t="s">
        <v>5</v>
      </c>
      <c r="G5" s="191"/>
      <c r="H5" s="36"/>
    </row>
    <row r="6" spans="1:15" ht="21">
      <c r="A6" s="13">
        <v>1</v>
      </c>
      <c r="B6" s="13">
        <v>1</v>
      </c>
      <c r="C6" s="116">
        <v>4</v>
      </c>
      <c r="D6" s="116">
        <v>1</v>
      </c>
      <c r="E6" s="116">
        <v>4</v>
      </c>
      <c r="F6" s="116">
        <v>1</v>
      </c>
      <c r="G6" s="15">
        <f>SUM(C6:F6)</f>
        <v>10</v>
      </c>
    </row>
    <row r="7" spans="1:15" ht="21">
      <c r="A7" s="13">
        <v>2</v>
      </c>
      <c r="B7" s="13">
        <v>2</v>
      </c>
      <c r="C7" s="116">
        <v>2</v>
      </c>
      <c r="D7" s="116">
        <v>0</v>
      </c>
      <c r="E7" s="116">
        <v>5</v>
      </c>
      <c r="F7" s="116">
        <v>3</v>
      </c>
      <c r="G7" s="15">
        <f>SUM(C7:F7)</f>
        <v>10</v>
      </c>
    </row>
    <row r="8" spans="1:15" ht="21">
      <c r="A8" s="13">
        <v>3</v>
      </c>
      <c r="B8" s="13">
        <v>3</v>
      </c>
      <c r="C8" s="116">
        <v>40</v>
      </c>
      <c r="D8" s="116">
        <v>1</v>
      </c>
      <c r="E8" s="116">
        <v>9</v>
      </c>
      <c r="F8" s="116">
        <v>12</v>
      </c>
      <c r="G8" s="15">
        <f>SUM(C8:F8)</f>
        <v>62</v>
      </c>
    </row>
    <row r="9" spans="1:15" ht="21">
      <c r="A9" s="13">
        <v>4</v>
      </c>
      <c r="B9" s="13">
        <v>4</v>
      </c>
      <c r="C9" s="116">
        <v>14</v>
      </c>
      <c r="D9" s="116">
        <v>4</v>
      </c>
      <c r="E9" s="116">
        <v>12</v>
      </c>
      <c r="F9" s="116">
        <v>13</v>
      </c>
      <c r="G9" s="15">
        <f>SUM(C9:F9)</f>
        <v>43</v>
      </c>
    </row>
    <row r="10" spans="1:15" ht="21.6" thickBot="1">
      <c r="A10" s="39" t="s">
        <v>0</v>
      </c>
      <c r="B10" s="39" t="s">
        <v>6</v>
      </c>
      <c r="C10" s="17">
        <f>SUM(C6:C9)</f>
        <v>60</v>
      </c>
      <c r="D10" s="17">
        <f>SUM(D6:D9)</f>
        <v>6</v>
      </c>
      <c r="E10" s="17">
        <f>SUM(E6:E9)</f>
        <v>30</v>
      </c>
      <c r="F10" s="17">
        <f>SUM(F6:F9)</f>
        <v>29</v>
      </c>
      <c r="G10" s="17">
        <f>SUM(G6:G9)</f>
        <v>125</v>
      </c>
    </row>
    <row r="11" spans="1:15" ht="21.6" thickTop="1">
      <c r="A11" s="18"/>
      <c r="B11" s="18"/>
      <c r="C11" s="18"/>
      <c r="D11" s="18"/>
      <c r="E11" s="18"/>
      <c r="F11" s="18"/>
    </row>
    <row r="13" spans="1:15" ht="22.5" customHeight="1">
      <c r="A13" s="192"/>
      <c r="B13" s="192"/>
      <c r="C13" s="192"/>
      <c r="D13" s="192"/>
      <c r="E13" s="192"/>
      <c r="F13" s="197" t="s">
        <v>1</v>
      </c>
      <c r="G13" s="197"/>
      <c r="H13" s="197"/>
    </row>
    <row r="14" spans="1:15" ht="31.2">
      <c r="A14" s="37" t="s">
        <v>26</v>
      </c>
      <c r="B14" s="37" t="s">
        <v>29</v>
      </c>
      <c r="C14" s="37" t="s">
        <v>30</v>
      </c>
      <c r="D14" s="37" t="s">
        <v>31</v>
      </c>
      <c r="E14" s="37" t="s">
        <v>32</v>
      </c>
      <c r="F14" s="37" t="s">
        <v>132</v>
      </c>
      <c r="G14" s="37" t="s">
        <v>19</v>
      </c>
      <c r="H14" s="37" t="s">
        <v>6</v>
      </c>
    </row>
    <row r="15" spans="1:15" ht="23.25" customHeight="1">
      <c r="A15" s="21">
        <v>1</v>
      </c>
      <c r="B15" s="37" t="s">
        <v>150</v>
      </c>
      <c r="C15" s="68">
        <v>3000</v>
      </c>
      <c r="D15" s="68">
        <v>1300</v>
      </c>
      <c r="E15" s="68">
        <v>250</v>
      </c>
      <c r="F15" s="68">
        <v>7763</v>
      </c>
      <c r="G15" s="68">
        <v>8000</v>
      </c>
      <c r="H15" s="19">
        <f>SUM(C15:G15)</f>
        <v>20313</v>
      </c>
    </row>
    <row r="17" spans="1:15" ht="21">
      <c r="A17" s="193" t="s">
        <v>139</v>
      </c>
      <c r="B17" s="194"/>
      <c r="C17" s="194"/>
      <c r="D17" s="194"/>
      <c r="E17" s="194"/>
      <c r="F17" s="194"/>
      <c r="G17" s="194"/>
      <c r="H17" s="194"/>
      <c r="I17" s="12"/>
      <c r="J17" s="12"/>
      <c r="K17" s="12"/>
      <c r="L17" s="12"/>
      <c r="M17" s="12"/>
      <c r="N17" s="12"/>
      <c r="O17" s="12"/>
    </row>
    <row r="18" spans="1:15" ht="21">
      <c r="A18" s="193" t="s">
        <v>24</v>
      </c>
      <c r="B18" s="194"/>
      <c r="C18" s="194"/>
      <c r="D18" s="194"/>
      <c r="E18" s="194"/>
      <c r="F18" s="194"/>
      <c r="G18" s="194"/>
      <c r="H18" s="194"/>
      <c r="I18" s="34"/>
      <c r="J18" s="34"/>
      <c r="K18" s="34"/>
      <c r="L18" s="34"/>
      <c r="M18" s="34"/>
      <c r="N18" s="34"/>
      <c r="O18" s="34"/>
    </row>
    <row r="19" spans="1:15">
      <c r="A19" s="35" t="s">
        <v>25</v>
      </c>
      <c r="B19" s="33"/>
      <c r="C19" s="36"/>
      <c r="D19" s="36"/>
      <c r="E19" s="36"/>
      <c r="F19" s="36"/>
      <c r="G19" s="36"/>
      <c r="H19" s="36"/>
    </row>
    <row r="20" spans="1:15">
      <c r="A20" s="195" t="s">
        <v>26</v>
      </c>
      <c r="B20" s="195" t="s">
        <v>7</v>
      </c>
      <c r="C20" s="176" t="s">
        <v>27</v>
      </c>
      <c r="D20" s="178"/>
      <c r="E20" s="176" t="s">
        <v>28</v>
      </c>
      <c r="F20" s="178"/>
      <c r="G20" s="190" t="s">
        <v>6</v>
      </c>
      <c r="H20" s="36"/>
    </row>
    <row r="21" spans="1:15">
      <c r="A21" s="196"/>
      <c r="B21" s="196"/>
      <c r="C21" s="38" t="s">
        <v>4</v>
      </c>
      <c r="D21" s="38" t="s">
        <v>5</v>
      </c>
      <c r="E21" s="38" t="s">
        <v>4</v>
      </c>
      <c r="F21" s="38" t="s">
        <v>5</v>
      </c>
      <c r="G21" s="191"/>
      <c r="H21" s="36"/>
    </row>
    <row r="22" spans="1:15" ht="21">
      <c r="A22" s="13">
        <v>1</v>
      </c>
      <c r="B22" s="13">
        <v>1</v>
      </c>
      <c r="C22" s="14">
        <f t="shared" ref="C22:G25" si="0">C6</f>
        <v>4</v>
      </c>
      <c r="D22" s="14">
        <f t="shared" si="0"/>
        <v>1</v>
      </c>
      <c r="E22" s="14">
        <f t="shared" si="0"/>
        <v>4</v>
      </c>
      <c r="F22" s="14">
        <f t="shared" si="0"/>
        <v>1</v>
      </c>
      <c r="G22" s="89">
        <f t="shared" si="0"/>
        <v>10</v>
      </c>
    </row>
    <row r="23" spans="1:15" ht="21">
      <c r="A23" s="13">
        <v>2</v>
      </c>
      <c r="B23" s="13">
        <v>2</v>
      </c>
      <c r="C23" s="14">
        <f t="shared" si="0"/>
        <v>2</v>
      </c>
      <c r="D23" s="14">
        <f t="shared" si="0"/>
        <v>0</v>
      </c>
      <c r="E23" s="14">
        <f t="shared" si="0"/>
        <v>5</v>
      </c>
      <c r="F23" s="14">
        <f t="shared" si="0"/>
        <v>3</v>
      </c>
      <c r="G23" s="89">
        <f t="shared" si="0"/>
        <v>10</v>
      </c>
    </row>
    <row r="24" spans="1:15" ht="21">
      <c r="A24" s="13">
        <v>3</v>
      </c>
      <c r="B24" s="13">
        <v>3</v>
      </c>
      <c r="C24" s="14">
        <f t="shared" si="0"/>
        <v>40</v>
      </c>
      <c r="D24" s="14">
        <f t="shared" si="0"/>
        <v>1</v>
      </c>
      <c r="E24" s="14">
        <f t="shared" si="0"/>
        <v>9</v>
      </c>
      <c r="F24" s="14">
        <f t="shared" si="0"/>
        <v>12</v>
      </c>
      <c r="G24" s="89">
        <f t="shared" si="0"/>
        <v>62</v>
      </c>
    </row>
    <row r="25" spans="1:15" ht="21">
      <c r="A25" s="13">
        <v>4</v>
      </c>
      <c r="B25" s="13">
        <v>4</v>
      </c>
      <c r="C25" s="14">
        <f t="shared" si="0"/>
        <v>14</v>
      </c>
      <c r="D25" s="14">
        <f t="shared" si="0"/>
        <v>4</v>
      </c>
      <c r="E25" s="14">
        <f t="shared" si="0"/>
        <v>12</v>
      </c>
      <c r="F25" s="14">
        <f t="shared" si="0"/>
        <v>13</v>
      </c>
      <c r="G25" s="89">
        <f t="shared" si="0"/>
        <v>43</v>
      </c>
    </row>
    <row r="26" spans="1:15" ht="21.6" thickBot="1">
      <c r="A26" s="39" t="s">
        <v>0</v>
      </c>
      <c r="B26" s="39" t="s">
        <v>6</v>
      </c>
      <c r="C26" s="17">
        <f>SUM(C22:C25)</f>
        <v>60</v>
      </c>
      <c r="D26" s="17">
        <f>SUM(D22:D25)</f>
        <v>6</v>
      </c>
      <c r="E26" s="17">
        <f>SUM(E22:E25)</f>
        <v>30</v>
      </c>
      <c r="F26" s="17">
        <f>SUM(F22:F25)</f>
        <v>29</v>
      </c>
      <c r="G26" s="17">
        <f>SUM(G22:G25)</f>
        <v>125</v>
      </c>
    </row>
    <row r="27" spans="1:15" ht="21.6" thickTop="1">
      <c r="A27" s="18"/>
      <c r="B27" s="18"/>
      <c r="C27" s="18"/>
      <c r="D27" s="18"/>
      <c r="E27" s="18"/>
      <c r="F27" s="18"/>
    </row>
    <row r="29" spans="1:15" ht="22.5" customHeight="1">
      <c r="A29" s="192"/>
      <c r="B29" s="192"/>
      <c r="C29" s="192"/>
      <c r="D29" s="192"/>
      <c r="E29" s="192"/>
      <c r="F29" s="197" t="s">
        <v>1</v>
      </c>
      <c r="G29" s="197"/>
      <c r="H29" s="197"/>
    </row>
    <row r="30" spans="1:15" ht="31.2">
      <c r="A30" s="37" t="s">
        <v>26</v>
      </c>
      <c r="B30" s="37" t="s">
        <v>29</v>
      </c>
      <c r="C30" s="37" t="s">
        <v>30</v>
      </c>
      <c r="D30" s="37" t="s">
        <v>31</v>
      </c>
      <c r="E30" s="37" t="s">
        <v>32</v>
      </c>
      <c r="F30" s="37" t="s">
        <v>132</v>
      </c>
      <c r="G30" s="37" t="s">
        <v>19</v>
      </c>
      <c r="H30" s="37" t="s">
        <v>6</v>
      </c>
    </row>
    <row r="31" spans="1:15" ht="30.75" customHeight="1">
      <c r="A31" s="21">
        <v>1</v>
      </c>
      <c r="B31" s="37" t="s">
        <v>23</v>
      </c>
      <c r="C31" s="14">
        <f>C15</f>
        <v>3000</v>
      </c>
      <c r="D31" s="14">
        <f>D15</f>
        <v>1300</v>
      </c>
      <c r="E31" s="14">
        <f>E15</f>
        <v>250</v>
      </c>
      <c r="F31" s="14">
        <f>F15</f>
        <v>7763</v>
      </c>
      <c r="G31" s="14">
        <f>G15</f>
        <v>8000</v>
      </c>
      <c r="H31" s="16">
        <f>SUM(C31:G31)</f>
        <v>20313</v>
      </c>
    </row>
    <row r="32" spans="1:15" ht="33" customHeight="1"/>
    <row r="33" spans="6:10" ht="23.25" customHeight="1"/>
    <row r="34" spans="6:10" ht="24" customHeight="1"/>
    <row r="35" spans="6:10">
      <c r="F35" s="189" t="s">
        <v>130</v>
      </c>
      <c r="G35" s="189"/>
      <c r="H35" s="189"/>
      <c r="I35" s="40"/>
      <c r="J35" s="40"/>
    </row>
  </sheetData>
  <mergeCells count="19">
    <mergeCell ref="C20:D20"/>
    <mergeCell ref="E20:F20"/>
    <mergeCell ref="G20:G21"/>
    <mergeCell ref="F35:H35"/>
    <mergeCell ref="G4:G5"/>
    <mergeCell ref="A13:E13"/>
    <mergeCell ref="A1:H1"/>
    <mergeCell ref="A2:H2"/>
    <mergeCell ref="A4:A5"/>
    <mergeCell ref="B4:B5"/>
    <mergeCell ref="C4:D4"/>
    <mergeCell ref="E4:F4"/>
    <mergeCell ref="A29:E29"/>
    <mergeCell ref="F29:H29"/>
    <mergeCell ref="F13:H13"/>
    <mergeCell ref="A17:H17"/>
    <mergeCell ref="A18:H18"/>
    <mergeCell ref="A20:A21"/>
    <mergeCell ref="B20:B21"/>
  </mergeCells>
  <phoneticPr fontId="0" type="noConversion"/>
  <pageMargins left="0.78740157480314965" right="0.15748031496062992" top="0.39370078740157483" bottom="0.39370078740157483" header="0.15748031496062992" footer="0.15748031496062992"/>
  <pageSetup paperSize="5" scale="125" orientation="landscape" r:id="rId1"/>
  <headerFooter>
    <oddFooter>&amp;Z&amp;F&amp;RPage &amp;P</oddFooter>
  </headerFooter>
  <rowBreaks count="1" manualBreakCount="1">
    <brk id="16"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view="pageBreakPreview" zoomScale="90" zoomScaleNormal="75" zoomScaleSheetLayoutView="90" workbookViewId="0">
      <selection activeCell="M5" sqref="M5"/>
    </sheetView>
  </sheetViews>
  <sheetFormatPr defaultColWidth="9.109375" defaultRowHeight="20.399999999999999"/>
  <cols>
    <col min="1" max="1" width="3.5546875" style="72" customWidth="1"/>
    <col min="2" max="2" width="33.33203125" style="72" customWidth="1"/>
    <col min="3" max="4" width="11" style="72" customWidth="1"/>
    <col min="5" max="5" width="13.6640625" style="72" customWidth="1"/>
    <col min="6" max="6" width="12.5546875" style="72" customWidth="1"/>
    <col min="7" max="7" width="11.44140625" style="72" customWidth="1"/>
    <col min="8" max="8" width="12.6640625" style="72" customWidth="1"/>
    <col min="9" max="9" width="12.88671875" style="72" customWidth="1"/>
    <col min="10" max="10" width="10.5546875" style="72" customWidth="1"/>
    <col min="11" max="11" width="9.88671875" style="72" customWidth="1"/>
    <col min="12" max="12" width="70.33203125" style="72" customWidth="1"/>
    <col min="13" max="16384" width="9.109375" style="67"/>
  </cols>
  <sheetData>
    <row r="1" spans="1:12" s="1" customFormat="1">
      <c r="A1" s="172" t="s">
        <v>140</v>
      </c>
      <c r="B1" s="173"/>
      <c r="C1" s="173"/>
      <c r="D1" s="173"/>
      <c r="E1" s="173"/>
      <c r="F1" s="173"/>
      <c r="G1" s="173"/>
      <c r="H1" s="173"/>
      <c r="I1" s="173"/>
      <c r="J1" s="173"/>
      <c r="K1" s="173"/>
      <c r="L1" s="173"/>
    </row>
    <row r="2" spans="1:12" s="1" customFormat="1">
      <c r="A2" s="172" t="s">
        <v>24</v>
      </c>
      <c r="B2" s="173"/>
      <c r="C2" s="173"/>
      <c r="D2" s="173"/>
      <c r="E2" s="173"/>
      <c r="F2" s="173"/>
      <c r="G2" s="173"/>
      <c r="H2" s="173"/>
      <c r="I2" s="173"/>
      <c r="J2" s="173"/>
      <c r="K2" s="173"/>
      <c r="L2" s="173"/>
    </row>
    <row r="3" spans="1:12" s="1" customFormat="1" ht="22.5" customHeight="1">
      <c r="A3" s="198" t="s">
        <v>149</v>
      </c>
      <c r="B3" s="199"/>
      <c r="C3" s="199"/>
      <c r="D3" s="20"/>
      <c r="E3" s="20"/>
      <c r="F3" s="20"/>
      <c r="G3" s="20"/>
      <c r="H3" s="20"/>
      <c r="I3" s="20"/>
      <c r="J3" s="20"/>
      <c r="K3" s="20"/>
      <c r="L3" s="73" t="s">
        <v>1</v>
      </c>
    </row>
    <row r="4" spans="1:12" s="1" customFormat="1" ht="37.5" customHeight="1">
      <c r="A4" s="200" t="s">
        <v>33</v>
      </c>
      <c r="B4" s="200" t="s">
        <v>63</v>
      </c>
      <c r="C4" s="202" t="s">
        <v>64</v>
      </c>
      <c r="D4" s="203"/>
      <c r="E4" s="203"/>
      <c r="F4" s="74" t="s">
        <v>65</v>
      </c>
      <c r="G4" s="74" t="s">
        <v>82</v>
      </c>
      <c r="H4" s="190" t="s">
        <v>141</v>
      </c>
      <c r="I4" s="191"/>
      <c r="J4" s="191"/>
      <c r="K4" s="191"/>
      <c r="L4" s="200" t="s">
        <v>66</v>
      </c>
    </row>
    <row r="5" spans="1:12" s="1" customFormat="1" ht="75" customHeight="1">
      <c r="A5" s="201"/>
      <c r="B5" s="201"/>
      <c r="C5" s="74" t="s">
        <v>113</v>
      </c>
      <c r="D5" s="74" t="s">
        <v>114</v>
      </c>
      <c r="E5" s="74" t="s">
        <v>131</v>
      </c>
      <c r="F5" s="74" t="s">
        <v>142</v>
      </c>
      <c r="G5" s="74" t="s">
        <v>142</v>
      </c>
      <c r="H5" s="74" t="s">
        <v>67</v>
      </c>
      <c r="I5" s="74" t="s">
        <v>68</v>
      </c>
      <c r="J5" s="74" t="s">
        <v>69</v>
      </c>
      <c r="K5" s="74" t="s">
        <v>70</v>
      </c>
      <c r="L5" s="201"/>
    </row>
    <row r="6" spans="1:12" s="76" customFormat="1" ht="18" customHeight="1">
      <c r="A6" s="75">
        <v>1</v>
      </c>
      <c r="B6" s="75">
        <v>2</v>
      </c>
      <c r="C6" s="75">
        <v>3</v>
      </c>
      <c r="D6" s="75">
        <v>4</v>
      </c>
      <c r="E6" s="75">
        <v>5</v>
      </c>
      <c r="F6" s="75">
        <v>6</v>
      </c>
      <c r="G6" s="75">
        <v>7</v>
      </c>
      <c r="H6" s="75">
        <v>8</v>
      </c>
      <c r="I6" s="75">
        <v>9</v>
      </c>
      <c r="J6" s="75">
        <v>10</v>
      </c>
      <c r="K6" s="75">
        <v>11</v>
      </c>
      <c r="L6" s="75">
        <v>12</v>
      </c>
    </row>
    <row r="7" spans="1:12" ht="52.8">
      <c r="A7" s="77">
        <v>1</v>
      </c>
      <c r="B7" s="55" t="s">
        <v>71</v>
      </c>
      <c r="C7" s="68">
        <v>94361</v>
      </c>
      <c r="D7" s="68">
        <v>98690</v>
      </c>
      <c r="E7" s="68">
        <v>109877</v>
      </c>
      <c r="F7" s="68">
        <v>136100</v>
      </c>
      <c r="G7" s="68">
        <v>136100</v>
      </c>
      <c r="H7" s="90">
        <v>143738</v>
      </c>
      <c r="I7" s="68">
        <v>0</v>
      </c>
      <c r="J7" s="68">
        <v>0</v>
      </c>
      <c r="K7" s="68">
        <v>0</v>
      </c>
      <c r="L7" s="134" t="s">
        <v>115</v>
      </c>
    </row>
    <row r="8" spans="1:12" ht="26.4">
      <c r="A8" s="77">
        <v>2</v>
      </c>
      <c r="B8" s="55" t="s">
        <v>75</v>
      </c>
      <c r="C8" s="68">
        <v>17</v>
      </c>
      <c r="D8" s="68">
        <v>29</v>
      </c>
      <c r="E8" s="68">
        <v>41</v>
      </c>
      <c r="F8" s="68">
        <v>150</v>
      </c>
      <c r="G8" s="68">
        <v>150</v>
      </c>
      <c r="H8" s="90">
        <v>150</v>
      </c>
      <c r="I8" s="68">
        <v>0</v>
      </c>
      <c r="J8" s="68">
        <v>0</v>
      </c>
      <c r="K8" s="68">
        <v>0</v>
      </c>
      <c r="L8" s="134" t="s">
        <v>116</v>
      </c>
    </row>
    <row r="9" spans="1:12" ht="158.4">
      <c r="A9" s="77">
        <v>3</v>
      </c>
      <c r="B9" s="55" t="s">
        <v>78</v>
      </c>
      <c r="C9" s="68">
        <v>3650</v>
      </c>
      <c r="D9" s="68">
        <v>3836</v>
      </c>
      <c r="E9" s="68">
        <v>3360</v>
      </c>
      <c r="F9" s="68">
        <v>4300</v>
      </c>
      <c r="G9" s="68">
        <v>4300</v>
      </c>
      <c r="H9" s="90">
        <v>5790</v>
      </c>
      <c r="I9" s="68">
        <v>0</v>
      </c>
      <c r="J9" s="68">
        <v>0</v>
      </c>
      <c r="K9" s="68">
        <v>0</v>
      </c>
      <c r="L9" s="138" t="s">
        <v>144</v>
      </c>
    </row>
    <row r="10" spans="1:12" ht="69">
      <c r="A10" s="77">
        <v>4</v>
      </c>
      <c r="B10" s="55" t="s">
        <v>100</v>
      </c>
      <c r="C10" s="68">
        <v>19040</v>
      </c>
      <c r="D10" s="68">
        <v>13219</v>
      </c>
      <c r="E10" s="68">
        <v>3420</v>
      </c>
      <c r="F10" s="68">
        <v>16000</v>
      </c>
      <c r="G10" s="68">
        <v>16000</v>
      </c>
      <c r="H10" s="90">
        <v>17600</v>
      </c>
      <c r="I10" s="68">
        <v>0</v>
      </c>
      <c r="J10" s="68">
        <v>0</v>
      </c>
      <c r="K10" s="68">
        <v>0</v>
      </c>
      <c r="L10" s="139" t="s">
        <v>145</v>
      </c>
    </row>
    <row r="11" spans="1:12" ht="21">
      <c r="A11" s="77">
        <v>5</v>
      </c>
      <c r="B11" s="55" t="s">
        <v>76</v>
      </c>
      <c r="C11" s="68">
        <v>89</v>
      </c>
      <c r="D11" s="68">
        <v>303</v>
      </c>
      <c r="E11" s="68">
        <v>301</v>
      </c>
      <c r="F11" s="68">
        <v>500</v>
      </c>
      <c r="G11" s="68">
        <v>500</v>
      </c>
      <c r="H11" s="90">
        <v>500</v>
      </c>
      <c r="I11" s="68">
        <v>0</v>
      </c>
      <c r="J11" s="68">
        <v>0</v>
      </c>
      <c r="K11" s="68">
        <v>0</v>
      </c>
      <c r="L11" s="140" t="s">
        <v>119</v>
      </c>
    </row>
    <row r="12" spans="1:12" ht="96.6">
      <c r="A12" s="77">
        <v>6</v>
      </c>
      <c r="B12" s="55" t="s">
        <v>72</v>
      </c>
      <c r="C12" s="68">
        <v>3283</v>
      </c>
      <c r="D12" s="68">
        <v>4254</v>
      </c>
      <c r="E12" s="68">
        <v>2282</v>
      </c>
      <c r="F12" s="68">
        <v>4500</v>
      </c>
      <c r="G12" s="68">
        <v>4500</v>
      </c>
      <c r="H12" s="90">
        <v>4700</v>
      </c>
      <c r="I12" s="68">
        <v>0</v>
      </c>
      <c r="J12" s="68">
        <v>0</v>
      </c>
      <c r="K12" s="68">
        <v>0</v>
      </c>
      <c r="L12" s="140" t="s">
        <v>146</v>
      </c>
    </row>
    <row r="13" spans="1:12" ht="27.6">
      <c r="A13" s="77">
        <v>7</v>
      </c>
      <c r="B13" s="55" t="s">
        <v>77</v>
      </c>
      <c r="C13" s="68">
        <v>92</v>
      </c>
      <c r="D13" s="68">
        <v>310</v>
      </c>
      <c r="E13" s="68">
        <v>761</v>
      </c>
      <c r="F13" s="68">
        <v>500</v>
      </c>
      <c r="G13" s="68">
        <v>500</v>
      </c>
      <c r="H13" s="90">
        <v>400</v>
      </c>
      <c r="I13" s="68">
        <v>0</v>
      </c>
      <c r="J13" s="68">
        <v>0</v>
      </c>
      <c r="K13" s="68">
        <v>0</v>
      </c>
      <c r="L13" s="140" t="s">
        <v>147</v>
      </c>
    </row>
    <row r="14" spans="1:12" ht="27.6">
      <c r="A14" s="77">
        <v>8</v>
      </c>
      <c r="B14" s="55" t="s">
        <v>101</v>
      </c>
      <c r="C14" s="68">
        <v>0</v>
      </c>
      <c r="D14" s="68">
        <v>0</v>
      </c>
      <c r="E14" s="68">
        <v>0</v>
      </c>
      <c r="F14" s="68">
        <v>1</v>
      </c>
      <c r="G14" s="68">
        <v>1</v>
      </c>
      <c r="H14" s="90">
        <v>150</v>
      </c>
      <c r="I14" s="68">
        <v>0</v>
      </c>
      <c r="J14" s="68">
        <v>0</v>
      </c>
      <c r="K14" s="68">
        <v>0</v>
      </c>
      <c r="L14" s="140" t="s">
        <v>122</v>
      </c>
    </row>
    <row r="15" spans="1:12" ht="27.6">
      <c r="A15" s="77">
        <v>9</v>
      </c>
      <c r="B15" s="55" t="s">
        <v>73</v>
      </c>
      <c r="C15" s="68">
        <v>215</v>
      </c>
      <c r="D15" s="68">
        <v>355</v>
      </c>
      <c r="E15" s="68">
        <v>583</v>
      </c>
      <c r="F15" s="68">
        <v>700</v>
      </c>
      <c r="G15" s="68">
        <v>700</v>
      </c>
      <c r="H15" s="90">
        <v>1200</v>
      </c>
      <c r="I15" s="68">
        <v>0</v>
      </c>
      <c r="J15" s="68">
        <v>0</v>
      </c>
      <c r="K15" s="68">
        <v>0</v>
      </c>
      <c r="L15" s="140" t="s">
        <v>148</v>
      </c>
    </row>
    <row r="16" spans="1:12" ht="41.4">
      <c r="A16" s="77">
        <v>10</v>
      </c>
      <c r="B16" s="55" t="s">
        <v>102</v>
      </c>
      <c r="C16" s="68">
        <v>0</v>
      </c>
      <c r="D16" s="68">
        <v>0</v>
      </c>
      <c r="E16" s="68">
        <v>0</v>
      </c>
      <c r="F16" s="68">
        <v>1</v>
      </c>
      <c r="G16" s="68">
        <v>1</v>
      </c>
      <c r="H16" s="90">
        <v>50</v>
      </c>
      <c r="I16" s="68">
        <v>0</v>
      </c>
      <c r="J16" s="68">
        <v>0</v>
      </c>
      <c r="K16" s="68">
        <v>0</v>
      </c>
      <c r="L16" s="140" t="s">
        <v>124</v>
      </c>
    </row>
    <row r="17" spans="1:12" ht="21">
      <c r="A17" s="77">
        <v>11</v>
      </c>
      <c r="B17" s="80" t="s">
        <v>80</v>
      </c>
      <c r="C17" s="68">
        <v>0</v>
      </c>
      <c r="D17" s="68">
        <v>0</v>
      </c>
      <c r="E17" s="68">
        <v>160</v>
      </c>
      <c r="F17" s="68">
        <v>225</v>
      </c>
      <c r="G17" s="68">
        <v>225</v>
      </c>
      <c r="H17" s="90">
        <v>600</v>
      </c>
      <c r="I17" s="68">
        <v>0</v>
      </c>
      <c r="J17" s="68">
        <v>0</v>
      </c>
      <c r="K17" s="68">
        <v>0</v>
      </c>
      <c r="L17" s="140" t="s">
        <v>125</v>
      </c>
    </row>
    <row r="18" spans="1:12" ht="27.6">
      <c r="A18" s="77">
        <v>12</v>
      </c>
      <c r="B18" s="80" t="s">
        <v>103</v>
      </c>
      <c r="C18" s="68">
        <v>0</v>
      </c>
      <c r="D18" s="68">
        <v>0</v>
      </c>
      <c r="E18" s="68">
        <v>0</v>
      </c>
      <c r="F18" s="68">
        <v>1</v>
      </c>
      <c r="G18" s="68">
        <v>1</v>
      </c>
      <c r="H18" s="90">
        <v>100</v>
      </c>
      <c r="I18" s="68">
        <v>0</v>
      </c>
      <c r="J18" s="68">
        <v>0</v>
      </c>
      <c r="K18" s="68">
        <v>0</v>
      </c>
      <c r="L18" s="141" t="s">
        <v>126</v>
      </c>
    </row>
    <row r="19" spans="1:12" ht="21">
      <c r="A19" s="77">
        <v>13</v>
      </c>
      <c r="B19" s="80" t="s">
        <v>106</v>
      </c>
      <c r="C19" s="68">
        <v>0</v>
      </c>
      <c r="D19" s="68">
        <v>0</v>
      </c>
      <c r="E19" s="68">
        <v>0</v>
      </c>
      <c r="F19" s="68">
        <v>0</v>
      </c>
      <c r="G19" s="68">
        <v>0</v>
      </c>
      <c r="H19" s="90">
        <v>0</v>
      </c>
      <c r="I19" s="68">
        <v>0</v>
      </c>
      <c r="J19" s="68">
        <v>0</v>
      </c>
      <c r="K19" s="68">
        <v>0</v>
      </c>
      <c r="L19" s="142" t="s">
        <v>127</v>
      </c>
    </row>
    <row r="20" spans="1:12" ht="27.6">
      <c r="A20" s="77">
        <v>14</v>
      </c>
      <c r="B20" s="55" t="s">
        <v>89</v>
      </c>
      <c r="C20" s="68">
        <v>0</v>
      </c>
      <c r="D20" s="68">
        <v>0</v>
      </c>
      <c r="E20" s="68">
        <v>0</v>
      </c>
      <c r="F20" s="68">
        <v>1</v>
      </c>
      <c r="G20" s="68">
        <v>1</v>
      </c>
      <c r="H20" s="90">
        <v>10</v>
      </c>
      <c r="I20" s="68">
        <v>0</v>
      </c>
      <c r="J20" s="68">
        <v>0</v>
      </c>
      <c r="K20" s="68">
        <v>0</v>
      </c>
      <c r="L20" s="141" t="s">
        <v>128</v>
      </c>
    </row>
    <row r="21" spans="1:12" ht="21">
      <c r="A21" s="77">
        <v>15</v>
      </c>
      <c r="B21" s="55" t="s">
        <v>74</v>
      </c>
      <c r="C21" s="68">
        <v>0</v>
      </c>
      <c r="D21" s="68">
        <v>0</v>
      </c>
      <c r="E21" s="68">
        <v>0</v>
      </c>
      <c r="F21" s="68">
        <v>21</v>
      </c>
      <c r="G21" s="68">
        <v>21</v>
      </c>
      <c r="H21" s="90">
        <v>200</v>
      </c>
      <c r="I21" s="68">
        <v>0</v>
      </c>
      <c r="J21" s="68">
        <v>0</v>
      </c>
      <c r="K21" s="68">
        <v>0</v>
      </c>
      <c r="L21" s="141" t="s">
        <v>129</v>
      </c>
    </row>
    <row r="22" spans="1:12" ht="21.6" thickBot="1">
      <c r="A22" s="78" t="s">
        <v>0</v>
      </c>
      <c r="B22" s="79" t="s">
        <v>6</v>
      </c>
      <c r="C22" s="69">
        <f>SUM(C7:C21)</f>
        <v>120747</v>
      </c>
      <c r="D22" s="69">
        <f t="shared" ref="D22:K22" si="0">SUM(D7:D21)</f>
        <v>120996</v>
      </c>
      <c r="E22" s="69">
        <f t="shared" si="0"/>
        <v>120785</v>
      </c>
      <c r="F22" s="69">
        <f t="shared" si="0"/>
        <v>163000</v>
      </c>
      <c r="G22" s="69">
        <f t="shared" si="0"/>
        <v>163000</v>
      </c>
      <c r="H22" s="69">
        <f t="shared" si="0"/>
        <v>175188</v>
      </c>
      <c r="I22" s="69">
        <f t="shared" si="0"/>
        <v>0</v>
      </c>
      <c r="J22" s="69">
        <f t="shared" si="0"/>
        <v>0</v>
      </c>
      <c r="K22" s="69">
        <f t="shared" si="0"/>
        <v>0</v>
      </c>
      <c r="L22" s="69"/>
    </row>
    <row r="23" spans="1:12" ht="21.6" thickTop="1">
      <c r="A23" s="70"/>
      <c r="B23" s="71"/>
      <c r="C23" s="70"/>
      <c r="D23" s="70"/>
      <c r="E23" s="70"/>
      <c r="F23" s="70"/>
      <c r="G23" s="70"/>
      <c r="H23" s="70"/>
      <c r="I23" s="70"/>
      <c r="J23" s="70"/>
      <c r="K23" s="70"/>
      <c r="L23" s="70"/>
    </row>
    <row r="24" spans="1:12" s="1" customFormat="1">
      <c r="A24" s="172" t="s">
        <v>140</v>
      </c>
      <c r="B24" s="173"/>
      <c r="C24" s="173"/>
      <c r="D24" s="173"/>
      <c r="E24" s="173"/>
      <c r="F24" s="173"/>
      <c r="G24" s="173"/>
      <c r="H24" s="173"/>
      <c r="I24" s="173"/>
      <c r="J24" s="173"/>
      <c r="K24" s="173"/>
      <c r="L24" s="173"/>
    </row>
    <row r="25" spans="1:12" s="1" customFormat="1">
      <c r="A25" s="172" t="s">
        <v>24</v>
      </c>
      <c r="B25" s="173"/>
      <c r="C25" s="173"/>
      <c r="D25" s="173"/>
      <c r="E25" s="173"/>
      <c r="F25" s="173"/>
      <c r="G25" s="173"/>
      <c r="H25" s="173"/>
      <c r="I25" s="173"/>
      <c r="J25" s="173"/>
      <c r="K25" s="173"/>
      <c r="L25" s="173"/>
    </row>
    <row r="26" spans="1:12" s="1" customFormat="1" ht="18.75" customHeight="1">
      <c r="A26" s="198" t="s">
        <v>23</v>
      </c>
      <c r="B26" s="199"/>
      <c r="C26" s="199"/>
      <c r="D26" s="20"/>
      <c r="E26" s="20"/>
      <c r="F26" s="20"/>
      <c r="G26" s="20"/>
      <c r="H26" s="20"/>
      <c r="I26" s="20"/>
      <c r="J26" s="20"/>
      <c r="K26" s="20"/>
      <c r="L26" s="73" t="s">
        <v>1</v>
      </c>
    </row>
    <row r="27" spans="1:12" s="1" customFormat="1" ht="37.5" customHeight="1">
      <c r="A27" s="200" t="s">
        <v>33</v>
      </c>
      <c r="B27" s="200" t="s">
        <v>63</v>
      </c>
      <c r="C27" s="202" t="s">
        <v>64</v>
      </c>
      <c r="D27" s="203"/>
      <c r="E27" s="203"/>
      <c r="F27" s="74" t="s">
        <v>65</v>
      </c>
      <c r="G27" s="74" t="s">
        <v>82</v>
      </c>
      <c r="H27" s="190" t="s">
        <v>141</v>
      </c>
      <c r="I27" s="191"/>
      <c r="J27" s="191"/>
      <c r="K27" s="191"/>
      <c r="L27" s="200" t="s">
        <v>66</v>
      </c>
    </row>
    <row r="28" spans="1:12" s="1" customFormat="1" ht="75" customHeight="1">
      <c r="A28" s="201"/>
      <c r="B28" s="201"/>
      <c r="C28" s="74" t="s">
        <v>112</v>
      </c>
      <c r="D28" s="74" t="s">
        <v>113</v>
      </c>
      <c r="E28" s="74" t="s">
        <v>114</v>
      </c>
      <c r="F28" s="74" t="s">
        <v>131</v>
      </c>
      <c r="G28" s="74" t="s">
        <v>131</v>
      </c>
      <c r="H28" s="74" t="s">
        <v>67</v>
      </c>
      <c r="I28" s="74" t="s">
        <v>68</v>
      </c>
      <c r="J28" s="74" t="s">
        <v>69</v>
      </c>
      <c r="K28" s="74" t="s">
        <v>70</v>
      </c>
      <c r="L28" s="201"/>
    </row>
    <row r="29" spans="1:12" s="76" customFormat="1" ht="18" customHeight="1">
      <c r="A29" s="75">
        <v>1</v>
      </c>
      <c r="B29" s="75">
        <v>2</v>
      </c>
      <c r="C29" s="75">
        <v>3</v>
      </c>
      <c r="D29" s="75">
        <v>4</v>
      </c>
      <c r="E29" s="75">
        <v>5</v>
      </c>
      <c r="F29" s="75">
        <v>6</v>
      </c>
      <c r="G29" s="75">
        <v>7</v>
      </c>
      <c r="H29" s="75">
        <v>8</v>
      </c>
      <c r="I29" s="75">
        <v>9</v>
      </c>
      <c r="J29" s="75">
        <v>10</v>
      </c>
      <c r="K29" s="75">
        <v>11</v>
      </c>
      <c r="L29" s="75">
        <v>12</v>
      </c>
    </row>
    <row r="30" spans="1:12" ht="52.8">
      <c r="A30" s="77">
        <v>1</v>
      </c>
      <c r="B30" s="55" t="s">
        <v>71</v>
      </c>
      <c r="C30" s="22">
        <f>C7</f>
        <v>94361</v>
      </c>
      <c r="D30" s="22">
        <f t="shared" ref="D30:K30" si="1">D7</f>
        <v>98690</v>
      </c>
      <c r="E30" s="22">
        <f t="shared" si="1"/>
        <v>109877</v>
      </c>
      <c r="F30" s="22">
        <f t="shared" si="1"/>
        <v>136100</v>
      </c>
      <c r="G30" s="22">
        <f t="shared" si="1"/>
        <v>136100</v>
      </c>
      <c r="H30" s="19">
        <f t="shared" si="1"/>
        <v>143738</v>
      </c>
      <c r="I30" s="22">
        <f t="shared" si="1"/>
        <v>0</v>
      </c>
      <c r="J30" s="22">
        <f t="shared" si="1"/>
        <v>0</v>
      </c>
      <c r="K30" s="22">
        <f t="shared" si="1"/>
        <v>0</v>
      </c>
      <c r="L30" s="134" t="s">
        <v>115</v>
      </c>
    </row>
    <row r="31" spans="1:12" ht="26.4">
      <c r="A31" s="77">
        <v>2</v>
      </c>
      <c r="B31" s="55" t="s">
        <v>75</v>
      </c>
      <c r="C31" s="22">
        <f t="shared" ref="C31:K31" si="2">C8</f>
        <v>17</v>
      </c>
      <c r="D31" s="22">
        <f t="shared" si="2"/>
        <v>29</v>
      </c>
      <c r="E31" s="22">
        <f t="shared" si="2"/>
        <v>41</v>
      </c>
      <c r="F31" s="22">
        <f t="shared" si="2"/>
        <v>150</v>
      </c>
      <c r="G31" s="22">
        <f t="shared" si="2"/>
        <v>150</v>
      </c>
      <c r="H31" s="19">
        <f t="shared" si="2"/>
        <v>150</v>
      </c>
      <c r="I31" s="22">
        <f t="shared" si="2"/>
        <v>0</v>
      </c>
      <c r="J31" s="22">
        <f t="shared" si="2"/>
        <v>0</v>
      </c>
      <c r="K31" s="22">
        <f t="shared" si="2"/>
        <v>0</v>
      </c>
      <c r="L31" s="134" t="s">
        <v>116</v>
      </c>
    </row>
    <row r="32" spans="1:12" ht="158.4">
      <c r="A32" s="77">
        <v>3</v>
      </c>
      <c r="B32" s="55" t="s">
        <v>78</v>
      </c>
      <c r="C32" s="22">
        <f t="shared" ref="C32:K32" si="3">C9</f>
        <v>3650</v>
      </c>
      <c r="D32" s="22">
        <f t="shared" si="3"/>
        <v>3836</v>
      </c>
      <c r="E32" s="22">
        <f t="shared" si="3"/>
        <v>3360</v>
      </c>
      <c r="F32" s="22">
        <f t="shared" si="3"/>
        <v>4300</v>
      </c>
      <c r="G32" s="22">
        <f t="shared" si="3"/>
        <v>4300</v>
      </c>
      <c r="H32" s="19">
        <f t="shared" si="3"/>
        <v>5790</v>
      </c>
      <c r="I32" s="22">
        <f t="shared" si="3"/>
        <v>0</v>
      </c>
      <c r="J32" s="22">
        <f t="shared" si="3"/>
        <v>0</v>
      </c>
      <c r="K32" s="22">
        <f t="shared" si="3"/>
        <v>0</v>
      </c>
      <c r="L32" s="138" t="s">
        <v>144</v>
      </c>
    </row>
    <row r="33" spans="1:12" ht="69">
      <c r="A33" s="77">
        <v>4</v>
      </c>
      <c r="B33" s="55" t="s">
        <v>100</v>
      </c>
      <c r="C33" s="22">
        <f t="shared" ref="C33:K33" si="4">C10</f>
        <v>19040</v>
      </c>
      <c r="D33" s="22">
        <f t="shared" si="4"/>
        <v>13219</v>
      </c>
      <c r="E33" s="22">
        <f t="shared" si="4"/>
        <v>3420</v>
      </c>
      <c r="F33" s="22">
        <f t="shared" si="4"/>
        <v>16000</v>
      </c>
      <c r="G33" s="22">
        <f t="shared" si="4"/>
        <v>16000</v>
      </c>
      <c r="H33" s="19">
        <f t="shared" si="4"/>
        <v>17600</v>
      </c>
      <c r="I33" s="22">
        <f t="shared" si="4"/>
        <v>0</v>
      </c>
      <c r="J33" s="22">
        <f t="shared" si="4"/>
        <v>0</v>
      </c>
      <c r="K33" s="22">
        <f t="shared" si="4"/>
        <v>0</v>
      </c>
      <c r="L33" s="139" t="s">
        <v>145</v>
      </c>
    </row>
    <row r="34" spans="1:12" ht="21">
      <c r="A34" s="77">
        <v>5</v>
      </c>
      <c r="B34" s="55" t="s">
        <v>76</v>
      </c>
      <c r="C34" s="22">
        <f t="shared" ref="C34:K34" si="5">C11</f>
        <v>89</v>
      </c>
      <c r="D34" s="22">
        <f t="shared" si="5"/>
        <v>303</v>
      </c>
      <c r="E34" s="22">
        <f t="shared" si="5"/>
        <v>301</v>
      </c>
      <c r="F34" s="22">
        <f t="shared" si="5"/>
        <v>500</v>
      </c>
      <c r="G34" s="22">
        <f t="shared" si="5"/>
        <v>500</v>
      </c>
      <c r="H34" s="19">
        <f t="shared" si="5"/>
        <v>500</v>
      </c>
      <c r="I34" s="22">
        <f t="shared" si="5"/>
        <v>0</v>
      </c>
      <c r="J34" s="22">
        <f t="shared" si="5"/>
        <v>0</v>
      </c>
      <c r="K34" s="22">
        <f t="shared" si="5"/>
        <v>0</v>
      </c>
      <c r="L34" s="140" t="s">
        <v>119</v>
      </c>
    </row>
    <row r="35" spans="1:12" ht="96.6">
      <c r="A35" s="77">
        <v>6</v>
      </c>
      <c r="B35" s="55" t="s">
        <v>72</v>
      </c>
      <c r="C35" s="22">
        <f t="shared" ref="C35:K35" si="6">C12</f>
        <v>3283</v>
      </c>
      <c r="D35" s="22">
        <f t="shared" si="6"/>
        <v>4254</v>
      </c>
      <c r="E35" s="22">
        <f t="shared" si="6"/>
        <v>2282</v>
      </c>
      <c r="F35" s="22">
        <f t="shared" si="6"/>
        <v>4500</v>
      </c>
      <c r="G35" s="22">
        <f t="shared" si="6"/>
        <v>4500</v>
      </c>
      <c r="H35" s="19">
        <f t="shared" si="6"/>
        <v>4700</v>
      </c>
      <c r="I35" s="22">
        <f t="shared" si="6"/>
        <v>0</v>
      </c>
      <c r="J35" s="22">
        <f t="shared" si="6"/>
        <v>0</v>
      </c>
      <c r="K35" s="22">
        <f t="shared" si="6"/>
        <v>0</v>
      </c>
      <c r="L35" s="140" t="s">
        <v>146</v>
      </c>
    </row>
    <row r="36" spans="1:12" ht="27.6">
      <c r="A36" s="77">
        <v>7</v>
      </c>
      <c r="B36" s="55" t="s">
        <v>77</v>
      </c>
      <c r="C36" s="22">
        <f t="shared" ref="C36:K36" si="7">C13</f>
        <v>92</v>
      </c>
      <c r="D36" s="22">
        <f t="shared" si="7"/>
        <v>310</v>
      </c>
      <c r="E36" s="22">
        <f t="shared" si="7"/>
        <v>761</v>
      </c>
      <c r="F36" s="22">
        <f t="shared" si="7"/>
        <v>500</v>
      </c>
      <c r="G36" s="22">
        <f t="shared" si="7"/>
        <v>500</v>
      </c>
      <c r="H36" s="19">
        <f t="shared" si="7"/>
        <v>400</v>
      </c>
      <c r="I36" s="22">
        <f t="shared" si="7"/>
        <v>0</v>
      </c>
      <c r="J36" s="22">
        <f t="shared" si="7"/>
        <v>0</v>
      </c>
      <c r="K36" s="22">
        <f t="shared" si="7"/>
        <v>0</v>
      </c>
      <c r="L36" s="140" t="s">
        <v>147</v>
      </c>
    </row>
    <row r="37" spans="1:12" ht="27.6">
      <c r="A37" s="77">
        <v>8</v>
      </c>
      <c r="B37" s="55" t="s">
        <v>101</v>
      </c>
      <c r="C37" s="22">
        <f t="shared" ref="C37:K37" si="8">C14</f>
        <v>0</v>
      </c>
      <c r="D37" s="22">
        <f t="shared" si="8"/>
        <v>0</v>
      </c>
      <c r="E37" s="22">
        <f t="shared" si="8"/>
        <v>0</v>
      </c>
      <c r="F37" s="22">
        <f t="shared" si="8"/>
        <v>1</v>
      </c>
      <c r="G37" s="22">
        <f t="shared" si="8"/>
        <v>1</v>
      </c>
      <c r="H37" s="19">
        <f t="shared" si="8"/>
        <v>150</v>
      </c>
      <c r="I37" s="22">
        <f t="shared" si="8"/>
        <v>0</v>
      </c>
      <c r="J37" s="22">
        <f t="shared" si="8"/>
        <v>0</v>
      </c>
      <c r="K37" s="22">
        <f t="shared" si="8"/>
        <v>0</v>
      </c>
      <c r="L37" s="140" t="s">
        <v>122</v>
      </c>
    </row>
    <row r="38" spans="1:12" ht="27.6">
      <c r="A38" s="77">
        <v>9</v>
      </c>
      <c r="B38" s="55" t="s">
        <v>73</v>
      </c>
      <c r="C38" s="22">
        <f t="shared" ref="C38:K38" si="9">C15</f>
        <v>215</v>
      </c>
      <c r="D38" s="22">
        <f t="shared" si="9"/>
        <v>355</v>
      </c>
      <c r="E38" s="22">
        <f t="shared" si="9"/>
        <v>583</v>
      </c>
      <c r="F38" s="22">
        <f t="shared" si="9"/>
        <v>700</v>
      </c>
      <c r="G38" s="22">
        <f t="shared" si="9"/>
        <v>700</v>
      </c>
      <c r="H38" s="19">
        <f t="shared" si="9"/>
        <v>1200</v>
      </c>
      <c r="I38" s="22">
        <f t="shared" si="9"/>
        <v>0</v>
      </c>
      <c r="J38" s="22">
        <f t="shared" si="9"/>
        <v>0</v>
      </c>
      <c r="K38" s="22">
        <f t="shared" si="9"/>
        <v>0</v>
      </c>
      <c r="L38" s="140" t="s">
        <v>148</v>
      </c>
    </row>
    <row r="39" spans="1:12" ht="41.4">
      <c r="A39" s="77">
        <v>10</v>
      </c>
      <c r="B39" s="55" t="s">
        <v>102</v>
      </c>
      <c r="C39" s="22">
        <f t="shared" ref="C39:K39" si="10">C16</f>
        <v>0</v>
      </c>
      <c r="D39" s="22">
        <f t="shared" si="10"/>
        <v>0</v>
      </c>
      <c r="E39" s="22">
        <f t="shared" si="10"/>
        <v>0</v>
      </c>
      <c r="F39" s="22">
        <f t="shared" si="10"/>
        <v>1</v>
      </c>
      <c r="G39" s="22">
        <f t="shared" si="10"/>
        <v>1</v>
      </c>
      <c r="H39" s="19">
        <f t="shared" si="10"/>
        <v>50</v>
      </c>
      <c r="I39" s="22">
        <f t="shared" si="10"/>
        <v>0</v>
      </c>
      <c r="J39" s="22">
        <f t="shared" si="10"/>
        <v>0</v>
      </c>
      <c r="K39" s="22">
        <f t="shared" si="10"/>
        <v>0</v>
      </c>
      <c r="L39" s="140" t="s">
        <v>124</v>
      </c>
    </row>
    <row r="40" spans="1:12" ht="21">
      <c r="A40" s="77">
        <v>11</v>
      </c>
      <c r="B40" s="80" t="s">
        <v>80</v>
      </c>
      <c r="C40" s="22">
        <f t="shared" ref="C40:K40" si="11">C17</f>
        <v>0</v>
      </c>
      <c r="D40" s="22">
        <f t="shared" si="11"/>
        <v>0</v>
      </c>
      <c r="E40" s="22">
        <f t="shared" si="11"/>
        <v>160</v>
      </c>
      <c r="F40" s="22">
        <f t="shared" si="11"/>
        <v>225</v>
      </c>
      <c r="G40" s="22">
        <f t="shared" si="11"/>
        <v>225</v>
      </c>
      <c r="H40" s="19">
        <f t="shared" si="11"/>
        <v>600</v>
      </c>
      <c r="I40" s="22">
        <f t="shared" si="11"/>
        <v>0</v>
      </c>
      <c r="J40" s="22">
        <f t="shared" si="11"/>
        <v>0</v>
      </c>
      <c r="K40" s="22">
        <f t="shared" si="11"/>
        <v>0</v>
      </c>
      <c r="L40" s="140" t="s">
        <v>125</v>
      </c>
    </row>
    <row r="41" spans="1:12" ht="27.6">
      <c r="A41" s="77">
        <v>12</v>
      </c>
      <c r="B41" s="80" t="s">
        <v>103</v>
      </c>
      <c r="C41" s="22">
        <f t="shared" ref="C41:K42" si="12">C18</f>
        <v>0</v>
      </c>
      <c r="D41" s="22">
        <f t="shared" si="12"/>
        <v>0</v>
      </c>
      <c r="E41" s="22">
        <f t="shared" si="12"/>
        <v>0</v>
      </c>
      <c r="F41" s="22">
        <f t="shared" si="12"/>
        <v>1</v>
      </c>
      <c r="G41" s="22">
        <f t="shared" si="12"/>
        <v>1</v>
      </c>
      <c r="H41" s="19">
        <f t="shared" si="12"/>
        <v>100</v>
      </c>
      <c r="I41" s="22">
        <f t="shared" si="12"/>
        <v>0</v>
      </c>
      <c r="J41" s="22">
        <f t="shared" si="12"/>
        <v>0</v>
      </c>
      <c r="K41" s="22">
        <f t="shared" si="12"/>
        <v>0</v>
      </c>
      <c r="L41" s="141" t="s">
        <v>126</v>
      </c>
    </row>
    <row r="42" spans="1:12" ht="21">
      <c r="A42" s="77">
        <v>13</v>
      </c>
      <c r="B42" s="80" t="s">
        <v>106</v>
      </c>
      <c r="C42" s="22">
        <f t="shared" si="12"/>
        <v>0</v>
      </c>
      <c r="D42" s="22">
        <f t="shared" si="12"/>
        <v>0</v>
      </c>
      <c r="E42" s="22">
        <f t="shared" si="12"/>
        <v>0</v>
      </c>
      <c r="F42" s="22">
        <f t="shared" si="12"/>
        <v>0</v>
      </c>
      <c r="G42" s="22">
        <f t="shared" si="12"/>
        <v>0</v>
      </c>
      <c r="H42" s="19">
        <f t="shared" si="12"/>
        <v>0</v>
      </c>
      <c r="I42" s="22">
        <f t="shared" si="12"/>
        <v>0</v>
      </c>
      <c r="J42" s="22">
        <f t="shared" si="12"/>
        <v>0</v>
      </c>
      <c r="K42" s="22">
        <f t="shared" si="12"/>
        <v>0</v>
      </c>
      <c r="L42" s="142" t="s">
        <v>127</v>
      </c>
    </row>
    <row r="43" spans="1:12" ht="27.6">
      <c r="A43" s="77">
        <v>14</v>
      </c>
      <c r="B43" s="55" t="s">
        <v>89</v>
      </c>
      <c r="C43" s="22">
        <f t="shared" ref="C43:K43" si="13">C20</f>
        <v>0</v>
      </c>
      <c r="D43" s="22">
        <f t="shared" si="13"/>
        <v>0</v>
      </c>
      <c r="E43" s="22">
        <f t="shared" si="13"/>
        <v>0</v>
      </c>
      <c r="F43" s="22">
        <f t="shared" si="13"/>
        <v>1</v>
      </c>
      <c r="G43" s="22">
        <f t="shared" si="13"/>
        <v>1</v>
      </c>
      <c r="H43" s="19">
        <f t="shared" si="13"/>
        <v>10</v>
      </c>
      <c r="I43" s="22">
        <f t="shared" si="13"/>
        <v>0</v>
      </c>
      <c r="J43" s="22">
        <f t="shared" si="13"/>
        <v>0</v>
      </c>
      <c r="K43" s="22">
        <f t="shared" si="13"/>
        <v>0</v>
      </c>
      <c r="L43" s="141" t="s">
        <v>128</v>
      </c>
    </row>
    <row r="44" spans="1:12" ht="21">
      <c r="A44" s="77">
        <v>15</v>
      </c>
      <c r="B44" s="55" t="s">
        <v>74</v>
      </c>
      <c r="C44" s="22">
        <f t="shared" ref="C44:K44" si="14">C21</f>
        <v>0</v>
      </c>
      <c r="D44" s="22">
        <f t="shared" si="14"/>
        <v>0</v>
      </c>
      <c r="E44" s="22">
        <f t="shared" si="14"/>
        <v>0</v>
      </c>
      <c r="F44" s="22">
        <f t="shared" si="14"/>
        <v>21</v>
      </c>
      <c r="G44" s="22">
        <f t="shared" si="14"/>
        <v>21</v>
      </c>
      <c r="H44" s="19">
        <f t="shared" si="14"/>
        <v>200</v>
      </c>
      <c r="I44" s="22">
        <f t="shared" si="14"/>
        <v>0</v>
      </c>
      <c r="J44" s="22">
        <f t="shared" si="14"/>
        <v>0</v>
      </c>
      <c r="K44" s="22">
        <f t="shared" si="14"/>
        <v>0</v>
      </c>
      <c r="L44" s="141" t="s">
        <v>129</v>
      </c>
    </row>
    <row r="45" spans="1:12" ht="21.6" thickBot="1">
      <c r="A45" s="78" t="s">
        <v>0</v>
      </c>
      <c r="B45" s="79" t="s">
        <v>6</v>
      </c>
      <c r="C45" s="69">
        <f t="shared" ref="C45:K45" si="15">SUM(C30:C44)</f>
        <v>120747</v>
      </c>
      <c r="D45" s="69">
        <f t="shared" si="15"/>
        <v>120996</v>
      </c>
      <c r="E45" s="69">
        <f t="shared" si="15"/>
        <v>120785</v>
      </c>
      <c r="F45" s="69">
        <f t="shared" si="15"/>
        <v>163000</v>
      </c>
      <c r="G45" s="69">
        <f t="shared" si="15"/>
        <v>163000</v>
      </c>
      <c r="H45" s="69">
        <f t="shared" si="15"/>
        <v>175188</v>
      </c>
      <c r="I45" s="69">
        <f t="shared" si="15"/>
        <v>0</v>
      </c>
      <c r="J45" s="69">
        <f t="shared" si="15"/>
        <v>0</v>
      </c>
      <c r="K45" s="69">
        <f t="shared" si="15"/>
        <v>0</v>
      </c>
      <c r="L45" s="69"/>
    </row>
    <row r="46" spans="1:12" ht="21" thickTop="1"/>
    <row r="50" spans="12:14">
      <c r="L50" s="143" t="s">
        <v>130</v>
      </c>
      <c r="M50" s="143"/>
      <c r="N50" s="143"/>
    </row>
  </sheetData>
  <mergeCells count="17">
    <mergeCell ref="L50:N50"/>
    <mergeCell ref="A1:L1"/>
    <mergeCell ref="A2:L2"/>
    <mergeCell ref="A3:C3"/>
    <mergeCell ref="A4:A5"/>
    <mergeCell ref="B4:B5"/>
    <mergeCell ref="C4:E4"/>
    <mergeCell ref="H4:K4"/>
    <mergeCell ref="L4:L5"/>
    <mergeCell ref="A24:L24"/>
    <mergeCell ref="A25:L25"/>
    <mergeCell ref="A26:C26"/>
    <mergeCell ref="A27:A28"/>
    <mergeCell ref="B27:B28"/>
    <mergeCell ref="C27:E27"/>
    <mergeCell ref="H27:K27"/>
    <mergeCell ref="L27:L28"/>
  </mergeCells>
  <phoneticPr fontId="0" type="noConversion"/>
  <pageMargins left="0.78740157480314965" right="0.19685039370078741" top="0.39370078740157483" bottom="0.39370078740157483" header="0.31496062992125984" footer="0.15748031496062992"/>
  <pageSetup paperSize="5" scale="70" orientation="landscape" r:id="rId1"/>
  <headerFooter>
    <oddFooter>&amp;Z&amp;F&amp;RPage &amp;P</oddFooter>
  </headerFooter>
  <rowBreaks count="3" manualBreakCount="3">
    <brk id="12" max="11" man="1"/>
    <brk id="23" max="11" man="1"/>
    <brk id="35"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8"/>
  <sheetViews>
    <sheetView view="pageBreakPreview" zoomScale="90" zoomScaleNormal="100" zoomScaleSheetLayoutView="90" workbookViewId="0">
      <selection activeCell="P20" sqref="P20"/>
    </sheetView>
  </sheetViews>
  <sheetFormatPr defaultColWidth="9.109375" defaultRowHeight="20.399999999999999"/>
  <cols>
    <col min="1" max="1" width="3.5546875" style="23" customWidth="1"/>
    <col min="2" max="2" width="28.5546875" style="23" customWidth="1"/>
    <col min="3" max="4" width="12.5546875" style="23" customWidth="1"/>
    <col min="5" max="5" width="13.33203125" style="23" customWidth="1"/>
    <col min="6" max="6" width="14.109375" style="23" customWidth="1"/>
    <col min="7" max="7" width="13" style="23" customWidth="1"/>
    <col min="8" max="8" width="12.6640625" style="23" customWidth="1"/>
    <col min="9" max="9" width="12.88671875" style="23" customWidth="1"/>
    <col min="10" max="10" width="10.5546875" style="23" customWidth="1"/>
    <col min="11" max="11" width="9.88671875" style="23" customWidth="1"/>
    <col min="12" max="12" width="58.6640625" style="23" customWidth="1"/>
    <col min="13" max="16384" width="9.109375" style="1"/>
  </cols>
  <sheetData>
    <row r="1" spans="1:12">
      <c r="A1" s="172" t="s">
        <v>136</v>
      </c>
      <c r="B1" s="173"/>
      <c r="C1" s="173"/>
      <c r="D1" s="173"/>
      <c r="E1" s="173"/>
      <c r="F1" s="173"/>
      <c r="G1" s="173"/>
      <c r="H1" s="173"/>
      <c r="I1" s="173"/>
      <c r="J1" s="173"/>
      <c r="K1" s="173"/>
      <c r="L1" s="173"/>
    </row>
    <row r="2" spans="1:12">
      <c r="A2" s="172" t="s">
        <v>24</v>
      </c>
      <c r="B2" s="173"/>
      <c r="C2" s="173"/>
      <c r="D2" s="173"/>
      <c r="E2" s="173"/>
      <c r="F2" s="173"/>
      <c r="G2" s="173"/>
      <c r="H2" s="173"/>
      <c r="I2" s="173"/>
      <c r="J2" s="173"/>
      <c r="K2" s="173"/>
      <c r="L2" s="173"/>
    </row>
    <row r="3" spans="1:12" ht="18.75" customHeight="1">
      <c r="A3" s="198" t="s">
        <v>23</v>
      </c>
      <c r="B3" s="199"/>
      <c r="C3" s="199"/>
      <c r="D3" s="20"/>
      <c r="E3" s="20"/>
      <c r="F3" s="20"/>
      <c r="G3" s="20"/>
      <c r="H3" s="20"/>
      <c r="I3" s="20"/>
      <c r="J3" s="20"/>
      <c r="K3" s="20"/>
      <c r="L3" s="73" t="s">
        <v>1</v>
      </c>
    </row>
    <row r="4" spans="1:12" ht="37.5" customHeight="1">
      <c r="A4" s="200" t="s">
        <v>33</v>
      </c>
      <c r="B4" s="200" t="s">
        <v>63</v>
      </c>
      <c r="C4" s="202" t="s">
        <v>64</v>
      </c>
      <c r="D4" s="203"/>
      <c r="E4" s="203"/>
      <c r="F4" s="74" t="s">
        <v>65</v>
      </c>
      <c r="G4" s="74" t="s">
        <v>82</v>
      </c>
      <c r="H4" s="190" t="s">
        <v>141</v>
      </c>
      <c r="I4" s="191"/>
      <c r="J4" s="191"/>
      <c r="K4" s="191"/>
      <c r="L4" s="200" t="s">
        <v>104</v>
      </c>
    </row>
    <row r="5" spans="1:12" ht="55.5" customHeight="1">
      <c r="A5" s="201"/>
      <c r="B5" s="201"/>
      <c r="C5" s="74" t="s">
        <v>113</v>
      </c>
      <c r="D5" s="74" t="s">
        <v>114</v>
      </c>
      <c r="E5" s="74" t="s">
        <v>131</v>
      </c>
      <c r="F5" s="74" t="s">
        <v>142</v>
      </c>
      <c r="G5" s="74" t="s">
        <v>142</v>
      </c>
      <c r="H5" s="74" t="s">
        <v>67</v>
      </c>
      <c r="I5" s="74" t="s">
        <v>68</v>
      </c>
      <c r="J5" s="74" t="s">
        <v>69</v>
      </c>
      <c r="K5" s="74" t="s">
        <v>70</v>
      </c>
      <c r="L5" s="201"/>
    </row>
    <row r="6" spans="1:12" s="76" customFormat="1" ht="18" customHeight="1">
      <c r="A6" s="75">
        <v>1</v>
      </c>
      <c r="B6" s="75">
        <v>2</v>
      </c>
      <c r="C6" s="75">
        <v>3</v>
      </c>
      <c r="D6" s="75">
        <v>4</v>
      </c>
      <c r="E6" s="75">
        <v>5</v>
      </c>
      <c r="F6" s="75">
        <v>6</v>
      </c>
      <c r="G6" s="75">
        <v>7</v>
      </c>
      <c r="H6" s="75">
        <v>8</v>
      </c>
      <c r="I6" s="75">
        <v>9</v>
      </c>
      <c r="J6" s="75">
        <v>10</v>
      </c>
      <c r="K6" s="75">
        <v>11</v>
      </c>
      <c r="L6" s="75">
        <v>12</v>
      </c>
    </row>
    <row r="7" spans="1:12" ht="66">
      <c r="A7" s="74">
        <v>1</v>
      </c>
      <c r="B7" s="80" t="s">
        <v>71</v>
      </c>
      <c r="C7" s="22">
        <f>'Page 4'!C30</f>
        <v>94361</v>
      </c>
      <c r="D7" s="22">
        <f>'Page 4'!D30</f>
        <v>98690</v>
      </c>
      <c r="E7" s="22">
        <f>'Page 4'!E30</f>
        <v>109877</v>
      </c>
      <c r="F7" s="22">
        <f>'Page 4'!F30</f>
        <v>136100</v>
      </c>
      <c r="G7" s="22">
        <f>'Page 4'!G30</f>
        <v>136100</v>
      </c>
      <c r="H7" s="19">
        <v>0</v>
      </c>
      <c r="I7" s="19">
        <f>'Page 4'!H30</f>
        <v>143738</v>
      </c>
      <c r="J7" s="22">
        <f>'Page 4'!J30</f>
        <v>0</v>
      </c>
      <c r="K7" s="22">
        <f>'Page 4'!K30</f>
        <v>0</v>
      </c>
      <c r="L7" s="134" t="s">
        <v>115</v>
      </c>
    </row>
    <row r="8" spans="1:12" ht="26.4">
      <c r="A8" s="74">
        <v>2</v>
      </c>
      <c r="B8" s="80" t="s">
        <v>79</v>
      </c>
      <c r="C8" s="22">
        <f>'Page 4'!C31</f>
        <v>17</v>
      </c>
      <c r="D8" s="22">
        <f>'Page 4'!D31</f>
        <v>29</v>
      </c>
      <c r="E8" s="22">
        <f>'Page 4'!E31</f>
        <v>41</v>
      </c>
      <c r="F8" s="22">
        <f>'Page 4'!F31</f>
        <v>150</v>
      </c>
      <c r="G8" s="22">
        <f>'Page 4'!G31</f>
        <v>150</v>
      </c>
      <c r="H8" s="19">
        <v>0</v>
      </c>
      <c r="I8" s="19">
        <f>'Page 4'!H31</f>
        <v>150</v>
      </c>
      <c r="J8" s="22">
        <f>'Page 4'!J31</f>
        <v>0</v>
      </c>
      <c r="K8" s="22">
        <f>'Page 4'!K31</f>
        <v>0</v>
      </c>
      <c r="L8" s="134" t="s">
        <v>116</v>
      </c>
    </row>
    <row r="9" spans="1:12" ht="158.4">
      <c r="A9" s="74">
        <v>3</v>
      </c>
      <c r="B9" s="80" t="s">
        <v>78</v>
      </c>
      <c r="C9" s="22">
        <f>'Page 4'!C32</f>
        <v>3650</v>
      </c>
      <c r="D9" s="22">
        <f>'Page 4'!D32</f>
        <v>3836</v>
      </c>
      <c r="E9" s="22">
        <f>'Page 4'!E32</f>
        <v>3360</v>
      </c>
      <c r="F9" s="22">
        <f>'Page 4'!F32</f>
        <v>4300</v>
      </c>
      <c r="G9" s="22">
        <f>'Page 4'!G32</f>
        <v>4300</v>
      </c>
      <c r="H9" s="19">
        <v>0</v>
      </c>
      <c r="I9" s="19">
        <f>'Page 4'!H32</f>
        <v>5790</v>
      </c>
      <c r="J9" s="22">
        <f>'Page 4'!J32</f>
        <v>0</v>
      </c>
      <c r="K9" s="22">
        <f>'Page 4'!K32</f>
        <v>0</v>
      </c>
      <c r="L9" s="134" t="s">
        <v>117</v>
      </c>
    </row>
    <row r="10" spans="1:12" ht="66">
      <c r="A10" s="74">
        <v>4</v>
      </c>
      <c r="B10" s="55" t="s">
        <v>100</v>
      </c>
      <c r="C10" s="22">
        <f>'Page 4'!C33</f>
        <v>19040</v>
      </c>
      <c r="D10" s="22">
        <f>'Page 4'!D33</f>
        <v>13219</v>
      </c>
      <c r="E10" s="22">
        <f>'Page 4'!E33</f>
        <v>3420</v>
      </c>
      <c r="F10" s="22">
        <f>'Page 4'!F33</f>
        <v>16000</v>
      </c>
      <c r="G10" s="22">
        <f>'Page 4'!G33</f>
        <v>16000</v>
      </c>
      <c r="H10" s="19">
        <v>0</v>
      </c>
      <c r="I10" s="19">
        <f>'Page 4'!H33</f>
        <v>17600</v>
      </c>
      <c r="J10" s="22">
        <f>'Page 4'!J33</f>
        <v>0</v>
      </c>
      <c r="K10" s="22">
        <f>'Page 4'!K33</f>
        <v>0</v>
      </c>
      <c r="L10" s="135" t="s">
        <v>118</v>
      </c>
    </row>
    <row r="11" spans="1:12" ht="21">
      <c r="A11" s="74">
        <v>5</v>
      </c>
      <c r="B11" s="80" t="s">
        <v>76</v>
      </c>
      <c r="C11" s="22">
        <f>'Page 4'!C34</f>
        <v>89</v>
      </c>
      <c r="D11" s="22">
        <f>'Page 4'!D34</f>
        <v>303</v>
      </c>
      <c r="E11" s="22">
        <f>'Page 4'!E34</f>
        <v>301</v>
      </c>
      <c r="F11" s="22">
        <f>'Page 4'!F34</f>
        <v>500</v>
      </c>
      <c r="G11" s="22">
        <f>'Page 4'!G34</f>
        <v>500</v>
      </c>
      <c r="H11" s="19">
        <v>0</v>
      </c>
      <c r="I11" s="19">
        <f>'Page 4'!H34</f>
        <v>500</v>
      </c>
      <c r="J11" s="22">
        <f>'Page 4'!J34</f>
        <v>0</v>
      </c>
      <c r="K11" s="22">
        <f>'Page 4'!K34</f>
        <v>0</v>
      </c>
      <c r="L11" s="134" t="s">
        <v>119</v>
      </c>
    </row>
    <row r="12" spans="1:12" ht="118.8">
      <c r="A12" s="74">
        <v>6</v>
      </c>
      <c r="B12" s="80" t="s">
        <v>72</v>
      </c>
      <c r="C12" s="22">
        <f>'Page 4'!C35</f>
        <v>3283</v>
      </c>
      <c r="D12" s="22">
        <f>'Page 4'!D35</f>
        <v>4254</v>
      </c>
      <c r="E12" s="22">
        <f>'Page 4'!E35</f>
        <v>2282</v>
      </c>
      <c r="F12" s="22">
        <f>'Page 4'!F35</f>
        <v>4500</v>
      </c>
      <c r="G12" s="22">
        <f>'Page 4'!G35</f>
        <v>4500</v>
      </c>
      <c r="H12" s="19">
        <v>0</v>
      </c>
      <c r="I12" s="19">
        <f>'Page 4'!H35</f>
        <v>4700</v>
      </c>
      <c r="J12" s="22">
        <f>'Page 4'!J35</f>
        <v>0</v>
      </c>
      <c r="K12" s="22">
        <f>'Page 4'!K35</f>
        <v>0</v>
      </c>
      <c r="L12" s="134" t="s">
        <v>120</v>
      </c>
    </row>
    <row r="13" spans="1:12" ht="53.25" customHeight="1">
      <c r="A13" s="74">
        <v>7</v>
      </c>
      <c r="B13" s="80" t="s">
        <v>77</v>
      </c>
      <c r="C13" s="22">
        <f>'Page 4'!C36</f>
        <v>92</v>
      </c>
      <c r="D13" s="22">
        <f>'Page 4'!D36</f>
        <v>310</v>
      </c>
      <c r="E13" s="22">
        <f>'Page 4'!E36</f>
        <v>761</v>
      </c>
      <c r="F13" s="22">
        <f>'Page 4'!F36</f>
        <v>500</v>
      </c>
      <c r="G13" s="22">
        <f>'Page 4'!G36</f>
        <v>500</v>
      </c>
      <c r="H13" s="19">
        <v>0</v>
      </c>
      <c r="I13" s="19">
        <f>'Page 4'!H36</f>
        <v>400</v>
      </c>
      <c r="J13" s="22">
        <f>'Page 4'!J36</f>
        <v>0</v>
      </c>
      <c r="K13" s="22">
        <f>'Page 4'!K36</f>
        <v>0</v>
      </c>
      <c r="L13" s="134" t="s">
        <v>121</v>
      </c>
    </row>
    <row r="14" spans="1:12" ht="53.25" customHeight="1">
      <c r="A14" s="74">
        <v>8</v>
      </c>
      <c r="B14" s="55" t="s">
        <v>101</v>
      </c>
      <c r="C14" s="22">
        <f>'Page 4'!C37</f>
        <v>0</v>
      </c>
      <c r="D14" s="22">
        <f>'Page 4'!D37</f>
        <v>0</v>
      </c>
      <c r="E14" s="22">
        <f>'Page 4'!E37</f>
        <v>0</v>
      </c>
      <c r="F14" s="22">
        <f>'Page 4'!F37</f>
        <v>1</v>
      </c>
      <c r="G14" s="22">
        <f>'Page 4'!G37</f>
        <v>1</v>
      </c>
      <c r="H14" s="19">
        <v>0</v>
      </c>
      <c r="I14" s="19">
        <f>'Page 4'!H37</f>
        <v>150</v>
      </c>
      <c r="J14" s="22">
        <f>'Page 4'!J37</f>
        <v>0</v>
      </c>
      <c r="K14" s="22">
        <f>'Page 4'!K37</f>
        <v>0</v>
      </c>
      <c r="L14" s="134" t="s">
        <v>122</v>
      </c>
    </row>
    <row r="15" spans="1:12" ht="39.6">
      <c r="A15" s="74">
        <v>9</v>
      </c>
      <c r="B15" s="80" t="s">
        <v>73</v>
      </c>
      <c r="C15" s="22">
        <f>'Page 4'!C38</f>
        <v>215</v>
      </c>
      <c r="D15" s="22">
        <f>'Page 4'!D38</f>
        <v>355</v>
      </c>
      <c r="E15" s="22">
        <f>'Page 4'!E38</f>
        <v>583</v>
      </c>
      <c r="F15" s="22">
        <f>'Page 4'!F38</f>
        <v>700</v>
      </c>
      <c r="G15" s="22">
        <f>'Page 4'!G38</f>
        <v>700</v>
      </c>
      <c r="H15" s="19">
        <v>0</v>
      </c>
      <c r="I15" s="19">
        <f>'Page 4'!H38</f>
        <v>1200</v>
      </c>
      <c r="J15" s="22">
        <f>'Page 4'!J38</f>
        <v>0</v>
      </c>
      <c r="K15" s="22">
        <f>'Page 4'!K38</f>
        <v>0</v>
      </c>
      <c r="L15" s="134" t="s">
        <v>123</v>
      </c>
    </row>
    <row r="16" spans="1:12" ht="52.8">
      <c r="A16" s="74">
        <v>10</v>
      </c>
      <c r="B16" s="55" t="s">
        <v>102</v>
      </c>
      <c r="C16" s="22">
        <f>'Page 4'!C39</f>
        <v>0</v>
      </c>
      <c r="D16" s="22">
        <f>'Page 4'!D39</f>
        <v>0</v>
      </c>
      <c r="E16" s="22">
        <f>'Page 4'!E39</f>
        <v>0</v>
      </c>
      <c r="F16" s="22">
        <f>'Page 4'!F39</f>
        <v>1</v>
      </c>
      <c r="G16" s="22">
        <f>'Page 4'!G39</f>
        <v>1</v>
      </c>
      <c r="H16" s="19">
        <v>0</v>
      </c>
      <c r="I16" s="19">
        <f>'Page 4'!H39</f>
        <v>50</v>
      </c>
      <c r="J16" s="22">
        <f>'Page 4'!J39</f>
        <v>0</v>
      </c>
      <c r="K16" s="22">
        <f>'Page 4'!K39</f>
        <v>0</v>
      </c>
      <c r="L16" s="134" t="s">
        <v>124</v>
      </c>
    </row>
    <row r="17" spans="1:12" ht="21">
      <c r="A17" s="74">
        <v>11</v>
      </c>
      <c r="B17" s="80" t="s">
        <v>80</v>
      </c>
      <c r="C17" s="22">
        <f>'Page 4'!C40</f>
        <v>0</v>
      </c>
      <c r="D17" s="22">
        <f>'Page 4'!D40</f>
        <v>0</v>
      </c>
      <c r="E17" s="22">
        <f>'Page 4'!E40</f>
        <v>160</v>
      </c>
      <c r="F17" s="22">
        <f>'Page 4'!F40</f>
        <v>225</v>
      </c>
      <c r="G17" s="22">
        <f>'Page 4'!G40</f>
        <v>225</v>
      </c>
      <c r="H17" s="19">
        <v>0</v>
      </c>
      <c r="I17" s="19">
        <f>'Page 4'!H40</f>
        <v>600</v>
      </c>
      <c r="J17" s="22">
        <f>'Page 4'!J40</f>
        <v>0</v>
      </c>
      <c r="K17" s="22">
        <f>'Page 4'!K40</f>
        <v>0</v>
      </c>
      <c r="L17" s="134" t="s">
        <v>125</v>
      </c>
    </row>
    <row r="18" spans="1:12" ht="26.4">
      <c r="A18" s="74">
        <v>12</v>
      </c>
      <c r="B18" s="80" t="s">
        <v>103</v>
      </c>
      <c r="C18" s="22">
        <f>'Page 4'!C41</f>
        <v>0</v>
      </c>
      <c r="D18" s="22">
        <f>'Page 4'!D41</f>
        <v>0</v>
      </c>
      <c r="E18" s="22">
        <f>'Page 4'!E41</f>
        <v>0</v>
      </c>
      <c r="F18" s="22">
        <f>'Page 4'!F41</f>
        <v>1</v>
      </c>
      <c r="G18" s="22">
        <f>'Page 4'!G41</f>
        <v>1</v>
      </c>
      <c r="H18" s="19">
        <v>0</v>
      </c>
      <c r="I18" s="19">
        <f>'Page 4'!H41</f>
        <v>100</v>
      </c>
      <c r="J18" s="22">
        <f>'Page 4'!J41</f>
        <v>0</v>
      </c>
      <c r="K18" s="22">
        <f>'Page 4'!K41</f>
        <v>0</v>
      </c>
      <c r="L18" s="136" t="s">
        <v>126</v>
      </c>
    </row>
    <row r="19" spans="1:12" s="67" customFormat="1" ht="21">
      <c r="A19" s="74">
        <v>13</v>
      </c>
      <c r="B19" s="117" t="s">
        <v>106</v>
      </c>
      <c r="C19" s="22">
        <f>'Page 4'!C42</f>
        <v>0</v>
      </c>
      <c r="D19" s="22">
        <f>'Page 4'!D42</f>
        <v>0</v>
      </c>
      <c r="E19" s="22">
        <f>'Page 4'!E42</f>
        <v>0</v>
      </c>
      <c r="F19" s="22">
        <f>'Page 4'!F42</f>
        <v>0</v>
      </c>
      <c r="G19" s="22">
        <f>'Page 4'!G42</f>
        <v>0</v>
      </c>
      <c r="H19" s="19">
        <v>0</v>
      </c>
      <c r="I19" s="19">
        <f>'Page 4'!H42</f>
        <v>0</v>
      </c>
      <c r="J19" s="22">
        <f>'Page 4'!J42</f>
        <v>0</v>
      </c>
      <c r="K19" s="22">
        <f>'Page 4'!K42</f>
        <v>0</v>
      </c>
      <c r="L19" s="137" t="s">
        <v>127</v>
      </c>
    </row>
    <row r="20" spans="1:12" ht="26.4">
      <c r="A20" s="74">
        <v>14</v>
      </c>
      <c r="B20" s="80" t="s">
        <v>81</v>
      </c>
      <c r="C20" s="22">
        <f>'Page 4'!C43</f>
        <v>0</v>
      </c>
      <c r="D20" s="22">
        <f>'Page 4'!D43</f>
        <v>0</v>
      </c>
      <c r="E20" s="22">
        <f>'Page 4'!E43</f>
        <v>0</v>
      </c>
      <c r="F20" s="22">
        <f>'Page 4'!F43</f>
        <v>1</v>
      </c>
      <c r="G20" s="22">
        <f>'Page 4'!G43</f>
        <v>1</v>
      </c>
      <c r="H20" s="19">
        <v>0</v>
      </c>
      <c r="I20" s="19">
        <f>'Page 4'!H43</f>
        <v>10</v>
      </c>
      <c r="J20" s="22">
        <f>'Page 4'!J44</f>
        <v>0</v>
      </c>
      <c r="K20" s="22">
        <f>'Page 4'!K44</f>
        <v>0</v>
      </c>
      <c r="L20" s="136" t="s">
        <v>128</v>
      </c>
    </row>
    <row r="21" spans="1:12" ht="21">
      <c r="A21" s="74">
        <v>15</v>
      </c>
      <c r="B21" s="80" t="s">
        <v>74</v>
      </c>
      <c r="C21" s="22">
        <f>'Page 4'!C44</f>
        <v>0</v>
      </c>
      <c r="D21" s="22">
        <f>'Page 4'!D44</f>
        <v>0</v>
      </c>
      <c r="E21" s="22">
        <f>'Page 4'!E44</f>
        <v>0</v>
      </c>
      <c r="F21" s="22">
        <f>'Page 4'!F44</f>
        <v>21</v>
      </c>
      <c r="G21" s="22">
        <f>'Page 4'!G44</f>
        <v>21</v>
      </c>
      <c r="H21" s="19">
        <v>0</v>
      </c>
      <c r="I21" s="19">
        <f>'Page 4'!H44</f>
        <v>200</v>
      </c>
      <c r="J21" s="22">
        <f>'Page 4'!J45</f>
        <v>0</v>
      </c>
      <c r="K21" s="22">
        <f>'Page 4'!K45</f>
        <v>0</v>
      </c>
      <c r="L21" s="136" t="s">
        <v>129</v>
      </c>
    </row>
    <row r="22" spans="1:12" ht="23.4" thickBot="1">
      <c r="A22" s="84" t="s">
        <v>0</v>
      </c>
      <c r="B22" s="85" t="s">
        <v>6</v>
      </c>
      <c r="C22" s="86">
        <f t="shared" ref="C22:K22" si="0">SUM(C7:C21)</f>
        <v>120747</v>
      </c>
      <c r="D22" s="86">
        <f t="shared" si="0"/>
        <v>120996</v>
      </c>
      <c r="E22" s="86">
        <f t="shared" si="0"/>
        <v>120785</v>
      </c>
      <c r="F22" s="86">
        <f t="shared" si="0"/>
        <v>163000</v>
      </c>
      <c r="G22" s="86">
        <f t="shared" si="0"/>
        <v>163000</v>
      </c>
      <c r="H22" s="86">
        <f t="shared" si="0"/>
        <v>0</v>
      </c>
      <c r="I22" s="86">
        <f t="shared" si="0"/>
        <v>175188</v>
      </c>
      <c r="J22" s="86">
        <f t="shared" si="0"/>
        <v>0</v>
      </c>
      <c r="K22" s="86">
        <f t="shared" si="0"/>
        <v>0</v>
      </c>
      <c r="L22" s="87" t="s">
        <v>59</v>
      </c>
    </row>
    <row r="23" spans="1:12" ht="21" thickTop="1"/>
    <row r="24" spans="1:12" ht="25.5" customHeight="1"/>
    <row r="25" spans="1:12" ht="27.75" customHeight="1"/>
    <row r="26" spans="1:12" s="23" customFormat="1">
      <c r="J26" s="143" t="s">
        <v>130</v>
      </c>
      <c r="K26" s="143"/>
      <c r="L26" s="143"/>
    </row>
    <row r="27" spans="1:12" s="23" customFormat="1">
      <c r="J27" s="204"/>
      <c r="K27" s="204"/>
      <c r="L27" s="204"/>
    </row>
    <row r="28" spans="1:12" s="23" customFormat="1">
      <c r="J28" s="204"/>
      <c r="K28" s="204"/>
      <c r="L28" s="204"/>
    </row>
  </sheetData>
  <mergeCells count="11">
    <mergeCell ref="A1:L1"/>
    <mergeCell ref="A2:L2"/>
    <mergeCell ref="A3:C3"/>
    <mergeCell ref="A4:A5"/>
    <mergeCell ref="B4:B5"/>
    <mergeCell ref="C4:E4"/>
    <mergeCell ref="H4:K4"/>
    <mergeCell ref="L4:L5"/>
    <mergeCell ref="J26:L26"/>
    <mergeCell ref="J27:L27"/>
    <mergeCell ref="J28:L28"/>
  </mergeCells>
  <phoneticPr fontId="0" type="noConversion"/>
  <printOptions horizontalCentered="1" verticalCentered="1"/>
  <pageMargins left="0.39370078740157483" right="0.15748031496062992" top="0.19685039370078741" bottom="0.19685039370078741" header="0.15748031496062992" footer="0.15748031496062992"/>
  <pageSetup paperSize="5" scale="80" fitToHeight="0" orientation="landscape" r:id="rId1"/>
  <headerFooter alignWithMargins="0">
    <oddFooter>&amp;Z&amp;F&amp;RPage &amp;P</oddFooter>
  </headerFooter>
  <rowBreaks count="1" manualBreakCount="1">
    <brk id="1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20"/>
  <sheetViews>
    <sheetView view="pageBreakPreview" zoomScaleNormal="100" zoomScaleSheetLayoutView="100" workbookViewId="0">
      <selection activeCell="M13" sqref="M13"/>
    </sheetView>
  </sheetViews>
  <sheetFormatPr defaultColWidth="9.109375" defaultRowHeight="15.6"/>
  <cols>
    <col min="1" max="1" width="6.6640625" style="118" customWidth="1"/>
    <col min="2" max="2" width="14" style="132" customWidth="1"/>
    <col min="3" max="3" width="12.33203125" style="133" customWidth="1"/>
    <col min="4" max="5" width="10.88671875" style="118" customWidth="1"/>
    <col min="6" max="6" width="10.33203125" style="118" customWidth="1"/>
    <col min="7" max="7" width="10.5546875" style="118" customWidth="1"/>
    <col min="8" max="8" width="11.5546875" style="118" customWidth="1"/>
    <col min="9" max="16384" width="9.109375" style="118"/>
  </cols>
  <sheetData>
    <row r="2" spans="1:15" ht="26.25" customHeight="1">
      <c r="A2" s="206" t="s">
        <v>107</v>
      </c>
      <c r="B2" s="206"/>
      <c r="C2" s="206"/>
      <c r="D2" s="206"/>
      <c r="E2" s="206"/>
      <c r="F2" s="206"/>
      <c r="G2" s="206"/>
      <c r="H2" s="206"/>
    </row>
    <row r="3" spans="1:15" ht="3" customHeight="1">
      <c r="A3" s="119"/>
      <c r="B3" s="119"/>
      <c r="C3" s="119"/>
      <c r="D3" s="119"/>
      <c r="E3" s="119"/>
      <c r="F3" s="119"/>
      <c r="G3" s="119"/>
      <c r="H3" s="119"/>
    </row>
    <row r="4" spans="1:15" ht="3.75" customHeight="1">
      <c r="A4" s="119"/>
      <c r="B4" s="119"/>
      <c r="C4" s="119"/>
      <c r="D4" s="119"/>
      <c r="E4" s="119"/>
      <c r="F4" s="119"/>
      <c r="G4" s="119"/>
      <c r="H4" s="119"/>
    </row>
    <row r="5" spans="1:15" s="121" customFormat="1" ht="29.25" customHeight="1">
      <c r="A5" s="206" t="s">
        <v>136</v>
      </c>
      <c r="B5" s="206"/>
      <c r="C5" s="206"/>
      <c r="D5" s="206"/>
      <c r="E5" s="206"/>
      <c r="F5" s="206"/>
      <c r="G5" s="206"/>
      <c r="H5" s="206"/>
      <c r="I5" s="120"/>
      <c r="J5" s="120"/>
      <c r="K5" s="120"/>
      <c r="L5" s="120"/>
      <c r="M5" s="120"/>
      <c r="N5" s="120"/>
      <c r="O5" s="120"/>
    </row>
    <row r="6" spans="1:15" s="121" customFormat="1" ht="26.25" customHeight="1">
      <c r="A6" s="207" t="s">
        <v>24</v>
      </c>
      <c r="B6" s="207"/>
      <c r="C6" s="207"/>
      <c r="D6" s="207"/>
      <c r="E6" s="207"/>
      <c r="F6" s="207"/>
      <c r="G6" s="207"/>
      <c r="H6" s="207"/>
      <c r="I6" s="122"/>
      <c r="J6" s="122"/>
      <c r="K6" s="122"/>
      <c r="L6" s="122"/>
      <c r="M6" s="122"/>
      <c r="N6" s="122"/>
      <c r="O6" s="122"/>
    </row>
    <row r="7" spans="1:15" s="121" customFormat="1" ht="9.75" customHeight="1">
      <c r="A7" s="123"/>
      <c r="B7" s="123"/>
      <c r="C7" s="123"/>
      <c r="D7" s="123"/>
      <c r="E7" s="123"/>
      <c r="F7" s="123"/>
      <c r="G7" s="123"/>
      <c r="H7" s="123"/>
      <c r="I7" s="122"/>
      <c r="J7" s="122"/>
      <c r="K7" s="122"/>
      <c r="L7" s="122"/>
      <c r="M7" s="122"/>
      <c r="N7" s="122"/>
      <c r="O7" s="122"/>
    </row>
    <row r="8" spans="1:15" ht="27" customHeight="1">
      <c r="A8" s="206" t="s">
        <v>108</v>
      </c>
      <c r="B8" s="206"/>
      <c r="C8" s="206"/>
      <c r="D8" s="206"/>
      <c r="E8" s="206"/>
      <c r="F8" s="206"/>
      <c r="G8" s="206"/>
      <c r="H8" s="206"/>
    </row>
    <row r="9" spans="1:15" s="124" customFormat="1" ht="15">
      <c r="B9" s="125"/>
      <c r="C9" s="125"/>
    </row>
    <row r="10" spans="1:15" s="124" customFormat="1" ht="33" customHeight="1">
      <c r="A10" s="181" t="s">
        <v>26</v>
      </c>
      <c r="B10" s="181" t="s">
        <v>109</v>
      </c>
      <c r="C10" s="209" t="s">
        <v>25</v>
      </c>
      <c r="D10" s="210"/>
      <c r="E10" s="209" t="s">
        <v>4</v>
      </c>
      <c r="F10" s="210"/>
      <c r="G10" s="209" t="s">
        <v>5</v>
      </c>
      <c r="H10" s="210"/>
    </row>
    <row r="11" spans="1:15" s="124" customFormat="1" ht="33.75" customHeight="1">
      <c r="A11" s="208"/>
      <c r="B11" s="208"/>
      <c r="C11" s="126" t="s">
        <v>27</v>
      </c>
      <c r="D11" s="126" t="s">
        <v>28</v>
      </c>
      <c r="E11" s="126" t="s">
        <v>27</v>
      </c>
      <c r="F11" s="126" t="s">
        <v>28</v>
      </c>
      <c r="G11" s="126" t="s">
        <v>27</v>
      </c>
      <c r="H11" s="126" t="s">
        <v>28</v>
      </c>
    </row>
    <row r="12" spans="1:15" s="124" customFormat="1" ht="33" customHeight="1">
      <c r="A12" s="127">
        <v>1</v>
      </c>
      <c r="B12" s="127" t="s">
        <v>110</v>
      </c>
      <c r="C12" s="126">
        <f t="shared" ref="C12:D15" si="0">E12+G12</f>
        <v>5</v>
      </c>
      <c r="D12" s="126">
        <f t="shared" si="0"/>
        <v>5</v>
      </c>
      <c r="E12" s="126">
        <v>4</v>
      </c>
      <c r="F12" s="126">
        <v>4</v>
      </c>
      <c r="G12" s="126">
        <v>1</v>
      </c>
      <c r="H12" s="126">
        <v>1</v>
      </c>
    </row>
    <row r="13" spans="1:15" s="124" customFormat="1" ht="32.25" customHeight="1">
      <c r="A13" s="127">
        <v>2</v>
      </c>
      <c r="B13" s="127" t="s">
        <v>111</v>
      </c>
      <c r="C13" s="126">
        <f t="shared" si="0"/>
        <v>2</v>
      </c>
      <c r="D13" s="126">
        <f t="shared" si="0"/>
        <v>8</v>
      </c>
      <c r="E13" s="126">
        <v>2</v>
      </c>
      <c r="F13" s="126">
        <v>5</v>
      </c>
      <c r="G13" s="126">
        <v>0</v>
      </c>
      <c r="H13" s="126">
        <v>3</v>
      </c>
    </row>
    <row r="14" spans="1:15" s="124" customFormat="1" ht="35.25" customHeight="1">
      <c r="A14" s="128">
        <v>3</v>
      </c>
      <c r="B14" s="127" t="s">
        <v>9</v>
      </c>
      <c r="C14" s="126">
        <f t="shared" si="0"/>
        <v>41</v>
      </c>
      <c r="D14" s="126">
        <f t="shared" si="0"/>
        <v>21</v>
      </c>
      <c r="E14" s="126">
        <v>40</v>
      </c>
      <c r="F14" s="126">
        <v>9</v>
      </c>
      <c r="G14" s="126">
        <v>1</v>
      </c>
      <c r="H14" s="126">
        <v>12</v>
      </c>
    </row>
    <row r="15" spans="1:15" s="124" customFormat="1" ht="33" customHeight="1">
      <c r="A15" s="127">
        <v>4</v>
      </c>
      <c r="B15" s="127" t="s">
        <v>10</v>
      </c>
      <c r="C15" s="126">
        <f t="shared" si="0"/>
        <v>18</v>
      </c>
      <c r="D15" s="126">
        <v>24</v>
      </c>
      <c r="E15" s="126">
        <v>14</v>
      </c>
      <c r="F15" s="126">
        <v>12</v>
      </c>
      <c r="G15" s="126">
        <v>4</v>
      </c>
      <c r="H15" s="126">
        <v>13</v>
      </c>
    </row>
    <row r="16" spans="1:15" s="124" customFormat="1" ht="29.25" customHeight="1">
      <c r="A16" s="39" t="s">
        <v>0</v>
      </c>
      <c r="B16" s="39" t="s">
        <v>6</v>
      </c>
      <c r="C16" s="129">
        <f t="shared" ref="C16:H16" si="1">C12+C13+C14+C15</f>
        <v>66</v>
      </c>
      <c r="D16" s="129">
        <f>D12+D13+D14+D15</f>
        <v>58</v>
      </c>
      <c r="E16" s="129">
        <f t="shared" si="1"/>
        <v>60</v>
      </c>
      <c r="F16" s="129">
        <f t="shared" si="1"/>
        <v>30</v>
      </c>
      <c r="G16" s="129">
        <f t="shared" si="1"/>
        <v>6</v>
      </c>
      <c r="H16" s="129">
        <f t="shared" si="1"/>
        <v>29</v>
      </c>
    </row>
    <row r="17" spans="2:8" s="130" customFormat="1" ht="25.5" customHeight="1"/>
    <row r="18" spans="2:8" s="130" customFormat="1" ht="25.5" customHeight="1"/>
    <row r="19" spans="2:8" s="130" customFormat="1" ht="21" customHeight="1"/>
    <row r="20" spans="2:8" ht="23.25" customHeight="1">
      <c r="B20" s="131"/>
      <c r="C20" s="131"/>
      <c r="D20" s="131"/>
      <c r="E20" s="205" t="s">
        <v>130</v>
      </c>
      <c r="F20" s="205"/>
      <c r="G20" s="205"/>
      <c r="H20" s="205"/>
    </row>
  </sheetData>
  <mergeCells count="10">
    <mergeCell ref="E20:H20"/>
    <mergeCell ref="A2:H2"/>
    <mergeCell ref="A5:H5"/>
    <mergeCell ref="A6:H6"/>
    <mergeCell ref="A8:H8"/>
    <mergeCell ref="A10:A11"/>
    <mergeCell ref="B10:B11"/>
    <mergeCell ref="C10:D10"/>
    <mergeCell ref="E10:F10"/>
    <mergeCell ref="G10:H10"/>
  </mergeCells>
  <pageMargins left="0.78740157480314965" right="0.39370078740157483" top="0.74803149606299213" bottom="0.74803149606299213" header="0.31496062992125984" footer="0.31496062992125984"/>
  <pageSetup paperSize="5" scale="10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Page 1</vt:lpstr>
      <vt:lpstr>Page 2</vt:lpstr>
      <vt:lpstr>Page 3</vt:lpstr>
      <vt:lpstr>Page 4</vt:lpstr>
      <vt:lpstr>Page 5</vt:lpstr>
      <vt:lpstr>Table-D</vt:lpstr>
      <vt:lpstr>'Page 1'!Print_Area</vt:lpstr>
      <vt:lpstr>'Page 2'!Print_Area</vt:lpstr>
      <vt:lpstr>'Page 3'!Print_Area</vt:lpstr>
      <vt:lpstr>'Page 4'!Print_Area</vt:lpstr>
      <vt:lpstr>'Page 5'!Print_Area</vt:lpstr>
      <vt:lpstr>'Table-D'!Print_Area</vt:lpstr>
      <vt:lpstr>'Page 5'!Print_Titles</vt:lpstr>
    </vt:vector>
  </TitlesOfParts>
  <Company>KOKAN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REVENUE</dc:creator>
  <cp:lastModifiedBy>prasad somvanshi</cp:lastModifiedBy>
  <cp:lastPrinted>2025-09-29T07:42:05Z</cp:lastPrinted>
  <dcterms:created xsi:type="dcterms:W3CDTF">2012-06-14T05:07:46Z</dcterms:created>
  <dcterms:modified xsi:type="dcterms:W3CDTF">2026-01-19T08:39:23Z</dcterms:modified>
</cp:coreProperties>
</file>