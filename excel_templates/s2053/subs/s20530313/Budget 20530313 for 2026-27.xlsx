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host.lan\Data\files\tasks\64d1c412-579f-4825-b21d-64886defa52c\"/>
    </mc:Choice>
  </mc:AlternateContent>
  <xr:revisionPtr revIDLastSave="0" documentId="8_{DF8E87E1-6F81-4220-B348-6E3B445C045A}" xr6:coauthVersionLast="47" xr6:coauthVersionMax="47" xr10:uidLastSave="{00000000-0000-0000-0000-000000000000}"/>
  <bookViews>
    <workbookView xWindow="-120" yWindow="-120" windowWidth="19440" windowHeight="10440" activeTab="3"/>
  </bookViews>
  <sheets>
    <sheet name="Page 1" sheetId="4" r:id="rId1"/>
    <sheet name="Page 2" sheetId="3" r:id="rId2"/>
    <sheet name="Page 3" sheetId="2" r:id="rId3"/>
    <sheet name="Page 4" sheetId="1" r:id="rId4"/>
    <sheet name="Page 5" sheetId="5" r:id="rId5"/>
    <sheet name="Distrs.wise Abstract" sheetId="7" r:id="rId6"/>
    <sheet name="Table-D" sheetId="8" r:id="rId7"/>
  </sheets>
  <definedNames>
    <definedName name="_xlnm.Print_Area" localSheetId="5">'Distrs.wise Abstract'!$A$1:$J$19</definedName>
    <definedName name="_xlnm.Print_Area" localSheetId="0">'Page 1'!$A$1:$Q$183</definedName>
    <definedName name="_xlnm.Print_Area" localSheetId="1">'Page 2'!$A$1:$P$297</definedName>
    <definedName name="_xlnm.Print_Area" localSheetId="2">'Page 3'!$A$1:$H$147</definedName>
    <definedName name="_xlnm.Print_Area" localSheetId="3">'Page 4'!$A$1:$L$191</definedName>
    <definedName name="_xlnm.Print_Area" localSheetId="4">'Page 5'!$A$1:$L$24</definedName>
    <definedName name="_xlnm.Print_Area" localSheetId="6">'Table-D'!$A$1:$H$20</definedName>
    <definedName name="_xlnm.Print_Titles" localSheetId="4">'Page 5'!$1:$6</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 i="5" l="1"/>
  <c r="G178" i="1"/>
  <c r="G10" i="5" s="1"/>
  <c r="E79" i="4"/>
  <c r="E178" i="1"/>
  <c r="D178" i="1"/>
  <c r="D14" i="8"/>
  <c r="I9" i="7"/>
  <c r="I10" i="7"/>
  <c r="I11" i="7"/>
  <c r="I12" i="7"/>
  <c r="I13" i="7"/>
  <c r="I14" i="7"/>
  <c r="I15" i="7"/>
  <c r="I8" i="7"/>
  <c r="H179" i="1"/>
  <c r="I11" i="5" s="1"/>
  <c r="H180" i="1"/>
  <c r="I12" i="5"/>
  <c r="H181" i="1"/>
  <c r="I13" i="5"/>
  <c r="H182" i="1"/>
  <c r="I14" i="5"/>
  <c r="H183" i="1"/>
  <c r="I15" i="5"/>
  <c r="H184" i="1"/>
  <c r="I16" i="5"/>
  <c r="H185" i="1"/>
  <c r="I17" i="5"/>
  <c r="H186" i="1"/>
  <c r="I18" i="5"/>
  <c r="H187" i="1"/>
  <c r="I19" i="5" s="1"/>
  <c r="H178" i="1"/>
  <c r="I10" i="5"/>
  <c r="J140" i="3"/>
  <c r="C6" i="7"/>
  <c r="C7" i="7"/>
  <c r="C8" i="7"/>
  <c r="C9" i="7"/>
  <c r="J9" i="7" s="1"/>
  <c r="C10" i="7"/>
  <c r="J10" i="7" s="1"/>
  <c r="C11" i="7"/>
  <c r="J11" i="7" s="1"/>
  <c r="C12" i="7"/>
  <c r="J12" i="7" s="1"/>
  <c r="C13" i="7"/>
  <c r="C14" i="7"/>
  <c r="C15" i="7"/>
  <c r="C16" i="7"/>
  <c r="C17" i="7"/>
  <c r="J17" i="7" s="1"/>
  <c r="C5" i="7"/>
  <c r="E10" i="5"/>
  <c r="J60" i="3"/>
  <c r="D190" i="3"/>
  <c r="G146" i="1"/>
  <c r="F146" i="1"/>
  <c r="D146" i="1"/>
  <c r="C146" i="1"/>
  <c r="G83" i="1"/>
  <c r="F83" i="1"/>
  <c r="G59" i="4"/>
  <c r="G62" i="1"/>
  <c r="F62" i="1"/>
  <c r="D62" i="1"/>
  <c r="C62" i="1"/>
  <c r="G41" i="1"/>
  <c r="F41" i="1"/>
  <c r="D41" i="1"/>
  <c r="C41" i="1"/>
  <c r="P168" i="4"/>
  <c r="J168" i="4"/>
  <c r="G168" i="4"/>
  <c r="I168" i="4"/>
  <c r="G167" i="4"/>
  <c r="I167" i="4"/>
  <c r="P177" i="4"/>
  <c r="O177" i="4"/>
  <c r="O179" i="4" s="1"/>
  <c r="N177" i="4"/>
  <c r="M177" i="4"/>
  <c r="L177" i="4"/>
  <c r="K177" i="4"/>
  <c r="H177" i="4"/>
  <c r="G177" i="4"/>
  <c r="I177" i="4" s="1"/>
  <c r="P167" i="4"/>
  <c r="P169" i="4"/>
  <c r="O167" i="4"/>
  <c r="N167" i="4"/>
  <c r="M167" i="4"/>
  <c r="L167" i="4"/>
  <c r="K167" i="4"/>
  <c r="F167" i="4"/>
  <c r="H167" i="4"/>
  <c r="H169" i="4"/>
  <c r="C15" i="8"/>
  <c r="I17" i="7"/>
  <c r="I16" i="7"/>
  <c r="I7" i="7"/>
  <c r="I6" i="7"/>
  <c r="I18" i="7" s="1"/>
  <c r="I5" i="7"/>
  <c r="G17" i="7"/>
  <c r="G16" i="7"/>
  <c r="G15" i="7"/>
  <c r="G14" i="7"/>
  <c r="G13" i="7"/>
  <c r="G12" i="7"/>
  <c r="G11" i="7"/>
  <c r="G10" i="7"/>
  <c r="G9" i="7"/>
  <c r="G8" i="7"/>
  <c r="G7" i="7"/>
  <c r="G6" i="7"/>
  <c r="G5" i="7"/>
  <c r="F17" i="7"/>
  <c r="F16" i="7"/>
  <c r="F15" i="7"/>
  <c r="F14" i="7"/>
  <c r="F13" i="7"/>
  <c r="F12" i="7"/>
  <c r="F11" i="7"/>
  <c r="F10" i="7"/>
  <c r="F9" i="7"/>
  <c r="F8" i="7"/>
  <c r="F7" i="7"/>
  <c r="F6" i="7"/>
  <c r="F5" i="7"/>
  <c r="E17" i="7"/>
  <c r="E16" i="7"/>
  <c r="E15" i="7"/>
  <c r="E14" i="7"/>
  <c r="E13" i="7"/>
  <c r="E12" i="7"/>
  <c r="E11" i="7"/>
  <c r="E10" i="7"/>
  <c r="E9" i="7"/>
  <c r="E8" i="7"/>
  <c r="E7" i="7"/>
  <c r="E6" i="7"/>
  <c r="E5" i="7"/>
  <c r="H17" i="7"/>
  <c r="H16" i="7"/>
  <c r="H15" i="7"/>
  <c r="H14" i="7"/>
  <c r="H13" i="7"/>
  <c r="H12" i="7"/>
  <c r="H11" i="7"/>
  <c r="H10" i="7"/>
  <c r="H9" i="7"/>
  <c r="H8" i="7"/>
  <c r="H7" i="7"/>
  <c r="H6" i="7"/>
  <c r="H5" i="7"/>
  <c r="D15" i="8"/>
  <c r="D13" i="8"/>
  <c r="D12" i="8"/>
  <c r="D16" i="8" s="1"/>
  <c r="C13" i="8"/>
  <c r="C12" i="8"/>
  <c r="C14" i="8"/>
  <c r="H16" i="8"/>
  <c r="G16" i="8"/>
  <c r="F16" i="8"/>
  <c r="E16" i="8"/>
  <c r="H20" i="5"/>
  <c r="J229" i="3"/>
  <c r="F229" i="3"/>
  <c r="J228" i="3"/>
  <c r="F228" i="3"/>
  <c r="J227" i="3"/>
  <c r="F227" i="3"/>
  <c r="K227" i="3"/>
  <c r="O226" i="3" s="1"/>
  <c r="J226" i="3"/>
  <c r="F226" i="3"/>
  <c r="K226" i="3"/>
  <c r="O225" i="3" s="1"/>
  <c r="J225" i="3"/>
  <c r="K225" i="3"/>
  <c r="O223" i="3" s="1"/>
  <c r="F225" i="3"/>
  <c r="J224" i="3"/>
  <c r="F224" i="3"/>
  <c r="I223" i="3"/>
  <c r="H223" i="3"/>
  <c r="H230" i="3" s="1"/>
  <c r="G223" i="3"/>
  <c r="G230" i="3"/>
  <c r="E223" i="3"/>
  <c r="D223" i="3"/>
  <c r="C223" i="3"/>
  <c r="F223" i="3" s="1"/>
  <c r="J222" i="3"/>
  <c r="F222" i="3"/>
  <c r="K222" i="3" s="1"/>
  <c r="O221" i="3" s="1"/>
  <c r="J221" i="3"/>
  <c r="J223" i="3"/>
  <c r="F221" i="3"/>
  <c r="K221" i="3"/>
  <c r="K223" i="3" s="1"/>
  <c r="J220" i="3"/>
  <c r="F220" i="3"/>
  <c r="K220" i="3"/>
  <c r="O219" i="3" s="1"/>
  <c r="J214" i="3"/>
  <c r="K214" i="3"/>
  <c r="N228" i="3"/>
  <c r="P228" i="3" s="1"/>
  <c r="F214" i="3"/>
  <c r="J213" i="3"/>
  <c r="F213" i="3"/>
  <c r="K213" i="3"/>
  <c r="N227" i="3" s="1"/>
  <c r="J212" i="3"/>
  <c r="K212" i="3"/>
  <c r="N226" i="3"/>
  <c r="F212" i="3"/>
  <c r="J211" i="3"/>
  <c r="F211" i="3"/>
  <c r="J210" i="3"/>
  <c r="F210" i="3"/>
  <c r="J209" i="3"/>
  <c r="F209" i="3"/>
  <c r="I208" i="3"/>
  <c r="I215" i="3" s="1"/>
  <c r="H208" i="3"/>
  <c r="H215" i="3" s="1"/>
  <c r="G208" i="3"/>
  <c r="G215" i="3" s="1"/>
  <c r="E208" i="3"/>
  <c r="D208" i="3"/>
  <c r="D215" i="3" s="1"/>
  <c r="C208" i="3"/>
  <c r="C215" i="3"/>
  <c r="J207" i="3"/>
  <c r="K207" i="3"/>
  <c r="N221" i="3" s="1"/>
  <c r="F207" i="3"/>
  <c r="J206" i="3"/>
  <c r="J208" i="3" s="1"/>
  <c r="J215" i="3" s="1"/>
  <c r="F206" i="3"/>
  <c r="K206" i="3"/>
  <c r="J205" i="3"/>
  <c r="F205" i="3"/>
  <c r="K205" i="3"/>
  <c r="N219" i="3"/>
  <c r="P219" i="3" s="1"/>
  <c r="J196" i="3"/>
  <c r="F196" i="3"/>
  <c r="J195" i="3"/>
  <c r="F195" i="3"/>
  <c r="K195" i="3"/>
  <c r="O194" i="3" s="1"/>
  <c r="J194" i="3"/>
  <c r="K194" i="3"/>
  <c r="O193" i="3" s="1"/>
  <c r="F194" i="3"/>
  <c r="J193" i="3"/>
  <c r="F193" i="3"/>
  <c r="J192" i="3"/>
  <c r="F192" i="3"/>
  <c r="J191" i="3"/>
  <c r="J197" i="3" s="1"/>
  <c r="F191" i="3"/>
  <c r="I190" i="3"/>
  <c r="H190" i="3"/>
  <c r="H197" i="3"/>
  <c r="G190" i="3"/>
  <c r="E190" i="3"/>
  <c r="E197" i="3" s="1"/>
  <c r="C190" i="3"/>
  <c r="F190" i="3" s="1"/>
  <c r="J189" i="3"/>
  <c r="F189" i="3"/>
  <c r="J188" i="3"/>
  <c r="J190" i="3" s="1"/>
  <c r="F188" i="3"/>
  <c r="K188" i="3" s="1"/>
  <c r="K190" i="3" s="1"/>
  <c r="J187" i="3"/>
  <c r="F187" i="3"/>
  <c r="K187" i="3"/>
  <c r="O186" i="3"/>
  <c r="J181" i="3"/>
  <c r="F181" i="3"/>
  <c r="J180" i="3"/>
  <c r="J182" i="3" s="1"/>
  <c r="F180" i="3"/>
  <c r="K180" i="3"/>
  <c r="N194" i="3" s="1"/>
  <c r="P194" i="3" s="1"/>
  <c r="J179" i="3"/>
  <c r="K179" i="3"/>
  <c r="N193" i="3" s="1"/>
  <c r="F179" i="3"/>
  <c r="J178" i="3"/>
  <c r="K178" i="3"/>
  <c r="N192" i="3" s="1"/>
  <c r="F178" i="3"/>
  <c r="J177" i="3"/>
  <c r="F177" i="3"/>
  <c r="J176" i="3"/>
  <c r="F176" i="3"/>
  <c r="I175" i="3"/>
  <c r="I182" i="3"/>
  <c r="H175" i="3"/>
  <c r="H182" i="3" s="1"/>
  <c r="G175" i="3"/>
  <c r="E175" i="3"/>
  <c r="D175" i="3"/>
  <c r="D182" i="3" s="1"/>
  <c r="C175" i="3"/>
  <c r="J174" i="3"/>
  <c r="F174" i="3"/>
  <c r="K174" i="3"/>
  <c r="N188" i="3" s="1"/>
  <c r="P188" i="3" s="1"/>
  <c r="J173" i="3"/>
  <c r="J175" i="3"/>
  <c r="F173" i="3"/>
  <c r="K173" i="3" s="1"/>
  <c r="J172" i="3"/>
  <c r="K172" i="3" s="1"/>
  <c r="N186" i="3" s="1"/>
  <c r="F172" i="3"/>
  <c r="J163" i="3"/>
  <c r="F163" i="3"/>
  <c r="K163" i="3"/>
  <c r="O162" i="3"/>
  <c r="J162" i="3"/>
  <c r="F162" i="3"/>
  <c r="K162" i="3"/>
  <c r="O161" i="3" s="1"/>
  <c r="P161" i="3" s="1"/>
  <c r="J161" i="3"/>
  <c r="F161" i="3"/>
  <c r="K161" i="3"/>
  <c r="O160" i="3"/>
  <c r="J160" i="3"/>
  <c r="F160" i="3"/>
  <c r="F164" i="3" s="1"/>
  <c r="J159" i="3"/>
  <c r="F159" i="3"/>
  <c r="J158" i="3"/>
  <c r="K158" i="3"/>
  <c r="O158" i="3" s="1"/>
  <c r="F158" i="3"/>
  <c r="I157" i="3"/>
  <c r="I164" i="3"/>
  <c r="H157" i="3"/>
  <c r="H164" i="3" s="1"/>
  <c r="G157" i="3"/>
  <c r="G164" i="3" s="1"/>
  <c r="E157" i="3"/>
  <c r="F157" i="3" s="1"/>
  <c r="E164" i="3"/>
  <c r="D157" i="3"/>
  <c r="D164" i="3" s="1"/>
  <c r="C157" i="3"/>
  <c r="J156" i="3"/>
  <c r="F156" i="3"/>
  <c r="K156" i="3" s="1"/>
  <c r="O155" i="3" s="1"/>
  <c r="J155" i="3"/>
  <c r="J157" i="3" s="1"/>
  <c r="F155" i="3"/>
  <c r="K155" i="3" s="1"/>
  <c r="J154" i="3"/>
  <c r="F154" i="3"/>
  <c r="K154" i="3" s="1"/>
  <c r="O153" i="3" s="1"/>
  <c r="J148" i="3"/>
  <c r="F148" i="3"/>
  <c r="K148" i="3"/>
  <c r="N162" i="3" s="1"/>
  <c r="P162" i="3" s="1"/>
  <c r="J147" i="3"/>
  <c r="K147" i="3"/>
  <c r="N161" i="3" s="1"/>
  <c r="F147" i="3"/>
  <c r="J146" i="3"/>
  <c r="F146" i="3"/>
  <c r="K146" i="3" s="1"/>
  <c r="N160" i="3" s="1"/>
  <c r="J145" i="3"/>
  <c r="F145" i="3"/>
  <c r="K145" i="3"/>
  <c r="N159" i="3"/>
  <c r="J144" i="3"/>
  <c r="F144" i="3"/>
  <c r="K144" i="3"/>
  <c r="N157" i="3"/>
  <c r="J143" i="3"/>
  <c r="K143" i="3" s="1"/>
  <c r="F143" i="3"/>
  <c r="I142" i="3"/>
  <c r="I149" i="3"/>
  <c r="H142" i="3"/>
  <c r="H149" i="3"/>
  <c r="G142" i="3"/>
  <c r="G149" i="3" s="1"/>
  <c r="E142" i="3"/>
  <c r="E149" i="3" s="1"/>
  <c r="D142" i="3"/>
  <c r="D149" i="3"/>
  <c r="C142" i="3"/>
  <c r="J141" i="3"/>
  <c r="F141" i="3"/>
  <c r="F140" i="3"/>
  <c r="K140" i="3" s="1"/>
  <c r="J139" i="3"/>
  <c r="K139" i="3" s="1"/>
  <c r="F139" i="3"/>
  <c r="N153" i="3"/>
  <c r="P153" i="3" s="1"/>
  <c r="J130" i="3"/>
  <c r="F130" i="3"/>
  <c r="J129" i="3"/>
  <c r="K129" i="3" s="1"/>
  <c r="O128" i="3" s="1"/>
  <c r="F129" i="3"/>
  <c r="J128" i="3"/>
  <c r="F128" i="3"/>
  <c r="K128" i="3" s="1"/>
  <c r="O127" i="3" s="1"/>
  <c r="J127" i="3"/>
  <c r="F127" i="3"/>
  <c r="K127" i="3"/>
  <c r="O126" i="3"/>
  <c r="J126" i="3"/>
  <c r="F126" i="3"/>
  <c r="F131" i="3" s="1"/>
  <c r="J125" i="3"/>
  <c r="F125" i="3"/>
  <c r="I124" i="3"/>
  <c r="I131" i="3" s="1"/>
  <c r="H124" i="3"/>
  <c r="H131" i="3" s="1"/>
  <c r="G124" i="3"/>
  <c r="G131" i="3"/>
  <c r="E124" i="3"/>
  <c r="D124" i="3"/>
  <c r="D131" i="3" s="1"/>
  <c r="C124" i="3"/>
  <c r="F124" i="3" s="1"/>
  <c r="J123" i="3"/>
  <c r="F123" i="3"/>
  <c r="J122" i="3"/>
  <c r="J124" i="3" s="1"/>
  <c r="F122" i="3"/>
  <c r="K122" i="3"/>
  <c r="O121" i="3" s="1"/>
  <c r="J121" i="3"/>
  <c r="F121" i="3"/>
  <c r="J115" i="3"/>
  <c r="F115" i="3"/>
  <c r="J114" i="3"/>
  <c r="K114" i="3" s="1"/>
  <c r="N128" i="3" s="1"/>
  <c r="F114" i="3"/>
  <c r="J113" i="3"/>
  <c r="F113" i="3"/>
  <c r="J112" i="3"/>
  <c r="F112" i="3"/>
  <c r="K112" i="3" s="1"/>
  <c r="N126" i="3" s="1"/>
  <c r="J111" i="3"/>
  <c r="F111" i="3"/>
  <c r="J110" i="3"/>
  <c r="F110" i="3"/>
  <c r="I109" i="3"/>
  <c r="I116" i="3"/>
  <c r="H109" i="3"/>
  <c r="H116" i="3"/>
  <c r="G109" i="3"/>
  <c r="G116" i="3" s="1"/>
  <c r="E109" i="3"/>
  <c r="E116" i="3"/>
  <c r="D109" i="3"/>
  <c r="C109" i="3"/>
  <c r="F109" i="3" s="1"/>
  <c r="C116" i="3"/>
  <c r="J108" i="3"/>
  <c r="F108" i="3"/>
  <c r="J107" i="3"/>
  <c r="J109" i="3"/>
  <c r="F107" i="3"/>
  <c r="J106" i="3"/>
  <c r="F106" i="3"/>
  <c r="J97" i="3"/>
  <c r="F97" i="3"/>
  <c r="J96" i="3"/>
  <c r="K96" i="3" s="1"/>
  <c r="O95" i="3" s="1"/>
  <c r="F96" i="3"/>
  <c r="J95" i="3"/>
  <c r="F95" i="3"/>
  <c r="K95" i="3"/>
  <c r="O94" i="3"/>
  <c r="J94" i="3"/>
  <c r="K94" i="3" s="1"/>
  <c r="O93" i="3" s="1"/>
  <c r="P93" i="3" s="1"/>
  <c r="F94" i="3"/>
  <c r="J93" i="3"/>
  <c r="F93" i="3"/>
  <c r="K93" i="3" s="1"/>
  <c r="O91" i="3" s="1"/>
  <c r="J92" i="3"/>
  <c r="F92" i="3"/>
  <c r="I91" i="3"/>
  <c r="I98" i="3" s="1"/>
  <c r="H91" i="3"/>
  <c r="H98" i="3"/>
  <c r="G91" i="3"/>
  <c r="E91" i="3"/>
  <c r="D91" i="3"/>
  <c r="D98" i="3" s="1"/>
  <c r="F91" i="3"/>
  <c r="F98" i="3" s="1"/>
  <c r="C91" i="3"/>
  <c r="C98" i="3" s="1"/>
  <c r="J90" i="3"/>
  <c r="F90" i="3"/>
  <c r="K90" i="3" s="1"/>
  <c r="O89" i="3" s="1"/>
  <c r="J89" i="3"/>
  <c r="K89" i="3"/>
  <c r="J91" i="3"/>
  <c r="F89" i="3"/>
  <c r="J88" i="3"/>
  <c r="K88" i="3"/>
  <c r="O87" i="3" s="1"/>
  <c r="F88" i="3"/>
  <c r="J82" i="3"/>
  <c r="F82" i="3"/>
  <c r="K82" i="3"/>
  <c r="N96" i="3"/>
  <c r="J81" i="3"/>
  <c r="K81" i="3"/>
  <c r="N95" i="3" s="1"/>
  <c r="P95" i="3" s="1"/>
  <c r="F81" i="3"/>
  <c r="J80" i="3"/>
  <c r="F80" i="3"/>
  <c r="J79" i="3"/>
  <c r="F79" i="3"/>
  <c r="K79" i="3"/>
  <c r="N93" i="3" s="1"/>
  <c r="J78" i="3"/>
  <c r="F78" i="3"/>
  <c r="K78" i="3" s="1"/>
  <c r="N91" i="3" s="1"/>
  <c r="P91" i="3" s="1"/>
  <c r="J77" i="3"/>
  <c r="F77" i="3"/>
  <c r="I76" i="3"/>
  <c r="I83" i="3"/>
  <c r="H76" i="3"/>
  <c r="H83" i="3"/>
  <c r="G76" i="3"/>
  <c r="G83" i="3"/>
  <c r="E76" i="3"/>
  <c r="E83" i="3"/>
  <c r="D76" i="3"/>
  <c r="D83" i="3" s="1"/>
  <c r="C76" i="3"/>
  <c r="J75" i="3"/>
  <c r="F75" i="3"/>
  <c r="J74" i="3"/>
  <c r="J76" i="3" s="1"/>
  <c r="F74" i="3"/>
  <c r="K74" i="3"/>
  <c r="N88" i="3"/>
  <c r="J73" i="3"/>
  <c r="F73" i="3"/>
  <c r="K73" i="3" s="1"/>
  <c r="N87" i="3" s="1"/>
  <c r="J64" i="3"/>
  <c r="F64" i="3"/>
  <c r="J63" i="3"/>
  <c r="K63" i="3" s="1"/>
  <c r="F63" i="3"/>
  <c r="O62" i="3"/>
  <c r="J62" i="3"/>
  <c r="F62" i="3"/>
  <c r="J61" i="3"/>
  <c r="F61" i="3"/>
  <c r="F60" i="3"/>
  <c r="K60" i="3"/>
  <c r="O58" i="3"/>
  <c r="J59" i="3"/>
  <c r="K59" i="3" s="1"/>
  <c r="O59" i="3" s="1"/>
  <c r="F59" i="3"/>
  <c r="I58" i="3"/>
  <c r="I65" i="3" s="1"/>
  <c r="H58" i="3"/>
  <c r="H65" i="3"/>
  <c r="G58" i="3"/>
  <c r="G65" i="3" s="1"/>
  <c r="E58" i="3"/>
  <c r="D58" i="3"/>
  <c r="D65" i="3"/>
  <c r="F58" i="3"/>
  <c r="C58" i="3"/>
  <c r="C65" i="3" s="1"/>
  <c r="J57" i="3"/>
  <c r="K57" i="3" s="1"/>
  <c r="F57" i="3"/>
  <c r="J56" i="3"/>
  <c r="J58" i="3"/>
  <c r="F56" i="3"/>
  <c r="K56" i="3"/>
  <c r="J55" i="3"/>
  <c r="F55" i="3"/>
  <c r="J49" i="3"/>
  <c r="K49" i="3" s="1"/>
  <c r="N63" i="3" s="1"/>
  <c r="P63" i="3" s="1"/>
  <c r="F49" i="3"/>
  <c r="J48" i="3"/>
  <c r="F48" i="3"/>
  <c r="K48" i="3"/>
  <c r="N62" i="3"/>
  <c r="J47" i="3"/>
  <c r="K47" i="3" s="1"/>
  <c r="N61" i="3" s="1"/>
  <c r="F47" i="3"/>
  <c r="J46" i="3"/>
  <c r="F46" i="3"/>
  <c r="J45" i="3"/>
  <c r="K45" i="3" s="1"/>
  <c r="F45" i="3"/>
  <c r="N58" i="3"/>
  <c r="P58" i="3" s="1"/>
  <c r="J44" i="3"/>
  <c r="F44" i="3"/>
  <c r="K44" i="3" s="1"/>
  <c r="I43" i="3"/>
  <c r="I50" i="3"/>
  <c r="H43" i="3"/>
  <c r="H50" i="3"/>
  <c r="G43" i="3"/>
  <c r="E43" i="3"/>
  <c r="E50" i="3" s="1"/>
  <c r="D43" i="3"/>
  <c r="C43" i="3"/>
  <c r="F43" i="3" s="1"/>
  <c r="J42" i="3"/>
  <c r="F42" i="3"/>
  <c r="K42" i="3"/>
  <c r="J41" i="3"/>
  <c r="J43" i="3"/>
  <c r="F41" i="3"/>
  <c r="K41" i="3"/>
  <c r="K43" i="3" s="1"/>
  <c r="J40" i="3"/>
  <c r="F40" i="3"/>
  <c r="K40" i="3" s="1"/>
  <c r="N54" i="3" s="1"/>
  <c r="I68" i="4"/>
  <c r="Q68" i="4" s="1"/>
  <c r="I67" i="4"/>
  <c r="I69" i="4"/>
  <c r="I138" i="4"/>
  <c r="Q138" i="4"/>
  <c r="I137" i="4"/>
  <c r="I139" i="4"/>
  <c r="J137" i="4"/>
  <c r="J139" i="4"/>
  <c r="I128" i="4"/>
  <c r="Q128" i="4"/>
  <c r="I127" i="4"/>
  <c r="J127" i="4" s="1"/>
  <c r="I118" i="4"/>
  <c r="Q118" i="4"/>
  <c r="I117" i="4"/>
  <c r="J117" i="4"/>
  <c r="J119" i="4" s="1"/>
  <c r="I108" i="4"/>
  <c r="Q108" i="4"/>
  <c r="I107" i="4"/>
  <c r="J107" i="4"/>
  <c r="I98" i="4"/>
  <c r="Q98" i="4" s="1"/>
  <c r="I97" i="4"/>
  <c r="J97" i="4"/>
  <c r="I88" i="4"/>
  <c r="Q88" i="4"/>
  <c r="I87" i="4"/>
  <c r="I89" i="4" s="1"/>
  <c r="I78" i="4"/>
  <c r="Q78" i="4" s="1"/>
  <c r="I77" i="4"/>
  <c r="J77" i="4"/>
  <c r="J79" i="4" s="1"/>
  <c r="I58" i="4"/>
  <c r="Q58" i="4"/>
  <c r="I57" i="4"/>
  <c r="J57" i="4"/>
  <c r="I48" i="4"/>
  <c r="Q48" i="4"/>
  <c r="I47" i="4"/>
  <c r="I49" i="4" s="1"/>
  <c r="J47" i="4"/>
  <c r="J49" i="4" s="1"/>
  <c r="I38" i="4"/>
  <c r="Q38" i="4"/>
  <c r="I37" i="4"/>
  <c r="I39" i="4" s="1"/>
  <c r="J37" i="4"/>
  <c r="J39" i="4" s="1"/>
  <c r="H146" i="1"/>
  <c r="K178" i="1"/>
  <c r="J178" i="1"/>
  <c r="I178" i="1"/>
  <c r="F178" i="1"/>
  <c r="D10" i="5"/>
  <c r="C178" i="1"/>
  <c r="C10" i="5"/>
  <c r="K182" i="1"/>
  <c r="J182" i="1"/>
  <c r="I182" i="1"/>
  <c r="G182" i="1"/>
  <c r="G14" i="5"/>
  <c r="F182" i="1"/>
  <c r="F14" i="5"/>
  <c r="E182" i="1"/>
  <c r="E14" i="5" s="1"/>
  <c r="D182" i="1"/>
  <c r="D14" i="5"/>
  <c r="C182" i="1"/>
  <c r="C14" i="5"/>
  <c r="K184" i="1"/>
  <c r="J184" i="1"/>
  <c r="I184" i="1"/>
  <c r="G184" i="1"/>
  <c r="G16" i="5" s="1"/>
  <c r="F184" i="1"/>
  <c r="F16" i="5"/>
  <c r="E184" i="1"/>
  <c r="E16" i="5"/>
  <c r="D184" i="1"/>
  <c r="D16" i="5"/>
  <c r="C184" i="1"/>
  <c r="C16" i="5"/>
  <c r="D14" i="7"/>
  <c r="J14" i="7" s="1"/>
  <c r="D12" i="7"/>
  <c r="D8" i="7"/>
  <c r="J8" i="7"/>
  <c r="K167" i="1"/>
  <c r="J167" i="1"/>
  <c r="I167" i="1"/>
  <c r="H167" i="1"/>
  <c r="G167" i="1"/>
  <c r="F167" i="1"/>
  <c r="E167" i="1"/>
  <c r="D167" i="1"/>
  <c r="C167" i="1"/>
  <c r="G175" i="1"/>
  <c r="F175" i="1"/>
  <c r="F7" i="5"/>
  <c r="H175" i="1"/>
  <c r="I7" i="5"/>
  <c r="D295" i="3"/>
  <c r="D280" i="3"/>
  <c r="F280" i="3" s="1"/>
  <c r="D6" i="7"/>
  <c r="D18" i="7" s="1"/>
  <c r="D7" i="7"/>
  <c r="J7" i="7" s="1"/>
  <c r="D9" i="7"/>
  <c r="D10" i="7"/>
  <c r="D11" i="7"/>
  <c r="D13" i="7"/>
  <c r="D15" i="7"/>
  <c r="J15" i="7" s="1"/>
  <c r="D16" i="7"/>
  <c r="J16" i="7" s="1"/>
  <c r="D17" i="7"/>
  <c r="D5" i="7"/>
  <c r="J146" i="1"/>
  <c r="D178" i="4"/>
  <c r="E178" i="4"/>
  <c r="F178" i="4"/>
  <c r="G178" i="4"/>
  <c r="H178" i="4"/>
  <c r="H179" i="4" s="1"/>
  <c r="E177" i="4"/>
  <c r="E179" i="4" s="1"/>
  <c r="F177" i="4"/>
  <c r="D177" i="4"/>
  <c r="D179" i="4" s="1"/>
  <c r="J20" i="5"/>
  <c r="K20" i="5"/>
  <c r="P178" i="4"/>
  <c r="P179" i="4" s="1"/>
  <c r="O178" i="4"/>
  <c r="N178" i="4"/>
  <c r="M178" i="4"/>
  <c r="M179" i="4" s="1"/>
  <c r="L178" i="4"/>
  <c r="L179" i="4" s="1"/>
  <c r="K178" i="4"/>
  <c r="K179" i="4" s="1"/>
  <c r="O168" i="4"/>
  <c r="O169" i="4" s="1"/>
  <c r="N168" i="4"/>
  <c r="M168" i="4"/>
  <c r="M169" i="4" s="1"/>
  <c r="L168" i="4"/>
  <c r="L169" i="4" s="1"/>
  <c r="K168" i="4"/>
  <c r="K169" i="4" s="1"/>
  <c r="E167" i="4"/>
  <c r="E168" i="4"/>
  <c r="F168" i="4"/>
  <c r="D168" i="4"/>
  <c r="D167" i="4"/>
  <c r="P159" i="4"/>
  <c r="O159" i="4"/>
  <c r="N159" i="4"/>
  <c r="M159" i="4"/>
  <c r="L159" i="4"/>
  <c r="K159" i="4"/>
  <c r="H159" i="4"/>
  <c r="G159" i="4"/>
  <c r="F159" i="4"/>
  <c r="E159" i="4"/>
  <c r="D159" i="4"/>
  <c r="I158" i="4"/>
  <c r="Q158" i="4"/>
  <c r="I157" i="4"/>
  <c r="P149" i="4"/>
  <c r="O149" i="4"/>
  <c r="N149" i="4"/>
  <c r="M149" i="4"/>
  <c r="L149" i="4"/>
  <c r="K149" i="4"/>
  <c r="H149" i="4"/>
  <c r="G149" i="4"/>
  <c r="F149" i="4"/>
  <c r="E149" i="4"/>
  <c r="D149" i="4"/>
  <c r="I148" i="4"/>
  <c r="Q148" i="4"/>
  <c r="I147" i="4"/>
  <c r="J147" i="4"/>
  <c r="J149" i="4" s="1"/>
  <c r="P139" i="4"/>
  <c r="O139" i="4"/>
  <c r="N139" i="4"/>
  <c r="M139" i="4"/>
  <c r="L139" i="4"/>
  <c r="K139" i="4"/>
  <c r="H139" i="4"/>
  <c r="G139" i="4"/>
  <c r="F139" i="4"/>
  <c r="E139" i="4"/>
  <c r="D139" i="4"/>
  <c r="P129" i="4"/>
  <c r="O129" i="4"/>
  <c r="N129" i="4"/>
  <c r="M129" i="4"/>
  <c r="L129" i="4"/>
  <c r="K129" i="4"/>
  <c r="H129" i="4"/>
  <c r="G129" i="4"/>
  <c r="F129" i="4"/>
  <c r="E129" i="4"/>
  <c r="D129" i="4"/>
  <c r="P119" i="4"/>
  <c r="O119" i="4"/>
  <c r="N119" i="4"/>
  <c r="M119" i="4"/>
  <c r="L119" i="4"/>
  <c r="K119" i="4"/>
  <c r="H119" i="4"/>
  <c r="G119" i="4"/>
  <c r="F119" i="4"/>
  <c r="E119" i="4"/>
  <c r="D119" i="4"/>
  <c r="P109" i="4"/>
  <c r="O109" i="4"/>
  <c r="N109" i="4"/>
  <c r="M109" i="4"/>
  <c r="L109" i="4"/>
  <c r="K109" i="4"/>
  <c r="H109" i="4"/>
  <c r="G109" i="4"/>
  <c r="F109" i="4"/>
  <c r="E109" i="4"/>
  <c r="D109" i="4"/>
  <c r="P99" i="4"/>
  <c r="O99" i="4"/>
  <c r="N99" i="4"/>
  <c r="M99" i="4"/>
  <c r="L99" i="4"/>
  <c r="K99" i="4"/>
  <c r="H99" i="4"/>
  <c r="G99" i="4"/>
  <c r="F99" i="4"/>
  <c r="E99" i="4"/>
  <c r="D99" i="4"/>
  <c r="P89" i="4"/>
  <c r="O89" i="4"/>
  <c r="N89" i="4"/>
  <c r="M89" i="4"/>
  <c r="L89" i="4"/>
  <c r="K89" i="4"/>
  <c r="H89" i="4"/>
  <c r="G89" i="4"/>
  <c r="F89" i="4"/>
  <c r="E89" i="4"/>
  <c r="D89" i="4"/>
  <c r="P79" i="4"/>
  <c r="O79" i="4"/>
  <c r="N79" i="4"/>
  <c r="M79" i="4"/>
  <c r="L79" i="4"/>
  <c r="K79" i="4"/>
  <c r="H79" i="4"/>
  <c r="G79" i="4"/>
  <c r="F79" i="4"/>
  <c r="D79" i="4"/>
  <c r="P69" i="4"/>
  <c r="O69" i="4"/>
  <c r="N69" i="4"/>
  <c r="M69" i="4"/>
  <c r="L69" i="4"/>
  <c r="K69" i="4"/>
  <c r="H69" i="4"/>
  <c r="G69" i="4"/>
  <c r="F69" i="4"/>
  <c r="E69" i="4"/>
  <c r="D69" i="4"/>
  <c r="P59" i="4"/>
  <c r="O59" i="4"/>
  <c r="N59" i="4"/>
  <c r="M59" i="4"/>
  <c r="L59" i="4"/>
  <c r="K59" i="4"/>
  <c r="H59" i="4"/>
  <c r="F59" i="4"/>
  <c r="E59" i="4"/>
  <c r="D59" i="4"/>
  <c r="P49" i="4"/>
  <c r="O49" i="4"/>
  <c r="N49" i="4"/>
  <c r="M49" i="4"/>
  <c r="L49" i="4"/>
  <c r="K49" i="4"/>
  <c r="H49" i="4"/>
  <c r="G49" i="4"/>
  <c r="F49" i="4"/>
  <c r="E49" i="4"/>
  <c r="D49" i="4"/>
  <c r="P39" i="4"/>
  <c r="O39" i="4"/>
  <c r="N39" i="4"/>
  <c r="M39" i="4"/>
  <c r="L39" i="4"/>
  <c r="K39" i="4"/>
  <c r="H39" i="4"/>
  <c r="G39" i="4"/>
  <c r="F39" i="4"/>
  <c r="E39" i="4"/>
  <c r="D39" i="4"/>
  <c r="P29" i="4"/>
  <c r="O29" i="4"/>
  <c r="N29" i="4"/>
  <c r="M29" i="4"/>
  <c r="L29" i="4"/>
  <c r="K29" i="4"/>
  <c r="H29" i="4"/>
  <c r="G29" i="4"/>
  <c r="F29" i="4"/>
  <c r="E29" i="4"/>
  <c r="D29" i="4"/>
  <c r="I28" i="4"/>
  <c r="Q28" i="4" s="1"/>
  <c r="I27" i="4"/>
  <c r="I29" i="4" s="1"/>
  <c r="J27" i="4"/>
  <c r="D175" i="1"/>
  <c r="E175" i="1"/>
  <c r="E7" i="5" s="1"/>
  <c r="I175" i="1"/>
  <c r="K175" i="1"/>
  <c r="D176" i="1"/>
  <c r="D8" i="5"/>
  <c r="E176" i="1"/>
  <c r="E8" i="5"/>
  <c r="F176" i="1"/>
  <c r="F188" i="1" s="1"/>
  <c r="G176" i="1"/>
  <c r="H176" i="1"/>
  <c r="I8" i="5"/>
  <c r="I176" i="1"/>
  <c r="J176" i="1"/>
  <c r="K176" i="1"/>
  <c r="D177" i="1"/>
  <c r="D9" i="5" s="1"/>
  <c r="E177" i="1"/>
  <c r="E9" i="5"/>
  <c r="F177" i="1"/>
  <c r="F9" i="5"/>
  <c r="G177" i="1"/>
  <c r="G9" i="5"/>
  <c r="H177" i="1"/>
  <c r="H188" i="1" s="1"/>
  <c r="I9" i="5"/>
  <c r="I177" i="1"/>
  <c r="J177" i="1"/>
  <c r="K177" i="1"/>
  <c r="D179" i="1"/>
  <c r="D11" i="5"/>
  <c r="E179" i="1"/>
  <c r="E11" i="5" s="1"/>
  <c r="F179" i="1"/>
  <c r="F11" i="5"/>
  <c r="G179" i="1"/>
  <c r="G11" i="5"/>
  <c r="I179" i="1"/>
  <c r="J179" i="1"/>
  <c r="K179" i="1"/>
  <c r="D180" i="1"/>
  <c r="D12" i="5"/>
  <c r="E180" i="1"/>
  <c r="E12" i="5"/>
  <c r="F180" i="1"/>
  <c r="F12" i="5" s="1"/>
  <c r="G180" i="1"/>
  <c r="G12" i="5"/>
  <c r="I180" i="1"/>
  <c r="J180" i="1"/>
  <c r="K180" i="1"/>
  <c r="D181" i="1"/>
  <c r="D13" i="5"/>
  <c r="E181" i="1"/>
  <c r="E13" i="5"/>
  <c r="F181" i="1"/>
  <c r="F13" i="5"/>
  <c r="G181" i="1"/>
  <c r="G13" i="5" s="1"/>
  <c r="I181" i="1"/>
  <c r="J181" i="1"/>
  <c r="K181" i="1"/>
  <c r="D183" i="1"/>
  <c r="D15" i="5" s="1"/>
  <c r="E183" i="1"/>
  <c r="E15" i="5"/>
  <c r="F183" i="1"/>
  <c r="F15" i="5" s="1"/>
  <c r="G183" i="1"/>
  <c r="G15" i="5"/>
  <c r="I183" i="1"/>
  <c r="J183" i="1"/>
  <c r="K183" i="1"/>
  <c r="D185" i="1"/>
  <c r="D17" i="5" s="1"/>
  <c r="E185" i="1"/>
  <c r="E17" i="5"/>
  <c r="F185" i="1"/>
  <c r="F17" i="5"/>
  <c r="G185" i="1"/>
  <c r="G17" i="5" s="1"/>
  <c r="I185" i="1"/>
  <c r="J185" i="1"/>
  <c r="K185" i="1"/>
  <c r="D186" i="1"/>
  <c r="D18" i="5"/>
  <c r="E186" i="1"/>
  <c r="E18" i="5"/>
  <c r="F186" i="1"/>
  <c r="F18" i="5"/>
  <c r="G186" i="1"/>
  <c r="G18" i="5"/>
  <c r="I186" i="1"/>
  <c r="J186" i="1"/>
  <c r="K186" i="1"/>
  <c r="D187" i="1"/>
  <c r="D19" i="5" s="1"/>
  <c r="E187" i="1"/>
  <c r="E19" i="5"/>
  <c r="F187" i="1"/>
  <c r="G187" i="1"/>
  <c r="G19" i="5"/>
  <c r="I187" i="1"/>
  <c r="J187" i="1"/>
  <c r="K187" i="1"/>
  <c r="C176" i="1"/>
  <c r="C8" i="5" s="1"/>
  <c r="C177" i="1"/>
  <c r="C9" i="5"/>
  <c r="C179" i="1"/>
  <c r="C11" i="5"/>
  <c r="C180" i="1"/>
  <c r="C12" i="5"/>
  <c r="C181" i="1"/>
  <c r="C13" i="5" s="1"/>
  <c r="C183" i="1"/>
  <c r="C15" i="5" s="1"/>
  <c r="C185" i="1"/>
  <c r="C17" i="5"/>
  <c r="C186" i="1"/>
  <c r="C18" i="5"/>
  <c r="C187" i="1"/>
  <c r="C19" i="5" s="1"/>
  <c r="C175" i="1"/>
  <c r="C7" i="5"/>
  <c r="K146" i="1"/>
  <c r="I146" i="1"/>
  <c r="E146" i="1"/>
  <c r="K125" i="1"/>
  <c r="J125" i="1"/>
  <c r="I125" i="1"/>
  <c r="H125" i="1"/>
  <c r="G125" i="1"/>
  <c r="F125" i="1"/>
  <c r="E125" i="1"/>
  <c r="D125" i="1"/>
  <c r="C125" i="1"/>
  <c r="K104" i="1"/>
  <c r="J104" i="1"/>
  <c r="I104" i="1"/>
  <c r="H104" i="1"/>
  <c r="G104" i="1"/>
  <c r="F104" i="1"/>
  <c r="E104" i="1"/>
  <c r="D104" i="1"/>
  <c r="C104" i="1"/>
  <c r="K83" i="1"/>
  <c r="J83" i="1"/>
  <c r="I83" i="1"/>
  <c r="H83" i="1"/>
  <c r="E83" i="1"/>
  <c r="D83" i="1"/>
  <c r="C83" i="1"/>
  <c r="K62" i="1"/>
  <c r="J62" i="1"/>
  <c r="I62" i="1"/>
  <c r="H62" i="1"/>
  <c r="E62" i="1"/>
  <c r="K41" i="1"/>
  <c r="J41" i="1"/>
  <c r="I41" i="1"/>
  <c r="H41" i="1"/>
  <c r="E41" i="1"/>
  <c r="G143" i="2"/>
  <c r="F143" i="2"/>
  <c r="E143" i="2"/>
  <c r="D143" i="2"/>
  <c r="C143" i="2"/>
  <c r="F137" i="2"/>
  <c r="G137" i="2" s="1"/>
  <c r="E137" i="2"/>
  <c r="D137" i="2"/>
  <c r="C137" i="2"/>
  <c r="F136" i="2"/>
  <c r="E136" i="2"/>
  <c r="E138" i="2"/>
  <c r="D136" i="2"/>
  <c r="D138" i="2" s="1"/>
  <c r="C136" i="2"/>
  <c r="G136" i="2" s="1"/>
  <c r="F135" i="2"/>
  <c r="E135" i="2"/>
  <c r="D135" i="2"/>
  <c r="C135" i="2"/>
  <c r="F134" i="2"/>
  <c r="E134" i="2"/>
  <c r="D134" i="2"/>
  <c r="C134" i="2"/>
  <c r="H127" i="2"/>
  <c r="F122" i="2"/>
  <c r="E122" i="2"/>
  <c r="D122" i="2"/>
  <c r="C122" i="2"/>
  <c r="G121" i="2"/>
  <c r="G120" i="2"/>
  <c r="G119" i="2"/>
  <c r="G118" i="2"/>
  <c r="G122" i="2" s="1"/>
  <c r="H111" i="2"/>
  <c r="F106" i="2"/>
  <c r="E106" i="2"/>
  <c r="D106" i="2"/>
  <c r="C106" i="2"/>
  <c r="G105" i="2"/>
  <c r="G104" i="2"/>
  <c r="G103" i="2"/>
  <c r="G102" i="2"/>
  <c r="G106" i="2" s="1"/>
  <c r="H95" i="2"/>
  <c r="F90" i="2"/>
  <c r="E90" i="2"/>
  <c r="D90" i="2"/>
  <c r="C90" i="2"/>
  <c r="G89" i="2"/>
  <c r="G88" i="2"/>
  <c r="G87" i="2"/>
  <c r="G86" i="2"/>
  <c r="H79" i="2"/>
  <c r="F74" i="2"/>
  <c r="E74" i="2"/>
  <c r="D74" i="2"/>
  <c r="C74" i="2"/>
  <c r="G73" i="2"/>
  <c r="G72" i="2"/>
  <c r="G71" i="2"/>
  <c r="G70" i="2"/>
  <c r="G74" i="2" s="1"/>
  <c r="H63" i="2"/>
  <c r="F58" i="2"/>
  <c r="E58" i="2"/>
  <c r="D58" i="2"/>
  <c r="C58" i="2"/>
  <c r="G57" i="2"/>
  <c r="G56" i="2"/>
  <c r="G55" i="2"/>
  <c r="G58" i="2" s="1"/>
  <c r="G54" i="2"/>
  <c r="H47" i="2"/>
  <c r="F42" i="2"/>
  <c r="E42" i="2"/>
  <c r="D42" i="2"/>
  <c r="C42" i="2"/>
  <c r="G41" i="2"/>
  <c r="G40" i="2"/>
  <c r="G42" i="2"/>
  <c r="G39" i="2"/>
  <c r="G38" i="2"/>
  <c r="H31" i="2"/>
  <c r="F26" i="2"/>
  <c r="E26" i="2"/>
  <c r="D26" i="2"/>
  <c r="C26" i="2"/>
  <c r="G25" i="2"/>
  <c r="G24" i="2"/>
  <c r="G23" i="2"/>
  <c r="G22" i="2"/>
  <c r="G26" i="2" s="1"/>
  <c r="H15" i="2"/>
  <c r="F10" i="2"/>
  <c r="E10" i="2"/>
  <c r="D10" i="2"/>
  <c r="C10" i="2"/>
  <c r="G9" i="2"/>
  <c r="G8" i="2"/>
  <c r="G10" i="2"/>
  <c r="G7" i="2"/>
  <c r="G6" i="2"/>
  <c r="I295" i="3"/>
  <c r="H295" i="3"/>
  <c r="G295" i="3"/>
  <c r="J295" i="3" s="1"/>
  <c r="E295" i="3"/>
  <c r="C295" i="3"/>
  <c r="F295" i="3" s="1"/>
  <c r="I294" i="3"/>
  <c r="H294" i="3"/>
  <c r="J294" i="3"/>
  <c r="K294" i="3"/>
  <c r="G294" i="3"/>
  <c r="E294" i="3"/>
  <c r="D294" i="3"/>
  <c r="F294" i="3"/>
  <c r="C294" i="3"/>
  <c r="I293" i="3"/>
  <c r="H293" i="3"/>
  <c r="G293" i="3"/>
  <c r="E293" i="3"/>
  <c r="D293" i="3"/>
  <c r="C293" i="3"/>
  <c r="F293" i="3" s="1"/>
  <c r="I292" i="3"/>
  <c r="I296" i="3" s="1"/>
  <c r="H292" i="3"/>
  <c r="J292" i="3" s="1"/>
  <c r="G292" i="3"/>
  <c r="E292" i="3"/>
  <c r="D292" i="3"/>
  <c r="C292" i="3"/>
  <c r="F292" i="3" s="1"/>
  <c r="I291" i="3"/>
  <c r="H291" i="3"/>
  <c r="J291" i="3" s="1"/>
  <c r="G291" i="3"/>
  <c r="E291" i="3"/>
  <c r="D291" i="3"/>
  <c r="C291" i="3"/>
  <c r="F291" i="3" s="1"/>
  <c r="I290" i="3"/>
  <c r="H290" i="3"/>
  <c r="G290" i="3"/>
  <c r="E290" i="3"/>
  <c r="D290" i="3"/>
  <c r="C290" i="3"/>
  <c r="F290" i="3"/>
  <c r="I288" i="3"/>
  <c r="H288" i="3"/>
  <c r="H289" i="3" s="1"/>
  <c r="G288" i="3"/>
  <c r="E288" i="3"/>
  <c r="D288" i="3"/>
  <c r="F288" i="3"/>
  <c r="C288" i="3"/>
  <c r="I287" i="3"/>
  <c r="I289" i="3" s="1"/>
  <c r="H287" i="3"/>
  <c r="G287" i="3"/>
  <c r="E287" i="3"/>
  <c r="E289" i="3" s="1"/>
  <c r="E296" i="3" s="1"/>
  <c r="D287" i="3"/>
  <c r="F287" i="3"/>
  <c r="F289" i="3" s="1"/>
  <c r="D289" i="3"/>
  <c r="D296" i="3" s="1"/>
  <c r="C287" i="3"/>
  <c r="C289" i="3"/>
  <c r="I286" i="3"/>
  <c r="H286" i="3"/>
  <c r="G286" i="3"/>
  <c r="J286" i="3" s="1"/>
  <c r="K286" i="3" s="1"/>
  <c r="E286" i="3"/>
  <c r="D286" i="3"/>
  <c r="C286" i="3"/>
  <c r="F286" i="3" s="1"/>
  <c r="I280" i="3"/>
  <c r="H280" i="3"/>
  <c r="G280" i="3"/>
  <c r="J280" i="3" s="1"/>
  <c r="E280" i="3"/>
  <c r="C280" i="3"/>
  <c r="I279" i="3"/>
  <c r="H279" i="3"/>
  <c r="G279" i="3"/>
  <c r="J279" i="3" s="1"/>
  <c r="E279" i="3"/>
  <c r="D279" i="3"/>
  <c r="C279" i="3"/>
  <c r="I278" i="3"/>
  <c r="H278" i="3"/>
  <c r="G278" i="3"/>
  <c r="J278" i="3" s="1"/>
  <c r="K278" i="3" s="1"/>
  <c r="E278" i="3"/>
  <c r="D278" i="3"/>
  <c r="F278" i="3"/>
  <c r="C278" i="3"/>
  <c r="I277" i="3"/>
  <c r="H277" i="3"/>
  <c r="G277" i="3"/>
  <c r="J277" i="3" s="1"/>
  <c r="E277" i="3"/>
  <c r="D277" i="3"/>
  <c r="C277" i="3"/>
  <c r="I276" i="3"/>
  <c r="H276" i="3"/>
  <c r="G276" i="3"/>
  <c r="J276" i="3" s="1"/>
  <c r="E276" i="3"/>
  <c r="D276" i="3"/>
  <c r="C276" i="3"/>
  <c r="F276" i="3" s="1"/>
  <c r="I275" i="3"/>
  <c r="H275" i="3"/>
  <c r="G275" i="3"/>
  <c r="J275" i="3"/>
  <c r="K275" i="3" s="1"/>
  <c r="E275" i="3"/>
  <c r="D275" i="3"/>
  <c r="C275" i="3"/>
  <c r="F275" i="3" s="1"/>
  <c r="I273" i="3"/>
  <c r="H273" i="3"/>
  <c r="G273" i="3"/>
  <c r="J273" i="3"/>
  <c r="E273" i="3"/>
  <c r="D273" i="3"/>
  <c r="C273" i="3"/>
  <c r="C274" i="3" s="1"/>
  <c r="C281" i="3" s="1"/>
  <c r="I272" i="3"/>
  <c r="J272" i="3" s="1"/>
  <c r="I274" i="3"/>
  <c r="I281" i="3" s="1"/>
  <c r="H272" i="3"/>
  <c r="H274" i="3"/>
  <c r="G272" i="3"/>
  <c r="G274" i="3" s="1"/>
  <c r="E272" i="3"/>
  <c r="E274" i="3" s="1"/>
  <c r="E281" i="3" s="1"/>
  <c r="D272" i="3"/>
  <c r="C272" i="3"/>
  <c r="I271" i="3"/>
  <c r="H271" i="3"/>
  <c r="G271" i="3"/>
  <c r="J271" i="3" s="1"/>
  <c r="K271" i="3" s="1"/>
  <c r="E271" i="3"/>
  <c r="F271" i="3"/>
  <c r="D271" i="3"/>
  <c r="C271" i="3"/>
  <c r="J262" i="3"/>
  <c r="F262" i="3"/>
  <c r="J261" i="3"/>
  <c r="K261" i="3" s="1"/>
  <c r="O260" i="3" s="1"/>
  <c r="F261" i="3"/>
  <c r="J260" i="3"/>
  <c r="F260" i="3"/>
  <c r="K260" i="3" s="1"/>
  <c r="O259" i="3" s="1"/>
  <c r="J259" i="3"/>
  <c r="F259" i="3"/>
  <c r="K259" i="3" s="1"/>
  <c r="O258" i="3" s="1"/>
  <c r="P258" i="3" s="1"/>
  <c r="J258" i="3"/>
  <c r="F258" i="3"/>
  <c r="K258" i="3"/>
  <c r="O256" i="3" s="1"/>
  <c r="J257" i="3"/>
  <c r="F257" i="3"/>
  <c r="I256" i="3"/>
  <c r="I263" i="3"/>
  <c r="H256" i="3"/>
  <c r="H263" i="3"/>
  <c r="G256" i="3"/>
  <c r="G263" i="3" s="1"/>
  <c r="E256" i="3"/>
  <c r="E263" i="3" s="1"/>
  <c r="D256" i="3"/>
  <c r="D263" i="3" s="1"/>
  <c r="C256" i="3"/>
  <c r="F256" i="3" s="1"/>
  <c r="F263" i="3" s="1"/>
  <c r="C263" i="3"/>
  <c r="J255" i="3"/>
  <c r="J256" i="3" s="1"/>
  <c r="J263" i="3" s="1"/>
  <c r="K255" i="3"/>
  <c r="O254" i="3" s="1"/>
  <c r="K256" i="3"/>
  <c r="O255" i="3" s="1"/>
  <c r="F255" i="3"/>
  <c r="J254" i="3"/>
  <c r="F254" i="3"/>
  <c r="K254" i="3" s="1"/>
  <c r="O253" i="3" s="1"/>
  <c r="J253" i="3"/>
  <c r="F253" i="3"/>
  <c r="J247" i="3"/>
  <c r="K247" i="3" s="1"/>
  <c r="N261" i="3" s="1"/>
  <c r="P261" i="3" s="1"/>
  <c r="F247" i="3"/>
  <c r="J246" i="3"/>
  <c r="F246" i="3"/>
  <c r="K246" i="3" s="1"/>
  <c r="N260" i="3" s="1"/>
  <c r="P260" i="3" s="1"/>
  <c r="J245" i="3"/>
  <c r="K245" i="3"/>
  <c r="N259" i="3"/>
  <c r="F245" i="3"/>
  <c r="J244" i="3"/>
  <c r="K244" i="3"/>
  <c r="N258" i="3"/>
  <c r="F244" i="3"/>
  <c r="J243" i="3"/>
  <c r="K243" i="3" s="1"/>
  <c r="N256" i="3"/>
  <c r="P256" i="3"/>
  <c r="F243" i="3"/>
  <c r="J242" i="3"/>
  <c r="F242" i="3"/>
  <c r="K242" i="3" s="1"/>
  <c r="I241" i="3"/>
  <c r="I248" i="3"/>
  <c r="H241" i="3"/>
  <c r="H248" i="3" s="1"/>
  <c r="G241" i="3"/>
  <c r="G248" i="3"/>
  <c r="E241" i="3"/>
  <c r="E248" i="3"/>
  <c r="D241" i="3"/>
  <c r="F241" i="3" s="1"/>
  <c r="C241" i="3"/>
  <c r="J240" i="3"/>
  <c r="J241" i="3" s="1"/>
  <c r="J248" i="3" s="1"/>
  <c r="F240" i="3"/>
  <c r="J239" i="3"/>
  <c r="F239" i="3"/>
  <c r="K239" i="3"/>
  <c r="J238" i="3"/>
  <c r="K238" i="3" s="1"/>
  <c r="N252" i="3" s="1"/>
  <c r="F238" i="3"/>
  <c r="K224" i="3"/>
  <c r="O224" i="3" s="1"/>
  <c r="I230" i="3"/>
  <c r="E230" i="3"/>
  <c r="C230" i="3"/>
  <c r="I197" i="3"/>
  <c r="G197" i="3"/>
  <c r="C197" i="3"/>
  <c r="G182" i="3"/>
  <c r="E182" i="3"/>
  <c r="C164" i="3"/>
  <c r="E131" i="3"/>
  <c r="C131" i="3"/>
  <c r="K110" i="3"/>
  <c r="G98" i="3"/>
  <c r="E98" i="3"/>
  <c r="K77" i="3"/>
  <c r="E65" i="3"/>
  <c r="G50" i="3"/>
  <c r="J31" i="3"/>
  <c r="F31" i="3"/>
  <c r="K31" i="3"/>
  <c r="O30" i="3"/>
  <c r="J30" i="3"/>
  <c r="F30" i="3"/>
  <c r="J29" i="3"/>
  <c r="F29" i="3"/>
  <c r="K29" i="3"/>
  <c r="O28" i="3"/>
  <c r="J28" i="3"/>
  <c r="K28" i="3" s="1"/>
  <c r="F28" i="3"/>
  <c r="O27" i="3"/>
  <c r="J27" i="3"/>
  <c r="F27" i="3"/>
  <c r="K27" i="3"/>
  <c r="O25" i="3" s="1"/>
  <c r="J26" i="3"/>
  <c r="F26" i="3"/>
  <c r="K26" i="3" s="1"/>
  <c r="O26" i="3" s="1"/>
  <c r="I25" i="3"/>
  <c r="I32" i="3" s="1"/>
  <c r="H25" i="3"/>
  <c r="H32" i="3"/>
  <c r="G25" i="3"/>
  <c r="G32" i="3"/>
  <c r="E25" i="3"/>
  <c r="E32" i="3" s="1"/>
  <c r="D25" i="3"/>
  <c r="D32" i="3"/>
  <c r="C25" i="3"/>
  <c r="C32" i="3" s="1"/>
  <c r="J24" i="3"/>
  <c r="F24" i="3"/>
  <c r="K24" i="3" s="1"/>
  <c r="O23" i="3" s="1"/>
  <c r="J23" i="3"/>
  <c r="J25" i="3"/>
  <c r="J32" i="3" s="1"/>
  <c r="F23" i="3"/>
  <c r="K23" i="3"/>
  <c r="J22" i="3"/>
  <c r="K22" i="3"/>
  <c r="O21" i="3"/>
  <c r="F22" i="3"/>
  <c r="J16" i="3"/>
  <c r="K16" i="3"/>
  <c r="N30" i="3" s="1"/>
  <c r="F16" i="3"/>
  <c r="J15" i="3"/>
  <c r="K15" i="3" s="1"/>
  <c r="N29" i="3" s="1"/>
  <c r="F15" i="3"/>
  <c r="J14" i="3"/>
  <c r="F14" i="3"/>
  <c r="K14" i="3" s="1"/>
  <c r="N28" i="3" s="1"/>
  <c r="J13" i="3"/>
  <c r="K13" i="3"/>
  <c r="N27" i="3"/>
  <c r="F13" i="3"/>
  <c r="J12" i="3"/>
  <c r="F12" i="3"/>
  <c r="J11" i="3"/>
  <c r="F11" i="3"/>
  <c r="I10" i="3"/>
  <c r="I17" i="3"/>
  <c r="H10" i="3"/>
  <c r="H17" i="3"/>
  <c r="G10" i="3"/>
  <c r="G17" i="3"/>
  <c r="E10" i="3"/>
  <c r="E17" i="3" s="1"/>
  <c r="D10" i="3"/>
  <c r="C10" i="3"/>
  <c r="J9" i="3"/>
  <c r="J10" i="3" s="1"/>
  <c r="J17" i="3" s="1"/>
  <c r="K9" i="3"/>
  <c r="F9" i="3"/>
  <c r="J8" i="3"/>
  <c r="K8" i="3"/>
  <c r="F8" i="3"/>
  <c r="J7" i="3"/>
  <c r="F7" i="3"/>
  <c r="K7" i="3" s="1"/>
  <c r="N21" i="3" s="1"/>
  <c r="L19" i="4"/>
  <c r="I18" i="4"/>
  <c r="Q18" i="4"/>
  <c r="I17" i="4"/>
  <c r="P19" i="4"/>
  <c r="O19" i="4"/>
  <c r="N19" i="4"/>
  <c r="M19" i="4"/>
  <c r="K19" i="4"/>
  <c r="H19" i="4"/>
  <c r="G19" i="4"/>
  <c r="F19" i="4"/>
  <c r="E19" i="4"/>
  <c r="D19" i="4"/>
  <c r="I8" i="4"/>
  <c r="Q8" i="4" s="1"/>
  <c r="I7" i="4"/>
  <c r="J7" i="4"/>
  <c r="P9" i="4"/>
  <c r="O9" i="4"/>
  <c r="N9" i="4"/>
  <c r="M9" i="4"/>
  <c r="L9" i="4"/>
  <c r="K9" i="4"/>
  <c r="H9" i="4"/>
  <c r="G9" i="4"/>
  <c r="F9" i="4"/>
  <c r="E9" i="4"/>
  <c r="D9" i="4"/>
  <c r="K20" i="1"/>
  <c r="J20" i="1"/>
  <c r="I20" i="1"/>
  <c r="H20" i="1"/>
  <c r="G20" i="1"/>
  <c r="F20" i="1"/>
  <c r="E20" i="1"/>
  <c r="D20" i="1"/>
  <c r="C20" i="1"/>
  <c r="D17" i="3"/>
  <c r="D248" i="3"/>
  <c r="K228" i="3"/>
  <c r="O227" i="3" s="1"/>
  <c r="O229" i="3" s="1"/>
  <c r="K196" i="3"/>
  <c r="O195" i="3" s="1"/>
  <c r="K189" i="3"/>
  <c r="O188" i="3"/>
  <c r="C248" i="3"/>
  <c r="C182" i="3"/>
  <c r="K123" i="3"/>
  <c r="K124" i="3" s="1"/>
  <c r="O123" i="3" s="1"/>
  <c r="O122" i="3"/>
  <c r="K12" i="3"/>
  <c r="N25" i="3"/>
  <c r="K211" i="3"/>
  <c r="N225" i="3" s="1"/>
  <c r="P225" i="3" s="1"/>
  <c r="J178" i="4"/>
  <c r="O56" i="3"/>
  <c r="K75" i="3"/>
  <c r="N89" i="3" s="1"/>
  <c r="N22" i="3"/>
  <c r="N56" i="3"/>
  <c r="P56" i="3" s="1"/>
  <c r="K262" i="3"/>
  <c r="O261" i="3"/>
  <c r="K92" i="3"/>
  <c r="O92" i="3"/>
  <c r="C83" i="3"/>
  <c r="C296" i="3"/>
  <c r="K64" i="3"/>
  <c r="O63" i="3" s="1"/>
  <c r="K125" i="3"/>
  <c r="O125" i="3"/>
  <c r="K209" i="3"/>
  <c r="P221" i="3"/>
  <c r="D197" i="3"/>
  <c r="D116" i="3"/>
  <c r="K130" i="3"/>
  <c r="O129" i="3"/>
  <c r="K111" i="3"/>
  <c r="N124" i="3"/>
  <c r="D50" i="3"/>
  <c r="K193" i="3"/>
  <c r="O192" i="3"/>
  <c r="P192" i="3" s="1"/>
  <c r="F197" i="3"/>
  <c r="K192" i="3"/>
  <c r="O190" i="3" s="1"/>
  <c r="G18" i="7"/>
  <c r="K113" i="3"/>
  <c r="N127" i="3"/>
  <c r="P126" i="3"/>
  <c r="J67" i="4"/>
  <c r="J69" i="4"/>
  <c r="D169" i="4"/>
  <c r="N179" i="4"/>
  <c r="N169" i="4"/>
  <c r="I79" i="4"/>
  <c r="I109" i="4"/>
  <c r="J87" i="4"/>
  <c r="Q87" i="4" s="1"/>
  <c r="Q89" i="4" s="1"/>
  <c r="J89" i="4"/>
  <c r="Q7" i="4"/>
  <c r="Q9" i="4"/>
  <c r="I119" i="4"/>
  <c r="I9" i="4"/>
  <c r="E18" i="7"/>
  <c r="K97" i="3"/>
  <c r="O96" i="3" s="1"/>
  <c r="K80" i="3"/>
  <c r="N94" i="3"/>
  <c r="P94" i="3" s="1"/>
  <c r="P87" i="3"/>
  <c r="P96" i="3"/>
  <c r="K76" i="3"/>
  <c r="J59" i="4"/>
  <c r="Q57" i="4"/>
  <c r="Q59" i="4" s="1"/>
  <c r="I59" i="4"/>
  <c r="J164" i="3"/>
  <c r="K159" i="3"/>
  <c r="O157" i="3" s="1"/>
  <c r="O154" i="3"/>
  <c r="K157" i="3"/>
  <c r="O156" i="3"/>
  <c r="J99" i="4"/>
  <c r="Q97" i="4"/>
  <c r="I99" i="4"/>
  <c r="P157" i="3"/>
  <c r="Q137" i="4"/>
  <c r="Q139" i="4"/>
  <c r="J5" i="7"/>
  <c r="H18" i="7"/>
  <c r="G90" i="2"/>
  <c r="P193" i="3"/>
  <c r="O187" i="3"/>
  <c r="P186" i="3"/>
  <c r="K181" i="3"/>
  <c r="N195" i="3"/>
  <c r="P195" i="3"/>
  <c r="J109" i="4"/>
  <c r="Q107" i="4"/>
  <c r="Q109" i="4"/>
  <c r="F18" i="7"/>
  <c r="J13" i="7"/>
  <c r="K62" i="3"/>
  <c r="O61" i="3" s="1"/>
  <c r="J65" i="3"/>
  <c r="K61" i="3"/>
  <c r="O60" i="3"/>
  <c r="J287" i="3"/>
  <c r="Q37" i="4"/>
  <c r="Q39" i="4"/>
  <c r="I169" i="4"/>
  <c r="G169" i="4"/>
  <c r="K30" i="3"/>
  <c r="O29" i="3"/>
  <c r="K292" i="3"/>
  <c r="P29" i="3"/>
  <c r="J19" i="4"/>
  <c r="K295" i="3"/>
  <c r="K229" i="3"/>
  <c r="O228" i="3" s="1"/>
  <c r="J230" i="3"/>
  <c r="H296" i="3"/>
  <c r="K291" i="3"/>
  <c r="P226" i="3"/>
  <c r="F230" i="3"/>
  <c r="O220" i="3"/>
  <c r="D230" i="3"/>
  <c r="K210" i="3"/>
  <c r="N223" i="3" s="1"/>
  <c r="P223" i="3" s="1"/>
  <c r="K208" i="3"/>
  <c r="K215" i="3" s="1"/>
  <c r="N222" i="3"/>
  <c r="P222" i="3" s="1"/>
  <c r="N220" i="3"/>
  <c r="E215" i="3"/>
  <c r="O222" i="3"/>
  <c r="P220" i="3"/>
  <c r="C16" i="8"/>
  <c r="P27" i="3" l="1"/>
  <c r="P22" i="3"/>
  <c r="F179" i="4"/>
  <c r="N57" i="3"/>
  <c r="K50" i="3"/>
  <c r="G179" i="4"/>
  <c r="I178" i="4"/>
  <c r="Q178" i="4" s="1"/>
  <c r="J129" i="4"/>
  <c r="Q127" i="4"/>
  <c r="Q129" i="4" s="1"/>
  <c r="O293" i="3"/>
  <c r="O22" i="3"/>
  <c r="K25" i="3"/>
  <c r="K280" i="3"/>
  <c r="K188" i="1"/>
  <c r="P259" i="3"/>
  <c r="G135" i="2"/>
  <c r="F138" i="2"/>
  <c r="N23" i="3"/>
  <c r="K10" i="3"/>
  <c r="O163" i="3"/>
  <c r="K164" i="3"/>
  <c r="P127" i="3"/>
  <c r="C17" i="3"/>
  <c r="F10" i="3"/>
  <c r="F17" i="3" s="1"/>
  <c r="O287" i="3"/>
  <c r="N293" i="3"/>
  <c r="P293" i="3" s="1"/>
  <c r="P62" i="3"/>
  <c r="P28" i="3"/>
  <c r="N292" i="3"/>
  <c r="J274" i="3"/>
  <c r="J281" i="3" s="1"/>
  <c r="G289" i="3"/>
  <c r="G296" i="3" s="1"/>
  <c r="J288" i="3"/>
  <c r="K288" i="3" s="1"/>
  <c r="N154" i="3"/>
  <c r="P154" i="3" s="1"/>
  <c r="K142" i="3"/>
  <c r="N187" i="3"/>
  <c r="P187" i="3" s="1"/>
  <c r="K175" i="3"/>
  <c r="K197" i="3"/>
  <c r="O189" i="3"/>
  <c r="K287" i="3"/>
  <c r="P89" i="3"/>
  <c r="K276" i="3"/>
  <c r="J188" i="1"/>
  <c r="O291" i="3"/>
  <c r="P25" i="3"/>
  <c r="K240" i="3"/>
  <c r="N254" i="3" s="1"/>
  <c r="P254" i="3" s="1"/>
  <c r="Q147" i="4"/>
  <c r="Q149" i="4" s="1"/>
  <c r="I149" i="4"/>
  <c r="E169" i="4"/>
  <c r="J6" i="7"/>
  <c r="J18" i="7" s="1"/>
  <c r="P88" i="3"/>
  <c r="F296" i="3"/>
  <c r="P128" i="3"/>
  <c r="Q99" i="4"/>
  <c r="Q17" i="4"/>
  <c r="Q19" i="4" s="1"/>
  <c r="I19" i="4"/>
  <c r="J116" i="3"/>
  <c r="K55" i="3"/>
  <c r="O54" i="3" s="1"/>
  <c r="P54" i="3" s="1"/>
  <c r="K115" i="3"/>
  <c r="N129" i="3" s="1"/>
  <c r="P129" i="3" s="1"/>
  <c r="K230" i="3"/>
  <c r="J50" i="3"/>
  <c r="K176" i="3"/>
  <c r="F273" i="3"/>
  <c r="K273" i="3" s="1"/>
  <c r="K191" i="3"/>
  <c r="O191" i="3" s="1"/>
  <c r="O292" i="3"/>
  <c r="D188" i="1"/>
  <c r="D7" i="5"/>
  <c r="D20" i="5" s="1"/>
  <c r="G7" i="5"/>
  <c r="G20" i="5" s="1"/>
  <c r="G188" i="1"/>
  <c r="N90" i="3"/>
  <c r="K83" i="3"/>
  <c r="P30" i="3"/>
  <c r="N253" i="3"/>
  <c r="P253" i="3" s="1"/>
  <c r="J29" i="4"/>
  <c r="Q27" i="4"/>
  <c r="Q29" i="4" s="1"/>
  <c r="K121" i="3"/>
  <c r="O120" i="3" s="1"/>
  <c r="K177" i="3"/>
  <c r="N190" i="3" s="1"/>
  <c r="P190" i="3" s="1"/>
  <c r="N55" i="3"/>
  <c r="P55" i="3" s="1"/>
  <c r="K106" i="3"/>
  <c r="N120" i="3" s="1"/>
  <c r="P120" i="3" s="1"/>
  <c r="K126" i="3"/>
  <c r="J142" i="3"/>
  <c r="J149" i="3" s="1"/>
  <c r="K141" i="3"/>
  <c r="N155" i="3" s="1"/>
  <c r="P155" i="3" s="1"/>
  <c r="K11" i="3"/>
  <c r="J83" i="3"/>
  <c r="J98" i="3"/>
  <c r="H143" i="2"/>
  <c r="O88" i="3"/>
  <c r="K91" i="3"/>
  <c r="K107" i="3"/>
  <c r="O55" i="3"/>
  <c r="K58" i="3"/>
  <c r="J177" i="4"/>
  <c r="J179" i="4" s="1"/>
  <c r="I129" i="4"/>
  <c r="O294" i="3"/>
  <c r="D274" i="3"/>
  <c r="D281" i="3" s="1"/>
  <c r="J157" i="4"/>
  <c r="I159" i="4"/>
  <c r="Q168" i="4"/>
  <c r="F169" i="4"/>
  <c r="Q47" i="4"/>
  <c r="Q49" i="4" s="1"/>
  <c r="P61" i="3"/>
  <c r="F65" i="3"/>
  <c r="F76" i="3"/>
  <c r="F83" i="3" s="1"/>
  <c r="K253" i="3"/>
  <c r="O252" i="3" s="1"/>
  <c r="P252" i="3" s="1"/>
  <c r="C20" i="5"/>
  <c r="C149" i="3"/>
  <c r="F142" i="3"/>
  <c r="F149" i="3" s="1"/>
  <c r="F20" i="5"/>
  <c r="Q77" i="4"/>
  <c r="Q79" i="4" s="1"/>
  <c r="J9" i="4"/>
  <c r="J167" i="4"/>
  <c r="G281" i="3"/>
  <c r="I20" i="5"/>
  <c r="K160" i="3"/>
  <c r="O159" i="3" s="1"/>
  <c r="P159" i="3" s="1"/>
  <c r="F248" i="3"/>
  <c r="H281" i="3"/>
  <c r="C188" i="1"/>
  <c r="Q117" i="4"/>
  <c r="Q119" i="4" s="1"/>
  <c r="J131" i="3"/>
  <c r="P227" i="3"/>
  <c r="P21" i="3"/>
  <c r="F25" i="3"/>
  <c r="F32" i="3" s="1"/>
  <c r="C138" i="2"/>
  <c r="E20" i="5"/>
  <c r="G134" i="2"/>
  <c r="K257" i="3"/>
  <c r="J293" i="3"/>
  <c r="K293" i="3" s="1"/>
  <c r="K108" i="3"/>
  <c r="N122" i="3" s="1"/>
  <c r="P122" i="3" s="1"/>
  <c r="P160" i="3"/>
  <c r="F50" i="3"/>
  <c r="K46" i="3"/>
  <c r="N60" i="3" s="1"/>
  <c r="P60" i="3" s="1"/>
  <c r="F116" i="3"/>
  <c r="C50" i="3"/>
  <c r="F272" i="3"/>
  <c r="I188" i="1"/>
  <c r="F279" i="3"/>
  <c r="K279" i="3" s="1"/>
  <c r="Q67" i="4"/>
  <c r="Q69" i="4" s="1"/>
  <c r="F208" i="3"/>
  <c r="F215" i="3" s="1"/>
  <c r="F277" i="3"/>
  <c r="K277" i="3" s="1"/>
  <c r="J290" i="3"/>
  <c r="K290" i="3" s="1"/>
  <c r="E188" i="1"/>
  <c r="F175" i="3"/>
  <c r="F182" i="3" s="1"/>
  <c r="C18" i="7"/>
  <c r="O124" i="3" l="1"/>
  <c r="K131" i="3"/>
  <c r="N189" i="3"/>
  <c r="K182" i="3"/>
  <c r="K65" i="3"/>
  <c r="O57" i="3"/>
  <c r="O64" i="3" s="1"/>
  <c r="N156" i="3"/>
  <c r="K149" i="3"/>
  <c r="N285" i="3"/>
  <c r="N24" i="3"/>
  <c r="K17" i="3"/>
  <c r="P57" i="3"/>
  <c r="P64" i="3" s="1"/>
  <c r="N64" i="3"/>
  <c r="K109" i="3"/>
  <c r="N121" i="3"/>
  <c r="P121" i="3" s="1"/>
  <c r="N287" i="3"/>
  <c r="P287" i="3" s="1"/>
  <c r="P23" i="3"/>
  <c r="F274" i="3"/>
  <c r="F281" i="3" s="1"/>
  <c r="O90" i="3"/>
  <c r="O97" i="3" s="1"/>
  <c r="K98" i="3"/>
  <c r="N289" i="3"/>
  <c r="K272" i="3"/>
  <c r="K274" i="3" s="1"/>
  <c r="K281" i="3" s="1"/>
  <c r="Q177" i="4"/>
  <c r="Q179" i="4" s="1"/>
  <c r="K241" i="3"/>
  <c r="P292" i="3"/>
  <c r="O285" i="3"/>
  <c r="N294" i="3"/>
  <c r="P294" i="3" s="1"/>
  <c r="O24" i="3"/>
  <c r="O31" i="3" s="1"/>
  <c r="K32" i="3"/>
  <c r="N291" i="3"/>
  <c r="P291" i="3" s="1"/>
  <c r="N191" i="3"/>
  <c r="P191" i="3" s="1"/>
  <c r="N125" i="3"/>
  <c r="P125" i="3" s="1"/>
  <c r="N257" i="3"/>
  <c r="N224" i="3"/>
  <c r="N92" i="3"/>
  <c r="P92" i="3" s="1"/>
  <c r="N158" i="3"/>
  <c r="P158" i="3" s="1"/>
  <c r="N59" i="3"/>
  <c r="P59" i="3" s="1"/>
  <c r="N26" i="3"/>
  <c r="K289" i="3"/>
  <c r="K296" i="3" s="1"/>
  <c r="O286" i="3"/>
  <c r="O288" i="3" s="1"/>
  <c r="P90" i="3"/>
  <c r="P97" i="3" s="1"/>
  <c r="N97" i="3"/>
  <c r="J289" i="3"/>
  <c r="J296" i="3" s="1"/>
  <c r="O257" i="3"/>
  <c r="O262" i="3" s="1"/>
  <c r="K263" i="3"/>
  <c r="J159" i="4"/>
  <c r="Q157" i="4"/>
  <c r="Q159" i="4" s="1"/>
  <c r="I179" i="4"/>
  <c r="G138" i="2"/>
  <c r="J169" i="4"/>
  <c r="Q167" i="4"/>
  <c r="Q169" i="4" s="1"/>
  <c r="O196" i="3"/>
  <c r="N123" i="3" l="1"/>
  <c r="K116" i="3"/>
  <c r="P24" i="3"/>
  <c r="N31" i="3"/>
  <c r="N255" i="3"/>
  <c r="K248" i="3"/>
  <c r="P156" i="3"/>
  <c r="P163" i="3" s="1"/>
  <c r="N163" i="3"/>
  <c r="N290" i="3"/>
  <c r="P290" i="3" s="1"/>
  <c r="P26" i="3"/>
  <c r="P289" i="3"/>
  <c r="P189" i="3"/>
  <c r="P196" i="3" s="1"/>
  <c r="N196" i="3"/>
  <c r="P224" i="3"/>
  <c r="P229" i="3" s="1"/>
  <c r="N229" i="3"/>
  <c r="P257" i="3"/>
  <c r="O130" i="3"/>
  <c r="P124" i="3"/>
  <c r="O289" i="3"/>
  <c r="P285" i="3"/>
  <c r="N286" i="3"/>
  <c r="O290" i="3"/>
  <c r="O295" i="3" s="1"/>
  <c r="P286" i="3" l="1"/>
  <c r="P288" i="3" s="1"/>
  <c r="P295" i="3" s="1"/>
  <c r="N288" i="3"/>
  <c r="N295" i="3" s="1"/>
  <c r="P255" i="3"/>
  <c r="P262" i="3" s="1"/>
  <c r="N262" i="3"/>
  <c r="P31" i="3"/>
  <c r="N130" i="3"/>
  <c r="P123" i="3"/>
  <c r="P130" i="3" s="1"/>
</calcChain>
</file>

<file path=xl/sharedStrings.xml><?xml version="1.0" encoding="utf-8"?>
<sst xmlns="http://schemas.openxmlformats.org/spreadsheetml/2006/main" count="1853" uniqueCount="129">
  <si>
    <t xml:space="preserve"> --</t>
  </si>
  <si>
    <t>(आकडे हजारात)</t>
  </si>
  <si>
    <t>जिल्हा</t>
  </si>
  <si>
    <t>स्थायी पदे</t>
  </si>
  <si>
    <t>भरलेली पदे</t>
  </si>
  <si>
    <t>रिक्त पदे</t>
  </si>
  <si>
    <t>एकूण</t>
  </si>
  <si>
    <t>मुंबई शहर</t>
  </si>
  <si>
    <t>वर्ग</t>
  </si>
  <si>
    <t>वर्ग-1 व 2</t>
  </si>
  <si>
    <t>वर्ग-3</t>
  </si>
  <si>
    <t>वर्ग-4</t>
  </si>
  <si>
    <t>पदे</t>
  </si>
  <si>
    <t>वेतन</t>
  </si>
  <si>
    <t>ग्रेड पे</t>
  </si>
  <si>
    <t>विशेष वेतन</t>
  </si>
  <si>
    <t>महा.भत्ता</t>
  </si>
  <si>
    <t>स्था.पु.भ.</t>
  </si>
  <si>
    <t>घरभाडे</t>
  </si>
  <si>
    <t>इतर</t>
  </si>
  <si>
    <t>अस्थायी पदे</t>
  </si>
  <si>
    <t>सर्व वर्ग पदे</t>
  </si>
  <si>
    <t>मुंबई उपनगर</t>
  </si>
  <si>
    <t>ठाणे</t>
  </si>
  <si>
    <t>पालघर</t>
  </si>
  <si>
    <t>रायगड</t>
  </si>
  <si>
    <t>रत्नागिरी</t>
  </si>
  <si>
    <t>सिंधुदुर्ग</t>
  </si>
  <si>
    <t>उप आयुक्त (सा.प्र.)</t>
  </si>
  <si>
    <t>विभाग</t>
  </si>
  <si>
    <t>कोकण विभाग</t>
  </si>
  <si>
    <t>मागणी क्र.सी- 1- लेखाशिर्ष 20530313</t>
  </si>
  <si>
    <t>मंजूर पदे</t>
  </si>
  <si>
    <t>अ.क्र.</t>
  </si>
  <si>
    <t>स्थायी</t>
  </si>
  <si>
    <t>अस्थायी</t>
  </si>
  <si>
    <t>जिल्हा / विभाग</t>
  </si>
  <si>
    <t>वैद्यकिय खर्च</t>
  </si>
  <si>
    <t>उत्सव/सण अग्रिम</t>
  </si>
  <si>
    <t>स्वग्राम/महाराष्ट्र दर्शन</t>
  </si>
  <si>
    <t>6 व्या वेतन आयोग फरक</t>
  </si>
  <si>
    <t>जिल्हा मुंबई शहर</t>
  </si>
  <si>
    <t>अ. क्र.</t>
  </si>
  <si>
    <t>लेख्याची प्राथमिक आणि दुय्यम युनिट</t>
  </si>
  <si>
    <t>प्रत्यक्ष रक्कमा (खर्च)</t>
  </si>
  <si>
    <t>अर्थसंकल्पीय अंदाज</t>
  </si>
  <si>
    <t>मागील वर्षाच्या प्रत्यक्ष रक्कमा आणि चालु वर्षाच्या अर्थसंकल्पीय अंदाजाची तुलना करता आगामी वर्षासाठीच्या अंदाजातील वाढ किंवा घट यांच्या संबंधातील स्पष्टीकरणे</t>
  </si>
  <si>
    <t>प्राकक्लन (एस्टिमेटिंग) अधिका-याचा</t>
  </si>
  <si>
    <t>नियंत्रक अधिका-यांचा</t>
  </si>
  <si>
    <t>प्रशासकीय विभागाचा</t>
  </si>
  <si>
    <t>वित्त विभागाचा</t>
  </si>
  <si>
    <t>01- वेतन</t>
  </si>
  <si>
    <t>03 अति.भत्ता</t>
  </si>
  <si>
    <t>13- कार्यालयीन खर्च</t>
  </si>
  <si>
    <t>17- संगणक खर्च</t>
  </si>
  <si>
    <t>26- जाहीरात व प्रसिध्दी खर्च</t>
  </si>
  <si>
    <t>51- मोटार वाहने</t>
  </si>
  <si>
    <t>06- दूरध्वनी, वीज,पाणी व शुल्क</t>
  </si>
  <si>
    <t>11- देशांतर्गत प्रवास खर्च</t>
  </si>
  <si>
    <t>14- भाडेपट्टी व कर</t>
  </si>
  <si>
    <t>50- इतर खर्च</t>
  </si>
  <si>
    <t>--</t>
  </si>
  <si>
    <t>उप आयुक्त (सा.प्र.) कोकण विभाग</t>
  </si>
  <si>
    <t>जिल्हा सिंधुदुर्ग</t>
  </si>
  <si>
    <t>जिल्हा रत्नागिरी</t>
  </si>
  <si>
    <t>जिल्हा रायगड</t>
  </si>
  <si>
    <t>जिल्हा पालघर</t>
  </si>
  <si>
    <t>जिल्हा ठाणे</t>
  </si>
  <si>
    <t>जिल्हा मुंबई उपनगर</t>
  </si>
  <si>
    <t>03- अति.भत्ता</t>
  </si>
  <si>
    <t>पद</t>
  </si>
  <si>
    <t>मुळ वेतन</t>
  </si>
  <si>
    <t>ग्रेड वेतन</t>
  </si>
  <si>
    <t>स्थानिक पुरक भत्ता</t>
  </si>
  <si>
    <t>घर भाडे भत्ता</t>
  </si>
  <si>
    <t>धूलाई भत्ता</t>
  </si>
  <si>
    <t>रोख भत्ता</t>
  </si>
  <si>
    <t>चप्पल भत्ता/ इतर</t>
  </si>
  <si>
    <t>तलाठी</t>
  </si>
  <si>
    <t>कोतवाल</t>
  </si>
  <si>
    <r>
      <rPr>
        <b/>
        <u/>
        <sz val="11"/>
        <color indexed="8"/>
        <rFont val="DVOT-Surekh"/>
      </rPr>
      <t>06- दूरध्वनी, वीज पाणी व शुल्क</t>
    </r>
    <r>
      <rPr>
        <sz val="11"/>
        <color indexed="8"/>
        <rFont val="DVOT-Surekh"/>
      </rPr>
      <t>:- या बाबीखाली विभागात शासनाने ठरवून दिलेल्या जमीन महसूल कर वसुलीच्या वाढीव उद्दिष्टपूर्तता बाबत जिल्हा कार्यालयाशी मोठया प्रमाणावर संपर्क साधण्यासाठी दूरध्वनीचा वापर, वीजेचे वाढलेले दर व पाणी पट्टीची वाढीव देयके यासाठी वाढीव अनुदानाची गरज आहे.</t>
    </r>
  </si>
  <si>
    <t xml:space="preserve">सुधारीत अंदाज </t>
  </si>
  <si>
    <t>उपलेखाशिर्ष</t>
  </si>
  <si>
    <t>मागणी क्र.सी-1- लेखाशिर्ष : 20530313</t>
  </si>
  <si>
    <r>
      <rPr>
        <b/>
        <u/>
        <sz val="11"/>
        <color indexed="8"/>
        <rFont val="DVOT-Surekh"/>
      </rPr>
      <t>13- कार्यालयीन खर्च</t>
    </r>
    <r>
      <rPr>
        <sz val="11"/>
        <color indexed="8"/>
        <rFont val="DVOT-Surekh"/>
      </rPr>
      <t>:-  सदर बाबीखाली कार्या.खर्चसाठी स्टेशनरी, जडसंग्रह वस्तु, झेरॉक्स यांच्या वाढीव दरामुळे कार्यालयीन खर्च मोठया प्रमाणावर वाढला आहे. त्यामुळे अनुदानाची मागणी केली आहे.</t>
    </r>
  </si>
  <si>
    <t>वाहन भत्ता/ कायम प्रवास भत्ता</t>
  </si>
  <si>
    <t>प्रवास भत्ता/कायम प्रवास भत्ता</t>
  </si>
  <si>
    <t>10- कंत्राटी सेवा</t>
  </si>
  <si>
    <t>16- प्रकाशने</t>
  </si>
  <si>
    <t>20- इतर प्रशासकीय खर्च</t>
  </si>
  <si>
    <r>
      <rPr>
        <b/>
        <u/>
        <sz val="11"/>
        <color indexed="8"/>
        <rFont val="DVOT-Surekh"/>
      </rPr>
      <t>26-जाहीरात व प्रसिध्दी खर्च</t>
    </r>
    <r>
      <rPr>
        <sz val="11"/>
        <color indexed="8"/>
        <rFont val="DVOT-Surekh"/>
      </rPr>
      <t>:- जिल्हाधिकारी कार्यालयांचे आवश्यकतेप्रमाणे अनुदान मंजूर होणेंस विनंती आहे.</t>
    </r>
  </si>
  <si>
    <t>मागील वर्षाच्या प्रत्यक्ष रक्कमा आणि चालु वर्षाच्या अर्थसंकल्पीय अंदाजाची तुलना करता आगामी वर्षासाठीच्या अंदाजातील वाढ किंवा घट यांच्या संबंधातील स्पष्टीकरणे.</t>
  </si>
  <si>
    <r>
      <rPr>
        <b/>
        <u/>
        <sz val="11"/>
        <color indexed="8"/>
        <rFont val="DVOT-Surekh"/>
      </rPr>
      <t>11- देशांतर्गत प्रवास खर्च</t>
    </r>
    <r>
      <rPr>
        <sz val="11"/>
        <color indexed="8"/>
        <rFont val="DVOT-Surekh"/>
      </rPr>
      <t>:- 1)सदर बाबीखाली शासनाने ठरवून दिलेल्या जमीन महसूल कर वसुलीच्या वाढीव उद्दिष्टपूर्तताबाबत वाढीव फिरती कराव्या लागत असल्याने प्रवास खर्च अनुदानाची मागणी केली आहे. 2)तसेच संभाव्य बदली प्रवास भत्ता अदा करणेकरीता अनुदानाची आवश्यकता आहे.</t>
    </r>
  </si>
  <si>
    <t>जोडपत्र "ड"</t>
  </si>
  <si>
    <t>संवर्गनिहाय माहिती</t>
  </si>
  <si>
    <t>संवर्ग</t>
  </si>
  <si>
    <t>वर्ग-1</t>
  </si>
  <si>
    <t>वर्ग-2</t>
  </si>
  <si>
    <t>अर्थसंकल्पीय अंदाजपत्रक सन 2020-2021</t>
  </si>
  <si>
    <t>अर्थसंकल्पीय अंदाज 2020-2021</t>
  </si>
  <si>
    <t>2020-2021</t>
  </si>
  <si>
    <t xml:space="preserve"> </t>
  </si>
  <si>
    <t>2021-2022</t>
  </si>
  <si>
    <t>2022-2023</t>
  </si>
  <si>
    <t>2023-2024</t>
  </si>
  <si>
    <t>2023-24</t>
  </si>
  <si>
    <t>2024-25</t>
  </si>
  <si>
    <t>सहाय्यक संचालक(लेखा)कोकण विभाग</t>
  </si>
  <si>
    <t>2025-26</t>
  </si>
  <si>
    <t>2024-2025</t>
  </si>
  <si>
    <t>NPS</t>
  </si>
  <si>
    <r>
      <rPr>
        <b/>
        <u/>
        <sz val="10"/>
        <color indexed="8"/>
        <rFont val="DVOT-Surekh"/>
      </rPr>
      <t>14- भाडेपट्टी व कर</t>
    </r>
    <r>
      <rPr>
        <sz val="10"/>
        <color indexed="8"/>
        <rFont val="DVOT-Surekh"/>
      </rPr>
      <t xml:space="preserve">:- </t>
    </r>
    <r>
      <rPr>
        <b/>
        <sz val="10"/>
        <color indexed="8"/>
        <rFont val="DVOT-Surekh"/>
      </rPr>
      <t>(1)</t>
    </r>
    <r>
      <rPr>
        <sz val="10"/>
        <color indexed="8"/>
        <rFont val="DVOT-Surekh"/>
      </rPr>
      <t>महसूल व वन विभाग शासन निर्णय क्र.भाडेवाढ/2011/प्र.क्र.282/ई-10, दि.05/06/2013 अन्वये ग्रामीण भागातील तलाठी सज्जावरील तलाठी कार्यालयासाठी खाजगी जागा भाडयाने घेतल्यास त्या जागेचे सुधारीत भाडे दरमहा रु.1,000/- व शहरी भागातील तलाठी सज्जावरील तलाठी कार्यालयासाठी खाजगी जागा भाडयाने घेतल्यास त्या जागेचे भाडे दरमहा रु.2,000/- इतके मंजूर करण्यात आले आहे.</t>
    </r>
    <r>
      <rPr>
        <sz val="10"/>
        <color indexed="8"/>
        <rFont val="DVOT-Surekh"/>
      </rPr>
      <t xml:space="preserve">विभागीय आयुक्त, कोकण विभाग यांचे कार्यालयाकडून सन 2015-16 पासून सातत्याने अनुदान मागणी महसूल व वन विभागास सादर करण्यात येत आहे. </t>
    </r>
    <r>
      <rPr>
        <sz val="10"/>
        <color indexed="8"/>
        <rFont val="DVOT-Surekh"/>
      </rPr>
      <t xml:space="preserve">अर्थसंकल्पीय अंदाजपत्रकाद्वारे  सदर अनुदानाची मागणी करण्यात येत आहे. </t>
    </r>
    <r>
      <rPr>
        <b/>
        <sz val="10"/>
        <color indexed="8"/>
        <rFont val="DVOT-Surekh"/>
      </rPr>
      <t/>
    </r>
  </si>
  <si>
    <r>
      <rPr>
        <b/>
        <u/>
        <sz val="11"/>
        <color indexed="8"/>
        <rFont val="DVOT-Surekh"/>
      </rPr>
      <t>17- संगणक खर्च</t>
    </r>
    <r>
      <rPr>
        <sz val="11"/>
        <color indexed="8"/>
        <rFont val="DVOT-Surekh"/>
      </rPr>
      <t xml:space="preserve"> :-  सदर उपशिर्षाखाली जमीन महसूल कर वसुली उद्दिष्ठपूर्तता बाबत शासनास पाठवावयाचे नियतकालीके अहवाल तयार करणे इ. कार्यालयीन कामे संगणकावर करावी लागतात. यास्तव शासनाने लॅपटॉप पुरविले आहेत. मात्र देखभाल खर्चासाठी अनुदान प्राप्त होत नसल्याने अडचणी निर्माण होत आहेत. त्यामुळे संगणक खर्च अनुदान मंजूर होणेस विनंती आहे.</t>
    </r>
  </si>
  <si>
    <t>टीप   : विभागीय आयुक्त कोकण विभाग अधिनस्त जिल्हाधिकारी कार्यालय पालघर जिल्हयात महसूल व वनविभागाकडील शासन निर्णय क्र. प्राफेब-२०१० (तलाठी)/प्रक्र. ११२ (भाग ३)/म-१० दि. ०७/१२/२०२२ अन्वये तलाठी सजा पुनर्रचनेनुसार ८६ तलाठी सजा व १६ महसूल मंडळे पुननिर्मित झाली असून सदर तलाठी सजा व महसूल मंडळांसाठी ८६ तलाठी व १६ मंडळ अधिकाऱ्यांची पदे निर्माण करण्यास शासनाची मान्यता मिळाली आहे.परंतु लेखाशीर्ष २०५३०३१३ अंतर्गत सन २०२४-२५ च्या अंदाजपत्रकामध्ये तलाठी संवर्गाच्या अस्थायी पदांमध्ये १४२ पदे दर्शविण्यात आली होती. परंतु प्रत्यक्षात सदर तलाठी संवर्गाच्या अस्थायी पदांची संख्या ही १४१ असून सन २०२४-२५ च्या अंदाजपत्रकात अनावधानाने १ पद जास्त दर्शविण्यात आले होते.तथापि सन २०२५-२६ च्या अंदाजपत्रकात सदर दुरुस्ती करुन सुधारित प्रपत्र -ड सुधारित करुन सादर करण्यात येत आहे.तरी प्रस्तुत प्रकरणी सन २०२५-२६ च्या अर्थसंकल्पीय अंदाजपत्रकात लेखाशीर्ष २०५३०३१३ मध्ये सुधारणा करण्यात येत असून कोकण विभागाकरिता तलाठ्यांची स्थायी 2369 व  अस्थायी 980 पदे विचारात घेऊन सदर पदांच्या अंदाजपत्रकास मान्यता मिळणेस विनंती आहे.</t>
  </si>
  <si>
    <t>2026-27</t>
  </si>
  <si>
    <t>अर्थसंकल्पीय अंदाजपत्रक सन 2026-2027</t>
  </si>
  <si>
    <t>अर्थसंकल्पीय अंदाज 2026-2027</t>
  </si>
  <si>
    <t>अर्थसंकल्पीय अंदाजपत्रक सन 2026-2027 (जिल्हानिहाय)</t>
  </si>
  <si>
    <t>महागाई भत्ता 70%</t>
  </si>
  <si>
    <t xml:space="preserve">01- वेतन:- या बाबीखाली  सातवा वेतन आयोग फरक, चालु महागाई भत्ता दर आकारणी 70% प्रमाणे विचारात घेवून केली आहे. वेळोवेळी होणारी वेतनवाढ व महागाई भत्ता दराप्रमाणे वाढीव अनुदान मिळणेस विनंती आहे. </t>
  </si>
  <si>
    <t>2025-2026</t>
  </si>
  <si>
    <t>dooone</t>
  </si>
  <si>
    <t>अर्थसंकल्पीय अंदाजपत्रक सन 2026-2027 (प्रपत्र अ)</t>
  </si>
  <si>
    <t>अर्थसंकल्पीय अंदाजपत्रक सन 2026-2027 (प्रपत्र ब)</t>
  </si>
  <si>
    <t>अर्थसंकल्पीय अंदाजपत्रक सन 2026-2027 (प्रपत्र क)</t>
  </si>
  <si>
    <t>अर्थसंकल्पीय अंदाजपत्रक सन 2026-2027 (प्रपत्र ड)</t>
  </si>
  <si>
    <r>
      <rPr>
        <b/>
        <u/>
        <sz val="11"/>
        <color indexed="8"/>
        <rFont val="DVOT-Surekh"/>
      </rPr>
      <t>10- कंत्राटी सेवा</t>
    </r>
    <r>
      <rPr>
        <sz val="11"/>
        <color indexed="8"/>
        <rFont val="DVOT-Surekh"/>
      </rPr>
      <t>:- विभागीय आयुक्त कोकण विभाग यांचे अधिनस्त सर्व तलाठी कार्यालयांतील कंत्राटी पध्दतीने विविध सेवा देणा-या कर्मचा-यांची  देयके अदा करण्याकरीता रक्कमेची आवश्यक आहे.</t>
    </r>
  </si>
  <si>
    <r>
      <rPr>
        <b/>
        <u/>
        <sz val="11"/>
        <color indexed="8"/>
        <rFont val="DVOT-Surekh"/>
      </rPr>
      <t>16- प्रकाशने</t>
    </r>
    <r>
      <rPr>
        <sz val="11"/>
        <color indexed="8"/>
        <rFont val="DVOT-Surekh"/>
      </rPr>
      <t>:- विभागीय आयुक्त कोकण विभाग यांचे अधिनस्त सर्व तलाठी कार्यालयांतील  विविध प्रकारच्या छपाईची  देयके अदा करण्याकरीता  रक्कमेची आवश्यक आहे.</t>
    </r>
  </si>
  <si>
    <r>
      <rPr>
        <b/>
        <u/>
        <sz val="11"/>
        <color indexed="8"/>
        <rFont val="DVOT-Surekh"/>
      </rPr>
      <t>50- इतर खर्च</t>
    </r>
    <r>
      <rPr>
        <sz val="11"/>
        <color indexed="8"/>
        <rFont val="DVOT-Surekh"/>
      </rPr>
      <t>:- विभागीय आयुक्त कार्यालयाचे सादर अंदाजपत्रकामध्ये नमूद बाबींव्यतिरिक्त विभागीय आयुक्त कार्यालयात करण्यात येणा-या खर्चाकरीता रक्कमेची आवश्यक आहे.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</si>
</sst>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7">
    <font>
      <sz val="11"/>
      <color theme="1"/>
      <name val="Calibri"/>
      <family val="2"/>
      <scheme val="minor"/>
    </font>
    <font>
      <b/>
      <sz val="16"/>
      <color indexed="8"/>
      <name val="DVB-TTYogeshEN"/>
      <family val="5"/>
    </font>
    <font>
      <sz val="16"/>
      <color indexed="8"/>
      <name val="DVB-TTYogeshEN"/>
      <family val="5"/>
    </font>
    <font>
      <b/>
      <sz val="14"/>
      <color indexed="8"/>
      <name val="DVB-TTYogeshEN"/>
      <family val="5"/>
    </font>
    <font>
      <sz val="14"/>
      <color indexed="8"/>
      <name val="DVB-TTYogeshEN"/>
      <family val="5"/>
    </font>
    <font>
      <sz val="14"/>
      <name val="DVB-TTYogeshEN"/>
      <family val="5"/>
    </font>
    <font>
      <b/>
      <sz val="14"/>
      <name val="DVB-TTYogeshEN"/>
      <family val="5"/>
    </font>
    <font>
      <b/>
      <u/>
      <sz val="18"/>
      <color indexed="8"/>
      <name val="DVB-TTYogeshEN"/>
      <family val="5"/>
    </font>
    <font>
      <b/>
      <u/>
      <sz val="16"/>
      <color indexed="8"/>
      <name val="DVB-TTYogeshEN"/>
      <family val="5"/>
    </font>
    <font>
      <sz val="16"/>
      <name val="DVB-TTYogeshEN"/>
      <family val="5"/>
    </font>
    <font>
      <b/>
      <sz val="16"/>
      <name val="DVB-TTYogeshEN"/>
      <family val="5"/>
    </font>
    <font>
      <b/>
      <sz val="12"/>
      <color indexed="8"/>
      <name val="DVB-TTYogeshEN"/>
      <family val="5"/>
    </font>
    <font>
      <sz val="15"/>
      <color indexed="8"/>
      <name val="DVB-TTYogeshEN"/>
      <family val="5"/>
    </font>
    <font>
      <b/>
      <sz val="15"/>
      <name val="DVB-TTYogeshEN"/>
      <family val="5"/>
    </font>
    <font>
      <b/>
      <sz val="15"/>
      <color indexed="8"/>
      <name val="DVB-TTYogeshEN"/>
      <family val="5"/>
    </font>
    <font>
      <sz val="8"/>
      <name val="Calibri"/>
      <family val="2"/>
    </font>
    <font>
      <b/>
      <u/>
      <sz val="14"/>
      <color indexed="8"/>
      <name val="DVB-TTYogeshEN"/>
      <family val="5"/>
    </font>
    <font>
      <b/>
      <sz val="14"/>
      <color indexed="8"/>
      <name val="DVOT-Surekh"/>
    </font>
    <font>
      <b/>
      <u/>
      <sz val="14"/>
      <color indexed="8"/>
      <name val="DVOT-Surekh"/>
    </font>
    <font>
      <sz val="11"/>
      <color indexed="8"/>
      <name val="DVOT-Surekh"/>
    </font>
    <font>
      <sz val="11"/>
      <color indexed="8"/>
      <name val="DVB-TTYogeshEN"/>
      <family val="5"/>
    </font>
    <font>
      <b/>
      <sz val="12"/>
      <color indexed="8"/>
      <name val="DVOT-Surekh"/>
    </font>
    <font>
      <sz val="12"/>
      <color indexed="8"/>
      <name val="DVOT-Surekh"/>
    </font>
    <font>
      <b/>
      <u/>
      <sz val="12"/>
      <color indexed="8"/>
      <name val="DVOT-Surekh"/>
    </font>
    <font>
      <sz val="12"/>
      <color indexed="8"/>
      <name val="DVB-TTYogeshEN"/>
      <family val="5"/>
    </font>
    <font>
      <b/>
      <sz val="10"/>
      <color indexed="8"/>
      <name val="DVOT-Surekh"/>
    </font>
    <font>
      <sz val="11"/>
      <name val="DVOT-Surekh"/>
    </font>
    <font>
      <sz val="13"/>
      <color indexed="8"/>
      <name val="DVB-TTYogeshEN"/>
      <family val="5"/>
    </font>
    <font>
      <sz val="12"/>
      <name val="DVOT-Surekh"/>
    </font>
    <font>
      <sz val="12"/>
      <name val="DVB-TTYogeshEN"/>
      <family val="5"/>
    </font>
    <font>
      <b/>
      <u/>
      <sz val="14"/>
      <name val="DVOT-Surekh"/>
    </font>
    <font>
      <b/>
      <u/>
      <sz val="14"/>
      <name val="DVB-TTYogeshEN"/>
      <family val="5"/>
    </font>
    <font>
      <b/>
      <sz val="14"/>
      <name val="DVOT-Surekh"/>
    </font>
    <font>
      <b/>
      <u/>
      <sz val="11"/>
      <color indexed="8"/>
      <name val="DVOT-Surekh"/>
    </font>
    <font>
      <b/>
      <sz val="18"/>
      <color indexed="8"/>
      <name val="DVOT-Surekh"/>
    </font>
    <font>
      <b/>
      <sz val="18"/>
      <color indexed="8"/>
      <name val="DVB-TTYogeshEN"/>
      <family val="5"/>
    </font>
    <font>
      <b/>
      <sz val="11"/>
      <color indexed="8"/>
      <name val="DVOT-Surekh"/>
    </font>
    <font>
      <sz val="8"/>
      <color indexed="8"/>
      <name val="DVOT-Surekh"/>
    </font>
    <font>
      <b/>
      <sz val="11"/>
      <name val="DVOT-Surekh"/>
    </font>
    <font>
      <sz val="10"/>
      <color indexed="8"/>
      <name val="DVOT-Surekh"/>
    </font>
    <font>
      <b/>
      <u/>
      <sz val="10"/>
      <color indexed="8"/>
      <name val="DVOT-Surekh"/>
    </font>
    <font>
      <sz val="10"/>
      <name val="DVOT-Surekh"/>
    </font>
    <font>
      <b/>
      <sz val="12"/>
      <name val="DVOT-Surekh"/>
    </font>
    <font>
      <b/>
      <sz val="20"/>
      <name val="DVOT-Surekh"/>
    </font>
    <font>
      <b/>
      <sz val="10"/>
      <name val="DVOT-Surekh"/>
    </font>
    <font>
      <b/>
      <sz val="11"/>
      <color theme="1"/>
      <name val="DVOT-Surekh"/>
    </font>
    <font>
      <b/>
      <sz val="11"/>
      <color rgb="FFFF0000"/>
      <name val="DVOT-Surekh"/>
    </font>
  </fonts>
  <fills count="4">
    <fill>
      <patternFill patternType="none"/>
    </fill>
    <fill>
      <patternFill patternType="gray125"/>
    </fill>
    <fill>
      <patternFill patternType="solid">
        <fgColor theme="0"/>
        <bgColor indexed="64"/>
      </patternFill>
    </fill>
    <fill>
      <patternFill patternType="solid">
        <fgColor theme="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double">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s>
  <cellStyleXfs count="1">
    <xf numFmtId="0" fontId="0" fillId="0" borderId="0"/>
  </cellStyleXfs>
  <cellXfs count="441">
    <xf numFmtId="0" fontId="0" fillId="0" borderId="0" xfId="0"/>
    <xf numFmtId="0" fontId="2" fillId="0" borderId="1" xfId="0" applyFont="1" applyBorder="1"/>
    <xf numFmtId="0" fontId="2" fillId="0" borderId="0" xfId="0" applyFont="1"/>
    <xf numFmtId="0" fontId="1" fillId="0" borderId="1" xfId="0" applyFont="1" applyBorder="1" applyAlignment="1">
      <alignment vertical="top"/>
    </xf>
    <xf numFmtId="0" fontId="2" fillId="0" borderId="1" xfId="0" applyFont="1" applyBorder="1" applyAlignment="1">
      <alignment vertical="top"/>
    </xf>
    <xf numFmtId="0" fontId="2" fillId="0" borderId="0" xfId="0" applyFont="1" applyBorder="1"/>
    <xf numFmtId="0" fontId="4" fillId="0" borderId="0" xfId="0" applyFont="1"/>
    <xf numFmtId="0" fontId="4" fillId="0" borderId="1" xfId="0" applyFont="1" applyBorder="1" applyAlignment="1">
      <alignment horizontal="right"/>
    </xf>
    <xf numFmtId="0" fontId="1" fillId="0" borderId="2" xfId="0" applyFont="1" applyBorder="1" applyAlignment="1">
      <alignment vertical="top"/>
    </xf>
    <xf numFmtId="0" fontId="1" fillId="0" borderId="1" xfId="0" applyFont="1" applyBorder="1"/>
    <xf numFmtId="0" fontId="1" fillId="0" borderId="2" xfId="0" applyFont="1" applyBorder="1"/>
    <xf numFmtId="0" fontId="7" fillId="0" borderId="3" xfId="0" applyFont="1" applyBorder="1" applyAlignment="1">
      <alignment vertical="top"/>
    </xf>
    <xf numFmtId="0" fontId="2" fillId="0" borderId="1" xfId="0" applyFont="1" applyBorder="1" applyAlignment="1">
      <alignment horizontal="right"/>
    </xf>
    <xf numFmtId="0" fontId="2" fillId="0" borderId="4" xfId="0" applyFont="1" applyBorder="1"/>
    <xf numFmtId="0" fontId="1" fillId="0" borderId="4" xfId="0" applyFont="1" applyBorder="1"/>
    <xf numFmtId="0" fontId="2" fillId="0" borderId="0" xfId="0" applyFont="1" applyBorder="1" applyAlignment="1">
      <alignment horizontal="center" vertical="center" wrapText="1"/>
    </xf>
    <xf numFmtId="0" fontId="1" fillId="0" borderId="0" xfId="0" applyFont="1" applyBorder="1" applyAlignment="1">
      <alignment horizontal="center" vertical="top"/>
    </xf>
    <xf numFmtId="0" fontId="1" fillId="0" borderId="0" xfId="0" applyFont="1" applyBorder="1" applyAlignment="1">
      <alignment vertical="top"/>
    </xf>
    <xf numFmtId="0" fontId="1" fillId="0" borderId="0" xfId="0" applyFont="1" applyAlignment="1"/>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1" fillId="0" borderId="1" xfId="0" applyFont="1" applyBorder="1" applyAlignment="1">
      <alignment horizontal="right"/>
    </xf>
    <xf numFmtId="0" fontId="1" fillId="0" borderId="1" xfId="0" applyFont="1" applyBorder="1" applyAlignment="1">
      <alignment vertical="center" wrapText="1"/>
    </xf>
    <xf numFmtId="0" fontId="1" fillId="0" borderId="2" xfId="0" applyFont="1" applyBorder="1" applyAlignment="1">
      <alignment horizontal="right" vertical="center" wrapText="1"/>
    </xf>
    <xf numFmtId="0" fontId="1" fillId="0" borderId="0" xfId="0" applyFont="1" applyBorder="1" applyAlignment="1">
      <alignment vertical="center" wrapText="1"/>
    </xf>
    <xf numFmtId="0" fontId="1" fillId="0" borderId="1" xfId="0" applyFont="1" applyBorder="1" applyAlignment="1">
      <alignment vertical="top" wrapText="1"/>
    </xf>
    <xf numFmtId="0" fontId="10" fillId="0" borderId="3" xfId="0" applyFont="1" applyBorder="1" applyAlignment="1">
      <alignment vertical="top"/>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0" xfId="0" applyFont="1" applyAlignment="1">
      <alignment vertical="top"/>
    </xf>
    <xf numFmtId="0" fontId="7" fillId="0" borderId="0" xfId="0" applyFont="1" applyAlignment="1"/>
    <xf numFmtId="0" fontId="21" fillId="0" borderId="1" xfId="0" applyFont="1" applyBorder="1" applyAlignment="1">
      <alignment horizontal="center" vertical="top"/>
    </xf>
    <xf numFmtId="0" fontId="11" fillId="0" borderId="1" xfId="0" applyFont="1" applyBorder="1" applyAlignment="1">
      <alignment vertical="top"/>
    </xf>
    <xf numFmtId="0" fontId="21" fillId="0" borderId="1" xfId="0" applyFont="1" applyBorder="1" applyAlignment="1">
      <alignment vertical="top"/>
    </xf>
    <xf numFmtId="0" fontId="22" fillId="0" borderId="1" xfId="0" applyFont="1" applyBorder="1" applyAlignment="1">
      <alignment horizontal="center" vertical="top"/>
    </xf>
    <xf numFmtId="0" fontId="23" fillId="0" borderId="1" xfId="0" applyFont="1" applyBorder="1" applyAlignment="1">
      <alignment vertical="top"/>
    </xf>
    <xf numFmtId="0" fontId="21" fillId="0" borderId="2" xfId="0" applyFont="1" applyBorder="1" applyAlignment="1">
      <alignment vertical="top"/>
    </xf>
    <xf numFmtId="0" fontId="21" fillId="0" borderId="4" xfId="0" applyFont="1" applyBorder="1" applyAlignment="1">
      <alignment vertical="top"/>
    </xf>
    <xf numFmtId="0" fontId="21" fillId="0" borderId="2" xfId="0" applyFont="1" applyBorder="1" applyAlignment="1">
      <alignment horizontal="center" vertical="top"/>
    </xf>
    <xf numFmtId="0" fontId="11" fillId="0" borderId="0" xfId="0" applyFont="1" applyAlignment="1">
      <alignment horizontal="center"/>
    </xf>
    <xf numFmtId="0" fontId="8" fillId="0" borderId="0" xfId="0" applyFont="1" applyAlignment="1"/>
    <xf numFmtId="0" fontId="21" fillId="0" borderId="0" xfId="0" applyFont="1" applyAlignment="1"/>
    <xf numFmtId="0" fontId="24" fillId="0" borderId="0" xfId="0" applyFont="1"/>
    <xf numFmtId="0" fontId="21" fillId="0" borderId="1" xfId="0" applyFont="1" applyBorder="1" applyAlignment="1">
      <alignment horizontal="center" vertical="top" wrapText="1"/>
    </xf>
    <xf numFmtId="0" fontId="21" fillId="0" borderId="1" xfId="0" applyFont="1" applyBorder="1" applyAlignment="1">
      <alignment horizontal="center"/>
    </xf>
    <xf numFmtId="0" fontId="21" fillId="0" borderId="1" xfId="0" applyFont="1" applyBorder="1" applyAlignment="1">
      <alignment horizontal="center" vertical="center" wrapText="1"/>
    </xf>
    <xf numFmtId="0" fontId="2" fillId="0" borderId="0" xfId="0" applyFont="1" applyBorder="1" applyAlignment="1">
      <alignment horizontal="center" vertical="top" wrapText="1"/>
    </xf>
    <xf numFmtId="0" fontId="21" fillId="0" borderId="0" xfId="0" applyFont="1" applyBorder="1" applyAlignment="1">
      <alignment horizontal="center" vertical="top" wrapText="1"/>
    </xf>
    <xf numFmtId="0" fontId="2" fillId="0" borderId="0" xfId="0" applyFont="1" applyBorder="1" applyAlignment="1">
      <alignment vertical="top" wrapText="1"/>
    </xf>
    <xf numFmtId="0" fontId="1" fillId="0" borderId="0" xfId="0" applyFont="1" applyBorder="1" applyAlignment="1">
      <alignment vertical="top" wrapText="1"/>
    </xf>
    <xf numFmtId="0" fontId="2" fillId="2" borderId="0" xfId="0" applyFont="1" applyFill="1"/>
    <xf numFmtId="0" fontId="2" fillId="2" borderId="1" xfId="0" applyFont="1" applyFill="1" applyBorder="1" applyAlignment="1">
      <alignment vertical="top" wrapText="1"/>
    </xf>
    <xf numFmtId="0" fontId="9" fillId="2" borderId="1" xfId="0" applyFont="1" applyFill="1" applyBorder="1" applyAlignment="1">
      <alignment vertical="top" wrapText="1"/>
    </xf>
    <xf numFmtId="0" fontId="1" fillId="2" borderId="2" xfId="0" applyFont="1" applyFill="1" applyBorder="1" applyAlignment="1">
      <alignment vertical="top"/>
    </xf>
    <xf numFmtId="0" fontId="1" fillId="2" borderId="0" xfId="0" applyFont="1" applyFill="1" applyBorder="1" applyAlignment="1">
      <alignment vertical="top"/>
    </xf>
    <xf numFmtId="0" fontId="1" fillId="2" borderId="0" xfId="0" applyFont="1" applyFill="1" applyBorder="1" applyAlignment="1">
      <alignment horizontal="center" vertical="top"/>
    </xf>
    <xf numFmtId="0" fontId="2" fillId="2" borderId="0" xfId="0" applyFont="1" applyFill="1" applyAlignment="1">
      <alignment vertical="top"/>
    </xf>
    <xf numFmtId="0" fontId="26" fillId="0" borderId="3" xfId="0" applyFont="1" applyBorder="1" applyAlignment="1">
      <alignment horizontal="right" vertical="top"/>
    </xf>
    <xf numFmtId="0" fontId="22" fillId="0" borderId="1" xfId="0" applyFont="1" applyBorder="1" applyAlignment="1">
      <alignment horizontal="center" vertical="top" wrapText="1"/>
    </xf>
    <xf numFmtId="0" fontId="22" fillId="2" borderId="1" xfId="0" applyFont="1" applyFill="1" applyBorder="1" applyAlignment="1">
      <alignment vertical="top" wrapText="1"/>
    </xf>
    <xf numFmtId="0" fontId="22" fillId="2" borderId="1" xfId="0" applyFont="1" applyFill="1" applyBorder="1" applyAlignment="1">
      <alignment horizontal="center" vertical="top" wrapText="1"/>
    </xf>
    <xf numFmtId="0" fontId="17" fillId="0" borderId="2" xfId="0" applyFont="1" applyBorder="1" applyAlignment="1">
      <alignment horizontal="center" vertical="top"/>
    </xf>
    <xf numFmtId="0" fontId="27" fillId="0" borderId="1" xfId="0" applyFont="1" applyBorder="1" applyAlignment="1">
      <alignment horizontal="center" vertical="top"/>
    </xf>
    <xf numFmtId="0" fontId="27" fillId="0" borderId="0" xfId="0" applyFont="1" applyAlignment="1">
      <alignment vertical="top"/>
    </xf>
    <xf numFmtId="0" fontId="22" fillId="0" borderId="1" xfId="0" applyFont="1" applyFill="1" applyBorder="1" applyAlignment="1">
      <alignment vertical="top" wrapText="1"/>
    </xf>
    <xf numFmtId="0" fontId="22" fillId="0" borderId="1" xfId="0" applyFont="1" applyFill="1" applyBorder="1" applyAlignment="1">
      <alignment horizontal="center" vertical="top" wrapText="1"/>
    </xf>
    <xf numFmtId="0" fontId="4" fillId="2" borderId="0" xfId="0" applyFont="1" applyFill="1"/>
    <xf numFmtId="0" fontId="5" fillId="2" borderId="1" xfId="0" applyFont="1" applyFill="1" applyBorder="1" applyAlignment="1">
      <alignment horizontal="right"/>
    </xf>
    <xf numFmtId="0" fontId="10" fillId="2" borderId="1" xfId="0" applyFont="1" applyFill="1" applyBorder="1" applyAlignment="1">
      <alignment horizontal="right" vertical="top"/>
    </xf>
    <xf numFmtId="0" fontId="5" fillId="2" borderId="5" xfId="0" applyFont="1" applyFill="1" applyBorder="1" applyAlignment="1">
      <alignment horizontal="right"/>
    </xf>
    <xf numFmtId="0" fontId="6" fillId="2" borderId="2" xfId="0" applyFont="1" applyFill="1" applyBorder="1" applyAlignment="1">
      <alignment horizontal="right"/>
    </xf>
    <xf numFmtId="0" fontId="5" fillId="2" borderId="0" xfId="0" applyFont="1" applyFill="1" applyBorder="1" applyAlignment="1">
      <alignment vertical="top"/>
    </xf>
    <xf numFmtId="0" fontId="5" fillId="2" borderId="0" xfId="0" applyFont="1" applyFill="1" applyBorder="1" applyAlignment="1">
      <alignment vertical="top" wrapText="1"/>
    </xf>
    <xf numFmtId="0" fontId="6" fillId="2" borderId="0" xfId="0" applyFont="1" applyFill="1" applyBorder="1" applyAlignment="1">
      <alignment horizontal="center" vertical="top"/>
    </xf>
    <xf numFmtId="0" fontId="6" fillId="2" borderId="0" xfId="0" applyFont="1" applyFill="1" applyBorder="1" applyAlignment="1">
      <alignment horizontal="right"/>
    </xf>
    <xf numFmtId="0" fontId="6" fillId="2" borderId="1" xfId="0" applyFont="1" applyFill="1" applyBorder="1" applyAlignment="1"/>
    <xf numFmtId="0" fontId="6" fillId="2" borderId="1" xfId="0" applyFont="1" applyFill="1" applyBorder="1" applyAlignment="1">
      <alignment horizontal="right"/>
    </xf>
    <xf numFmtId="0" fontId="6" fillId="2" borderId="5" xfId="0" applyFont="1" applyFill="1" applyBorder="1" applyAlignment="1"/>
    <xf numFmtId="0" fontId="6" fillId="2" borderId="2" xfId="0" applyFont="1" applyFill="1" applyBorder="1" applyAlignment="1"/>
    <xf numFmtId="0" fontId="7" fillId="2" borderId="3" xfId="0" applyFont="1" applyFill="1" applyBorder="1" applyAlignment="1">
      <alignment vertical="top"/>
    </xf>
    <xf numFmtId="0" fontId="4" fillId="2" borderId="0" xfId="0" applyFont="1" applyFill="1" applyBorder="1" applyAlignment="1">
      <alignment vertical="top"/>
    </xf>
    <xf numFmtId="0" fontId="4" fillId="2" borderId="0" xfId="0" applyFont="1" applyFill="1" applyBorder="1" applyAlignment="1">
      <alignment vertical="top" wrapText="1"/>
    </xf>
    <xf numFmtId="0" fontId="3" fillId="2" borderId="0" xfId="0" applyFont="1" applyFill="1" applyBorder="1" applyAlignment="1">
      <alignment horizontal="right"/>
    </xf>
    <xf numFmtId="0" fontId="4" fillId="2" borderId="0" xfId="0" applyFont="1" applyFill="1" applyAlignment="1">
      <alignment vertical="top"/>
    </xf>
    <xf numFmtId="0" fontId="4" fillId="2" borderId="0" xfId="0" applyFont="1" applyFill="1" applyAlignment="1">
      <alignment vertical="top" wrapText="1"/>
    </xf>
    <xf numFmtId="0" fontId="14" fillId="2" borderId="1" xfId="0" applyFont="1" applyFill="1" applyBorder="1" applyAlignment="1">
      <alignment horizontal="right"/>
    </xf>
    <xf numFmtId="0" fontId="12" fillId="2" borderId="1" xfId="0" applyFont="1" applyFill="1" applyBorder="1" applyAlignment="1">
      <alignment horizontal="right"/>
    </xf>
    <xf numFmtId="0" fontId="14" fillId="2" borderId="2" xfId="0" applyFont="1" applyFill="1" applyBorder="1" applyAlignment="1">
      <alignment horizontal="right"/>
    </xf>
    <xf numFmtId="0" fontId="18" fillId="2" borderId="3" xfId="0" applyFont="1" applyFill="1" applyBorder="1" applyAlignment="1">
      <alignment vertical="top"/>
    </xf>
    <xf numFmtId="0" fontId="16" fillId="2" borderId="3" xfId="0" applyFont="1" applyFill="1" applyBorder="1" applyAlignment="1">
      <alignment vertical="top"/>
    </xf>
    <xf numFmtId="0" fontId="28" fillId="2" borderId="1" xfId="0" applyFont="1" applyFill="1" applyBorder="1" applyAlignment="1">
      <alignment horizontal="center" vertical="center"/>
    </xf>
    <xf numFmtId="0" fontId="28" fillId="2" borderId="5" xfId="0" applyFont="1" applyFill="1" applyBorder="1" applyAlignment="1">
      <alignment horizontal="center" vertical="top"/>
    </xf>
    <xf numFmtId="0" fontId="28" fillId="2" borderId="1" xfId="0" applyFont="1" applyFill="1" applyBorder="1" applyAlignment="1">
      <alignment horizontal="center"/>
    </xf>
    <xf numFmtId="0" fontId="28" fillId="2" borderId="1" xfId="0" applyFont="1" applyFill="1" applyBorder="1" applyAlignment="1">
      <alignment wrapText="1"/>
    </xf>
    <xf numFmtId="1" fontId="17" fillId="2" borderId="2" xfId="0" applyNumberFormat="1" applyFont="1" applyFill="1" applyBorder="1" applyAlignment="1">
      <alignment horizontal="center" vertical="top"/>
    </xf>
    <xf numFmtId="1" fontId="32" fillId="2" borderId="2" xfId="0" applyNumberFormat="1" applyFont="1" applyFill="1" applyBorder="1" applyAlignment="1">
      <alignment horizontal="center" vertical="top"/>
    </xf>
    <xf numFmtId="0" fontId="6" fillId="2" borderId="5" xfId="0" applyFont="1" applyFill="1" applyBorder="1" applyAlignment="1">
      <alignment horizontal="right"/>
    </xf>
    <xf numFmtId="0" fontId="6" fillId="2" borderId="0" xfId="0" applyFont="1" applyFill="1" applyBorder="1" applyAlignment="1"/>
    <xf numFmtId="0" fontId="18" fillId="0" borderId="3" xfId="0" applyFont="1" applyBorder="1" applyAlignment="1">
      <alignment vertical="top"/>
    </xf>
    <xf numFmtId="0" fontId="16" fillId="0" borderId="3" xfId="0" applyFont="1" applyBorder="1" applyAlignment="1">
      <alignment vertical="top"/>
    </xf>
    <xf numFmtId="0" fontId="18" fillId="3" borderId="3" xfId="0" applyFont="1" applyFill="1" applyBorder="1" applyAlignment="1">
      <alignment vertical="top"/>
    </xf>
    <xf numFmtId="0" fontId="16" fillId="3" borderId="3" xfId="0" applyFont="1" applyFill="1" applyBorder="1" applyAlignment="1">
      <alignment vertical="top"/>
    </xf>
    <xf numFmtId="0" fontId="7" fillId="3" borderId="3" xfId="0" applyFont="1" applyFill="1" applyBorder="1" applyAlignment="1">
      <alignment vertical="top"/>
    </xf>
    <xf numFmtId="0" fontId="28" fillId="3" borderId="1" xfId="0" applyFont="1" applyFill="1" applyBorder="1" applyAlignment="1">
      <alignment horizontal="center" vertical="center"/>
    </xf>
    <xf numFmtId="0" fontId="28" fillId="3" borderId="1" xfId="0" applyFont="1" applyFill="1" applyBorder="1" applyAlignment="1">
      <alignment horizontal="center" vertical="center" wrapText="1"/>
    </xf>
    <xf numFmtId="0" fontId="28" fillId="3" borderId="5" xfId="0" applyFont="1" applyFill="1" applyBorder="1" applyAlignment="1">
      <alignment horizontal="center" vertical="top"/>
    </xf>
    <xf numFmtId="0" fontId="28" fillId="3" borderId="1" xfId="0" applyFont="1" applyFill="1" applyBorder="1" applyAlignment="1">
      <alignment horizontal="center"/>
    </xf>
    <xf numFmtId="0" fontId="28" fillId="3" borderId="1" xfId="0" applyFont="1" applyFill="1" applyBorder="1" applyAlignment="1">
      <alignment wrapText="1"/>
    </xf>
    <xf numFmtId="0" fontId="5" fillId="3" borderId="1" xfId="0" applyFont="1" applyFill="1" applyBorder="1" applyAlignment="1">
      <alignment horizontal="right"/>
    </xf>
    <xf numFmtId="0" fontId="6" fillId="3" borderId="1" xfId="0" applyFont="1" applyFill="1" applyBorder="1" applyAlignment="1">
      <alignment horizontal="right"/>
    </xf>
    <xf numFmtId="0" fontId="10" fillId="3" borderId="1" xfId="0" applyFont="1" applyFill="1" applyBorder="1" applyAlignment="1">
      <alignment horizontal="right" vertical="top"/>
    </xf>
    <xf numFmtId="0" fontId="4" fillId="3" borderId="1" xfId="0" applyFont="1" applyFill="1" applyBorder="1" applyAlignment="1">
      <alignment horizontal="right"/>
    </xf>
    <xf numFmtId="0" fontId="5" fillId="3" borderId="5" xfId="0" applyFont="1" applyFill="1" applyBorder="1" applyAlignment="1">
      <alignment horizontal="right"/>
    </xf>
    <xf numFmtId="0" fontId="6" fillId="3" borderId="5" xfId="0" applyFont="1" applyFill="1" applyBorder="1" applyAlignment="1">
      <alignment horizontal="right"/>
    </xf>
    <xf numFmtId="1" fontId="17" fillId="3" borderId="2" xfId="0" applyNumberFormat="1" applyFont="1" applyFill="1" applyBorder="1" applyAlignment="1">
      <alignment horizontal="center" vertical="top"/>
    </xf>
    <xf numFmtId="1" fontId="32" fillId="3" borderId="2" xfId="0" applyNumberFormat="1" applyFont="1" applyFill="1" applyBorder="1" applyAlignment="1">
      <alignment horizontal="center" vertical="top"/>
    </xf>
    <xf numFmtId="0" fontId="6" fillId="3" borderId="2" xfId="0" applyFont="1" applyFill="1" applyBorder="1" applyAlignment="1">
      <alignment horizontal="right"/>
    </xf>
    <xf numFmtId="0" fontId="5" fillId="3" borderId="0" xfId="0" applyFont="1" applyFill="1" applyBorder="1" applyAlignment="1">
      <alignment vertical="top"/>
    </xf>
    <xf numFmtId="0" fontId="5" fillId="3" borderId="0" xfId="0" applyFont="1" applyFill="1" applyBorder="1" applyAlignment="1">
      <alignment vertical="top" wrapText="1"/>
    </xf>
    <xf numFmtId="0" fontId="6" fillId="3" borderId="0" xfId="0" applyFont="1" applyFill="1" applyBorder="1" applyAlignment="1">
      <alignment horizontal="center" vertical="top"/>
    </xf>
    <xf numFmtId="0" fontId="6" fillId="3" borderId="0" xfId="0" applyFont="1" applyFill="1" applyBorder="1" applyAlignment="1">
      <alignment horizontal="right"/>
    </xf>
    <xf numFmtId="0" fontId="5" fillId="3" borderId="1" xfId="0" applyFont="1" applyFill="1" applyBorder="1" applyAlignment="1"/>
    <xf numFmtId="0" fontId="6" fillId="3" borderId="1" xfId="0" applyFont="1" applyFill="1" applyBorder="1" applyAlignment="1"/>
    <xf numFmtId="0" fontId="5" fillId="3" borderId="1" xfId="0" applyFont="1" applyFill="1" applyBorder="1"/>
    <xf numFmtId="0" fontId="6" fillId="3" borderId="1" xfId="0" applyFont="1" applyFill="1" applyBorder="1"/>
    <xf numFmtId="0" fontId="5" fillId="3" borderId="5" xfId="0" applyFont="1" applyFill="1" applyBorder="1" applyAlignment="1"/>
    <xf numFmtId="0" fontId="6" fillId="3" borderId="5" xfId="0" applyFont="1" applyFill="1" applyBorder="1" applyAlignment="1"/>
    <xf numFmtId="0" fontId="5" fillId="3" borderId="5" xfId="0" applyFont="1" applyFill="1" applyBorder="1"/>
    <xf numFmtId="0" fontId="6" fillId="3" borderId="2" xfId="0" applyFont="1" applyFill="1" applyBorder="1" applyAlignment="1"/>
    <xf numFmtId="0" fontId="4" fillId="3" borderId="0" xfId="0" applyFont="1" applyFill="1" applyAlignment="1">
      <alignment vertical="top"/>
    </xf>
    <xf numFmtId="0" fontId="4" fillId="3" borderId="0" xfId="0" applyFont="1" applyFill="1" applyAlignment="1">
      <alignment vertical="top" wrapText="1"/>
    </xf>
    <xf numFmtId="0" fontId="4" fillId="3" borderId="0" xfId="0" applyFont="1" applyFill="1"/>
    <xf numFmtId="0" fontId="2" fillId="3" borderId="0" xfId="0" applyFont="1" applyFill="1"/>
    <xf numFmtId="0" fontId="11" fillId="3" borderId="1" xfId="0" applyFont="1" applyFill="1" applyBorder="1" applyAlignment="1">
      <alignment vertical="top"/>
    </xf>
    <xf numFmtId="0" fontId="21" fillId="3" borderId="1" xfId="0" applyFont="1" applyFill="1" applyBorder="1" applyAlignment="1">
      <alignment horizontal="center" vertical="top"/>
    </xf>
    <xf numFmtId="0" fontId="21" fillId="3" borderId="1" xfId="0" applyFont="1" applyFill="1" applyBorder="1" applyAlignment="1">
      <alignment vertical="top"/>
    </xf>
    <xf numFmtId="0" fontId="22" fillId="3" borderId="1" xfId="0" applyFont="1" applyFill="1" applyBorder="1" applyAlignment="1">
      <alignment horizontal="center" vertical="top"/>
    </xf>
    <xf numFmtId="0" fontId="23" fillId="3" borderId="1" xfId="0" applyFont="1" applyFill="1" applyBorder="1" applyAlignment="1">
      <alignment vertical="top"/>
    </xf>
    <xf numFmtId="0" fontId="2" fillId="3" borderId="1" xfId="0" applyFont="1" applyFill="1" applyBorder="1" applyAlignment="1">
      <alignment vertical="top"/>
    </xf>
    <xf numFmtId="0" fontId="1" fillId="3" borderId="1" xfId="0" applyFont="1" applyFill="1" applyBorder="1" applyAlignment="1">
      <alignment vertical="top"/>
    </xf>
    <xf numFmtId="0" fontId="21" fillId="3" borderId="2" xfId="0" applyFont="1" applyFill="1" applyBorder="1" applyAlignment="1">
      <alignment vertical="top"/>
    </xf>
    <xf numFmtId="0" fontId="1" fillId="3" borderId="2" xfId="0" applyFont="1" applyFill="1" applyBorder="1" applyAlignment="1">
      <alignment vertical="top"/>
    </xf>
    <xf numFmtId="0" fontId="21" fillId="3" borderId="4" xfId="0" applyFont="1" applyFill="1" applyBorder="1" applyAlignment="1">
      <alignment vertical="top"/>
    </xf>
    <xf numFmtId="0" fontId="2" fillId="3" borderId="4" xfId="0" applyFont="1" applyFill="1" applyBorder="1" applyAlignment="1">
      <alignment vertical="top"/>
    </xf>
    <xf numFmtId="0" fontId="21" fillId="3" borderId="2" xfId="0" applyFont="1" applyFill="1" applyBorder="1" applyAlignment="1">
      <alignment horizontal="center" vertical="top"/>
    </xf>
    <xf numFmtId="0" fontId="2" fillId="3" borderId="1" xfId="0" applyFont="1" applyFill="1" applyBorder="1"/>
    <xf numFmtId="0" fontId="1" fillId="3" borderId="1" xfId="0" applyFont="1" applyFill="1" applyBorder="1"/>
    <xf numFmtId="0" fontId="1" fillId="3" borderId="2" xfId="0" applyFont="1" applyFill="1" applyBorder="1"/>
    <xf numFmtId="0" fontId="2" fillId="3" borderId="4" xfId="0" applyFont="1" applyFill="1" applyBorder="1"/>
    <xf numFmtId="0" fontId="1" fillId="3" borderId="4" xfId="0" applyFont="1" applyFill="1" applyBorder="1"/>
    <xf numFmtId="0" fontId="2" fillId="3" borderId="0" xfId="0" applyFont="1" applyFill="1" applyBorder="1"/>
    <xf numFmtId="0" fontId="2" fillId="3" borderId="0" xfId="0" applyFont="1" applyFill="1" applyBorder="1" applyAlignment="1">
      <alignment horizontal="center" vertical="center" wrapText="1"/>
    </xf>
    <xf numFmtId="0" fontId="1" fillId="3" borderId="0" xfId="0" applyFont="1" applyFill="1" applyBorder="1" applyAlignment="1">
      <alignment horizontal="center" vertical="top"/>
    </xf>
    <xf numFmtId="0" fontId="1" fillId="3" borderId="0" xfId="0" applyFont="1" applyFill="1" applyBorder="1" applyAlignment="1">
      <alignment vertical="top"/>
    </xf>
    <xf numFmtId="0" fontId="21" fillId="3" borderId="0" xfId="0" applyFont="1" applyFill="1" applyAlignment="1"/>
    <xf numFmtId="0" fontId="11" fillId="3" borderId="0" xfId="0" applyFont="1" applyFill="1" applyAlignment="1">
      <alignment horizontal="center"/>
    </xf>
    <xf numFmtId="0" fontId="24" fillId="3" borderId="0" xfId="0" applyFont="1" applyFill="1"/>
    <xf numFmtId="0" fontId="21" fillId="3" borderId="1" xfId="0" applyFont="1" applyFill="1" applyBorder="1" applyAlignment="1">
      <alignment horizontal="center"/>
    </xf>
    <xf numFmtId="0" fontId="2" fillId="3" borderId="1" xfId="0" applyFont="1" applyFill="1" applyBorder="1" applyAlignment="1">
      <alignment horizontal="center" vertical="center" wrapText="1"/>
    </xf>
    <xf numFmtId="0" fontId="2" fillId="3" borderId="1" xfId="0" applyFont="1" applyFill="1" applyBorder="1" applyAlignment="1">
      <alignment horizontal="right" vertical="center" wrapText="1"/>
    </xf>
    <xf numFmtId="0" fontId="1" fillId="3" borderId="1" xfId="0" applyFont="1" applyFill="1" applyBorder="1" applyAlignment="1">
      <alignment horizontal="right"/>
    </xf>
    <xf numFmtId="0" fontId="21" fillId="3" borderId="1" xfId="0" applyFont="1" applyFill="1" applyBorder="1" applyAlignment="1">
      <alignment horizontal="center" vertical="center" wrapText="1"/>
    </xf>
    <xf numFmtId="0" fontId="1" fillId="3" borderId="2" xfId="0" applyFont="1" applyFill="1" applyBorder="1" applyAlignment="1">
      <alignment horizontal="right" vertical="center" wrapText="1"/>
    </xf>
    <xf numFmtId="0" fontId="1" fillId="3" borderId="0" xfId="0" applyFont="1" applyFill="1" applyBorder="1" applyAlignment="1">
      <alignment vertical="center" wrapText="1"/>
    </xf>
    <xf numFmtId="0" fontId="21" fillId="3"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10" fillId="3" borderId="3" xfId="0" applyFont="1" applyFill="1" applyBorder="1" applyAlignment="1">
      <alignment vertical="top"/>
    </xf>
    <xf numFmtId="0" fontId="26" fillId="3" borderId="3" xfId="0" applyFont="1" applyFill="1" applyBorder="1" applyAlignment="1">
      <alignment horizontal="right" vertical="top"/>
    </xf>
    <xf numFmtId="0" fontId="27" fillId="3" borderId="1" xfId="0" applyFont="1" applyFill="1" applyBorder="1" applyAlignment="1">
      <alignment horizontal="center" vertical="top"/>
    </xf>
    <xf numFmtId="0" fontId="22" fillId="3" borderId="1" xfId="0" applyFont="1" applyFill="1" applyBorder="1" applyAlignment="1">
      <alignment vertical="top" wrapText="1"/>
    </xf>
    <xf numFmtId="0" fontId="9" fillId="3" borderId="1" xfId="0" applyFont="1" applyFill="1" applyBorder="1" applyAlignment="1">
      <alignment vertical="top" wrapText="1"/>
    </xf>
    <xf numFmtId="0" fontId="17" fillId="3" borderId="2" xfId="0" applyFont="1" applyFill="1" applyBorder="1" applyAlignment="1">
      <alignment horizontal="center" vertical="top"/>
    </xf>
    <xf numFmtId="0" fontId="19" fillId="0" borderId="1" xfId="0" applyFont="1" applyBorder="1" applyAlignment="1">
      <alignment horizontal="justify" vertical="top" wrapText="1"/>
    </xf>
    <xf numFmtId="0" fontId="19" fillId="0" borderId="1" xfId="0" applyFont="1" applyBorder="1" applyAlignment="1">
      <alignment horizontal="center" vertical="top" wrapText="1"/>
    </xf>
    <xf numFmtId="1" fontId="14" fillId="0" borderId="1" xfId="0" applyNumberFormat="1" applyFont="1" applyBorder="1"/>
    <xf numFmtId="1" fontId="13" fillId="0" borderId="1" xfId="0" applyNumberFormat="1" applyFont="1" applyBorder="1" applyAlignment="1">
      <alignment horizontal="right" vertical="top"/>
    </xf>
    <xf numFmtId="0" fontId="34" fillId="0" borderId="2" xfId="0" applyFont="1" applyBorder="1" applyAlignment="1">
      <alignment horizontal="center" vertical="top"/>
    </xf>
    <xf numFmtId="0" fontId="35" fillId="0" borderId="2" xfId="0" applyFont="1" applyBorder="1" applyAlignment="1">
      <alignment vertical="top"/>
    </xf>
    <xf numFmtId="0" fontId="34" fillId="0" borderId="1" xfId="0" applyFont="1" applyBorder="1" applyAlignment="1">
      <alignment horizontal="center" vertical="top" wrapText="1"/>
    </xf>
    <xf numFmtId="1" fontId="17" fillId="2" borderId="1" xfId="0" applyNumberFormat="1" applyFont="1" applyFill="1" applyBorder="1" applyAlignment="1">
      <alignment horizontal="center" vertical="top"/>
    </xf>
    <xf numFmtId="1" fontId="32" fillId="2" borderId="1" xfId="0" applyNumberFormat="1" applyFont="1" applyFill="1" applyBorder="1" applyAlignment="1">
      <alignment horizontal="center" vertical="top"/>
    </xf>
    <xf numFmtId="0" fontId="36" fillId="0" borderId="0" xfId="0" applyFont="1" applyAlignment="1">
      <alignment vertical="top"/>
    </xf>
    <xf numFmtId="0" fontId="19" fillId="0" borderId="0" xfId="0" applyFont="1" applyAlignment="1">
      <alignment vertical="top" wrapText="1"/>
    </xf>
    <xf numFmtId="0" fontId="45" fillId="2" borderId="5" xfId="0" applyFont="1" applyFill="1" applyBorder="1" applyAlignment="1">
      <alignment horizontal="center" vertical="top" wrapText="1"/>
    </xf>
    <xf numFmtId="0" fontId="38" fillId="0" borderId="1" xfId="0" applyFont="1" applyBorder="1" applyAlignment="1">
      <alignment horizontal="center" vertical="top" wrapText="1"/>
    </xf>
    <xf numFmtId="0" fontId="19" fillId="0" borderId="1" xfId="0" applyFont="1" applyBorder="1" applyAlignment="1">
      <alignment vertical="top" wrapText="1"/>
    </xf>
    <xf numFmtId="0" fontId="46" fillId="0" borderId="1" xfId="0" applyFont="1" applyBorder="1" applyAlignment="1">
      <alignment vertical="top" wrapText="1"/>
    </xf>
    <xf numFmtId="0" fontId="46" fillId="0" borderId="2" xfId="0" applyFont="1" applyBorder="1" applyAlignment="1">
      <alignment vertical="top" wrapText="1"/>
    </xf>
    <xf numFmtId="0" fontId="36" fillId="0" borderId="0" xfId="0" applyFont="1" applyBorder="1" applyAlignment="1">
      <alignment vertical="top" wrapText="1"/>
    </xf>
    <xf numFmtId="0" fontId="36" fillId="0" borderId="0" xfId="0" applyFont="1" applyBorder="1" applyAlignment="1">
      <alignment horizontal="center" vertical="top" wrapText="1"/>
    </xf>
    <xf numFmtId="0" fontId="20" fillId="2" borderId="0" xfId="0" applyFont="1" applyFill="1" applyBorder="1" applyAlignment="1">
      <alignment vertical="top"/>
    </xf>
    <xf numFmtId="0" fontId="19" fillId="2" borderId="0" xfId="0" applyFont="1" applyFill="1" applyBorder="1" applyAlignment="1">
      <alignment vertical="top"/>
    </xf>
    <xf numFmtId="0" fontId="21" fillId="0" borderId="1" xfId="0" applyFont="1" applyBorder="1" applyAlignment="1">
      <alignment vertical="top" wrapText="1"/>
    </xf>
    <xf numFmtId="0" fontId="21" fillId="3" borderId="1" xfId="0" applyFont="1" applyFill="1" applyBorder="1" applyAlignment="1">
      <alignment vertical="top" wrapText="1"/>
    </xf>
    <xf numFmtId="0" fontId="2" fillId="0" borderId="1" xfId="0" applyFont="1" applyBorder="1" applyAlignment="1">
      <alignment horizontal="right" vertical="top"/>
    </xf>
    <xf numFmtId="0" fontId="22" fillId="3" borderId="1" xfId="0" applyFont="1" applyFill="1" applyBorder="1" applyAlignment="1">
      <alignment horizontal="center" vertical="top" wrapText="1"/>
    </xf>
    <xf numFmtId="0" fontId="19" fillId="2" borderId="1" xfId="0" applyFont="1" applyFill="1" applyBorder="1" applyAlignment="1">
      <alignment vertical="top" wrapText="1"/>
    </xf>
    <xf numFmtId="0" fontId="22" fillId="3" borderId="1" xfId="0" applyFont="1" applyFill="1" applyBorder="1" applyAlignment="1">
      <alignment horizontal="center" vertical="top" wrapText="1"/>
    </xf>
    <xf numFmtId="0" fontId="4" fillId="2" borderId="1" xfId="0" applyFont="1" applyFill="1" applyBorder="1" applyAlignment="1">
      <alignment horizontal="right" vertical="top"/>
    </xf>
    <xf numFmtId="0" fontId="2" fillId="2" borderId="1" xfId="0" applyFont="1" applyFill="1" applyBorder="1" applyAlignment="1">
      <alignment horizontal="right" vertical="center" wrapText="1"/>
    </xf>
    <xf numFmtId="0" fontId="27" fillId="3" borderId="0" xfId="0" applyFont="1" applyFill="1" applyAlignment="1">
      <alignment vertical="top"/>
    </xf>
    <xf numFmtId="0" fontId="39" fillId="0" borderId="1" xfId="0" applyFont="1" applyBorder="1" applyAlignment="1">
      <alignment horizontal="justify" vertical="top" wrapText="1"/>
    </xf>
    <xf numFmtId="0" fontId="41" fillId="0" borderId="0" xfId="0" applyFont="1" applyBorder="1" applyAlignment="1">
      <alignment horizontal="center" vertical="center"/>
    </xf>
    <xf numFmtId="0" fontId="18" fillId="2" borderId="0" xfId="0" applyFont="1" applyFill="1" applyBorder="1" applyAlignment="1">
      <alignment horizontal="center" vertical="center"/>
    </xf>
    <xf numFmtId="0" fontId="21" fillId="2" borderId="0" xfId="0" applyFont="1" applyFill="1" applyBorder="1" applyAlignment="1">
      <alignment horizontal="center" vertical="center"/>
    </xf>
    <xf numFmtId="0" fontId="22" fillId="2" borderId="0" xfId="0" applyFont="1" applyFill="1" applyBorder="1" applyAlignment="1">
      <alignment horizontal="center" vertical="center"/>
    </xf>
    <xf numFmtId="0" fontId="23" fillId="2" borderId="0" xfId="0" applyFont="1" applyFill="1" applyBorder="1" applyAlignment="1">
      <alignment horizontal="center" vertical="center"/>
    </xf>
    <xf numFmtId="0" fontId="17" fillId="2" borderId="0" xfId="0" applyFont="1" applyFill="1" applyBorder="1" applyAlignment="1">
      <alignment horizontal="center" vertical="center"/>
    </xf>
    <xf numFmtId="0" fontId="28" fillId="0" borderId="0" xfId="0" applyFont="1" applyBorder="1" applyAlignment="1">
      <alignment horizontal="center" vertical="center"/>
    </xf>
    <xf numFmtId="0" fontId="25" fillId="2" borderId="3" xfId="0" applyFont="1" applyFill="1" applyBorder="1" applyAlignment="1">
      <alignment horizontal="center" vertical="center"/>
    </xf>
    <xf numFmtId="0" fontId="28" fillId="0" borderId="1" xfId="0" applyFont="1" applyBorder="1" applyAlignment="1">
      <alignment horizontal="center" vertical="center"/>
    </xf>
    <xf numFmtId="0" fontId="22" fillId="0" borderId="1" xfId="0" applyFont="1" applyBorder="1" applyAlignment="1">
      <alignment horizontal="center" vertical="center" wrapText="1"/>
    </xf>
    <xf numFmtId="0" fontId="22" fillId="2" borderId="1" xfId="0" applyFont="1" applyFill="1" applyBorder="1" applyAlignment="1">
      <alignment horizontal="center" vertical="center" wrapText="1"/>
    </xf>
    <xf numFmtId="0" fontId="42" fillId="0" borderId="1" xfId="0" applyFont="1" applyBorder="1" applyAlignment="1">
      <alignment horizontal="center" vertical="center"/>
    </xf>
    <xf numFmtId="0" fontId="43" fillId="0" borderId="0" xfId="0" applyFont="1" applyBorder="1" applyAlignment="1">
      <alignment horizontal="center" vertical="center"/>
    </xf>
    <xf numFmtId="0" fontId="36" fillId="0" borderId="0" xfId="0" applyFont="1" applyBorder="1" applyAlignment="1">
      <alignment horizontal="center" vertical="center"/>
    </xf>
    <xf numFmtId="0" fontId="42" fillId="0" borderId="0" xfId="0" applyFont="1" applyBorder="1" applyAlignment="1">
      <alignment horizontal="center" vertical="center"/>
    </xf>
    <xf numFmtId="0" fontId="44" fillId="0" borderId="0" xfId="0" applyFont="1" applyBorder="1" applyAlignment="1">
      <alignment horizontal="center" vertical="center"/>
    </xf>
    <xf numFmtId="0" fontId="22" fillId="3" borderId="1" xfId="0" applyFont="1" applyFill="1" applyBorder="1" applyAlignment="1">
      <alignment horizontal="center" vertical="top" wrapText="1"/>
    </xf>
    <xf numFmtId="0" fontId="18" fillId="0" borderId="3" xfId="0" applyFont="1" applyFill="1" applyBorder="1" applyAlignment="1">
      <alignment vertical="top"/>
    </xf>
    <xf numFmtId="0" fontId="16" fillId="0" borderId="3" xfId="0" applyFont="1" applyFill="1" applyBorder="1" applyAlignment="1">
      <alignment vertical="top"/>
    </xf>
    <xf numFmtId="0" fontId="7" fillId="0" borderId="3" xfId="0" applyFont="1" applyFill="1" applyBorder="1" applyAlignment="1">
      <alignment vertical="top"/>
    </xf>
    <xf numFmtId="0" fontId="28" fillId="0" borderId="5" xfId="0" applyFont="1" applyFill="1" applyBorder="1" applyAlignment="1">
      <alignment horizontal="center" vertical="top"/>
    </xf>
    <xf numFmtId="0" fontId="28" fillId="0" borderId="1" xfId="0" applyFont="1" applyFill="1" applyBorder="1" applyAlignment="1">
      <alignment horizontal="center" vertical="center"/>
    </xf>
    <xf numFmtId="0" fontId="28" fillId="0" borderId="1" xfId="0" applyFont="1" applyFill="1" applyBorder="1" applyAlignment="1">
      <alignment horizontal="center" vertical="center" wrapText="1"/>
    </xf>
    <xf numFmtId="0" fontId="28" fillId="0" borderId="1" xfId="0" applyFont="1" applyFill="1" applyBorder="1" applyAlignment="1">
      <alignment horizontal="center"/>
    </xf>
    <xf numFmtId="0" fontId="28" fillId="0" borderId="1" xfId="0" applyFont="1" applyFill="1" applyBorder="1" applyAlignment="1">
      <alignment wrapText="1"/>
    </xf>
    <xf numFmtId="0" fontId="5" fillId="0" borderId="1" xfId="0" applyFont="1" applyFill="1" applyBorder="1" applyAlignment="1">
      <alignment horizontal="right"/>
    </xf>
    <xf numFmtId="0" fontId="6" fillId="0" borderId="1" xfId="0" applyFont="1" applyFill="1" applyBorder="1" applyAlignment="1">
      <alignment horizontal="right"/>
    </xf>
    <xf numFmtId="0" fontId="10" fillId="0" borderId="1" xfId="0" applyFont="1" applyFill="1" applyBorder="1" applyAlignment="1">
      <alignment horizontal="right" vertical="top"/>
    </xf>
    <xf numFmtId="0" fontId="4" fillId="0" borderId="1" xfId="0" applyFont="1" applyFill="1" applyBorder="1" applyAlignment="1">
      <alignment horizontal="right"/>
    </xf>
    <xf numFmtId="0" fontId="5" fillId="0" borderId="5" xfId="0" applyFont="1" applyFill="1" applyBorder="1" applyAlignment="1">
      <alignment horizontal="right"/>
    </xf>
    <xf numFmtId="0" fontId="6" fillId="0" borderId="5" xfId="0" applyFont="1" applyFill="1" applyBorder="1" applyAlignment="1">
      <alignment horizontal="right"/>
    </xf>
    <xf numFmtId="1" fontId="17" fillId="0" borderId="2" xfId="0" applyNumberFormat="1" applyFont="1" applyFill="1" applyBorder="1" applyAlignment="1">
      <alignment horizontal="center" vertical="top"/>
    </xf>
    <xf numFmtId="1" fontId="32" fillId="0" borderId="2" xfId="0" applyNumberFormat="1" applyFont="1" applyFill="1" applyBorder="1" applyAlignment="1">
      <alignment horizontal="center" vertical="top"/>
    </xf>
    <xf numFmtId="0" fontId="6" fillId="0" borderId="2" xfId="0" applyFont="1" applyFill="1" applyBorder="1" applyAlignment="1">
      <alignment horizontal="right"/>
    </xf>
    <xf numFmtId="0" fontId="5" fillId="0" borderId="0" xfId="0" applyFont="1" applyFill="1" applyBorder="1" applyAlignment="1">
      <alignment vertical="top"/>
    </xf>
    <xf numFmtId="0" fontId="5" fillId="0" borderId="0" xfId="0" applyFont="1" applyFill="1" applyBorder="1" applyAlignment="1">
      <alignment vertical="top" wrapText="1"/>
    </xf>
    <xf numFmtId="0" fontId="6" fillId="0" borderId="0" xfId="0" applyFont="1" applyFill="1" applyBorder="1" applyAlignment="1">
      <alignment horizontal="center" vertical="top"/>
    </xf>
    <xf numFmtId="0" fontId="6" fillId="0" borderId="0" xfId="0" applyFont="1" applyFill="1" applyBorder="1" applyAlignment="1">
      <alignment horizontal="right"/>
    </xf>
    <xf numFmtId="0" fontId="5" fillId="0" borderId="1" xfId="0" applyFont="1" applyFill="1" applyBorder="1" applyAlignment="1"/>
    <xf numFmtId="0" fontId="6" fillId="0" borderId="1" xfId="0" applyFont="1" applyFill="1" applyBorder="1" applyAlignment="1"/>
    <xf numFmtId="0" fontId="5" fillId="0" borderId="1" xfId="0" applyFont="1" applyFill="1" applyBorder="1"/>
    <xf numFmtId="0" fontId="6" fillId="0" borderId="1" xfId="0" applyFont="1" applyFill="1" applyBorder="1"/>
    <xf numFmtId="0" fontId="5" fillId="0" borderId="5" xfId="0" applyFont="1" applyFill="1" applyBorder="1" applyAlignment="1"/>
    <xf numFmtId="0" fontId="6" fillId="0" borderId="5" xfId="0" applyFont="1" applyFill="1" applyBorder="1" applyAlignment="1"/>
    <xf numFmtId="0" fontId="5" fillId="0" borderId="5" xfId="0" applyFont="1" applyFill="1" applyBorder="1"/>
    <xf numFmtId="0" fontId="6" fillId="0" borderId="2" xfId="0" applyFont="1" applyFill="1" applyBorder="1" applyAlignment="1"/>
    <xf numFmtId="0" fontId="5" fillId="0" borderId="0" xfId="0" applyFont="1" applyFill="1" applyAlignment="1">
      <alignment vertical="top"/>
    </xf>
    <xf numFmtId="0" fontId="5" fillId="0" borderId="0" xfId="0" applyFont="1" applyFill="1" applyAlignment="1">
      <alignment vertical="top" wrapText="1"/>
    </xf>
    <xf numFmtId="0" fontId="5" fillId="0" borderId="0" xfId="0" applyFont="1" applyFill="1"/>
    <xf numFmtId="0" fontId="2" fillId="0" borderId="0" xfId="0" applyFont="1" applyFill="1"/>
    <xf numFmtId="0" fontId="21" fillId="0" borderId="1" xfId="0" applyFont="1" applyFill="1" applyBorder="1" applyAlignment="1">
      <alignment horizontal="center" vertical="top"/>
    </xf>
    <xf numFmtId="0" fontId="11" fillId="0" borderId="1" xfId="0" applyFont="1" applyFill="1" applyBorder="1" applyAlignment="1">
      <alignment vertical="top"/>
    </xf>
    <xf numFmtId="0" fontId="21" fillId="0" borderId="1" xfId="0" applyFont="1" applyFill="1" applyBorder="1" applyAlignment="1">
      <alignment vertical="top"/>
    </xf>
    <xf numFmtId="0" fontId="22" fillId="0" borderId="1" xfId="0" applyFont="1" applyFill="1" applyBorder="1" applyAlignment="1">
      <alignment horizontal="center" vertical="top"/>
    </xf>
    <xf numFmtId="0" fontId="23" fillId="0" borderId="1" xfId="0" applyFont="1" applyFill="1" applyBorder="1" applyAlignment="1">
      <alignment vertical="top"/>
    </xf>
    <xf numFmtId="0" fontId="2" fillId="0" borderId="1" xfId="0" applyFont="1" applyFill="1" applyBorder="1" applyAlignment="1">
      <alignment vertical="top"/>
    </xf>
    <xf numFmtId="0" fontId="1" fillId="0" borderId="1" xfId="0" applyFont="1" applyFill="1" applyBorder="1" applyAlignment="1">
      <alignment vertical="top"/>
    </xf>
    <xf numFmtId="0" fontId="21" fillId="0" borderId="2" xfId="0" applyFont="1" applyFill="1" applyBorder="1" applyAlignment="1">
      <alignment vertical="top"/>
    </xf>
    <xf numFmtId="0" fontId="1" fillId="0" borderId="2" xfId="0" applyFont="1" applyFill="1" applyBorder="1" applyAlignment="1">
      <alignment vertical="top"/>
    </xf>
    <xf numFmtId="0" fontId="21" fillId="0" borderId="4" xfId="0" applyFont="1" applyFill="1" applyBorder="1" applyAlignment="1">
      <alignment vertical="top"/>
    </xf>
    <xf numFmtId="0" fontId="2" fillId="0" borderId="4" xfId="0" applyFont="1" applyFill="1" applyBorder="1" applyAlignment="1">
      <alignment vertical="top"/>
    </xf>
    <xf numFmtId="0" fontId="21" fillId="0" borderId="1" xfId="0" applyFont="1" applyFill="1" applyBorder="1" applyAlignment="1">
      <alignment vertical="top" wrapText="1"/>
    </xf>
    <xf numFmtId="0" fontId="21" fillId="0" borderId="2" xfId="0" applyFont="1" applyFill="1" applyBorder="1" applyAlignment="1">
      <alignment horizontal="center" vertical="top"/>
    </xf>
    <xf numFmtId="0" fontId="2" fillId="0" borderId="1" xfId="0" applyFont="1" applyFill="1" applyBorder="1"/>
    <xf numFmtId="0" fontId="1" fillId="0" borderId="1" xfId="0" applyFont="1" applyFill="1" applyBorder="1"/>
    <xf numFmtId="0" fontId="1" fillId="0" borderId="2" xfId="0" applyFont="1" applyFill="1" applyBorder="1"/>
    <xf numFmtId="0" fontId="2" fillId="0" borderId="4" xfId="0" applyFont="1" applyFill="1" applyBorder="1"/>
    <xf numFmtId="0" fontId="1" fillId="0" borderId="4" xfId="0" applyFont="1" applyFill="1" applyBorder="1"/>
    <xf numFmtId="0" fontId="2" fillId="0" borderId="0" xfId="0" applyFont="1" applyFill="1" applyBorder="1"/>
    <xf numFmtId="0" fontId="2" fillId="0" borderId="0" xfId="0" applyFont="1" applyFill="1" applyBorder="1" applyAlignment="1">
      <alignment horizontal="center" vertical="center" wrapText="1"/>
    </xf>
    <xf numFmtId="0" fontId="1" fillId="0" borderId="0" xfId="0" applyFont="1" applyFill="1" applyBorder="1" applyAlignment="1">
      <alignment horizontal="center" vertical="top"/>
    </xf>
    <xf numFmtId="0" fontId="1" fillId="0" borderId="0" xfId="0" applyFont="1" applyFill="1" applyBorder="1" applyAlignment="1">
      <alignment vertical="top"/>
    </xf>
    <xf numFmtId="0" fontId="11" fillId="0" borderId="0" xfId="0" applyFont="1" applyFill="1" applyAlignment="1">
      <alignment horizontal="center"/>
    </xf>
    <xf numFmtId="0" fontId="21" fillId="0" borderId="0" xfId="0" applyFont="1" applyFill="1" applyAlignment="1"/>
    <xf numFmtId="0" fontId="24" fillId="0" borderId="0" xfId="0" applyFont="1" applyFill="1"/>
    <xf numFmtId="0" fontId="21" fillId="0" borderId="1" xfId="0" applyFont="1" applyFill="1" applyBorder="1" applyAlignment="1">
      <alignment horizontal="center" vertical="top" wrapText="1"/>
    </xf>
    <xf numFmtId="0" fontId="21" fillId="0" borderId="1" xfId="0" applyFont="1" applyFill="1" applyBorder="1" applyAlignment="1">
      <alignment horizontal="center"/>
    </xf>
    <xf numFmtId="0" fontId="2" fillId="0" borderId="1" xfId="0" applyFont="1" applyFill="1" applyBorder="1" applyAlignment="1">
      <alignment horizontal="center" vertical="center" wrapText="1"/>
    </xf>
    <xf numFmtId="0" fontId="2" fillId="0" borderId="1" xfId="0" applyFont="1" applyFill="1" applyBorder="1" applyAlignment="1">
      <alignment horizontal="right" vertical="center" wrapText="1"/>
    </xf>
    <xf numFmtId="0" fontId="1" fillId="0" borderId="1" xfId="0" applyFont="1" applyFill="1" applyBorder="1" applyAlignment="1">
      <alignment horizontal="right"/>
    </xf>
    <xf numFmtId="0" fontId="21" fillId="0" borderId="1" xfId="0" applyFont="1" applyFill="1" applyBorder="1" applyAlignment="1">
      <alignment horizontal="center" vertical="center" wrapText="1"/>
    </xf>
    <xf numFmtId="0" fontId="1" fillId="0" borderId="2" xfId="0" applyFont="1" applyFill="1" applyBorder="1" applyAlignment="1">
      <alignment horizontal="right" vertical="center" wrapText="1"/>
    </xf>
    <xf numFmtId="0" fontId="1" fillId="0" borderId="0" xfId="0" applyFont="1" applyFill="1" applyBorder="1" applyAlignment="1">
      <alignment vertical="center" wrapText="1"/>
    </xf>
    <xf numFmtId="0" fontId="2" fillId="0" borderId="1" xfId="0" applyFont="1" applyFill="1" applyBorder="1" applyAlignment="1">
      <alignment horizontal="center" vertical="top" wrapText="1"/>
    </xf>
    <xf numFmtId="0" fontId="2" fillId="0" borderId="1" xfId="0" applyFont="1" applyFill="1" applyBorder="1" applyAlignment="1">
      <alignment vertical="top" wrapText="1"/>
    </xf>
    <xf numFmtId="0" fontId="1" fillId="0" borderId="1" xfId="0" applyFont="1" applyFill="1" applyBorder="1" applyAlignment="1">
      <alignment vertical="top" wrapText="1"/>
    </xf>
    <xf numFmtId="0" fontId="10" fillId="0" borderId="3" xfId="0" applyFont="1" applyFill="1" applyBorder="1" applyAlignment="1">
      <alignment vertical="top"/>
    </xf>
    <xf numFmtId="0" fontId="26" fillId="0" borderId="3" xfId="0" applyFont="1" applyFill="1" applyBorder="1" applyAlignment="1">
      <alignment horizontal="right" vertical="top"/>
    </xf>
    <xf numFmtId="0" fontId="27" fillId="0" borderId="1" xfId="0" applyFont="1" applyFill="1" applyBorder="1" applyAlignment="1">
      <alignment horizontal="center" vertical="top"/>
    </xf>
    <xf numFmtId="0" fontId="9" fillId="0" borderId="1" xfId="0" applyFont="1" applyFill="1" applyBorder="1" applyAlignment="1">
      <alignment vertical="top" wrapText="1"/>
    </xf>
    <xf numFmtId="0" fontId="17" fillId="0" borderId="2" xfId="0" applyFont="1" applyFill="1" applyBorder="1" applyAlignment="1">
      <alignment horizontal="center" vertical="top"/>
    </xf>
    <xf numFmtId="0" fontId="46" fillId="0" borderId="6" xfId="0" applyFont="1" applyBorder="1" applyAlignment="1">
      <alignment horizontal="center" vertical="top" wrapText="1"/>
    </xf>
    <xf numFmtId="0" fontId="28" fillId="2" borderId="5" xfId="0" applyFont="1" applyFill="1" applyBorder="1" applyAlignment="1">
      <alignment horizontal="center" vertical="center" wrapText="1"/>
    </xf>
    <xf numFmtId="0" fontId="29" fillId="2" borderId="4" xfId="0" applyFont="1" applyFill="1" applyBorder="1" applyAlignment="1">
      <alignment horizontal="center" vertical="center" wrapText="1"/>
    </xf>
    <xf numFmtId="0" fontId="30" fillId="2" borderId="8" xfId="0" applyFont="1" applyFill="1" applyBorder="1" applyAlignment="1">
      <alignment horizontal="left" vertical="top"/>
    </xf>
    <xf numFmtId="0" fontId="31" fillId="2" borderId="9" xfId="0" applyFont="1" applyFill="1" applyBorder="1" applyAlignment="1">
      <alignment horizontal="left" vertical="top"/>
    </xf>
    <xf numFmtId="0" fontId="31" fillId="2" borderId="10" xfId="0" applyFont="1" applyFill="1" applyBorder="1" applyAlignment="1">
      <alignment horizontal="left" vertical="top"/>
    </xf>
    <xf numFmtId="0" fontId="28" fillId="2" borderId="4" xfId="0" applyFont="1" applyFill="1" applyBorder="1" applyAlignment="1">
      <alignment horizontal="center" vertical="center" wrapText="1"/>
    </xf>
    <xf numFmtId="0" fontId="28" fillId="2" borderId="5" xfId="0" applyFont="1" applyFill="1" applyBorder="1" applyAlignment="1">
      <alignment horizontal="center" vertical="top" wrapText="1"/>
    </xf>
    <xf numFmtId="0" fontId="29" fillId="2" borderId="11" xfId="0" applyFont="1" applyFill="1" applyBorder="1" applyAlignment="1">
      <alignment horizontal="center" vertical="top" wrapText="1"/>
    </xf>
    <xf numFmtId="0" fontId="29" fillId="2" borderId="4" xfId="0" applyFont="1" applyFill="1" applyBorder="1" applyAlignment="1">
      <alignment horizontal="center" vertical="top" wrapText="1"/>
    </xf>
    <xf numFmtId="0" fontId="28" fillId="2" borderId="5" xfId="0" applyFont="1" applyFill="1" applyBorder="1" applyAlignment="1">
      <alignment horizontal="center" vertical="top"/>
    </xf>
    <xf numFmtId="0" fontId="29" fillId="2" borderId="4" xfId="0" applyFont="1" applyFill="1" applyBorder="1" applyAlignment="1">
      <alignment horizontal="center" vertical="top"/>
    </xf>
    <xf numFmtId="0" fontId="18" fillId="2" borderId="0" xfId="0" applyFont="1" applyFill="1" applyAlignment="1">
      <alignment horizontal="center" vertical="top"/>
    </xf>
    <xf numFmtId="0" fontId="16" fillId="2" borderId="0" xfId="0" applyFont="1" applyFill="1" applyAlignment="1">
      <alignment horizontal="center" vertical="top"/>
    </xf>
    <xf numFmtId="0" fontId="18" fillId="2" borderId="0" xfId="0" applyFont="1" applyFill="1" applyAlignment="1">
      <alignment horizontal="center"/>
    </xf>
    <xf numFmtId="0" fontId="16" fillId="2" borderId="0" xfId="0" applyFont="1" applyFill="1" applyAlignment="1">
      <alignment horizontal="center"/>
    </xf>
    <xf numFmtId="0" fontId="19" fillId="2" borderId="3" xfId="0" applyFont="1" applyFill="1" applyBorder="1" applyAlignment="1">
      <alignment horizontal="right"/>
    </xf>
    <xf numFmtId="0" fontId="20" fillId="2" borderId="3" xfId="0" applyFont="1" applyFill="1" applyBorder="1" applyAlignment="1">
      <alignment horizontal="right"/>
    </xf>
    <xf numFmtId="0" fontId="30" fillId="0" borderId="8" xfId="0" applyFont="1" applyFill="1" applyBorder="1" applyAlignment="1">
      <alignment horizontal="left" vertical="top"/>
    </xf>
    <xf numFmtId="0" fontId="31" fillId="0" borderId="9" xfId="0" applyFont="1" applyFill="1" applyBorder="1" applyAlignment="1">
      <alignment horizontal="left" vertical="top"/>
    </xf>
    <xf numFmtId="0" fontId="31" fillId="0" borderId="10" xfId="0" applyFont="1" applyFill="1" applyBorder="1" applyAlignment="1">
      <alignment horizontal="left" vertical="top"/>
    </xf>
    <xf numFmtId="0" fontId="18" fillId="3" borderId="0" xfId="0" applyFont="1" applyFill="1" applyAlignment="1">
      <alignment horizontal="center" vertical="top"/>
    </xf>
    <xf numFmtId="0" fontId="28" fillId="3" borderId="5"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28" fillId="3" borderId="5" xfId="0" applyFont="1" applyFill="1" applyBorder="1" applyAlignment="1">
      <alignment horizontal="center" vertical="top" wrapText="1"/>
    </xf>
    <xf numFmtId="0" fontId="29" fillId="3" borderId="11" xfId="0" applyFont="1" applyFill="1" applyBorder="1" applyAlignment="1">
      <alignment horizontal="center" vertical="top" wrapText="1"/>
    </xf>
    <xf numFmtId="0" fontId="29" fillId="3" borderId="4" xfId="0" applyFont="1" applyFill="1" applyBorder="1" applyAlignment="1">
      <alignment horizontal="center" vertical="top" wrapText="1"/>
    </xf>
    <xf numFmtId="0" fontId="30" fillId="3" borderId="8" xfId="0" applyFont="1" applyFill="1" applyBorder="1" applyAlignment="1">
      <alignment horizontal="left" vertical="top"/>
    </xf>
    <xf numFmtId="0" fontId="31" fillId="3" borderId="9" xfId="0" applyFont="1" applyFill="1" applyBorder="1" applyAlignment="1">
      <alignment horizontal="left" vertical="top"/>
    </xf>
    <xf numFmtId="0" fontId="31" fillId="3" borderId="10" xfId="0" applyFont="1" applyFill="1" applyBorder="1" applyAlignment="1">
      <alignment horizontal="left" vertical="top"/>
    </xf>
    <xf numFmtId="0" fontId="18" fillId="0" borderId="0" xfId="0" applyFont="1" applyFill="1" applyAlignment="1">
      <alignment horizontal="center" vertical="top"/>
    </xf>
    <xf numFmtId="0" fontId="18" fillId="0" borderId="0" xfId="0" applyFont="1" applyFill="1" applyAlignment="1">
      <alignment horizontal="center"/>
    </xf>
    <xf numFmtId="0" fontId="16" fillId="0" borderId="0" xfId="0" applyFont="1" applyFill="1" applyAlignment="1">
      <alignment horizontal="center"/>
    </xf>
    <xf numFmtId="0" fontId="19" fillId="0" borderId="3" xfId="0" applyFont="1" applyFill="1" applyBorder="1" applyAlignment="1">
      <alignment horizontal="right"/>
    </xf>
    <xf numFmtId="0" fontId="20" fillId="0" borderId="3" xfId="0" applyFont="1" applyFill="1" applyBorder="1" applyAlignment="1">
      <alignment horizontal="right"/>
    </xf>
    <xf numFmtId="0" fontId="28" fillId="0" borderId="5" xfId="0" applyFont="1" applyFill="1" applyBorder="1" applyAlignment="1">
      <alignment horizontal="center" vertical="center" wrapText="1"/>
    </xf>
    <xf numFmtId="0" fontId="29" fillId="0" borderId="4" xfId="0" applyFont="1" applyFill="1" applyBorder="1" applyAlignment="1">
      <alignment horizontal="center" vertical="center" wrapText="1"/>
    </xf>
    <xf numFmtId="0" fontId="28" fillId="0" borderId="5" xfId="0" applyFont="1" applyFill="1" applyBorder="1" applyAlignment="1">
      <alignment horizontal="center" vertical="top" wrapText="1"/>
    </xf>
    <xf numFmtId="0" fontId="29" fillId="0" borderId="11" xfId="0" applyFont="1" applyFill="1" applyBorder="1" applyAlignment="1">
      <alignment horizontal="center" vertical="top" wrapText="1"/>
    </xf>
    <xf numFmtId="0" fontId="29" fillId="0" borderId="4" xfId="0" applyFont="1" applyFill="1" applyBorder="1" applyAlignment="1">
      <alignment horizontal="center" vertical="top" wrapText="1"/>
    </xf>
    <xf numFmtId="0" fontId="28" fillId="0" borderId="5" xfId="0" applyFont="1" applyFill="1" applyBorder="1" applyAlignment="1">
      <alignment horizontal="center" vertical="top"/>
    </xf>
    <xf numFmtId="0" fontId="29" fillId="0" borderId="4" xfId="0" applyFont="1" applyFill="1" applyBorder="1" applyAlignment="1">
      <alignment horizontal="center" vertical="top"/>
    </xf>
    <xf numFmtId="0" fontId="18" fillId="3" borderId="0" xfId="0" applyFont="1" applyFill="1" applyAlignment="1">
      <alignment horizontal="center"/>
    </xf>
    <xf numFmtId="0" fontId="16" fillId="3" borderId="0" xfId="0" applyFont="1" applyFill="1" applyAlignment="1">
      <alignment horizontal="center"/>
    </xf>
    <xf numFmtId="0" fontId="19" fillId="3" borderId="3" xfId="0" applyFont="1" applyFill="1" applyBorder="1" applyAlignment="1">
      <alignment horizontal="right"/>
    </xf>
    <xf numFmtId="0" fontId="20" fillId="3" borderId="3" xfId="0" applyFont="1" applyFill="1" applyBorder="1" applyAlignment="1">
      <alignment horizontal="right"/>
    </xf>
    <xf numFmtId="0" fontId="28" fillId="3" borderId="5" xfId="0" applyFont="1" applyFill="1" applyBorder="1" applyAlignment="1">
      <alignment horizontal="center" vertical="top"/>
    </xf>
    <xf numFmtId="0" fontId="29" fillId="3" borderId="4" xfId="0" applyFont="1" applyFill="1" applyBorder="1" applyAlignment="1">
      <alignment horizontal="center" vertical="top"/>
    </xf>
    <xf numFmtId="0" fontId="19" fillId="0" borderId="3" xfId="0" applyFont="1" applyBorder="1" applyAlignment="1">
      <alignment horizontal="right"/>
    </xf>
    <xf numFmtId="0" fontId="20" fillId="0" borderId="3" xfId="0" applyFont="1" applyBorder="1" applyAlignment="1">
      <alignment horizontal="right"/>
    </xf>
    <xf numFmtId="0" fontId="19" fillId="2" borderId="7" xfId="0" applyFont="1" applyFill="1" applyBorder="1" applyAlignment="1">
      <alignment horizontal="left" vertical="top" wrapText="1"/>
    </xf>
    <xf numFmtId="0" fontId="19" fillId="2" borderId="0" xfId="0" applyFont="1" applyFill="1" applyBorder="1" applyAlignment="1">
      <alignment horizontal="left" vertical="top" wrapText="1"/>
    </xf>
    <xf numFmtId="0" fontId="21" fillId="0" borderId="5"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4" xfId="0" applyFont="1" applyBorder="1" applyAlignment="1">
      <alignment horizontal="center" vertical="center" wrapText="1"/>
    </xf>
    <xf numFmtId="0" fontId="21" fillId="0" borderId="1" xfId="0" applyFont="1" applyBorder="1" applyAlignment="1">
      <alignment horizontal="center" vertical="top"/>
    </xf>
    <xf numFmtId="0" fontId="11" fillId="0" borderId="1" xfId="0" applyFont="1" applyBorder="1" applyAlignment="1">
      <alignment horizontal="center" vertical="top"/>
    </xf>
    <xf numFmtId="0" fontId="21" fillId="0" borderId="8" xfId="0" applyFont="1" applyBorder="1" applyAlignment="1">
      <alignment horizontal="center" vertical="top"/>
    </xf>
    <xf numFmtId="0" fontId="11" fillId="0" borderId="9" xfId="0" applyFont="1" applyBorder="1" applyAlignment="1">
      <alignment horizontal="center" vertical="top"/>
    </xf>
    <xf numFmtId="0" fontId="11" fillId="0" borderId="10" xfId="0" applyFont="1" applyBorder="1" applyAlignment="1">
      <alignment horizontal="center" vertical="top"/>
    </xf>
    <xf numFmtId="0" fontId="21" fillId="0" borderId="8" xfId="0" applyFont="1" applyBorder="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17" fillId="0" borderId="0" xfId="0" applyFont="1" applyAlignment="1">
      <alignment horizontal="center"/>
    </xf>
    <xf numFmtId="0" fontId="3" fillId="0" borderId="0" xfId="0" applyFont="1" applyAlignment="1">
      <alignment horizontal="center"/>
    </xf>
    <xf numFmtId="0" fontId="18" fillId="0" borderId="0" xfId="0" applyFont="1" applyAlignment="1">
      <alignment horizontal="center"/>
    </xf>
    <xf numFmtId="0" fontId="16" fillId="0" borderId="0" xfId="0" applyFont="1" applyAlignment="1">
      <alignment horizontal="center"/>
    </xf>
    <xf numFmtId="0" fontId="21" fillId="3" borderId="5"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21" fillId="3" borderId="1" xfId="0" applyFont="1" applyFill="1" applyBorder="1" applyAlignment="1">
      <alignment horizontal="center" vertical="top"/>
    </xf>
    <xf numFmtId="0" fontId="11" fillId="3" borderId="1" xfId="0" applyFont="1" applyFill="1" applyBorder="1" applyAlignment="1">
      <alignment horizontal="center" vertical="top"/>
    </xf>
    <xf numFmtId="0" fontId="21" fillId="3" borderId="8" xfId="0" applyFont="1" applyFill="1" applyBorder="1" applyAlignment="1">
      <alignment horizontal="center" vertical="top"/>
    </xf>
    <xf numFmtId="0" fontId="11" fillId="3" borderId="9" xfId="0" applyFont="1" applyFill="1" applyBorder="1" applyAlignment="1">
      <alignment horizontal="center" vertical="top"/>
    </xf>
    <xf numFmtId="0" fontId="11" fillId="3" borderId="10" xfId="0" applyFont="1" applyFill="1" applyBorder="1" applyAlignment="1">
      <alignment horizontal="center" vertical="top"/>
    </xf>
    <xf numFmtId="0" fontId="21" fillId="3" borderId="8" xfId="0" applyFont="1" applyFill="1" applyBorder="1" applyAlignment="1">
      <alignment horizontal="center"/>
    </xf>
    <xf numFmtId="0" fontId="11" fillId="3" borderId="9" xfId="0" applyFont="1" applyFill="1" applyBorder="1" applyAlignment="1">
      <alignment horizontal="center"/>
    </xf>
    <xf numFmtId="0" fontId="11" fillId="3" borderId="10" xfId="0" applyFont="1" applyFill="1" applyBorder="1" applyAlignment="1">
      <alignment horizontal="center"/>
    </xf>
    <xf numFmtId="0" fontId="17" fillId="3" borderId="0" xfId="0" applyFont="1" applyFill="1" applyAlignment="1">
      <alignment horizontal="center"/>
    </xf>
    <xf numFmtId="0" fontId="3" fillId="3" borderId="0" xfId="0" applyFont="1" applyFill="1" applyAlignment="1">
      <alignment horizontal="center"/>
    </xf>
    <xf numFmtId="0" fontId="21" fillId="0" borderId="8" xfId="0" applyFont="1" applyFill="1" applyBorder="1" applyAlignment="1">
      <alignment horizontal="center"/>
    </xf>
    <xf numFmtId="0" fontId="11" fillId="0" borderId="9" xfId="0" applyFont="1" applyFill="1" applyBorder="1" applyAlignment="1">
      <alignment horizontal="center"/>
    </xf>
    <xf numFmtId="0" fontId="11" fillId="0" borderId="10" xfId="0" applyFont="1" applyFill="1" applyBorder="1" applyAlignment="1">
      <alignment horizontal="center"/>
    </xf>
    <xf numFmtId="0" fontId="21" fillId="0" borderId="1" xfId="0" applyFont="1" applyFill="1" applyBorder="1" applyAlignment="1">
      <alignment horizontal="center" vertical="top"/>
    </xf>
    <xf numFmtId="0" fontId="11" fillId="0" borderId="1" xfId="0" applyFont="1" applyFill="1" applyBorder="1" applyAlignment="1">
      <alignment horizontal="center" vertical="top"/>
    </xf>
    <xf numFmtId="0" fontId="21" fillId="0" borderId="5"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36" fillId="0" borderId="0" xfId="0" applyFont="1" applyAlignment="1">
      <alignment horizontal="left"/>
    </xf>
    <xf numFmtId="0" fontId="21" fillId="0" borderId="8" xfId="0" applyFont="1" applyFill="1" applyBorder="1" applyAlignment="1">
      <alignment horizontal="center" vertical="top"/>
    </xf>
    <xf numFmtId="0" fontId="11" fillId="0" borderId="9" xfId="0" applyFont="1" applyFill="1" applyBorder="1" applyAlignment="1">
      <alignment horizontal="center" vertical="top"/>
    </xf>
    <xf numFmtId="0" fontId="11" fillId="0" borderId="10" xfId="0" applyFont="1" applyFill="1" applyBorder="1" applyAlignment="1">
      <alignment horizontal="center" vertical="top"/>
    </xf>
    <xf numFmtId="0" fontId="17" fillId="0" borderId="0" xfId="0" applyFont="1" applyFill="1" applyAlignment="1">
      <alignment horizontal="center"/>
    </xf>
    <xf numFmtId="0" fontId="3" fillId="0" borderId="0" xfId="0" applyFont="1" applyFill="1" applyAlignment="1">
      <alignment horizontal="center"/>
    </xf>
    <xf numFmtId="0" fontId="21" fillId="3" borderId="1" xfId="0" applyFont="1" applyFill="1" applyBorder="1" applyAlignment="1">
      <alignment horizontal="center" vertical="top" wrapText="1"/>
    </xf>
    <xf numFmtId="0" fontId="11" fillId="3" borderId="1" xfId="0" applyFont="1" applyFill="1" applyBorder="1" applyAlignment="1">
      <alignment horizontal="center" vertical="top" wrapText="1"/>
    </xf>
    <xf numFmtId="0" fontId="11" fillId="3" borderId="3" xfId="0" applyFont="1" applyFill="1" applyBorder="1" applyAlignment="1">
      <alignment horizontal="center"/>
    </xf>
    <xf numFmtId="0" fontId="11" fillId="0" borderId="3" xfId="0" applyFont="1" applyBorder="1" applyAlignment="1">
      <alignment horizontal="center"/>
    </xf>
    <xf numFmtId="0" fontId="21" fillId="3" borderId="0" xfId="0" applyFont="1" applyFill="1" applyAlignment="1">
      <alignment horizontal="center"/>
    </xf>
    <xf numFmtId="0" fontId="11" fillId="3" borderId="0" xfId="0" applyFont="1" applyFill="1" applyAlignment="1">
      <alignment horizontal="center"/>
    </xf>
    <xf numFmtId="0" fontId="21" fillId="3" borderId="5" xfId="0" applyFont="1" applyFill="1" applyBorder="1" applyAlignment="1">
      <alignment horizontal="center" vertical="top" wrapText="1"/>
    </xf>
    <xf numFmtId="0" fontId="11" fillId="3" borderId="4" xfId="0" applyFont="1" applyFill="1" applyBorder="1" applyAlignment="1">
      <alignment horizontal="center" vertical="top" wrapText="1"/>
    </xf>
    <xf numFmtId="0" fontId="21" fillId="0" borderId="0" xfId="0" applyFont="1" applyAlignment="1">
      <alignment horizontal="center"/>
    </xf>
    <xf numFmtId="0" fontId="11" fillId="0" borderId="0" xfId="0" applyFont="1" applyAlignment="1">
      <alignment horizontal="center"/>
    </xf>
    <xf numFmtId="0" fontId="21" fillId="0" borderId="5" xfId="0" applyFont="1" applyBorder="1" applyAlignment="1">
      <alignment horizontal="center" vertical="top" wrapText="1"/>
    </xf>
    <xf numFmtId="0" fontId="11" fillId="0" borderId="4" xfId="0" applyFont="1" applyBorder="1" applyAlignment="1">
      <alignment horizontal="center" vertical="top" wrapText="1"/>
    </xf>
    <xf numFmtId="0" fontId="21" fillId="0" borderId="1" xfId="0" applyFont="1" applyBorder="1" applyAlignment="1">
      <alignment horizontal="center" vertical="top" wrapText="1"/>
    </xf>
    <xf numFmtId="0" fontId="11" fillId="0" borderId="1" xfId="0" applyFont="1" applyBorder="1" applyAlignment="1">
      <alignment horizontal="center" vertical="top" wrapText="1"/>
    </xf>
    <xf numFmtId="0" fontId="21" fillId="0" borderId="0" xfId="0" applyFont="1" applyFill="1" applyAlignment="1">
      <alignment horizontal="center"/>
    </xf>
    <xf numFmtId="0" fontId="11" fillId="0" borderId="0" xfId="0" applyFont="1" applyFill="1" applyAlignment="1">
      <alignment horizontal="center"/>
    </xf>
    <xf numFmtId="0" fontId="21" fillId="0" borderId="5" xfId="0" applyFont="1" applyFill="1" applyBorder="1" applyAlignment="1">
      <alignment horizontal="center" vertical="top" wrapText="1"/>
    </xf>
    <xf numFmtId="0" fontId="11" fillId="0" borderId="4" xfId="0" applyFont="1" applyFill="1" applyBorder="1" applyAlignment="1">
      <alignment horizontal="center" vertical="top" wrapText="1"/>
    </xf>
    <xf numFmtId="0" fontId="21" fillId="0" borderId="1" xfId="0" applyFont="1" applyFill="1" applyBorder="1" applyAlignment="1">
      <alignment horizontal="center" vertical="top" wrapText="1"/>
    </xf>
    <xf numFmtId="0" fontId="11" fillId="0" borderId="1" xfId="0" applyFont="1" applyFill="1" applyBorder="1" applyAlignment="1">
      <alignment horizontal="center" vertical="top" wrapText="1"/>
    </xf>
    <xf numFmtId="0" fontId="25" fillId="0" borderId="3" xfId="0" applyFont="1" applyFill="1" applyBorder="1" applyAlignment="1">
      <alignment horizontal="right"/>
    </xf>
    <xf numFmtId="0" fontId="25" fillId="0" borderId="3" xfId="0" applyFont="1" applyBorder="1" applyAlignment="1">
      <alignment horizontal="right"/>
    </xf>
    <xf numFmtId="0" fontId="11" fillId="0" borderId="3" xfId="0" applyFont="1" applyFill="1" applyBorder="1" applyAlignment="1">
      <alignment horizontal="center"/>
    </xf>
    <xf numFmtId="0" fontId="36" fillId="0" borderId="0" xfId="0" applyFont="1" applyAlignment="1">
      <alignment horizontal="left" vertical="top"/>
    </xf>
    <xf numFmtId="0" fontId="25" fillId="3" borderId="3" xfId="0" applyFont="1" applyFill="1" applyBorder="1" applyAlignment="1">
      <alignment horizontal="right"/>
    </xf>
    <xf numFmtId="0" fontId="17" fillId="0" borderId="3" xfId="0" applyFont="1" applyBorder="1" applyAlignment="1">
      <alignment horizontal="left" vertical="top"/>
    </xf>
    <xf numFmtId="0" fontId="3" fillId="0" borderId="3" xfId="0" applyFont="1" applyBorder="1" applyAlignment="1">
      <alignment horizontal="left" vertical="top"/>
    </xf>
    <xf numFmtId="0" fontId="22" fillId="0" borderId="5" xfId="0" applyFont="1" applyBorder="1" applyAlignment="1">
      <alignment horizontal="center" vertical="top" wrapText="1"/>
    </xf>
    <xf numFmtId="0" fontId="24" fillId="0" borderId="4" xfId="0" applyFont="1" applyBorder="1" applyAlignment="1">
      <alignment horizontal="center" vertical="top" wrapText="1"/>
    </xf>
    <xf numFmtId="0" fontId="22" fillId="0" borderId="1" xfId="0" applyFont="1" applyBorder="1" applyAlignment="1">
      <alignment horizontal="center" vertical="top" wrapText="1"/>
    </xf>
    <xf numFmtId="0" fontId="24" fillId="0" borderId="1" xfId="0" applyFont="1" applyBorder="1" applyAlignment="1">
      <alignment horizontal="center" vertical="top" wrapText="1"/>
    </xf>
    <xf numFmtId="0" fontId="17" fillId="3" borderId="3" xfId="0" applyFont="1" applyFill="1" applyBorder="1" applyAlignment="1">
      <alignment horizontal="left" vertical="top"/>
    </xf>
    <xf numFmtId="0" fontId="3" fillId="3" borderId="3" xfId="0" applyFont="1" applyFill="1" applyBorder="1" applyAlignment="1">
      <alignment horizontal="left" vertical="top"/>
    </xf>
    <xf numFmtId="0" fontId="22" fillId="3" borderId="5" xfId="0" applyFont="1" applyFill="1" applyBorder="1" applyAlignment="1">
      <alignment horizontal="center" vertical="top" wrapText="1"/>
    </xf>
    <xf numFmtId="0" fontId="24" fillId="3" borderId="4" xfId="0" applyFont="1" applyFill="1" applyBorder="1" applyAlignment="1">
      <alignment horizontal="center" vertical="top" wrapText="1"/>
    </xf>
    <xf numFmtId="0" fontId="22" fillId="3" borderId="1" xfId="0" applyFont="1" applyFill="1" applyBorder="1" applyAlignment="1">
      <alignment horizontal="center" vertical="top" wrapText="1"/>
    </xf>
    <xf numFmtId="0" fontId="24" fillId="3" borderId="1" xfId="0" applyFont="1" applyFill="1" applyBorder="1" applyAlignment="1">
      <alignment horizontal="center" vertical="top" wrapText="1"/>
    </xf>
    <xf numFmtId="0" fontId="17" fillId="0" borderId="3" xfId="0" applyFont="1" applyFill="1" applyBorder="1" applyAlignment="1">
      <alignment horizontal="left" vertical="top"/>
    </xf>
    <xf numFmtId="0" fontId="3" fillId="0" borderId="3" xfId="0" applyFont="1" applyFill="1" applyBorder="1" applyAlignment="1">
      <alignment horizontal="left" vertical="top"/>
    </xf>
    <xf numFmtId="0" fontId="22" fillId="0" borderId="5" xfId="0" applyFont="1" applyFill="1" applyBorder="1" applyAlignment="1">
      <alignment horizontal="center" vertical="top" wrapText="1"/>
    </xf>
    <xf numFmtId="0" fontId="24" fillId="0" borderId="4" xfId="0" applyFont="1" applyFill="1" applyBorder="1" applyAlignment="1">
      <alignment horizontal="center" vertical="top" wrapText="1"/>
    </xf>
    <xf numFmtId="0" fontId="36" fillId="0" borderId="0" xfId="0" applyFont="1" applyAlignment="1">
      <alignment horizontal="center" vertical="top"/>
    </xf>
    <xf numFmtId="0" fontId="46" fillId="0" borderId="12" xfId="0" applyFont="1" applyBorder="1" applyAlignment="1">
      <alignment horizontal="center" vertical="top" wrapText="1"/>
    </xf>
    <xf numFmtId="0" fontId="46" fillId="0" borderId="6" xfId="0" applyFont="1" applyBorder="1" applyAlignment="1">
      <alignment horizontal="center" vertical="top" wrapText="1"/>
    </xf>
    <xf numFmtId="0" fontId="36" fillId="0" borderId="0" xfId="0" applyFont="1" applyAlignment="1">
      <alignment horizontal="center" vertical="top" wrapText="1"/>
    </xf>
    <xf numFmtId="0" fontId="37" fillId="0" borderId="3" xfId="0" applyFont="1" applyBorder="1" applyAlignment="1">
      <alignment horizontal="right" vertical="top" wrapText="1"/>
    </xf>
    <xf numFmtId="0" fontId="36" fillId="0" borderId="0" xfId="0" applyFont="1" applyBorder="1" applyAlignment="1">
      <alignment horizontal="center" vertical="center"/>
    </xf>
    <xf numFmtId="0" fontId="18" fillId="2" borderId="0" xfId="0" applyFont="1" applyFill="1" applyBorder="1" applyAlignment="1">
      <alignment horizontal="center" vertical="center"/>
    </xf>
    <xf numFmtId="0" fontId="17" fillId="2" borderId="0" xfId="0" applyFont="1" applyFill="1" applyBorder="1" applyAlignment="1">
      <alignment horizontal="center" vertical="center"/>
    </xf>
    <xf numFmtId="0" fontId="21" fillId="0" borderId="4"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8"/>
  <sheetViews>
    <sheetView view="pageBreakPreview" topLeftCell="A161" zoomScaleNormal="75" zoomScaleSheetLayoutView="100" workbookViewId="0">
      <selection activeCell="S179" sqref="S179"/>
    </sheetView>
  </sheetViews>
  <sheetFormatPr defaultRowHeight="18"/>
  <cols>
    <col min="1" max="1" width="3.5703125" style="83" customWidth="1"/>
    <col min="2" max="2" width="10" style="84" bestFit="1" customWidth="1"/>
    <col min="3" max="3" width="26.5703125" style="83" customWidth="1"/>
    <col min="4" max="4" width="9.7109375" style="66" customWidth="1"/>
    <col min="5" max="5" width="10.7109375" style="66" customWidth="1"/>
    <col min="6" max="6" width="8" style="66" customWidth="1"/>
    <col min="7" max="7" width="10.7109375" style="66" customWidth="1"/>
    <col min="8" max="8" width="9.42578125" style="66" customWidth="1"/>
    <col min="9" max="9" width="9.85546875" style="66" customWidth="1"/>
    <col min="10" max="10" width="10.42578125" style="66" customWidth="1"/>
    <col min="11" max="11" width="9.140625" style="66"/>
    <col min="12" max="12" width="9" style="66" customWidth="1"/>
    <col min="13" max="13" width="11.28515625" style="66" customWidth="1"/>
    <col min="14" max="14" width="7.85546875" style="66" customWidth="1"/>
    <col min="15" max="15" width="7.28515625" style="66" customWidth="1"/>
    <col min="16" max="16" width="9.85546875" style="66" customWidth="1"/>
    <col min="17" max="17" width="11.28515625" style="66" customWidth="1"/>
    <col min="18" max="16384" width="9.140625" style="66"/>
  </cols>
  <sheetData>
    <row r="1" spans="1:17">
      <c r="A1" s="325" t="s">
        <v>125</v>
      </c>
      <c r="B1" s="325"/>
      <c r="C1" s="325"/>
      <c r="D1" s="325"/>
      <c r="E1" s="325"/>
      <c r="F1" s="325"/>
      <c r="G1" s="325"/>
      <c r="H1" s="325"/>
      <c r="I1" s="325"/>
      <c r="J1" s="325"/>
      <c r="K1" s="325"/>
      <c r="L1" s="325"/>
      <c r="M1" s="325"/>
      <c r="N1" s="325"/>
      <c r="O1" s="325"/>
      <c r="P1" s="325"/>
      <c r="Q1" s="325"/>
    </row>
    <row r="2" spans="1:17">
      <c r="A2" s="326" t="s">
        <v>31</v>
      </c>
      <c r="B2" s="327"/>
      <c r="C2" s="327"/>
      <c r="D2" s="327"/>
      <c r="E2" s="327"/>
      <c r="F2" s="327"/>
      <c r="G2" s="327"/>
      <c r="H2" s="327"/>
      <c r="I2" s="327"/>
      <c r="J2" s="327"/>
      <c r="K2" s="327"/>
      <c r="L2" s="327"/>
      <c r="M2" s="327"/>
      <c r="N2" s="327"/>
      <c r="O2" s="327"/>
      <c r="P2" s="327"/>
      <c r="Q2" s="327"/>
    </row>
    <row r="3" spans="1:17" ht="23.25">
      <c r="A3" s="221" t="s">
        <v>41</v>
      </c>
      <c r="B3" s="222"/>
      <c r="C3" s="222"/>
      <c r="D3" s="223"/>
      <c r="E3" s="223"/>
      <c r="F3" s="223"/>
      <c r="G3" s="223"/>
      <c r="H3" s="223"/>
      <c r="I3" s="223"/>
      <c r="J3" s="223"/>
      <c r="K3" s="223"/>
      <c r="L3" s="223"/>
      <c r="M3" s="223"/>
      <c r="N3" s="223"/>
      <c r="O3" s="328" t="s">
        <v>1</v>
      </c>
      <c r="P3" s="329"/>
      <c r="Q3" s="329"/>
    </row>
    <row r="4" spans="1:17" ht="18.75" customHeight="1">
      <c r="A4" s="332" t="s">
        <v>42</v>
      </c>
      <c r="B4" s="332" t="s">
        <v>8</v>
      </c>
      <c r="C4" s="335" t="s">
        <v>70</v>
      </c>
      <c r="D4" s="225" t="s">
        <v>32</v>
      </c>
      <c r="E4" s="225" t="s">
        <v>32</v>
      </c>
      <c r="F4" s="330" t="s">
        <v>15</v>
      </c>
      <c r="G4" s="330" t="s">
        <v>71</v>
      </c>
      <c r="H4" s="330" t="s">
        <v>72</v>
      </c>
      <c r="I4" s="330" t="s">
        <v>6</v>
      </c>
      <c r="J4" s="330" t="s">
        <v>118</v>
      </c>
      <c r="K4" s="330" t="s">
        <v>73</v>
      </c>
      <c r="L4" s="330" t="s">
        <v>74</v>
      </c>
      <c r="M4" s="330" t="s">
        <v>85</v>
      </c>
      <c r="N4" s="330" t="s">
        <v>75</v>
      </c>
      <c r="O4" s="330" t="s">
        <v>76</v>
      </c>
      <c r="P4" s="330" t="s">
        <v>77</v>
      </c>
      <c r="Q4" s="330" t="s">
        <v>6</v>
      </c>
    </row>
    <row r="5" spans="1:17" ht="38.25" customHeight="1">
      <c r="A5" s="333"/>
      <c r="B5" s="333"/>
      <c r="C5" s="336"/>
      <c r="D5" s="226" t="s">
        <v>108</v>
      </c>
      <c r="E5" s="226" t="s">
        <v>114</v>
      </c>
      <c r="F5" s="331"/>
      <c r="G5" s="331"/>
      <c r="H5" s="331"/>
      <c r="I5" s="331"/>
      <c r="J5" s="331"/>
      <c r="K5" s="331"/>
      <c r="L5" s="331"/>
      <c r="M5" s="331"/>
      <c r="N5" s="331"/>
      <c r="O5" s="331"/>
      <c r="P5" s="331"/>
      <c r="Q5" s="331"/>
    </row>
    <row r="6" spans="1:17">
      <c r="A6" s="334"/>
      <c r="B6" s="334"/>
      <c r="C6" s="313" t="s">
        <v>34</v>
      </c>
      <c r="D6" s="314"/>
      <c r="E6" s="314"/>
      <c r="F6" s="314"/>
      <c r="G6" s="314"/>
      <c r="H6" s="314"/>
      <c r="I6" s="314"/>
      <c r="J6" s="314"/>
      <c r="K6" s="314"/>
      <c r="L6" s="314"/>
      <c r="M6" s="314"/>
      <c r="N6" s="314"/>
      <c r="O6" s="314"/>
      <c r="P6" s="314"/>
      <c r="Q6" s="315"/>
    </row>
    <row r="7" spans="1:17" ht="20.25">
      <c r="A7" s="224">
        <v>1</v>
      </c>
      <c r="B7" s="227" t="s">
        <v>10</v>
      </c>
      <c r="C7" s="228" t="s">
        <v>78</v>
      </c>
      <c r="D7" s="229">
        <v>0</v>
      </c>
      <c r="E7" s="230">
        <v>0</v>
      </c>
      <c r="F7" s="229">
        <v>0</v>
      </c>
      <c r="G7" s="229">
        <v>0</v>
      </c>
      <c r="H7" s="229">
        <v>0</v>
      </c>
      <c r="I7" s="231">
        <f>SUM(G7:H7)</f>
        <v>0</v>
      </c>
      <c r="J7" s="232">
        <f>ROUND(I7*1.6,0)</f>
        <v>0</v>
      </c>
      <c r="K7" s="229">
        <v>0</v>
      </c>
      <c r="L7" s="229">
        <v>0</v>
      </c>
      <c r="M7" s="229">
        <v>0</v>
      </c>
      <c r="N7" s="229">
        <v>0</v>
      </c>
      <c r="O7" s="229">
        <v>0</v>
      </c>
      <c r="P7" s="229">
        <v>0</v>
      </c>
      <c r="Q7" s="231">
        <f>SUM(F7+I7+J7+K7+L7+M7+N7+O7+P7)</f>
        <v>0</v>
      </c>
    </row>
    <row r="8" spans="1:17" ht="20.25">
      <c r="A8" s="224">
        <v>2</v>
      </c>
      <c r="B8" s="227" t="s">
        <v>11</v>
      </c>
      <c r="C8" s="228" t="s">
        <v>79</v>
      </c>
      <c r="D8" s="233">
        <v>0</v>
      </c>
      <c r="E8" s="234">
        <v>0</v>
      </c>
      <c r="F8" s="233">
        <v>0</v>
      </c>
      <c r="G8" s="233">
        <v>0</v>
      </c>
      <c r="H8" s="233">
        <v>0</v>
      </c>
      <c r="I8" s="231">
        <f>SUM(G8:H8)</f>
        <v>0</v>
      </c>
      <c r="J8" s="233">
        <v>0</v>
      </c>
      <c r="K8" s="233">
        <v>0</v>
      </c>
      <c r="L8" s="233">
        <v>0</v>
      </c>
      <c r="M8" s="233">
        <v>0</v>
      </c>
      <c r="N8" s="233">
        <v>0</v>
      </c>
      <c r="O8" s="233">
        <v>0</v>
      </c>
      <c r="P8" s="233">
        <v>0</v>
      </c>
      <c r="Q8" s="231">
        <f>SUM(F8+I8+J8+K8+L8+M8+N8+O8+P8)</f>
        <v>0</v>
      </c>
    </row>
    <row r="9" spans="1:17" ht="18.75" thickBot="1">
      <c r="A9" s="235" t="s">
        <v>61</v>
      </c>
      <c r="B9" s="235" t="s">
        <v>61</v>
      </c>
      <c r="C9" s="236" t="s">
        <v>6</v>
      </c>
      <c r="D9" s="237">
        <f t="shared" ref="D9:Q9" si="0">SUM(D7:D8)</f>
        <v>0</v>
      </c>
      <c r="E9" s="237">
        <f t="shared" si="0"/>
        <v>0</v>
      </c>
      <c r="F9" s="237">
        <f t="shared" si="0"/>
        <v>0</v>
      </c>
      <c r="G9" s="237">
        <f t="shared" si="0"/>
        <v>0</v>
      </c>
      <c r="H9" s="237">
        <f t="shared" si="0"/>
        <v>0</v>
      </c>
      <c r="I9" s="237">
        <f t="shared" si="0"/>
        <v>0</v>
      </c>
      <c r="J9" s="237">
        <f t="shared" si="0"/>
        <v>0</v>
      </c>
      <c r="K9" s="237">
        <f t="shared" si="0"/>
        <v>0</v>
      </c>
      <c r="L9" s="237">
        <f t="shared" si="0"/>
        <v>0</v>
      </c>
      <c r="M9" s="237">
        <f t="shared" si="0"/>
        <v>0</v>
      </c>
      <c r="N9" s="237">
        <f t="shared" si="0"/>
        <v>0</v>
      </c>
      <c r="O9" s="237">
        <f t="shared" si="0"/>
        <v>0</v>
      </c>
      <c r="P9" s="237">
        <f t="shared" si="0"/>
        <v>0</v>
      </c>
      <c r="Q9" s="237">
        <f t="shared" si="0"/>
        <v>0</v>
      </c>
    </row>
    <row r="10" spans="1:17" ht="18.75" thickTop="1">
      <c r="A10" s="238"/>
      <c r="B10" s="239"/>
      <c r="C10" s="240"/>
      <c r="D10" s="241"/>
      <c r="E10" s="241"/>
      <c r="F10" s="241"/>
      <c r="G10" s="241"/>
      <c r="H10" s="241"/>
      <c r="I10" s="241"/>
      <c r="J10" s="241"/>
      <c r="K10" s="241"/>
      <c r="L10" s="241"/>
      <c r="M10" s="241"/>
      <c r="N10" s="241"/>
      <c r="O10" s="241"/>
      <c r="P10" s="241"/>
      <c r="Q10" s="241"/>
    </row>
    <row r="11" spans="1:17">
      <c r="A11" s="325" t="s">
        <v>125</v>
      </c>
      <c r="B11" s="325"/>
      <c r="C11" s="325"/>
      <c r="D11" s="325"/>
      <c r="E11" s="325"/>
      <c r="F11" s="325"/>
      <c r="G11" s="325"/>
      <c r="H11" s="325"/>
      <c r="I11" s="325"/>
      <c r="J11" s="325"/>
      <c r="K11" s="325"/>
      <c r="L11" s="325"/>
      <c r="M11" s="325"/>
      <c r="N11" s="325"/>
      <c r="O11" s="325"/>
      <c r="P11" s="325"/>
      <c r="Q11" s="325"/>
    </row>
    <row r="12" spans="1:17">
      <c r="A12" s="326" t="s">
        <v>31</v>
      </c>
      <c r="B12" s="327"/>
      <c r="C12" s="327"/>
      <c r="D12" s="327"/>
      <c r="E12" s="327"/>
      <c r="F12" s="327"/>
      <c r="G12" s="327"/>
      <c r="H12" s="327"/>
      <c r="I12" s="327"/>
      <c r="J12" s="327"/>
      <c r="K12" s="327"/>
      <c r="L12" s="327"/>
      <c r="M12" s="327"/>
      <c r="N12" s="327"/>
      <c r="O12" s="327"/>
      <c r="P12" s="327"/>
      <c r="Q12" s="327"/>
    </row>
    <row r="13" spans="1:17" ht="23.25">
      <c r="A13" s="221" t="s">
        <v>41</v>
      </c>
      <c r="B13" s="222"/>
      <c r="C13" s="222"/>
      <c r="D13" s="223"/>
      <c r="E13" s="223"/>
      <c r="F13" s="223"/>
      <c r="G13" s="223"/>
      <c r="H13" s="223"/>
      <c r="I13" s="223"/>
      <c r="J13" s="223"/>
      <c r="K13" s="223"/>
      <c r="L13" s="223"/>
      <c r="M13" s="223"/>
      <c r="N13" s="223"/>
      <c r="O13" s="328" t="s">
        <v>1</v>
      </c>
      <c r="P13" s="329"/>
      <c r="Q13" s="329"/>
    </row>
    <row r="14" spans="1:17" ht="26.25" customHeight="1">
      <c r="A14" s="332" t="s">
        <v>42</v>
      </c>
      <c r="B14" s="332" t="s">
        <v>8</v>
      </c>
      <c r="C14" s="335" t="s">
        <v>70</v>
      </c>
      <c r="D14" s="225" t="s">
        <v>32</v>
      </c>
      <c r="E14" s="225" t="s">
        <v>32</v>
      </c>
      <c r="F14" s="330" t="s">
        <v>15</v>
      </c>
      <c r="G14" s="330" t="s">
        <v>71</v>
      </c>
      <c r="H14" s="330" t="s">
        <v>72</v>
      </c>
      <c r="I14" s="330" t="s">
        <v>6</v>
      </c>
      <c r="J14" s="330" t="s">
        <v>118</v>
      </c>
      <c r="K14" s="330" t="s">
        <v>73</v>
      </c>
      <c r="L14" s="330" t="s">
        <v>74</v>
      </c>
      <c r="M14" s="330" t="s">
        <v>85</v>
      </c>
      <c r="N14" s="330" t="s">
        <v>75</v>
      </c>
      <c r="O14" s="330" t="s">
        <v>76</v>
      </c>
      <c r="P14" s="330" t="s">
        <v>77</v>
      </c>
      <c r="Q14" s="330" t="s">
        <v>6</v>
      </c>
    </row>
    <row r="15" spans="1:17" ht="34.5" customHeight="1">
      <c r="A15" s="333"/>
      <c r="B15" s="333"/>
      <c r="C15" s="336"/>
      <c r="D15" s="226" t="s">
        <v>108</v>
      </c>
      <c r="E15" s="226" t="s">
        <v>114</v>
      </c>
      <c r="F15" s="331"/>
      <c r="G15" s="331"/>
      <c r="H15" s="331"/>
      <c r="I15" s="331"/>
      <c r="J15" s="331"/>
      <c r="K15" s="331"/>
      <c r="L15" s="331"/>
      <c r="M15" s="331"/>
      <c r="N15" s="331"/>
      <c r="O15" s="331"/>
      <c r="P15" s="331"/>
      <c r="Q15" s="331"/>
    </row>
    <row r="16" spans="1:17">
      <c r="A16" s="334"/>
      <c r="B16" s="334"/>
      <c r="C16" s="313" t="s">
        <v>35</v>
      </c>
      <c r="D16" s="314"/>
      <c r="E16" s="314"/>
      <c r="F16" s="314"/>
      <c r="G16" s="314"/>
      <c r="H16" s="314"/>
      <c r="I16" s="314"/>
      <c r="J16" s="314"/>
      <c r="K16" s="314"/>
      <c r="L16" s="314"/>
      <c r="M16" s="314"/>
      <c r="N16" s="314"/>
      <c r="O16" s="314"/>
      <c r="P16" s="314"/>
      <c r="Q16" s="315"/>
    </row>
    <row r="17" spans="1:17">
      <c r="A17" s="224">
        <v>1</v>
      </c>
      <c r="B17" s="227" t="s">
        <v>10</v>
      </c>
      <c r="C17" s="228" t="s">
        <v>78</v>
      </c>
      <c r="D17" s="243">
        <v>19</v>
      </c>
      <c r="E17" s="243">
        <v>19</v>
      </c>
      <c r="F17" s="242">
        <v>0</v>
      </c>
      <c r="G17" s="229">
        <v>6402</v>
      </c>
      <c r="H17" s="244">
        <v>0</v>
      </c>
      <c r="I17" s="245">
        <f>SUM(G17:H17)</f>
        <v>6402</v>
      </c>
      <c r="J17" s="232">
        <v>4482</v>
      </c>
      <c r="K17" s="244">
        <v>46</v>
      </c>
      <c r="L17" s="244">
        <v>1920</v>
      </c>
      <c r="M17" s="244">
        <v>616</v>
      </c>
      <c r="N17" s="244">
        <v>0</v>
      </c>
      <c r="O17" s="244">
        <v>0</v>
      </c>
      <c r="P17" s="244">
        <v>285</v>
      </c>
      <c r="Q17" s="230">
        <f>SUM(F17+I17+J17+K17+L17+M17+N17+O17+P17)</f>
        <v>13751</v>
      </c>
    </row>
    <row r="18" spans="1:17">
      <c r="A18" s="224">
        <v>2</v>
      </c>
      <c r="B18" s="227" t="s">
        <v>11</v>
      </c>
      <c r="C18" s="228" t="s">
        <v>79</v>
      </c>
      <c r="D18" s="247">
        <v>0</v>
      </c>
      <c r="E18" s="247">
        <v>0</v>
      </c>
      <c r="F18" s="246">
        <v>0</v>
      </c>
      <c r="G18" s="233">
        <v>0</v>
      </c>
      <c r="H18" s="248">
        <v>0</v>
      </c>
      <c r="I18" s="245">
        <f>SUM(G18:H18)</f>
        <v>0</v>
      </c>
      <c r="J18" s="233">
        <v>0</v>
      </c>
      <c r="K18" s="248">
        <v>0</v>
      </c>
      <c r="L18" s="244">
        <v>0</v>
      </c>
      <c r="M18" s="244">
        <v>0</v>
      </c>
      <c r="N18" s="244">
        <v>0</v>
      </c>
      <c r="O18" s="244">
        <v>0</v>
      </c>
      <c r="P18" s="244">
        <v>0</v>
      </c>
      <c r="Q18" s="230">
        <f>SUM(F18+I18+J18+K18+L18+M18+N18+O18+P18)</f>
        <v>0</v>
      </c>
    </row>
    <row r="19" spans="1:17" ht="18.75" thickBot="1">
      <c r="A19" s="235" t="s">
        <v>61</v>
      </c>
      <c r="B19" s="235" t="s">
        <v>61</v>
      </c>
      <c r="C19" s="236" t="s">
        <v>6</v>
      </c>
      <c r="D19" s="249">
        <f t="shared" ref="D19:Q19" si="1">SUM(D17:D18)</f>
        <v>19</v>
      </c>
      <c r="E19" s="249">
        <f t="shared" si="1"/>
        <v>19</v>
      </c>
      <c r="F19" s="249">
        <f t="shared" si="1"/>
        <v>0</v>
      </c>
      <c r="G19" s="249">
        <f t="shared" si="1"/>
        <v>6402</v>
      </c>
      <c r="H19" s="249">
        <f t="shared" si="1"/>
        <v>0</v>
      </c>
      <c r="I19" s="249">
        <f t="shared" si="1"/>
        <v>6402</v>
      </c>
      <c r="J19" s="249">
        <f t="shared" si="1"/>
        <v>4482</v>
      </c>
      <c r="K19" s="249">
        <f t="shared" si="1"/>
        <v>46</v>
      </c>
      <c r="L19" s="249">
        <f t="shared" si="1"/>
        <v>1920</v>
      </c>
      <c r="M19" s="249">
        <f t="shared" si="1"/>
        <v>616</v>
      </c>
      <c r="N19" s="249">
        <f t="shared" si="1"/>
        <v>0</v>
      </c>
      <c r="O19" s="249">
        <f t="shared" si="1"/>
        <v>0</v>
      </c>
      <c r="P19" s="249">
        <f t="shared" si="1"/>
        <v>285</v>
      </c>
      <c r="Q19" s="249">
        <f t="shared" si="1"/>
        <v>13751</v>
      </c>
    </row>
    <row r="20" spans="1:17" ht="18.75" thickTop="1">
      <c r="A20" s="250"/>
      <c r="B20" s="251"/>
      <c r="C20" s="251"/>
      <c r="D20" s="252"/>
      <c r="E20" s="252"/>
      <c r="F20" s="252"/>
      <c r="G20" s="252"/>
      <c r="H20" s="252"/>
      <c r="I20" s="252"/>
      <c r="J20" s="252"/>
      <c r="K20" s="252"/>
      <c r="L20" s="252"/>
      <c r="M20" s="252"/>
      <c r="N20" s="252"/>
      <c r="O20" s="252"/>
      <c r="P20" s="252"/>
      <c r="Q20" s="252"/>
    </row>
    <row r="21" spans="1:17">
      <c r="A21" s="307" t="s">
        <v>125</v>
      </c>
      <c r="B21" s="308"/>
      <c r="C21" s="308"/>
      <c r="D21" s="308"/>
      <c r="E21" s="308"/>
      <c r="F21" s="308"/>
      <c r="G21" s="308"/>
      <c r="H21" s="308"/>
      <c r="I21" s="308"/>
      <c r="J21" s="308"/>
      <c r="K21" s="308"/>
      <c r="L21" s="308"/>
      <c r="M21" s="308"/>
      <c r="N21" s="308"/>
      <c r="O21" s="308"/>
      <c r="P21" s="308"/>
      <c r="Q21" s="308"/>
    </row>
    <row r="22" spans="1:17">
      <c r="A22" s="309" t="s">
        <v>31</v>
      </c>
      <c r="B22" s="310"/>
      <c r="C22" s="310"/>
      <c r="D22" s="310"/>
      <c r="E22" s="310"/>
      <c r="F22" s="310"/>
      <c r="G22" s="310"/>
      <c r="H22" s="310"/>
      <c r="I22" s="310"/>
      <c r="J22" s="310"/>
      <c r="K22" s="310"/>
      <c r="L22" s="310"/>
      <c r="M22" s="310"/>
      <c r="N22" s="310"/>
      <c r="O22" s="310"/>
      <c r="P22" s="310"/>
      <c r="Q22" s="310"/>
    </row>
    <row r="23" spans="1:17" ht="23.25">
      <c r="A23" s="88" t="s">
        <v>68</v>
      </c>
      <c r="B23" s="89"/>
      <c r="C23" s="89"/>
      <c r="D23" s="79"/>
      <c r="E23" s="79"/>
      <c r="F23" s="79"/>
      <c r="G23" s="79"/>
      <c r="H23" s="79"/>
      <c r="I23" s="79"/>
      <c r="J23" s="79"/>
      <c r="K23" s="79"/>
      <c r="L23" s="79"/>
      <c r="M23" s="79"/>
      <c r="N23" s="79"/>
      <c r="O23" s="311" t="s">
        <v>1</v>
      </c>
      <c r="P23" s="312"/>
      <c r="Q23" s="312"/>
    </row>
    <row r="24" spans="1:17" ht="33" customHeight="1">
      <c r="A24" s="302" t="s">
        <v>42</v>
      </c>
      <c r="B24" s="302" t="s">
        <v>8</v>
      </c>
      <c r="C24" s="305" t="s">
        <v>70</v>
      </c>
      <c r="D24" s="90" t="s">
        <v>32</v>
      </c>
      <c r="E24" s="90" t="s">
        <v>32</v>
      </c>
      <c r="F24" s="296" t="s">
        <v>15</v>
      </c>
      <c r="G24" s="296" t="s">
        <v>71</v>
      </c>
      <c r="H24" s="296" t="s">
        <v>72</v>
      </c>
      <c r="I24" s="296" t="s">
        <v>6</v>
      </c>
      <c r="J24" s="296" t="s">
        <v>118</v>
      </c>
      <c r="K24" s="296" t="s">
        <v>73</v>
      </c>
      <c r="L24" s="296" t="s">
        <v>74</v>
      </c>
      <c r="M24" s="296" t="s">
        <v>85</v>
      </c>
      <c r="N24" s="296" t="s">
        <v>75</v>
      </c>
      <c r="O24" s="296" t="s">
        <v>76</v>
      </c>
      <c r="P24" s="296" t="s">
        <v>77</v>
      </c>
      <c r="Q24" s="296" t="s">
        <v>6</v>
      </c>
    </row>
    <row r="25" spans="1:17" ht="25.5" customHeight="1">
      <c r="A25" s="303"/>
      <c r="B25" s="303"/>
      <c r="C25" s="306"/>
      <c r="D25" s="226" t="s">
        <v>108</v>
      </c>
      <c r="E25" s="226" t="s">
        <v>114</v>
      </c>
      <c r="F25" s="301"/>
      <c r="G25" s="301"/>
      <c r="H25" s="301"/>
      <c r="I25" s="301"/>
      <c r="J25" s="301"/>
      <c r="K25" s="297"/>
      <c r="L25" s="297"/>
      <c r="M25" s="297"/>
      <c r="N25" s="297"/>
      <c r="O25" s="297"/>
      <c r="P25" s="297"/>
      <c r="Q25" s="297"/>
    </row>
    <row r="26" spans="1:17">
      <c r="A26" s="304"/>
      <c r="B26" s="304"/>
      <c r="C26" s="298" t="s">
        <v>34</v>
      </c>
      <c r="D26" s="299"/>
      <c r="E26" s="299"/>
      <c r="F26" s="299"/>
      <c r="G26" s="299"/>
      <c r="H26" s="299"/>
      <c r="I26" s="299"/>
      <c r="J26" s="299"/>
      <c r="K26" s="299"/>
      <c r="L26" s="299"/>
      <c r="M26" s="299"/>
      <c r="N26" s="299"/>
      <c r="O26" s="299"/>
      <c r="P26" s="299"/>
      <c r="Q26" s="300"/>
    </row>
    <row r="27" spans="1:17" ht="20.25">
      <c r="A27" s="91">
        <v>1</v>
      </c>
      <c r="B27" s="92" t="s">
        <v>10</v>
      </c>
      <c r="C27" s="93" t="s">
        <v>78</v>
      </c>
      <c r="D27" s="67">
        <v>18</v>
      </c>
      <c r="E27" s="76">
        <v>18</v>
      </c>
      <c r="F27" s="67">
        <v>0</v>
      </c>
      <c r="G27" s="67">
        <v>10815</v>
      </c>
      <c r="H27" s="67">
        <v>0</v>
      </c>
      <c r="I27" s="68">
        <f>SUM(G27:H27)</f>
        <v>10815</v>
      </c>
      <c r="J27" s="200">
        <f>ROUND(I27*0.7,0)</f>
        <v>7571</v>
      </c>
      <c r="K27" s="67">
        <v>62</v>
      </c>
      <c r="L27" s="67">
        <v>3245</v>
      </c>
      <c r="M27" s="67">
        <v>769</v>
      </c>
      <c r="N27" s="67">
        <v>0</v>
      </c>
      <c r="O27" s="67">
        <v>0</v>
      </c>
      <c r="P27" s="67">
        <v>141</v>
      </c>
      <c r="Q27" s="68">
        <f>SUM(F27+I27+J27+K27+L27+M27+N27+O27+P27)</f>
        <v>22603</v>
      </c>
    </row>
    <row r="28" spans="1:17" ht="20.25">
      <c r="A28" s="91">
        <v>2</v>
      </c>
      <c r="B28" s="92" t="s">
        <v>11</v>
      </c>
      <c r="C28" s="93" t="s">
        <v>79</v>
      </c>
      <c r="D28" s="69">
        <v>41</v>
      </c>
      <c r="E28" s="96">
        <v>41</v>
      </c>
      <c r="F28" s="69">
        <v>0</v>
      </c>
      <c r="G28" s="69">
        <v>9401</v>
      </c>
      <c r="H28" s="69">
        <v>0</v>
      </c>
      <c r="I28" s="68">
        <f>SUM(G28:H28)</f>
        <v>9401</v>
      </c>
      <c r="J28" s="7">
        <v>0</v>
      </c>
      <c r="K28" s="69">
        <v>0</v>
      </c>
      <c r="L28" s="69">
        <v>0</v>
      </c>
      <c r="M28" s="69">
        <v>0</v>
      </c>
      <c r="N28" s="69">
        <v>0</v>
      </c>
      <c r="O28" s="69">
        <v>0</v>
      </c>
      <c r="P28" s="69">
        <v>0</v>
      </c>
      <c r="Q28" s="68">
        <f>SUM(F28+I28+J28+K28+L28+M28+N28+O28+P28)</f>
        <v>9401</v>
      </c>
    </row>
    <row r="29" spans="1:17" ht="18.75" thickBot="1">
      <c r="A29" s="94" t="s">
        <v>61</v>
      </c>
      <c r="B29" s="94" t="s">
        <v>61</v>
      </c>
      <c r="C29" s="95" t="s">
        <v>6</v>
      </c>
      <c r="D29" s="70">
        <f t="shared" ref="D29:Q29" si="2">SUM(D27:D28)</f>
        <v>59</v>
      </c>
      <c r="E29" s="70">
        <f t="shared" si="2"/>
        <v>59</v>
      </c>
      <c r="F29" s="70">
        <f t="shared" si="2"/>
        <v>0</v>
      </c>
      <c r="G29" s="70">
        <f t="shared" si="2"/>
        <v>20216</v>
      </c>
      <c r="H29" s="70">
        <f t="shared" si="2"/>
        <v>0</v>
      </c>
      <c r="I29" s="70">
        <f t="shared" si="2"/>
        <v>20216</v>
      </c>
      <c r="J29" s="70">
        <f t="shared" si="2"/>
        <v>7571</v>
      </c>
      <c r="K29" s="70">
        <f t="shared" si="2"/>
        <v>62</v>
      </c>
      <c r="L29" s="70">
        <f t="shared" si="2"/>
        <v>3245</v>
      </c>
      <c r="M29" s="70">
        <f t="shared" si="2"/>
        <v>769</v>
      </c>
      <c r="N29" s="70">
        <f t="shared" si="2"/>
        <v>0</v>
      </c>
      <c r="O29" s="70">
        <f t="shared" si="2"/>
        <v>0</v>
      </c>
      <c r="P29" s="70">
        <f t="shared" si="2"/>
        <v>141</v>
      </c>
      <c r="Q29" s="70">
        <f t="shared" si="2"/>
        <v>32004</v>
      </c>
    </row>
    <row r="30" spans="1:17" ht="18.75" thickTop="1">
      <c r="A30" s="71"/>
      <c r="B30" s="72"/>
      <c r="C30" s="73"/>
      <c r="D30" s="74"/>
      <c r="E30" s="74"/>
      <c r="F30" s="74"/>
      <c r="G30" s="74"/>
      <c r="H30" s="74"/>
      <c r="I30" s="74"/>
      <c r="J30" s="74"/>
      <c r="K30" s="74"/>
      <c r="L30" s="74"/>
      <c r="M30" s="74"/>
      <c r="N30" s="74"/>
      <c r="O30" s="74"/>
      <c r="P30" s="74"/>
      <c r="Q30" s="74"/>
    </row>
    <row r="31" spans="1:17">
      <c r="A31" s="307" t="s">
        <v>125</v>
      </c>
      <c r="B31" s="308"/>
      <c r="C31" s="308"/>
      <c r="D31" s="308"/>
      <c r="E31" s="308"/>
      <c r="F31" s="308"/>
      <c r="G31" s="308"/>
      <c r="H31" s="308"/>
      <c r="I31" s="308"/>
      <c r="J31" s="308"/>
      <c r="K31" s="308"/>
      <c r="L31" s="308"/>
      <c r="M31" s="308"/>
      <c r="N31" s="308"/>
      <c r="O31" s="308"/>
      <c r="P31" s="308"/>
      <c r="Q31" s="308"/>
    </row>
    <row r="32" spans="1:17">
      <c r="A32" s="309" t="s">
        <v>31</v>
      </c>
      <c r="B32" s="310"/>
      <c r="C32" s="310"/>
      <c r="D32" s="310"/>
      <c r="E32" s="310"/>
      <c r="F32" s="310"/>
      <c r="G32" s="310"/>
      <c r="H32" s="310"/>
      <c r="I32" s="310"/>
      <c r="J32" s="310"/>
      <c r="K32" s="310"/>
      <c r="L32" s="310"/>
      <c r="M32" s="310"/>
      <c r="N32" s="310"/>
      <c r="O32" s="310"/>
      <c r="P32" s="310"/>
      <c r="Q32" s="310"/>
    </row>
    <row r="33" spans="1:18" ht="23.25">
      <c r="A33" s="88" t="s">
        <v>68</v>
      </c>
      <c r="B33" s="89"/>
      <c r="C33" s="89"/>
      <c r="D33" s="79"/>
      <c r="E33" s="79"/>
      <c r="F33" s="79"/>
      <c r="G33" s="79"/>
      <c r="H33" s="79"/>
      <c r="I33" s="79"/>
      <c r="J33" s="79"/>
      <c r="K33" s="79"/>
      <c r="L33" s="79"/>
      <c r="M33" s="79"/>
      <c r="N33" s="79"/>
      <c r="O33" s="311" t="s">
        <v>1</v>
      </c>
      <c r="P33" s="312"/>
      <c r="Q33" s="312"/>
    </row>
    <row r="34" spans="1:18" ht="27.75" customHeight="1">
      <c r="A34" s="302" t="s">
        <v>42</v>
      </c>
      <c r="B34" s="302" t="s">
        <v>8</v>
      </c>
      <c r="C34" s="305" t="s">
        <v>70</v>
      </c>
      <c r="D34" s="90" t="s">
        <v>32</v>
      </c>
      <c r="E34" s="90" t="s">
        <v>32</v>
      </c>
      <c r="F34" s="296" t="s">
        <v>15</v>
      </c>
      <c r="G34" s="296" t="s">
        <v>71</v>
      </c>
      <c r="H34" s="296" t="s">
        <v>72</v>
      </c>
      <c r="I34" s="296" t="s">
        <v>6</v>
      </c>
      <c r="J34" s="296" t="s">
        <v>118</v>
      </c>
      <c r="K34" s="296" t="s">
        <v>73</v>
      </c>
      <c r="L34" s="296" t="s">
        <v>74</v>
      </c>
      <c r="M34" s="296" t="s">
        <v>85</v>
      </c>
      <c r="N34" s="296" t="s">
        <v>75</v>
      </c>
      <c r="O34" s="296" t="s">
        <v>76</v>
      </c>
      <c r="P34" s="296" t="s">
        <v>77</v>
      </c>
      <c r="Q34" s="296" t="s">
        <v>6</v>
      </c>
    </row>
    <row r="35" spans="1:18" ht="33" customHeight="1">
      <c r="A35" s="303"/>
      <c r="B35" s="303"/>
      <c r="C35" s="306"/>
      <c r="D35" s="226" t="s">
        <v>108</v>
      </c>
      <c r="E35" s="226" t="s">
        <v>114</v>
      </c>
      <c r="F35" s="301"/>
      <c r="G35" s="301"/>
      <c r="H35" s="301"/>
      <c r="I35" s="301"/>
      <c r="J35" s="301"/>
      <c r="K35" s="297"/>
      <c r="L35" s="297"/>
      <c r="M35" s="297"/>
      <c r="N35" s="297"/>
      <c r="O35" s="297"/>
      <c r="P35" s="297"/>
      <c r="Q35" s="297"/>
    </row>
    <row r="36" spans="1:18">
      <c r="A36" s="304"/>
      <c r="B36" s="304"/>
      <c r="C36" s="313" t="s">
        <v>35</v>
      </c>
      <c r="D36" s="314"/>
      <c r="E36" s="314"/>
      <c r="F36" s="314"/>
      <c r="G36" s="314"/>
      <c r="H36" s="314"/>
      <c r="I36" s="314"/>
      <c r="J36" s="314"/>
      <c r="K36" s="314"/>
      <c r="L36" s="314"/>
      <c r="M36" s="314"/>
      <c r="N36" s="314"/>
      <c r="O36" s="314"/>
      <c r="P36" s="314"/>
      <c r="Q36" s="315"/>
    </row>
    <row r="37" spans="1:18" ht="20.25">
      <c r="A37" s="91">
        <v>1</v>
      </c>
      <c r="B37" s="92" t="s">
        <v>10</v>
      </c>
      <c r="C37" s="93" t="s">
        <v>78</v>
      </c>
      <c r="D37" s="75">
        <v>68</v>
      </c>
      <c r="E37" s="75">
        <v>68</v>
      </c>
      <c r="F37" s="67">
        <v>0</v>
      </c>
      <c r="G37" s="67">
        <v>42708</v>
      </c>
      <c r="H37" s="67">
        <v>0</v>
      </c>
      <c r="I37" s="68">
        <f>SUM(G37:H37)</f>
        <v>42708</v>
      </c>
      <c r="J37" s="200">
        <f>ROUND(I37*0.7,0)</f>
        <v>29896</v>
      </c>
      <c r="K37" s="67">
        <v>186</v>
      </c>
      <c r="L37" s="67">
        <v>12812</v>
      </c>
      <c r="M37" s="67">
        <v>3066</v>
      </c>
      <c r="N37" s="67"/>
      <c r="O37" s="67"/>
      <c r="P37" s="67">
        <v>333</v>
      </c>
      <c r="Q37" s="76">
        <f>SUM(F37+I37+J37+K37+L37+M37+N37+O37+P37)</f>
        <v>89001</v>
      </c>
    </row>
    <row r="38" spans="1:18" ht="20.25">
      <c r="A38" s="91">
        <v>2</v>
      </c>
      <c r="B38" s="92" t="s">
        <v>11</v>
      </c>
      <c r="C38" s="93" t="s">
        <v>79</v>
      </c>
      <c r="D38" s="77">
        <v>0</v>
      </c>
      <c r="E38" s="77">
        <v>0</v>
      </c>
      <c r="F38" s="69">
        <v>0</v>
      </c>
      <c r="G38" s="69">
        <v>0</v>
      </c>
      <c r="H38" s="69">
        <v>0</v>
      </c>
      <c r="I38" s="68">
        <f>SUM(G38:H38)</f>
        <v>0</v>
      </c>
      <c r="J38" s="7">
        <v>0</v>
      </c>
      <c r="K38" s="69">
        <v>0</v>
      </c>
      <c r="L38" s="69">
        <v>0</v>
      </c>
      <c r="M38" s="69">
        <v>0</v>
      </c>
      <c r="N38" s="69">
        <v>0</v>
      </c>
      <c r="O38" s="69">
        <v>0</v>
      </c>
      <c r="P38" s="69">
        <v>0</v>
      </c>
      <c r="Q38" s="76">
        <f>SUM(F38+I38+J38+K38+L38+M38+N38+O38+P38)</f>
        <v>0</v>
      </c>
    </row>
    <row r="39" spans="1:18" ht="18.75" thickBot="1">
      <c r="A39" s="94" t="s">
        <v>61</v>
      </c>
      <c r="B39" s="94" t="s">
        <v>61</v>
      </c>
      <c r="C39" s="95" t="s">
        <v>6</v>
      </c>
      <c r="D39" s="78">
        <f t="shared" ref="D39:Q39" si="3">SUM(D37:D38)</f>
        <v>68</v>
      </c>
      <c r="E39" s="78">
        <f t="shared" si="3"/>
        <v>68</v>
      </c>
      <c r="F39" s="78">
        <f t="shared" si="3"/>
        <v>0</v>
      </c>
      <c r="G39" s="78">
        <f t="shared" si="3"/>
        <v>42708</v>
      </c>
      <c r="H39" s="78">
        <f t="shared" si="3"/>
        <v>0</v>
      </c>
      <c r="I39" s="78">
        <f t="shared" si="3"/>
        <v>42708</v>
      </c>
      <c r="J39" s="78">
        <f t="shared" si="3"/>
        <v>29896</v>
      </c>
      <c r="K39" s="78">
        <f t="shared" si="3"/>
        <v>186</v>
      </c>
      <c r="L39" s="78">
        <f t="shared" si="3"/>
        <v>12812</v>
      </c>
      <c r="M39" s="78">
        <f t="shared" si="3"/>
        <v>3066</v>
      </c>
      <c r="N39" s="78">
        <f t="shared" si="3"/>
        <v>0</v>
      </c>
      <c r="O39" s="78">
        <f t="shared" si="3"/>
        <v>0</v>
      </c>
      <c r="P39" s="78">
        <f t="shared" si="3"/>
        <v>333</v>
      </c>
      <c r="Q39" s="78">
        <f t="shared" si="3"/>
        <v>89001</v>
      </c>
    </row>
    <row r="40" spans="1:18" ht="18.75" thickTop="1">
      <c r="C40" s="84"/>
    </row>
    <row r="41" spans="1:18">
      <c r="A41" s="307" t="s">
        <v>125</v>
      </c>
      <c r="B41" s="308"/>
      <c r="C41" s="308"/>
      <c r="D41" s="308"/>
      <c r="E41" s="308"/>
      <c r="F41" s="308"/>
      <c r="G41" s="308"/>
      <c r="H41" s="308"/>
      <c r="I41" s="308"/>
      <c r="J41" s="308"/>
      <c r="K41" s="308"/>
      <c r="L41" s="308"/>
      <c r="M41" s="308"/>
      <c r="N41" s="308"/>
      <c r="O41" s="308"/>
      <c r="P41" s="308"/>
      <c r="Q41" s="308"/>
    </row>
    <row r="42" spans="1:18">
      <c r="A42" s="309" t="s">
        <v>31</v>
      </c>
      <c r="B42" s="310"/>
      <c r="C42" s="310"/>
      <c r="D42" s="310"/>
      <c r="E42" s="310"/>
      <c r="F42" s="310"/>
      <c r="G42" s="310"/>
      <c r="H42" s="310"/>
      <c r="I42" s="310"/>
      <c r="J42" s="310"/>
      <c r="K42" s="310"/>
      <c r="L42" s="310"/>
      <c r="M42" s="310"/>
      <c r="N42" s="310"/>
      <c r="O42" s="310"/>
      <c r="P42" s="310"/>
      <c r="Q42" s="310"/>
    </row>
    <row r="43" spans="1:18" ht="23.25">
      <c r="A43" s="88" t="s">
        <v>67</v>
      </c>
      <c r="B43" s="89"/>
      <c r="C43" s="89"/>
      <c r="D43" s="79"/>
      <c r="E43" s="79"/>
      <c r="F43" s="79"/>
      <c r="G43" s="79"/>
      <c r="H43" s="79"/>
      <c r="I43" s="79"/>
      <c r="J43" s="79"/>
      <c r="K43" s="79"/>
      <c r="L43" s="79"/>
      <c r="M43" s="79"/>
      <c r="N43" s="79"/>
      <c r="O43" s="311" t="s">
        <v>1</v>
      </c>
      <c r="P43" s="312"/>
      <c r="Q43" s="312"/>
    </row>
    <row r="44" spans="1:18" ht="37.5" customHeight="1">
      <c r="A44" s="302" t="s">
        <v>42</v>
      </c>
      <c r="B44" s="302" t="s">
        <v>8</v>
      </c>
      <c r="C44" s="305" t="s">
        <v>70</v>
      </c>
      <c r="D44" s="90" t="s">
        <v>32</v>
      </c>
      <c r="E44" s="90" t="s">
        <v>32</v>
      </c>
      <c r="F44" s="296" t="s">
        <v>15</v>
      </c>
      <c r="G44" s="296" t="s">
        <v>71</v>
      </c>
      <c r="H44" s="296" t="s">
        <v>72</v>
      </c>
      <c r="I44" s="296" t="s">
        <v>6</v>
      </c>
      <c r="J44" s="296" t="s">
        <v>118</v>
      </c>
      <c r="K44" s="296" t="s">
        <v>73</v>
      </c>
      <c r="L44" s="296" t="s">
        <v>74</v>
      </c>
      <c r="M44" s="296" t="s">
        <v>85</v>
      </c>
      <c r="N44" s="296" t="s">
        <v>75</v>
      </c>
      <c r="O44" s="296" t="s">
        <v>76</v>
      </c>
      <c r="P44" s="296" t="s">
        <v>77</v>
      </c>
      <c r="Q44" s="296" t="s">
        <v>6</v>
      </c>
    </row>
    <row r="45" spans="1:18" ht="21" customHeight="1">
      <c r="A45" s="303"/>
      <c r="B45" s="303"/>
      <c r="C45" s="306"/>
      <c r="D45" s="226" t="s">
        <v>108</v>
      </c>
      <c r="E45" s="226" t="s">
        <v>114</v>
      </c>
      <c r="F45" s="301"/>
      <c r="G45" s="301"/>
      <c r="H45" s="301"/>
      <c r="I45" s="301"/>
      <c r="J45" s="301"/>
      <c r="K45" s="297"/>
      <c r="L45" s="297"/>
      <c r="M45" s="297"/>
      <c r="N45" s="297"/>
      <c r="O45" s="297"/>
      <c r="P45" s="297"/>
      <c r="Q45" s="297"/>
    </row>
    <row r="46" spans="1:18">
      <c r="A46" s="304"/>
      <c r="B46" s="304"/>
      <c r="C46" s="298" t="s">
        <v>34</v>
      </c>
      <c r="D46" s="299"/>
      <c r="E46" s="299"/>
      <c r="F46" s="299"/>
      <c r="G46" s="299"/>
      <c r="H46" s="299"/>
      <c r="I46" s="299"/>
      <c r="J46" s="299"/>
      <c r="K46" s="299"/>
      <c r="L46" s="299"/>
      <c r="M46" s="299"/>
      <c r="N46" s="299"/>
      <c r="O46" s="299"/>
      <c r="P46" s="299"/>
      <c r="Q46" s="300"/>
    </row>
    <row r="47" spans="1:18" ht="20.25">
      <c r="A47" s="91">
        <v>1</v>
      </c>
      <c r="B47" s="92" t="s">
        <v>10</v>
      </c>
      <c r="C47" s="93" t="s">
        <v>78</v>
      </c>
      <c r="D47" s="76">
        <v>137</v>
      </c>
      <c r="E47" s="76">
        <v>137</v>
      </c>
      <c r="F47" s="67">
        <v>0</v>
      </c>
      <c r="G47" s="67">
        <v>59260</v>
      </c>
      <c r="H47" s="67">
        <v>0</v>
      </c>
      <c r="I47" s="68">
        <f>SUM(G47:H47)</f>
        <v>59260</v>
      </c>
      <c r="J47" s="200">
        <f>ROUND(I47*0.7,0)</f>
        <v>41482</v>
      </c>
      <c r="K47" s="67">
        <v>493</v>
      </c>
      <c r="L47" s="67">
        <v>11986</v>
      </c>
      <c r="M47" s="67">
        <v>3062</v>
      </c>
      <c r="N47" s="67"/>
      <c r="O47" s="67">
        <v>0</v>
      </c>
      <c r="P47" s="67">
        <v>2096</v>
      </c>
      <c r="Q47" s="68">
        <f>SUM(F47+I47+J47+K47+L47+M47+N47+O47+P47)</f>
        <v>118379</v>
      </c>
      <c r="R47" s="66" t="s">
        <v>121</v>
      </c>
    </row>
    <row r="48" spans="1:18" ht="20.25">
      <c r="A48" s="91">
        <v>2</v>
      </c>
      <c r="B48" s="92" t="s">
        <v>11</v>
      </c>
      <c r="C48" s="93" t="s">
        <v>79</v>
      </c>
      <c r="D48" s="96">
        <v>155</v>
      </c>
      <c r="E48" s="96">
        <v>155</v>
      </c>
      <c r="F48" s="69">
        <v>0</v>
      </c>
      <c r="G48" s="69">
        <v>27900</v>
      </c>
      <c r="H48" s="69">
        <v>0</v>
      </c>
      <c r="I48" s="68">
        <f>SUM(G48:H48)</f>
        <v>27900</v>
      </c>
      <c r="J48" s="7">
        <v>0</v>
      </c>
      <c r="K48" s="69">
        <v>0</v>
      </c>
      <c r="L48" s="69">
        <v>0</v>
      </c>
      <c r="M48" s="69">
        <v>0</v>
      </c>
      <c r="N48" s="69">
        <v>0</v>
      </c>
      <c r="O48" s="69">
        <v>0</v>
      </c>
      <c r="P48" s="69">
        <v>223</v>
      </c>
      <c r="Q48" s="68">
        <f>SUM(F48+I48+J48+K48+L48+M48+N48+O48+P48)</f>
        <v>28123</v>
      </c>
    </row>
    <row r="49" spans="1:17" ht="18.75" thickBot="1">
      <c r="A49" s="94" t="s">
        <v>61</v>
      </c>
      <c r="B49" s="94" t="s">
        <v>61</v>
      </c>
      <c r="C49" s="95" t="s">
        <v>6</v>
      </c>
      <c r="D49" s="70">
        <f t="shared" ref="D49:Q49" si="4">SUM(D47:D48)</f>
        <v>292</v>
      </c>
      <c r="E49" s="70">
        <f t="shared" si="4"/>
        <v>292</v>
      </c>
      <c r="F49" s="70">
        <f t="shared" si="4"/>
        <v>0</v>
      </c>
      <c r="G49" s="70">
        <f t="shared" si="4"/>
        <v>87160</v>
      </c>
      <c r="H49" s="70">
        <f t="shared" si="4"/>
        <v>0</v>
      </c>
      <c r="I49" s="70">
        <f t="shared" si="4"/>
        <v>87160</v>
      </c>
      <c r="J49" s="70">
        <f t="shared" si="4"/>
        <v>41482</v>
      </c>
      <c r="K49" s="70">
        <f t="shared" si="4"/>
        <v>493</v>
      </c>
      <c r="L49" s="70">
        <f t="shared" si="4"/>
        <v>11986</v>
      </c>
      <c r="M49" s="70">
        <f t="shared" si="4"/>
        <v>3062</v>
      </c>
      <c r="N49" s="70">
        <f t="shared" si="4"/>
        <v>0</v>
      </c>
      <c r="O49" s="70">
        <f t="shared" si="4"/>
        <v>0</v>
      </c>
      <c r="P49" s="70">
        <f t="shared" si="4"/>
        <v>2319</v>
      </c>
      <c r="Q49" s="70">
        <f t="shared" si="4"/>
        <v>146502</v>
      </c>
    </row>
    <row r="50" spans="1:17" ht="18.75" thickTop="1">
      <c r="A50" s="71"/>
      <c r="B50" s="72"/>
      <c r="C50" s="73"/>
      <c r="D50" s="74"/>
      <c r="E50" s="74"/>
      <c r="F50" s="74"/>
      <c r="G50" s="74"/>
      <c r="H50" s="74"/>
      <c r="I50" s="74"/>
      <c r="J50" s="74"/>
      <c r="K50" s="74"/>
      <c r="L50" s="74"/>
      <c r="M50" s="74"/>
      <c r="N50" s="74"/>
      <c r="O50" s="74"/>
      <c r="P50" s="74"/>
      <c r="Q50" s="74"/>
    </row>
    <row r="51" spans="1:17">
      <c r="A51" s="307" t="s">
        <v>125</v>
      </c>
      <c r="B51" s="308"/>
      <c r="C51" s="308"/>
      <c r="D51" s="308"/>
      <c r="E51" s="308"/>
      <c r="F51" s="308"/>
      <c r="G51" s="308"/>
      <c r="H51" s="308"/>
      <c r="I51" s="308"/>
      <c r="J51" s="308"/>
      <c r="K51" s="308"/>
      <c r="L51" s="308"/>
      <c r="M51" s="308"/>
      <c r="N51" s="308"/>
      <c r="O51" s="308"/>
      <c r="P51" s="308"/>
      <c r="Q51" s="308"/>
    </row>
    <row r="52" spans="1:17">
      <c r="A52" s="309" t="s">
        <v>31</v>
      </c>
      <c r="B52" s="310"/>
      <c r="C52" s="310"/>
      <c r="D52" s="310"/>
      <c r="E52" s="310"/>
      <c r="F52" s="310"/>
      <c r="G52" s="310"/>
      <c r="H52" s="310"/>
      <c r="I52" s="310"/>
      <c r="J52" s="310"/>
      <c r="K52" s="310"/>
      <c r="L52" s="310"/>
      <c r="M52" s="310"/>
      <c r="N52" s="310"/>
      <c r="O52" s="310"/>
      <c r="P52" s="310"/>
      <c r="Q52" s="310"/>
    </row>
    <row r="53" spans="1:17" ht="23.25">
      <c r="A53" s="88" t="s">
        <v>67</v>
      </c>
      <c r="B53" s="89"/>
      <c r="C53" s="89"/>
      <c r="D53" s="79"/>
      <c r="E53" s="79"/>
      <c r="F53" s="79"/>
      <c r="G53" s="79"/>
      <c r="H53" s="79"/>
      <c r="I53" s="79"/>
      <c r="J53" s="79"/>
      <c r="K53" s="79"/>
      <c r="L53" s="79"/>
      <c r="M53" s="79"/>
      <c r="N53" s="79"/>
      <c r="O53" s="311" t="s">
        <v>1</v>
      </c>
      <c r="P53" s="312"/>
      <c r="Q53" s="312"/>
    </row>
    <row r="54" spans="1:17" ht="30.75" customHeight="1">
      <c r="A54" s="302" t="s">
        <v>42</v>
      </c>
      <c r="B54" s="302" t="s">
        <v>8</v>
      </c>
      <c r="C54" s="305" t="s">
        <v>70</v>
      </c>
      <c r="D54" s="90" t="s">
        <v>32</v>
      </c>
      <c r="E54" s="90" t="s">
        <v>32</v>
      </c>
      <c r="F54" s="296" t="s">
        <v>15</v>
      </c>
      <c r="G54" s="296" t="s">
        <v>71</v>
      </c>
      <c r="H54" s="296" t="s">
        <v>72</v>
      </c>
      <c r="I54" s="296" t="s">
        <v>6</v>
      </c>
      <c r="J54" s="296" t="s">
        <v>118</v>
      </c>
      <c r="K54" s="296" t="s">
        <v>73</v>
      </c>
      <c r="L54" s="296" t="s">
        <v>74</v>
      </c>
      <c r="M54" s="296" t="s">
        <v>85</v>
      </c>
      <c r="N54" s="296" t="s">
        <v>75</v>
      </c>
      <c r="O54" s="296" t="s">
        <v>76</v>
      </c>
      <c r="P54" s="296" t="s">
        <v>77</v>
      </c>
      <c r="Q54" s="296" t="s">
        <v>6</v>
      </c>
    </row>
    <row r="55" spans="1:17" ht="26.25" customHeight="1">
      <c r="A55" s="303"/>
      <c r="B55" s="303"/>
      <c r="C55" s="306"/>
      <c r="D55" s="226" t="s">
        <v>108</v>
      </c>
      <c r="E55" s="226" t="s">
        <v>114</v>
      </c>
      <c r="F55" s="301"/>
      <c r="G55" s="301"/>
      <c r="H55" s="301"/>
      <c r="I55" s="301"/>
      <c r="J55" s="301"/>
      <c r="K55" s="297"/>
      <c r="L55" s="297"/>
      <c r="M55" s="297"/>
      <c r="N55" s="297"/>
      <c r="O55" s="297"/>
      <c r="P55" s="297"/>
      <c r="Q55" s="297"/>
    </row>
    <row r="56" spans="1:17">
      <c r="A56" s="304"/>
      <c r="B56" s="304"/>
      <c r="C56" s="298" t="s">
        <v>35</v>
      </c>
      <c r="D56" s="299"/>
      <c r="E56" s="299"/>
      <c r="F56" s="299"/>
      <c r="G56" s="299"/>
      <c r="H56" s="299"/>
      <c r="I56" s="299"/>
      <c r="J56" s="299"/>
      <c r="K56" s="299"/>
      <c r="L56" s="299"/>
      <c r="M56" s="299"/>
      <c r="N56" s="299"/>
      <c r="O56" s="299"/>
      <c r="P56" s="299"/>
      <c r="Q56" s="300"/>
    </row>
    <row r="57" spans="1:17" ht="20.25">
      <c r="A57" s="91">
        <v>1</v>
      </c>
      <c r="B57" s="92" t="s">
        <v>10</v>
      </c>
      <c r="C57" s="93" t="s">
        <v>78</v>
      </c>
      <c r="D57" s="75">
        <v>131</v>
      </c>
      <c r="E57" s="75">
        <v>131</v>
      </c>
      <c r="F57" s="67">
        <v>0</v>
      </c>
      <c r="G57" s="67">
        <v>58269</v>
      </c>
      <c r="H57" s="67">
        <v>0</v>
      </c>
      <c r="I57" s="68">
        <f>SUM(G57:H57)</f>
        <v>58269</v>
      </c>
      <c r="J57" s="200">
        <f>ROUND(I57*0.7,0)</f>
        <v>40788</v>
      </c>
      <c r="K57" s="67">
        <v>418</v>
      </c>
      <c r="L57" s="67">
        <v>10982</v>
      </c>
      <c r="M57" s="67">
        <v>3013</v>
      </c>
      <c r="N57" s="67">
        <v>0</v>
      </c>
      <c r="O57" s="67">
        <v>0</v>
      </c>
      <c r="P57" s="67">
        <v>2004</v>
      </c>
      <c r="Q57" s="76">
        <f>SUM(F57+I57+J57+K57+L57+M57+N57+O57+P57)</f>
        <v>115474</v>
      </c>
    </row>
    <row r="58" spans="1:17" ht="20.25">
      <c r="A58" s="91">
        <v>2</v>
      </c>
      <c r="B58" s="92" t="s">
        <v>11</v>
      </c>
      <c r="C58" s="93" t="s">
        <v>79</v>
      </c>
      <c r="D58" s="77">
        <v>0</v>
      </c>
      <c r="E58" s="77">
        <v>0</v>
      </c>
      <c r="F58" s="69">
        <v>0</v>
      </c>
      <c r="G58" s="69">
        <v>0</v>
      </c>
      <c r="H58" s="69">
        <v>0</v>
      </c>
      <c r="I58" s="68">
        <f>SUM(G58:H58)</f>
        <v>0</v>
      </c>
      <c r="J58" s="7">
        <v>0</v>
      </c>
      <c r="K58" s="69">
        <v>0</v>
      </c>
      <c r="L58" s="69">
        <v>0</v>
      </c>
      <c r="M58" s="69">
        <v>0</v>
      </c>
      <c r="N58" s="69">
        <v>0</v>
      </c>
      <c r="O58" s="69">
        <v>0</v>
      </c>
      <c r="P58" s="69">
        <v>0</v>
      </c>
      <c r="Q58" s="76">
        <f>SUM(F58+I58+J58+K58+L58+M58+N58+O58+P58)</f>
        <v>0</v>
      </c>
    </row>
    <row r="59" spans="1:17" ht="18.75" thickBot="1">
      <c r="A59" s="94" t="s">
        <v>61</v>
      </c>
      <c r="B59" s="94" t="s">
        <v>61</v>
      </c>
      <c r="C59" s="95" t="s">
        <v>6</v>
      </c>
      <c r="D59" s="78">
        <f t="shared" ref="D59:Q59" si="5">SUM(D57:D58)</f>
        <v>131</v>
      </c>
      <c r="E59" s="78">
        <f t="shared" si="5"/>
        <v>131</v>
      </c>
      <c r="F59" s="78">
        <f t="shared" si="5"/>
        <v>0</v>
      </c>
      <c r="G59" s="78">
        <f t="shared" si="5"/>
        <v>58269</v>
      </c>
      <c r="H59" s="78">
        <f t="shared" si="5"/>
        <v>0</v>
      </c>
      <c r="I59" s="78">
        <f t="shared" si="5"/>
        <v>58269</v>
      </c>
      <c r="J59" s="78">
        <f t="shared" si="5"/>
        <v>40788</v>
      </c>
      <c r="K59" s="78">
        <f t="shared" si="5"/>
        <v>418</v>
      </c>
      <c r="L59" s="78">
        <f t="shared" si="5"/>
        <v>10982</v>
      </c>
      <c r="M59" s="78">
        <f t="shared" si="5"/>
        <v>3013</v>
      </c>
      <c r="N59" s="78">
        <f t="shared" si="5"/>
        <v>0</v>
      </c>
      <c r="O59" s="78">
        <f t="shared" si="5"/>
        <v>0</v>
      </c>
      <c r="P59" s="78">
        <f t="shared" si="5"/>
        <v>2004</v>
      </c>
      <c r="Q59" s="78">
        <f t="shared" si="5"/>
        <v>115474</v>
      </c>
    </row>
    <row r="60" spans="1:17" ht="18.75" thickTop="1">
      <c r="A60" s="80"/>
      <c r="B60" s="81"/>
      <c r="C60" s="71"/>
      <c r="D60" s="97"/>
      <c r="E60" s="97"/>
      <c r="F60" s="97"/>
      <c r="G60" s="97"/>
      <c r="H60" s="97"/>
      <c r="I60" s="97"/>
      <c r="J60" s="97"/>
      <c r="K60" s="97"/>
      <c r="L60" s="97"/>
      <c r="M60" s="97"/>
      <c r="N60" s="97"/>
      <c r="O60" s="97"/>
      <c r="P60" s="97"/>
      <c r="Q60" s="97"/>
    </row>
    <row r="61" spans="1:17">
      <c r="A61" s="307" t="s">
        <v>125</v>
      </c>
      <c r="B61" s="308"/>
      <c r="C61" s="308"/>
      <c r="D61" s="308"/>
      <c r="E61" s="308"/>
      <c r="F61" s="308"/>
      <c r="G61" s="308"/>
      <c r="H61" s="308"/>
      <c r="I61" s="308"/>
      <c r="J61" s="308"/>
      <c r="K61" s="308"/>
      <c r="L61" s="308"/>
      <c r="M61" s="308"/>
      <c r="N61" s="308"/>
      <c r="O61" s="308"/>
      <c r="P61" s="308"/>
      <c r="Q61" s="308"/>
    </row>
    <row r="62" spans="1:17">
      <c r="A62" s="309" t="s">
        <v>31</v>
      </c>
      <c r="B62" s="310"/>
      <c r="C62" s="310"/>
      <c r="D62" s="310"/>
      <c r="E62" s="310"/>
      <c r="F62" s="310"/>
      <c r="G62" s="310"/>
      <c r="H62" s="310"/>
      <c r="I62" s="310"/>
      <c r="J62" s="310"/>
      <c r="K62" s="310"/>
      <c r="L62" s="310"/>
      <c r="M62" s="310"/>
      <c r="N62" s="310"/>
      <c r="O62" s="310"/>
      <c r="P62" s="310"/>
      <c r="Q62" s="310"/>
    </row>
    <row r="63" spans="1:17" ht="23.25">
      <c r="A63" s="88" t="s">
        <v>66</v>
      </c>
      <c r="B63" s="89"/>
      <c r="C63" s="89"/>
      <c r="D63" s="79"/>
      <c r="E63" s="79"/>
      <c r="F63" s="79"/>
      <c r="G63" s="79"/>
      <c r="H63" s="79"/>
      <c r="I63" s="79"/>
      <c r="J63" s="79"/>
      <c r="K63" s="79"/>
      <c r="L63" s="79"/>
      <c r="M63" s="79"/>
      <c r="N63" s="79"/>
      <c r="O63" s="311" t="s">
        <v>1</v>
      </c>
      <c r="P63" s="312"/>
      <c r="Q63" s="312"/>
    </row>
    <row r="64" spans="1:17" ht="27" customHeight="1">
      <c r="A64" s="302" t="s">
        <v>42</v>
      </c>
      <c r="B64" s="302" t="s">
        <v>8</v>
      </c>
      <c r="C64" s="305" t="s">
        <v>70</v>
      </c>
      <c r="D64" s="90" t="s">
        <v>32</v>
      </c>
      <c r="E64" s="90" t="s">
        <v>32</v>
      </c>
      <c r="F64" s="296" t="s">
        <v>15</v>
      </c>
      <c r="G64" s="296" t="s">
        <v>71</v>
      </c>
      <c r="H64" s="296" t="s">
        <v>72</v>
      </c>
      <c r="I64" s="296" t="s">
        <v>6</v>
      </c>
      <c r="J64" s="296" t="s">
        <v>118</v>
      </c>
      <c r="K64" s="296" t="s">
        <v>73</v>
      </c>
      <c r="L64" s="296" t="s">
        <v>74</v>
      </c>
      <c r="M64" s="296" t="s">
        <v>85</v>
      </c>
      <c r="N64" s="296" t="s">
        <v>75</v>
      </c>
      <c r="O64" s="296" t="s">
        <v>76</v>
      </c>
      <c r="P64" s="296" t="s">
        <v>77</v>
      </c>
      <c r="Q64" s="296" t="s">
        <v>6</v>
      </c>
    </row>
    <row r="65" spans="1:17" ht="31.5" customHeight="1">
      <c r="A65" s="303"/>
      <c r="B65" s="303"/>
      <c r="C65" s="306"/>
      <c r="D65" s="226" t="s">
        <v>108</v>
      </c>
      <c r="E65" s="226" t="s">
        <v>114</v>
      </c>
      <c r="F65" s="301"/>
      <c r="G65" s="301"/>
      <c r="H65" s="301"/>
      <c r="I65" s="301"/>
      <c r="J65" s="301"/>
      <c r="K65" s="297"/>
      <c r="L65" s="297"/>
      <c r="M65" s="297"/>
      <c r="N65" s="297"/>
      <c r="O65" s="297"/>
      <c r="P65" s="297"/>
      <c r="Q65" s="297"/>
    </row>
    <row r="66" spans="1:17">
      <c r="A66" s="304"/>
      <c r="B66" s="304"/>
      <c r="C66" s="298" t="s">
        <v>34</v>
      </c>
      <c r="D66" s="299"/>
      <c r="E66" s="299"/>
      <c r="F66" s="299"/>
      <c r="G66" s="299"/>
      <c r="H66" s="299"/>
      <c r="I66" s="299"/>
      <c r="J66" s="299"/>
      <c r="K66" s="299"/>
      <c r="L66" s="299"/>
      <c r="M66" s="299"/>
      <c r="N66" s="299"/>
      <c r="O66" s="299"/>
      <c r="P66" s="299"/>
      <c r="Q66" s="300"/>
    </row>
    <row r="67" spans="1:17" ht="20.25">
      <c r="A67" s="91">
        <v>1</v>
      </c>
      <c r="B67" s="92" t="s">
        <v>10</v>
      </c>
      <c r="C67" s="93" t="s">
        <v>78</v>
      </c>
      <c r="D67" s="67">
        <v>127</v>
      </c>
      <c r="E67" s="76">
        <v>127</v>
      </c>
      <c r="F67" s="67">
        <v>0</v>
      </c>
      <c r="G67" s="67">
        <v>76410</v>
      </c>
      <c r="H67" s="67">
        <v>0</v>
      </c>
      <c r="I67" s="68">
        <f>SUM(G67:H67)</f>
        <v>76410</v>
      </c>
      <c r="J67" s="200">
        <f>ROUND(I67*0.7,0)</f>
        <v>53487</v>
      </c>
      <c r="K67" s="67">
        <v>1341</v>
      </c>
      <c r="L67" s="67">
        <v>7641</v>
      </c>
      <c r="M67" s="67">
        <v>2057</v>
      </c>
      <c r="N67" s="67">
        <v>1943</v>
      </c>
      <c r="O67" s="67">
        <v>1029</v>
      </c>
      <c r="P67" s="67">
        <v>153</v>
      </c>
      <c r="Q67" s="68">
        <f>SUM(F67+I67+J67+K67+L67+M67+N67+O67+P67)</f>
        <v>144061</v>
      </c>
    </row>
    <row r="68" spans="1:17" ht="20.25">
      <c r="A68" s="91">
        <v>2</v>
      </c>
      <c r="B68" s="92" t="s">
        <v>11</v>
      </c>
      <c r="C68" s="93" t="s">
        <v>79</v>
      </c>
      <c r="D68" s="69">
        <v>178</v>
      </c>
      <c r="E68" s="96">
        <v>178</v>
      </c>
      <c r="F68" s="69">
        <v>0</v>
      </c>
      <c r="G68" s="69">
        <v>32040</v>
      </c>
      <c r="H68" s="69">
        <v>0</v>
      </c>
      <c r="I68" s="68">
        <f>SUM(G68:H68)</f>
        <v>32040</v>
      </c>
      <c r="J68" s="7">
        <v>0</v>
      </c>
      <c r="K68" s="69">
        <v>0</v>
      </c>
      <c r="L68" s="69">
        <v>0</v>
      </c>
      <c r="M68" s="69">
        <v>0</v>
      </c>
      <c r="N68" s="69">
        <v>0</v>
      </c>
      <c r="O68" s="69">
        <v>0</v>
      </c>
      <c r="P68" s="69"/>
      <c r="Q68" s="68">
        <f>SUM(F68+I68+J68+K68+L68+M68+N68+O68+P68)</f>
        <v>32040</v>
      </c>
    </row>
    <row r="69" spans="1:17" ht="18.75" thickBot="1">
      <c r="A69" s="94" t="s">
        <v>61</v>
      </c>
      <c r="B69" s="94" t="s">
        <v>61</v>
      </c>
      <c r="C69" s="95" t="s">
        <v>6</v>
      </c>
      <c r="D69" s="70">
        <f t="shared" ref="D69:Q69" si="6">SUM(D67:D68)</f>
        <v>305</v>
      </c>
      <c r="E69" s="70">
        <f t="shared" si="6"/>
        <v>305</v>
      </c>
      <c r="F69" s="70">
        <f t="shared" si="6"/>
        <v>0</v>
      </c>
      <c r="G69" s="70">
        <f t="shared" si="6"/>
        <v>108450</v>
      </c>
      <c r="H69" s="70">
        <f t="shared" si="6"/>
        <v>0</v>
      </c>
      <c r="I69" s="70">
        <f t="shared" si="6"/>
        <v>108450</v>
      </c>
      <c r="J69" s="70">
        <f t="shared" si="6"/>
        <v>53487</v>
      </c>
      <c r="K69" s="70">
        <f t="shared" si="6"/>
        <v>1341</v>
      </c>
      <c r="L69" s="70">
        <f t="shared" si="6"/>
        <v>7641</v>
      </c>
      <c r="M69" s="70">
        <f t="shared" si="6"/>
        <v>2057</v>
      </c>
      <c r="N69" s="70">
        <f t="shared" si="6"/>
        <v>1943</v>
      </c>
      <c r="O69" s="70">
        <f t="shared" si="6"/>
        <v>1029</v>
      </c>
      <c r="P69" s="70">
        <f t="shared" si="6"/>
        <v>153</v>
      </c>
      <c r="Q69" s="70">
        <f t="shared" si="6"/>
        <v>176101</v>
      </c>
    </row>
    <row r="70" spans="1:17" ht="18.75" thickTop="1">
      <c r="A70" s="71"/>
      <c r="B70" s="72"/>
      <c r="C70" s="73"/>
      <c r="D70" s="74"/>
      <c r="E70" s="74"/>
      <c r="F70" s="74"/>
      <c r="G70" s="74"/>
      <c r="H70" s="74"/>
      <c r="I70" s="74"/>
      <c r="J70" s="74"/>
      <c r="K70" s="74"/>
      <c r="L70" s="74"/>
      <c r="M70" s="74"/>
      <c r="N70" s="74"/>
      <c r="O70" s="74"/>
      <c r="P70" s="74"/>
      <c r="Q70" s="74"/>
    </row>
    <row r="71" spans="1:17">
      <c r="A71" s="307" t="s">
        <v>125</v>
      </c>
      <c r="B71" s="308"/>
      <c r="C71" s="308"/>
      <c r="D71" s="308"/>
      <c r="E71" s="308"/>
      <c r="F71" s="308"/>
      <c r="G71" s="308"/>
      <c r="H71" s="308"/>
      <c r="I71" s="308"/>
      <c r="J71" s="308"/>
      <c r="K71" s="308"/>
      <c r="L71" s="308"/>
      <c r="M71" s="308"/>
      <c r="N71" s="308"/>
      <c r="O71" s="308"/>
      <c r="P71" s="308"/>
      <c r="Q71" s="308"/>
    </row>
    <row r="72" spans="1:17">
      <c r="A72" s="309" t="s">
        <v>31</v>
      </c>
      <c r="B72" s="310"/>
      <c r="C72" s="310"/>
      <c r="D72" s="310"/>
      <c r="E72" s="310"/>
      <c r="F72" s="310"/>
      <c r="G72" s="310"/>
      <c r="H72" s="310"/>
      <c r="I72" s="310"/>
      <c r="J72" s="310"/>
      <c r="K72" s="310"/>
      <c r="L72" s="310"/>
      <c r="M72" s="310"/>
      <c r="N72" s="310"/>
      <c r="O72" s="310"/>
      <c r="P72" s="310"/>
      <c r="Q72" s="310"/>
    </row>
    <row r="73" spans="1:17" ht="23.25">
      <c r="A73" s="88" t="s">
        <v>66</v>
      </c>
      <c r="B73" s="89"/>
      <c r="C73" s="89"/>
      <c r="D73" s="79"/>
      <c r="E73" s="79"/>
      <c r="F73" s="79"/>
      <c r="G73" s="79"/>
      <c r="H73" s="79"/>
      <c r="I73" s="79"/>
      <c r="J73" s="79"/>
      <c r="K73" s="79"/>
      <c r="L73" s="79"/>
      <c r="M73" s="79"/>
      <c r="N73" s="79"/>
      <c r="O73" s="311" t="s">
        <v>1</v>
      </c>
      <c r="P73" s="312"/>
      <c r="Q73" s="312"/>
    </row>
    <row r="74" spans="1:17" ht="29.25" customHeight="1">
      <c r="A74" s="302" t="s">
        <v>42</v>
      </c>
      <c r="B74" s="302" t="s">
        <v>8</v>
      </c>
      <c r="C74" s="305" t="s">
        <v>70</v>
      </c>
      <c r="D74" s="90" t="s">
        <v>32</v>
      </c>
      <c r="E74" s="90" t="s">
        <v>32</v>
      </c>
      <c r="F74" s="296" t="s">
        <v>15</v>
      </c>
      <c r="G74" s="296" t="s">
        <v>71</v>
      </c>
      <c r="H74" s="296" t="s">
        <v>72</v>
      </c>
      <c r="I74" s="296" t="s">
        <v>6</v>
      </c>
      <c r="J74" s="296" t="s">
        <v>118</v>
      </c>
      <c r="K74" s="296" t="s">
        <v>73</v>
      </c>
      <c r="L74" s="296" t="s">
        <v>74</v>
      </c>
      <c r="M74" s="296" t="s">
        <v>85</v>
      </c>
      <c r="N74" s="296" t="s">
        <v>75</v>
      </c>
      <c r="O74" s="296" t="s">
        <v>76</v>
      </c>
      <c r="P74" s="296" t="s">
        <v>77</v>
      </c>
      <c r="Q74" s="296" t="s">
        <v>6</v>
      </c>
    </row>
    <row r="75" spans="1:17" ht="30.75" customHeight="1">
      <c r="A75" s="303"/>
      <c r="B75" s="303"/>
      <c r="C75" s="306"/>
      <c r="D75" s="226" t="s">
        <v>108</v>
      </c>
      <c r="E75" s="226" t="s">
        <v>114</v>
      </c>
      <c r="F75" s="301"/>
      <c r="G75" s="301"/>
      <c r="H75" s="301"/>
      <c r="I75" s="301"/>
      <c r="J75" s="301"/>
      <c r="K75" s="297"/>
      <c r="L75" s="297"/>
      <c r="M75" s="297"/>
      <c r="N75" s="297"/>
      <c r="O75" s="297"/>
      <c r="P75" s="297"/>
      <c r="Q75" s="297"/>
    </row>
    <row r="76" spans="1:17">
      <c r="A76" s="304"/>
      <c r="B76" s="304"/>
      <c r="C76" s="298" t="s">
        <v>35</v>
      </c>
      <c r="D76" s="299"/>
      <c r="E76" s="299"/>
      <c r="F76" s="299"/>
      <c r="G76" s="299"/>
      <c r="H76" s="299"/>
      <c r="I76" s="299"/>
      <c r="J76" s="299"/>
      <c r="K76" s="299"/>
      <c r="L76" s="299"/>
      <c r="M76" s="299"/>
      <c r="N76" s="299"/>
      <c r="O76" s="299"/>
      <c r="P76" s="299"/>
      <c r="Q76" s="300"/>
    </row>
    <row r="77" spans="1:17" ht="20.25">
      <c r="A77" s="91">
        <v>1</v>
      </c>
      <c r="B77" s="92" t="s">
        <v>10</v>
      </c>
      <c r="C77" s="93" t="s">
        <v>78</v>
      </c>
      <c r="D77" s="75">
        <v>141</v>
      </c>
      <c r="E77" s="75">
        <v>141</v>
      </c>
      <c r="F77" s="67">
        <v>0</v>
      </c>
      <c r="G77" s="67">
        <v>92831</v>
      </c>
      <c r="H77" s="67">
        <v>0</v>
      </c>
      <c r="I77" s="68">
        <f>SUM(G77:H77)</f>
        <v>92831</v>
      </c>
      <c r="J77" s="200">
        <f>ROUND(I77*0.7,0)</f>
        <v>64982</v>
      </c>
      <c r="K77" s="67">
        <v>1489</v>
      </c>
      <c r="L77" s="67">
        <v>9283</v>
      </c>
      <c r="M77" s="67">
        <v>2284</v>
      </c>
      <c r="N77" s="67">
        <v>2157</v>
      </c>
      <c r="O77" s="67">
        <v>1058</v>
      </c>
      <c r="P77" s="67">
        <v>169</v>
      </c>
      <c r="Q77" s="76">
        <f>SUM(F77+I77+J77+K77+L77+M77+N77+O77+P77)</f>
        <v>174253</v>
      </c>
    </row>
    <row r="78" spans="1:17" ht="20.25">
      <c r="A78" s="91">
        <v>2</v>
      </c>
      <c r="B78" s="92" t="s">
        <v>11</v>
      </c>
      <c r="C78" s="93" t="s">
        <v>79</v>
      </c>
      <c r="D78" s="77">
        <v>0</v>
      </c>
      <c r="E78" s="77">
        <v>0</v>
      </c>
      <c r="F78" s="69">
        <v>0</v>
      </c>
      <c r="G78" s="69">
        <v>0</v>
      </c>
      <c r="H78" s="69">
        <v>0</v>
      </c>
      <c r="I78" s="68">
        <f>SUM(G78:H78)</f>
        <v>0</v>
      </c>
      <c r="J78" s="7">
        <v>0</v>
      </c>
      <c r="K78" s="69">
        <v>0</v>
      </c>
      <c r="L78" s="69">
        <v>0</v>
      </c>
      <c r="M78" s="69">
        <v>0</v>
      </c>
      <c r="N78" s="69">
        <v>0</v>
      </c>
      <c r="O78" s="69">
        <v>0</v>
      </c>
      <c r="P78" s="69">
        <v>0</v>
      </c>
      <c r="Q78" s="76">
        <f>SUM(F78+I78+J78+K78+L78+M78+N78+O78+P78)</f>
        <v>0</v>
      </c>
    </row>
    <row r="79" spans="1:17" ht="18.75" thickBot="1">
      <c r="A79" s="94" t="s">
        <v>61</v>
      </c>
      <c r="B79" s="94" t="s">
        <v>61</v>
      </c>
      <c r="C79" s="95" t="s">
        <v>6</v>
      </c>
      <c r="D79" s="78">
        <f t="shared" ref="D79:Q79" si="7">SUM(D77:D78)</f>
        <v>141</v>
      </c>
      <c r="E79" s="78">
        <f t="shared" si="7"/>
        <v>141</v>
      </c>
      <c r="F79" s="78">
        <f t="shared" si="7"/>
        <v>0</v>
      </c>
      <c r="G79" s="78">
        <f t="shared" si="7"/>
        <v>92831</v>
      </c>
      <c r="H79" s="78">
        <f t="shared" si="7"/>
        <v>0</v>
      </c>
      <c r="I79" s="78">
        <f t="shared" si="7"/>
        <v>92831</v>
      </c>
      <c r="J79" s="78">
        <f t="shared" si="7"/>
        <v>64982</v>
      </c>
      <c r="K79" s="78">
        <f t="shared" si="7"/>
        <v>1489</v>
      </c>
      <c r="L79" s="78">
        <f t="shared" si="7"/>
        <v>9283</v>
      </c>
      <c r="M79" s="78">
        <f t="shared" si="7"/>
        <v>2284</v>
      </c>
      <c r="N79" s="78">
        <f t="shared" si="7"/>
        <v>2157</v>
      </c>
      <c r="O79" s="78">
        <f t="shared" si="7"/>
        <v>1058</v>
      </c>
      <c r="P79" s="78">
        <f t="shared" si="7"/>
        <v>169</v>
      </c>
      <c r="Q79" s="78">
        <f t="shared" si="7"/>
        <v>174253</v>
      </c>
    </row>
    <row r="80" spans="1:17" ht="18.75" thickTop="1">
      <c r="A80" s="80"/>
      <c r="B80" s="81"/>
      <c r="C80" s="71"/>
      <c r="D80" s="97"/>
      <c r="E80" s="97"/>
      <c r="F80" s="97"/>
      <c r="G80" s="97"/>
      <c r="H80" s="97"/>
      <c r="I80" s="97"/>
      <c r="J80" s="97"/>
      <c r="K80" s="97"/>
      <c r="L80" s="97"/>
      <c r="M80" s="97"/>
      <c r="N80" s="97"/>
      <c r="O80" s="97"/>
      <c r="P80" s="97"/>
      <c r="Q80" s="97"/>
    </row>
    <row r="81" spans="1:18">
      <c r="A81" s="307" t="s">
        <v>125</v>
      </c>
      <c r="B81" s="308"/>
      <c r="C81" s="308"/>
      <c r="D81" s="308"/>
      <c r="E81" s="308"/>
      <c r="F81" s="308"/>
      <c r="G81" s="308"/>
      <c r="H81" s="308"/>
      <c r="I81" s="308"/>
      <c r="J81" s="308"/>
      <c r="K81" s="308"/>
      <c r="L81" s="308"/>
      <c r="M81" s="308"/>
      <c r="N81" s="308"/>
      <c r="O81" s="308"/>
      <c r="P81" s="308"/>
      <c r="Q81" s="308"/>
    </row>
    <row r="82" spans="1:18">
      <c r="A82" s="309" t="s">
        <v>31</v>
      </c>
      <c r="B82" s="310"/>
      <c r="C82" s="310"/>
      <c r="D82" s="310"/>
      <c r="E82" s="310"/>
      <c r="F82" s="310"/>
      <c r="G82" s="310"/>
      <c r="H82" s="310"/>
      <c r="I82" s="310"/>
      <c r="J82" s="310"/>
      <c r="K82" s="310"/>
      <c r="L82" s="310"/>
      <c r="M82" s="310"/>
      <c r="N82" s="310"/>
      <c r="O82" s="310"/>
      <c r="P82" s="310"/>
      <c r="Q82" s="310"/>
    </row>
    <row r="83" spans="1:18" ht="23.25">
      <c r="A83" s="88" t="s">
        <v>65</v>
      </c>
      <c r="B83" s="89"/>
      <c r="C83" s="89"/>
      <c r="D83" s="79"/>
      <c r="E83" s="79"/>
      <c r="F83" s="79"/>
      <c r="G83" s="79"/>
      <c r="H83" s="79"/>
      <c r="I83" s="79"/>
      <c r="J83" s="79"/>
      <c r="K83" s="79"/>
      <c r="L83" s="79"/>
      <c r="M83" s="79"/>
      <c r="N83" s="79"/>
      <c r="O83" s="311" t="s">
        <v>1</v>
      </c>
      <c r="P83" s="312"/>
      <c r="Q83" s="312"/>
    </row>
    <row r="84" spans="1:18" ht="27" customHeight="1">
      <c r="A84" s="302" t="s">
        <v>42</v>
      </c>
      <c r="B84" s="302" t="s">
        <v>8</v>
      </c>
      <c r="C84" s="305" t="s">
        <v>70</v>
      </c>
      <c r="D84" s="90" t="s">
        <v>32</v>
      </c>
      <c r="E84" s="90" t="s">
        <v>32</v>
      </c>
      <c r="F84" s="296" t="s">
        <v>15</v>
      </c>
      <c r="G84" s="296" t="s">
        <v>71</v>
      </c>
      <c r="H84" s="296" t="s">
        <v>72</v>
      </c>
      <c r="I84" s="296" t="s">
        <v>6</v>
      </c>
      <c r="J84" s="296" t="s">
        <v>118</v>
      </c>
      <c r="K84" s="296" t="s">
        <v>73</v>
      </c>
      <c r="L84" s="296" t="s">
        <v>74</v>
      </c>
      <c r="M84" s="296" t="s">
        <v>85</v>
      </c>
      <c r="N84" s="296" t="s">
        <v>75</v>
      </c>
      <c r="O84" s="296" t="s">
        <v>76</v>
      </c>
      <c r="P84" s="296" t="s">
        <v>77</v>
      </c>
      <c r="Q84" s="296" t="s">
        <v>6</v>
      </c>
    </row>
    <row r="85" spans="1:18" ht="29.25" customHeight="1">
      <c r="A85" s="303"/>
      <c r="B85" s="303"/>
      <c r="C85" s="306"/>
      <c r="D85" s="226" t="s">
        <v>108</v>
      </c>
      <c r="E85" s="226" t="s">
        <v>114</v>
      </c>
      <c r="F85" s="301"/>
      <c r="G85" s="301"/>
      <c r="H85" s="301"/>
      <c r="I85" s="301"/>
      <c r="J85" s="301"/>
      <c r="K85" s="297"/>
      <c r="L85" s="297"/>
      <c r="M85" s="297"/>
      <c r="N85" s="297"/>
      <c r="O85" s="297"/>
      <c r="P85" s="297"/>
      <c r="Q85" s="297"/>
    </row>
    <row r="86" spans="1:18">
      <c r="A86" s="304"/>
      <c r="B86" s="304"/>
      <c r="C86" s="298" t="s">
        <v>34</v>
      </c>
      <c r="D86" s="299"/>
      <c r="E86" s="299"/>
      <c r="F86" s="299"/>
      <c r="G86" s="299"/>
      <c r="H86" s="299"/>
      <c r="I86" s="299"/>
      <c r="J86" s="299"/>
      <c r="K86" s="299"/>
      <c r="L86" s="299"/>
      <c r="M86" s="299"/>
      <c r="N86" s="299"/>
      <c r="O86" s="299"/>
      <c r="P86" s="299"/>
      <c r="Q86" s="300"/>
    </row>
    <row r="87" spans="1:18" ht="20.25">
      <c r="A87" s="91">
        <v>1</v>
      </c>
      <c r="B87" s="92" t="s">
        <v>10</v>
      </c>
      <c r="C87" s="93" t="s">
        <v>78</v>
      </c>
      <c r="D87" s="76">
        <v>259</v>
      </c>
      <c r="E87" s="76">
        <v>259</v>
      </c>
      <c r="F87" s="67">
        <v>0</v>
      </c>
      <c r="G87" s="67">
        <v>102286</v>
      </c>
      <c r="H87" s="67">
        <v>0</v>
      </c>
      <c r="I87" s="68">
        <f>SUM(G87:H87)</f>
        <v>102286</v>
      </c>
      <c r="J87" s="200">
        <f>ROUND(I87*0.7,0)</f>
        <v>71600</v>
      </c>
      <c r="K87" s="67">
        <v>289</v>
      </c>
      <c r="L87" s="67">
        <v>13500</v>
      </c>
      <c r="M87" s="67">
        <v>3963</v>
      </c>
      <c r="N87" s="67">
        <v>0</v>
      </c>
      <c r="O87" s="67">
        <v>0</v>
      </c>
      <c r="P87" s="67">
        <v>4779</v>
      </c>
      <c r="Q87" s="68">
        <f>SUM(F87+I87+J87+K87+L87+M87+N87+O87+P87)</f>
        <v>196417</v>
      </c>
      <c r="R87" s="66" t="s">
        <v>121</v>
      </c>
    </row>
    <row r="88" spans="1:18" ht="20.25">
      <c r="A88" s="91">
        <v>2</v>
      </c>
      <c r="B88" s="92" t="s">
        <v>11</v>
      </c>
      <c r="C88" s="93" t="s">
        <v>79</v>
      </c>
      <c r="D88" s="96">
        <v>351</v>
      </c>
      <c r="E88" s="96">
        <v>351</v>
      </c>
      <c r="F88" s="69">
        <v>0</v>
      </c>
      <c r="G88" s="69">
        <v>63180</v>
      </c>
      <c r="H88" s="69">
        <v>0</v>
      </c>
      <c r="I88" s="68">
        <f>SUM(G88:H88)</f>
        <v>63180</v>
      </c>
      <c r="J88" s="7">
        <v>0</v>
      </c>
      <c r="K88" s="69">
        <v>0</v>
      </c>
      <c r="L88" s="69">
        <v>0</v>
      </c>
      <c r="M88" s="69">
        <v>0</v>
      </c>
      <c r="N88" s="69">
        <v>0</v>
      </c>
      <c r="O88" s="69">
        <v>0</v>
      </c>
      <c r="P88" s="69">
        <v>43</v>
      </c>
      <c r="Q88" s="68">
        <f>SUM(F88+I88+J88+K88+L88+M88+N88+O88+P88)</f>
        <v>63223</v>
      </c>
    </row>
    <row r="89" spans="1:18" ht="18.75" thickBot="1">
      <c r="A89" s="94" t="s">
        <v>61</v>
      </c>
      <c r="B89" s="94" t="s">
        <v>61</v>
      </c>
      <c r="C89" s="95" t="s">
        <v>6</v>
      </c>
      <c r="D89" s="70">
        <f t="shared" ref="D89:Q89" si="8">SUM(D87:D88)</f>
        <v>610</v>
      </c>
      <c r="E89" s="70">
        <f t="shared" si="8"/>
        <v>610</v>
      </c>
      <c r="F89" s="70">
        <f t="shared" si="8"/>
        <v>0</v>
      </c>
      <c r="G89" s="70">
        <f t="shared" si="8"/>
        <v>165466</v>
      </c>
      <c r="H89" s="70">
        <f t="shared" si="8"/>
        <v>0</v>
      </c>
      <c r="I89" s="70">
        <f t="shared" si="8"/>
        <v>165466</v>
      </c>
      <c r="J89" s="70">
        <f t="shared" si="8"/>
        <v>71600</v>
      </c>
      <c r="K89" s="70">
        <f t="shared" si="8"/>
        <v>289</v>
      </c>
      <c r="L89" s="70">
        <f t="shared" si="8"/>
        <v>13500</v>
      </c>
      <c r="M89" s="70">
        <f t="shared" si="8"/>
        <v>3963</v>
      </c>
      <c r="N89" s="70">
        <f t="shared" si="8"/>
        <v>0</v>
      </c>
      <c r="O89" s="70">
        <f t="shared" si="8"/>
        <v>0</v>
      </c>
      <c r="P89" s="70">
        <f t="shared" si="8"/>
        <v>4822</v>
      </c>
      <c r="Q89" s="70">
        <f t="shared" si="8"/>
        <v>259640</v>
      </c>
    </row>
    <row r="90" spans="1:18" ht="18.75" thickTop="1">
      <c r="A90" s="71"/>
      <c r="B90" s="72"/>
      <c r="C90" s="73"/>
      <c r="D90" s="74"/>
      <c r="E90" s="74"/>
      <c r="F90" s="74"/>
      <c r="G90" s="74"/>
      <c r="H90" s="74"/>
      <c r="I90" s="74"/>
      <c r="J90" s="74"/>
      <c r="K90" s="74"/>
      <c r="L90" s="74"/>
      <c r="M90" s="74"/>
      <c r="N90" s="74"/>
      <c r="O90" s="74"/>
      <c r="P90" s="74"/>
      <c r="Q90" s="74"/>
    </row>
    <row r="91" spans="1:18">
      <c r="A91" s="307" t="s">
        <v>125</v>
      </c>
      <c r="B91" s="308"/>
      <c r="C91" s="308"/>
      <c r="D91" s="308"/>
      <c r="E91" s="308"/>
      <c r="F91" s="308"/>
      <c r="G91" s="308"/>
      <c r="H91" s="308"/>
      <c r="I91" s="308"/>
      <c r="J91" s="308"/>
      <c r="K91" s="308"/>
      <c r="L91" s="308"/>
      <c r="M91" s="308"/>
      <c r="N91" s="308"/>
      <c r="O91" s="308"/>
      <c r="P91" s="308"/>
      <c r="Q91" s="308"/>
    </row>
    <row r="92" spans="1:18">
      <c r="A92" s="309" t="s">
        <v>31</v>
      </c>
      <c r="B92" s="310"/>
      <c r="C92" s="310"/>
      <c r="D92" s="310"/>
      <c r="E92" s="310"/>
      <c r="F92" s="310"/>
      <c r="G92" s="310"/>
      <c r="H92" s="310"/>
      <c r="I92" s="310"/>
      <c r="J92" s="310"/>
      <c r="K92" s="310"/>
      <c r="L92" s="310"/>
      <c r="M92" s="310"/>
      <c r="N92" s="310"/>
      <c r="O92" s="310"/>
      <c r="P92" s="310"/>
      <c r="Q92" s="310"/>
    </row>
    <row r="93" spans="1:18" ht="23.25">
      <c r="A93" s="88" t="s">
        <v>65</v>
      </c>
      <c r="B93" s="89"/>
      <c r="C93" s="89"/>
      <c r="D93" s="79"/>
      <c r="E93" s="79"/>
      <c r="F93" s="79"/>
      <c r="G93" s="79"/>
      <c r="H93" s="79"/>
      <c r="I93" s="79"/>
      <c r="J93" s="79"/>
      <c r="K93" s="79"/>
      <c r="L93" s="79"/>
      <c r="M93" s="79"/>
      <c r="N93" s="79"/>
      <c r="O93" s="311" t="s">
        <v>1</v>
      </c>
      <c r="P93" s="312"/>
      <c r="Q93" s="312"/>
    </row>
    <row r="94" spans="1:18" ht="29.25" customHeight="1">
      <c r="A94" s="302" t="s">
        <v>42</v>
      </c>
      <c r="B94" s="302" t="s">
        <v>8</v>
      </c>
      <c r="C94" s="305" t="s">
        <v>70</v>
      </c>
      <c r="D94" s="90" t="s">
        <v>32</v>
      </c>
      <c r="E94" s="90" t="s">
        <v>32</v>
      </c>
      <c r="F94" s="296" t="s">
        <v>15</v>
      </c>
      <c r="G94" s="296" t="s">
        <v>71</v>
      </c>
      <c r="H94" s="296" t="s">
        <v>72</v>
      </c>
      <c r="I94" s="296" t="s">
        <v>6</v>
      </c>
      <c r="J94" s="296" t="s">
        <v>118</v>
      </c>
      <c r="K94" s="296" t="s">
        <v>73</v>
      </c>
      <c r="L94" s="296" t="s">
        <v>74</v>
      </c>
      <c r="M94" s="296" t="s">
        <v>85</v>
      </c>
      <c r="N94" s="296" t="s">
        <v>75</v>
      </c>
      <c r="O94" s="296" t="s">
        <v>76</v>
      </c>
      <c r="P94" s="296" t="s">
        <v>77</v>
      </c>
      <c r="Q94" s="296" t="s">
        <v>6</v>
      </c>
    </row>
    <row r="95" spans="1:18" ht="29.25" customHeight="1">
      <c r="A95" s="303"/>
      <c r="B95" s="303"/>
      <c r="C95" s="306"/>
      <c r="D95" s="226" t="s">
        <v>108</v>
      </c>
      <c r="E95" s="226" t="s">
        <v>114</v>
      </c>
      <c r="F95" s="301"/>
      <c r="G95" s="301"/>
      <c r="H95" s="301"/>
      <c r="I95" s="301"/>
      <c r="J95" s="301"/>
      <c r="K95" s="297"/>
      <c r="L95" s="297"/>
      <c r="M95" s="297"/>
      <c r="N95" s="297"/>
      <c r="O95" s="297"/>
      <c r="P95" s="297"/>
      <c r="Q95" s="297"/>
    </row>
    <row r="96" spans="1:18">
      <c r="A96" s="304"/>
      <c r="B96" s="304"/>
      <c r="C96" s="298" t="s">
        <v>35</v>
      </c>
      <c r="D96" s="299"/>
      <c r="E96" s="299"/>
      <c r="F96" s="299"/>
      <c r="G96" s="299"/>
      <c r="H96" s="299"/>
      <c r="I96" s="299"/>
      <c r="J96" s="299"/>
      <c r="K96" s="299"/>
      <c r="L96" s="299"/>
      <c r="M96" s="299"/>
      <c r="N96" s="299"/>
      <c r="O96" s="299"/>
      <c r="P96" s="299"/>
      <c r="Q96" s="300"/>
    </row>
    <row r="97" spans="1:17" ht="20.25">
      <c r="A97" s="91">
        <v>1</v>
      </c>
      <c r="B97" s="92" t="s">
        <v>10</v>
      </c>
      <c r="C97" s="93" t="s">
        <v>78</v>
      </c>
      <c r="D97" s="75">
        <v>249</v>
      </c>
      <c r="E97" s="75">
        <v>249</v>
      </c>
      <c r="F97" s="67">
        <v>0</v>
      </c>
      <c r="G97" s="67">
        <v>91776</v>
      </c>
      <c r="H97" s="67">
        <v>0</v>
      </c>
      <c r="I97" s="68">
        <f>SUM(G97:H97)</f>
        <v>91776</v>
      </c>
      <c r="J97" s="200">
        <f>ROUND(I97*0.7,0)</f>
        <v>64243</v>
      </c>
      <c r="K97" s="67">
        <v>275</v>
      </c>
      <c r="L97" s="67">
        <v>12384</v>
      </c>
      <c r="M97" s="67">
        <v>3657</v>
      </c>
      <c r="N97" s="67">
        <v>0</v>
      </c>
      <c r="O97" s="67">
        <v>0</v>
      </c>
      <c r="P97" s="67">
        <v>4244</v>
      </c>
      <c r="Q97" s="76">
        <f>SUM(F97+I97+J97+K97+L97+M97+N97+O97+P97)</f>
        <v>176579</v>
      </c>
    </row>
    <row r="98" spans="1:17" ht="20.25">
      <c r="A98" s="91">
        <v>2</v>
      </c>
      <c r="B98" s="92" t="s">
        <v>11</v>
      </c>
      <c r="C98" s="93" t="s">
        <v>79</v>
      </c>
      <c r="D98" s="77">
        <v>0</v>
      </c>
      <c r="E98" s="77">
        <v>0</v>
      </c>
      <c r="F98" s="69">
        <v>0</v>
      </c>
      <c r="G98" s="69">
        <v>0</v>
      </c>
      <c r="H98" s="69">
        <v>0</v>
      </c>
      <c r="I98" s="68">
        <f>SUM(G98:H98)</f>
        <v>0</v>
      </c>
      <c r="J98" s="7">
        <v>0</v>
      </c>
      <c r="K98" s="69">
        <v>0</v>
      </c>
      <c r="L98" s="69">
        <v>0</v>
      </c>
      <c r="M98" s="69">
        <v>0</v>
      </c>
      <c r="N98" s="69">
        <v>0</v>
      </c>
      <c r="O98" s="69">
        <v>0</v>
      </c>
      <c r="P98" s="69">
        <v>0</v>
      </c>
      <c r="Q98" s="76">
        <f>SUM(F98+I98+J98+K98+L98+M98+N98+O98+P98)</f>
        <v>0</v>
      </c>
    </row>
    <row r="99" spans="1:17" ht="18.75" thickBot="1">
      <c r="A99" s="94" t="s">
        <v>61</v>
      </c>
      <c r="B99" s="94" t="s">
        <v>61</v>
      </c>
      <c r="C99" s="95" t="s">
        <v>6</v>
      </c>
      <c r="D99" s="78">
        <f t="shared" ref="D99:Q99" si="9">SUM(D97:D98)</f>
        <v>249</v>
      </c>
      <c r="E99" s="78">
        <f t="shared" si="9"/>
        <v>249</v>
      </c>
      <c r="F99" s="78">
        <f t="shared" si="9"/>
        <v>0</v>
      </c>
      <c r="G99" s="78">
        <f t="shared" si="9"/>
        <v>91776</v>
      </c>
      <c r="H99" s="78">
        <f t="shared" si="9"/>
        <v>0</v>
      </c>
      <c r="I99" s="78">
        <f t="shared" si="9"/>
        <v>91776</v>
      </c>
      <c r="J99" s="78">
        <f t="shared" si="9"/>
        <v>64243</v>
      </c>
      <c r="K99" s="78">
        <f t="shared" si="9"/>
        <v>275</v>
      </c>
      <c r="L99" s="78">
        <f t="shared" si="9"/>
        <v>12384</v>
      </c>
      <c r="M99" s="78">
        <f t="shared" si="9"/>
        <v>3657</v>
      </c>
      <c r="N99" s="78">
        <f t="shared" si="9"/>
        <v>0</v>
      </c>
      <c r="O99" s="78">
        <f t="shared" si="9"/>
        <v>0</v>
      </c>
      <c r="P99" s="78">
        <f t="shared" si="9"/>
        <v>4244</v>
      </c>
      <c r="Q99" s="78">
        <f t="shared" si="9"/>
        <v>176579</v>
      </c>
    </row>
    <row r="100" spans="1:17" ht="18.75" thickTop="1">
      <c r="C100" s="84"/>
    </row>
    <row r="101" spans="1:17">
      <c r="A101" s="307" t="s">
        <v>125</v>
      </c>
      <c r="B101" s="308"/>
      <c r="C101" s="308"/>
      <c r="D101" s="308"/>
      <c r="E101" s="308"/>
      <c r="F101" s="308"/>
      <c r="G101" s="308"/>
      <c r="H101" s="308"/>
      <c r="I101" s="308"/>
      <c r="J101" s="308"/>
      <c r="K101" s="308"/>
      <c r="L101" s="308"/>
      <c r="M101" s="308"/>
      <c r="N101" s="308"/>
      <c r="O101" s="308"/>
      <c r="P101" s="308"/>
      <c r="Q101" s="308"/>
    </row>
    <row r="102" spans="1:17">
      <c r="A102" s="309" t="s">
        <v>31</v>
      </c>
      <c r="B102" s="310"/>
      <c r="C102" s="310"/>
      <c r="D102" s="310"/>
      <c r="E102" s="310"/>
      <c r="F102" s="310"/>
      <c r="G102" s="310"/>
      <c r="H102" s="310"/>
      <c r="I102" s="310"/>
      <c r="J102" s="310"/>
      <c r="K102" s="310"/>
      <c r="L102" s="310"/>
      <c r="M102" s="310"/>
      <c r="N102" s="310"/>
      <c r="O102" s="310"/>
      <c r="P102" s="310"/>
      <c r="Q102" s="310"/>
    </row>
    <row r="103" spans="1:17" ht="23.25">
      <c r="A103" s="88" t="s">
        <v>64</v>
      </c>
      <c r="B103" s="89"/>
      <c r="C103" s="89"/>
      <c r="D103" s="79"/>
      <c r="E103" s="79"/>
      <c r="F103" s="79"/>
      <c r="G103" s="79"/>
      <c r="H103" s="79"/>
      <c r="I103" s="79"/>
      <c r="J103" s="79"/>
      <c r="K103" s="79"/>
      <c r="L103" s="79"/>
      <c r="M103" s="79"/>
      <c r="N103" s="79"/>
      <c r="O103" s="311" t="s">
        <v>1</v>
      </c>
      <c r="P103" s="312"/>
      <c r="Q103" s="312"/>
    </row>
    <row r="104" spans="1:17" ht="39" customHeight="1">
      <c r="A104" s="302" t="s">
        <v>42</v>
      </c>
      <c r="B104" s="302" t="s">
        <v>8</v>
      </c>
      <c r="C104" s="305" t="s">
        <v>70</v>
      </c>
      <c r="D104" s="90" t="s">
        <v>32</v>
      </c>
      <c r="E104" s="90" t="s">
        <v>32</v>
      </c>
      <c r="F104" s="296" t="s">
        <v>15</v>
      </c>
      <c r="G104" s="296" t="s">
        <v>71</v>
      </c>
      <c r="H104" s="296" t="s">
        <v>72</v>
      </c>
      <c r="I104" s="296" t="s">
        <v>6</v>
      </c>
      <c r="J104" s="296" t="s">
        <v>118</v>
      </c>
      <c r="K104" s="296" t="s">
        <v>73</v>
      </c>
      <c r="L104" s="296" t="s">
        <v>74</v>
      </c>
      <c r="M104" s="296" t="s">
        <v>85</v>
      </c>
      <c r="N104" s="296" t="s">
        <v>75</v>
      </c>
      <c r="O104" s="296" t="s">
        <v>76</v>
      </c>
      <c r="P104" s="296" t="s">
        <v>77</v>
      </c>
      <c r="Q104" s="296" t="s">
        <v>6</v>
      </c>
    </row>
    <row r="105" spans="1:17" ht="18.75" customHeight="1">
      <c r="A105" s="303"/>
      <c r="B105" s="303"/>
      <c r="C105" s="306"/>
      <c r="D105" s="226" t="s">
        <v>108</v>
      </c>
      <c r="E105" s="226" t="s">
        <v>114</v>
      </c>
      <c r="F105" s="301"/>
      <c r="G105" s="301"/>
      <c r="H105" s="301"/>
      <c r="I105" s="301"/>
      <c r="J105" s="301"/>
      <c r="K105" s="297"/>
      <c r="L105" s="297"/>
      <c r="M105" s="297"/>
      <c r="N105" s="297"/>
      <c r="O105" s="297"/>
      <c r="P105" s="297"/>
      <c r="Q105" s="297"/>
    </row>
    <row r="106" spans="1:17">
      <c r="A106" s="304"/>
      <c r="B106" s="304"/>
      <c r="C106" s="298" t="s">
        <v>34</v>
      </c>
      <c r="D106" s="299"/>
      <c r="E106" s="299"/>
      <c r="F106" s="299"/>
      <c r="G106" s="299"/>
      <c r="H106" s="299"/>
      <c r="I106" s="299"/>
      <c r="J106" s="299"/>
      <c r="K106" s="299"/>
      <c r="L106" s="299"/>
      <c r="M106" s="299"/>
      <c r="N106" s="299"/>
      <c r="O106" s="299"/>
      <c r="P106" s="299"/>
      <c r="Q106" s="300"/>
    </row>
    <row r="107" spans="1:17" ht="20.25">
      <c r="A107" s="91">
        <v>1</v>
      </c>
      <c r="B107" s="92" t="s">
        <v>10</v>
      </c>
      <c r="C107" s="93" t="s">
        <v>78</v>
      </c>
      <c r="D107" s="67">
        <v>307</v>
      </c>
      <c r="E107" s="76">
        <v>307</v>
      </c>
      <c r="F107" s="67">
        <v>0</v>
      </c>
      <c r="G107" s="67">
        <v>144955</v>
      </c>
      <c r="H107" s="67">
        <v>0</v>
      </c>
      <c r="I107" s="68">
        <f>SUM(G107:H107)</f>
        <v>144955</v>
      </c>
      <c r="J107" s="200">
        <f>ROUND(I107*0.7,0)</f>
        <v>101469</v>
      </c>
      <c r="K107" s="67">
        <v>5066</v>
      </c>
      <c r="L107" s="67">
        <v>14496</v>
      </c>
      <c r="M107" s="67">
        <v>4973</v>
      </c>
      <c r="N107" s="67">
        <v>0</v>
      </c>
      <c r="O107" s="67">
        <v>0</v>
      </c>
      <c r="P107" s="67">
        <v>0</v>
      </c>
      <c r="Q107" s="68">
        <f>SUM(F107+I107+J107+K107+L107+M107+N107+O107+P107)</f>
        <v>270959</v>
      </c>
    </row>
    <row r="108" spans="1:17" ht="20.25">
      <c r="A108" s="91">
        <v>2</v>
      </c>
      <c r="B108" s="92" t="s">
        <v>11</v>
      </c>
      <c r="C108" s="93" t="s">
        <v>79</v>
      </c>
      <c r="D108" s="69">
        <v>394</v>
      </c>
      <c r="E108" s="96">
        <v>394</v>
      </c>
      <c r="F108" s="69">
        <v>0</v>
      </c>
      <c r="G108" s="69">
        <v>70920</v>
      </c>
      <c r="H108" s="69">
        <v>0</v>
      </c>
      <c r="I108" s="68">
        <f>SUM(G108:H108)</f>
        <v>70920</v>
      </c>
      <c r="J108" s="7">
        <v>0</v>
      </c>
      <c r="K108" s="69">
        <v>0</v>
      </c>
      <c r="L108" s="69">
        <v>0</v>
      </c>
      <c r="M108" s="69">
        <v>0</v>
      </c>
      <c r="N108" s="69">
        <v>0</v>
      </c>
      <c r="O108" s="69">
        <v>0</v>
      </c>
      <c r="P108" s="69">
        <v>2443</v>
      </c>
      <c r="Q108" s="68">
        <f>SUM(F108+I108+J108+K108+L108+M108+N108+O108+P108)</f>
        <v>73363</v>
      </c>
    </row>
    <row r="109" spans="1:17" ht="18.75" thickBot="1">
      <c r="A109" s="94" t="s">
        <v>61</v>
      </c>
      <c r="B109" s="94" t="s">
        <v>61</v>
      </c>
      <c r="C109" s="95" t="s">
        <v>6</v>
      </c>
      <c r="D109" s="70">
        <f t="shared" ref="D109:Q109" si="10">SUM(D107:D108)</f>
        <v>701</v>
      </c>
      <c r="E109" s="70">
        <f t="shared" si="10"/>
        <v>701</v>
      </c>
      <c r="F109" s="70">
        <f t="shared" si="10"/>
        <v>0</v>
      </c>
      <c r="G109" s="70">
        <f t="shared" si="10"/>
        <v>215875</v>
      </c>
      <c r="H109" s="70">
        <f t="shared" si="10"/>
        <v>0</v>
      </c>
      <c r="I109" s="70">
        <f t="shared" si="10"/>
        <v>215875</v>
      </c>
      <c r="J109" s="70">
        <f t="shared" si="10"/>
        <v>101469</v>
      </c>
      <c r="K109" s="70">
        <f t="shared" si="10"/>
        <v>5066</v>
      </c>
      <c r="L109" s="70">
        <f t="shared" si="10"/>
        <v>14496</v>
      </c>
      <c r="M109" s="70">
        <f t="shared" si="10"/>
        <v>4973</v>
      </c>
      <c r="N109" s="70">
        <f t="shared" si="10"/>
        <v>0</v>
      </c>
      <c r="O109" s="70">
        <f t="shared" si="10"/>
        <v>0</v>
      </c>
      <c r="P109" s="70">
        <f t="shared" si="10"/>
        <v>2443</v>
      </c>
      <c r="Q109" s="70">
        <f t="shared" si="10"/>
        <v>344322</v>
      </c>
    </row>
    <row r="110" spans="1:17" ht="18.75" thickTop="1">
      <c r="A110" s="71"/>
      <c r="B110" s="72"/>
      <c r="C110" s="73"/>
      <c r="D110" s="74"/>
      <c r="E110" s="74"/>
      <c r="F110" s="74"/>
      <c r="G110" s="74"/>
      <c r="H110" s="74"/>
      <c r="I110" s="74"/>
      <c r="J110" s="74"/>
      <c r="K110" s="74"/>
      <c r="L110" s="74"/>
      <c r="M110" s="74"/>
      <c r="N110" s="74"/>
      <c r="O110" s="74"/>
      <c r="P110" s="74"/>
      <c r="Q110" s="74"/>
    </row>
    <row r="111" spans="1:17">
      <c r="A111" s="307" t="s">
        <v>125</v>
      </c>
      <c r="B111" s="308"/>
      <c r="C111" s="308"/>
      <c r="D111" s="308"/>
      <c r="E111" s="308"/>
      <c r="F111" s="308"/>
      <c r="G111" s="308"/>
      <c r="H111" s="308"/>
      <c r="I111" s="308"/>
      <c r="J111" s="308"/>
      <c r="K111" s="308"/>
      <c r="L111" s="308"/>
      <c r="M111" s="308"/>
      <c r="N111" s="308"/>
      <c r="O111" s="308"/>
      <c r="P111" s="308"/>
      <c r="Q111" s="308"/>
    </row>
    <row r="112" spans="1:17">
      <c r="A112" s="309" t="s">
        <v>31</v>
      </c>
      <c r="B112" s="310"/>
      <c r="C112" s="310"/>
      <c r="D112" s="310"/>
      <c r="E112" s="310"/>
      <c r="F112" s="310"/>
      <c r="G112" s="310"/>
      <c r="H112" s="310"/>
      <c r="I112" s="310"/>
      <c r="J112" s="310"/>
      <c r="K112" s="310"/>
      <c r="L112" s="310"/>
      <c r="M112" s="310"/>
      <c r="N112" s="310"/>
      <c r="O112" s="310"/>
      <c r="P112" s="310"/>
      <c r="Q112" s="310"/>
    </row>
    <row r="113" spans="1:17" ht="23.25">
      <c r="A113" s="88" t="s">
        <v>64</v>
      </c>
      <c r="B113" s="89"/>
      <c r="C113" s="89"/>
      <c r="D113" s="79"/>
      <c r="E113" s="79"/>
      <c r="F113" s="79"/>
      <c r="G113" s="79"/>
      <c r="H113" s="79"/>
      <c r="I113" s="79"/>
      <c r="J113" s="79"/>
      <c r="K113" s="79"/>
      <c r="L113" s="79"/>
      <c r="M113" s="79"/>
      <c r="N113" s="79"/>
      <c r="O113" s="311" t="s">
        <v>1</v>
      </c>
      <c r="P113" s="312"/>
      <c r="Q113" s="312"/>
    </row>
    <row r="114" spans="1:17" ht="36.75" customHeight="1">
      <c r="A114" s="302" t="s">
        <v>42</v>
      </c>
      <c r="B114" s="302" t="s">
        <v>8</v>
      </c>
      <c r="C114" s="305" t="s">
        <v>70</v>
      </c>
      <c r="D114" s="90" t="s">
        <v>32</v>
      </c>
      <c r="E114" s="90" t="s">
        <v>32</v>
      </c>
      <c r="F114" s="296" t="s">
        <v>15</v>
      </c>
      <c r="G114" s="296" t="s">
        <v>71</v>
      </c>
      <c r="H114" s="296" t="s">
        <v>72</v>
      </c>
      <c r="I114" s="296" t="s">
        <v>6</v>
      </c>
      <c r="J114" s="296" t="s">
        <v>118</v>
      </c>
      <c r="K114" s="296" t="s">
        <v>73</v>
      </c>
      <c r="L114" s="296" t="s">
        <v>74</v>
      </c>
      <c r="M114" s="296" t="s">
        <v>85</v>
      </c>
      <c r="N114" s="296" t="s">
        <v>75</v>
      </c>
      <c r="O114" s="296" t="s">
        <v>76</v>
      </c>
      <c r="P114" s="296" t="s">
        <v>77</v>
      </c>
      <c r="Q114" s="296" t="s">
        <v>6</v>
      </c>
    </row>
    <row r="115" spans="1:17" ht="23.25" customHeight="1">
      <c r="A115" s="303"/>
      <c r="B115" s="303"/>
      <c r="C115" s="306"/>
      <c r="D115" s="226" t="s">
        <v>108</v>
      </c>
      <c r="E115" s="226" t="s">
        <v>114</v>
      </c>
      <c r="F115" s="301"/>
      <c r="G115" s="301"/>
      <c r="H115" s="301"/>
      <c r="I115" s="301"/>
      <c r="J115" s="301"/>
      <c r="K115" s="297"/>
      <c r="L115" s="297"/>
      <c r="M115" s="297"/>
      <c r="N115" s="297"/>
      <c r="O115" s="297"/>
      <c r="P115" s="297"/>
      <c r="Q115" s="297"/>
    </row>
    <row r="116" spans="1:17">
      <c r="A116" s="304"/>
      <c r="B116" s="304"/>
      <c r="C116" s="298" t="s">
        <v>35</v>
      </c>
      <c r="D116" s="299"/>
      <c r="E116" s="299"/>
      <c r="F116" s="299"/>
      <c r="G116" s="299"/>
      <c r="H116" s="299"/>
      <c r="I116" s="299"/>
      <c r="J116" s="299"/>
      <c r="K116" s="299"/>
      <c r="L116" s="299"/>
      <c r="M116" s="299"/>
      <c r="N116" s="299"/>
      <c r="O116" s="299"/>
      <c r="P116" s="299"/>
      <c r="Q116" s="300"/>
    </row>
    <row r="117" spans="1:17" ht="20.25">
      <c r="A117" s="91">
        <v>1</v>
      </c>
      <c r="B117" s="92" t="s">
        <v>10</v>
      </c>
      <c r="C117" s="93" t="s">
        <v>78</v>
      </c>
      <c r="D117" s="75">
        <v>194</v>
      </c>
      <c r="E117" s="75">
        <v>194</v>
      </c>
      <c r="F117" s="67">
        <v>0</v>
      </c>
      <c r="G117" s="67">
        <v>90812</v>
      </c>
      <c r="H117" s="67">
        <v>0</v>
      </c>
      <c r="I117" s="68">
        <f>SUM(G117:H117)</f>
        <v>90812</v>
      </c>
      <c r="J117" s="200">
        <f>ROUND(I117*0.7,0)</f>
        <v>63568</v>
      </c>
      <c r="K117" s="67">
        <v>3201</v>
      </c>
      <c r="L117" s="67">
        <v>9081</v>
      </c>
      <c r="M117" s="67">
        <v>3143</v>
      </c>
      <c r="N117" s="67">
        <v>0</v>
      </c>
      <c r="O117" s="67">
        <v>0</v>
      </c>
      <c r="P117" s="67">
        <v>0</v>
      </c>
      <c r="Q117" s="76">
        <f>SUM(F117+I117+J117+K117+L117+M117+N117+O117+P117)</f>
        <v>169805</v>
      </c>
    </row>
    <row r="118" spans="1:17" ht="20.25">
      <c r="A118" s="91">
        <v>2</v>
      </c>
      <c r="B118" s="92" t="s">
        <v>11</v>
      </c>
      <c r="C118" s="93" t="s">
        <v>79</v>
      </c>
      <c r="D118" s="77">
        <v>0</v>
      </c>
      <c r="E118" s="77">
        <v>0</v>
      </c>
      <c r="F118" s="69">
        <v>0</v>
      </c>
      <c r="G118" s="69">
        <v>0</v>
      </c>
      <c r="H118" s="69">
        <v>0</v>
      </c>
      <c r="I118" s="68">
        <f>SUM(G118:H118)</f>
        <v>0</v>
      </c>
      <c r="J118" s="7">
        <v>0</v>
      </c>
      <c r="K118" s="69">
        <v>0</v>
      </c>
      <c r="L118" s="69">
        <v>0</v>
      </c>
      <c r="M118" s="69">
        <v>0</v>
      </c>
      <c r="N118" s="69">
        <v>0</v>
      </c>
      <c r="O118" s="69">
        <v>0</v>
      </c>
      <c r="P118" s="69">
        <v>0</v>
      </c>
      <c r="Q118" s="76">
        <f>SUM(F118+I118+J118+K118+L118+M118+N118+O118+P118)</f>
        <v>0</v>
      </c>
    </row>
    <row r="119" spans="1:17" ht="18.75" thickBot="1">
      <c r="A119" s="94" t="s">
        <v>61</v>
      </c>
      <c r="B119" s="94" t="s">
        <v>61</v>
      </c>
      <c r="C119" s="95" t="s">
        <v>6</v>
      </c>
      <c r="D119" s="78">
        <f t="shared" ref="D119:Q119" si="11">SUM(D117:D118)</f>
        <v>194</v>
      </c>
      <c r="E119" s="78">
        <f t="shared" si="11"/>
        <v>194</v>
      </c>
      <c r="F119" s="78">
        <f t="shared" si="11"/>
        <v>0</v>
      </c>
      <c r="G119" s="78">
        <f t="shared" si="11"/>
        <v>90812</v>
      </c>
      <c r="H119" s="78">
        <f t="shared" si="11"/>
        <v>0</v>
      </c>
      <c r="I119" s="78">
        <f t="shared" si="11"/>
        <v>90812</v>
      </c>
      <c r="J119" s="78">
        <f t="shared" si="11"/>
        <v>63568</v>
      </c>
      <c r="K119" s="78">
        <f t="shared" si="11"/>
        <v>3201</v>
      </c>
      <c r="L119" s="78">
        <f t="shared" si="11"/>
        <v>9081</v>
      </c>
      <c r="M119" s="78">
        <f t="shared" si="11"/>
        <v>3143</v>
      </c>
      <c r="N119" s="78">
        <f t="shared" si="11"/>
        <v>0</v>
      </c>
      <c r="O119" s="78">
        <f t="shared" si="11"/>
        <v>0</v>
      </c>
      <c r="P119" s="78">
        <f t="shared" si="11"/>
        <v>0</v>
      </c>
      <c r="Q119" s="78">
        <f t="shared" si="11"/>
        <v>169805</v>
      </c>
    </row>
    <row r="120" spans="1:17" ht="18.75" thickTop="1">
      <c r="C120" s="84"/>
    </row>
    <row r="121" spans="1:17">
      <c r="A121" s="307" t="s">
        <v>125</v>
      </c>
      <c r="B121" s="308"/>
      <c r="C121" s="308"/>
      <c r="D121" s="308"/>
      <c r="E121" s="308"/>
      <c r="F121" s="308"/>
      <c r="G121" s="308"/>
      <c r="H121" s="308"/>
      <c r="I121" s="308"/>
      <c r="J121" s="308"/>
      <c r="K121" s="308"/>
      <c r="L121" s="308"/>
      <c r="M121" s="308"/>
      <c r="N121" s="308"/>
      <c r="O121" s="308"/>
      <c r="P121" s="308"/>
      <c r="Q121" s="308"/>
    </row>
    <row r="122" spans="1:17">
      <c r="A122" s="309" t="s">
        <v>31</v>
      </c>
      <c r="B122" s="310"/>
      <c r="C122" s="310"/>
      <c r="D122" s="310"/>
      <c r="E122" s="310"/>
      <c r="F122" s="310"/>
      <c r="G122" s="310"/>
      <c r="H122" s="310"/>
      <c r="I122" s="310"/>
      <c r="J122" s="310"/>
      <c r="K122" s="310"/>
      <c r="L122" s="310"/>
      <c r="M122" s="310"/>
      <c r="N122" s="310"/>
      <c r="O122" s="310"/>
      <c r="P122" s="310"/>
      <c r="Q122" s="310"/>
    </row>
    <row r="123" spans="1:17" ht="23.25">
      <c r="A123" s="88" t="s">
        <v>63</v>
      </c>
      <c r="B123" s="89"/>
      <c r="C123" s="89"/>
      <c r="D123" s="79"/>
      <c r="E123" s="79"/>
      <c r="F123" s="79"/>
      <c r="G123" s="79"/>
      <c r="H123" s="79"/>
      <c r="I123" s="79"/>
      <c r="J123" s="79"/>
      <c r="K123" s="79"/>
      <c r="L123" s="79"/>
      <c r="M123" s="79"/>
      <c r="N123" s="79"/>
      <c r="O123" s="311" t="s">
        <v>1</v>
      </c>
      <c r="P123" s="312"/>
      <c r="Q123" s="312"/>
    </row>
    <row r="124" spans="1:17" ht="33.75" customHeight="1">
      <c r="A124" s="302" t="s">
        <v>42</v>
      </c>
      <c r="B124" s="302" t="s">
        <v>8</v>
      </c>
      <c r="C124" s="305" t="s">
        <v>70</v>
      </c>
      <c r="D124" s="90" t="s">
        <v>32</v>
      </c>
      <c r="E124" s="90" t="s">
        <v>32</v>
      </c>
      <c r="F124" s="296" t="s">
        <v>15</v>
      </c>
      <c r="G124" s="296" t="s">
        <v>71</v>
      </c>
      <c r="H124" s="296" t="s">
        <v>72</v>
      </c>
      <c r="I124" s="296" t="s">
        <v>6</v>
      </c>
      <c r="J124" s="296" t="s">
        <v>118</v>
      </c>
      <c r="K124" s="296" t="s">
        <v>73</v>
      </c>
      <c r="L124" s="296" t="s">
        <v>74</v>
      </c>
      <c r="M124" s="296" t="s">
        <v>85</v>
      </c>
      <c r="N124" s="296" t="s">
        <v>75</v>
      </c>
      <c r="O124" s="296" t="s">
        <v>76</v>
      </c>
      <c r="P124" s="296" t="s">
        <v>77</v>
      </c>
      <c r="Q124" s="296" t="s">
        <v>6</v>
      </c>
    </row>
    <row r="125" spans="1:17" ht="22.5" customHeight="1">
      <c r="A125" s="303"/>
      <c r="B125" s="303"/>
      <c r="C125" s="306"/>
      <c r="D125" s="226" t="s">
        <v>108</v>
      </c>
      <c r="E125" s="226" t="s">
        <v>114</v>
      </c>
      <c r="F125" s="301"/>
      <c r="G125" s="301"/>
      <c r="H125" s="301"/>
      <c r="I125" s="301"/>
      <c r="J125" s="301"/>
      <c r="K125" s="297"/>
      <c r="L125" s="297"/>
      <c r="M125" s="297"/>
      <c r="N125" s="297"/>
      <c r="O125" s="297"/>
      <c r="P125" s="297"/>
      <c r="Q125" s="297"/>
    </row>
    <row r="126" spans="1:17">
      <c r="A126" s="304"/>
      <c r="B126" s="304"/>
      <c r="C126" s="298" t="s">
        <v>34</v>
      </c>
      <c r="D126" s="299"/>
      <c r="E126" s="299"/>
      <c r="F126" s="299"/>
      <c r="G126" s="299"/>
      <c r="H126" s="299"/>
      <c r="I126" s="299"/>
      <c r="J126" s="299"/>
      <c r="K126" s="299"/>
      <c r="L126" s="299"/>
      <c r="M126" s="299"/>
      <c r="N126" s="299"/>
      <c r="O126" s="299"/>
      <c r="P126" s="299"/>
      <c r="Q126" s="300"/>
    </row>
    <row r="127" spans="1:17" ht="20.25">
      <c r="A127" s="91">
        <v>1</v>
      </c>
      <c r="B127" s="92" t="s">
        <v>10</v>
      </c>
      <c r="C127" s="93" t="s">
        <v>78</v>
      </c>
      <c r="D127" s="67">
        <v>166</v>
      </c>
      <c r="E127" s="76">
        <v>166</v>
      </c>
      <c r="F127" s="67">
        <v>0</v>
      </c>
      <c r="G127" s="67">
        <v>75758</v>
      </c>
      <c r="H127" s="67">
        <v>0</v>
      </c>
      <c r="I127" s="68">
        <f>SUM(G127:H127)</f>
        <v>75758</v>
      </c>
      <c r="J127" s="200">
        <f>ROUND(I127*0.7,0)</f>
        <v>53031</v>
      </c>
      <c r="K127" s="67">
        <v>0</v>
      </c>
      <c r="L127" s="67">
        <v>7576</v>
      </c>
      <c r="M127" s="67">
        <v>5280</v>
      </c>
      <c r="N127" s="67">
        <v>0</v>
      </c>
      <c r="O127" s="67">
        <v>0</v>
      </c>
      <c r="P127" s="67">
        <v>165</v>
      </c>
      <c r="Q127" s="68">
        <f>SUM(F127+I127+J127+K127+L127+M127+N127+O127+P127)</f>
        <v>141810</v>
      </c>
    </row>
    <row r="128" spans="1:17" ht="20.25">
      <c r="A128" s="91">
        <v>2</v>
      </c>
      <c r="B128" s="92" t="s">
        <v>11</v>
      </c>
      <c r="C128" s="93" t="s">
        <v>79</v>
      </c>
      <c r="D128" s="69">
        <v>236</v>
      </c>
      <c r="E128" s="96">
        <v>236</v>
      </c>
      <c r="F128" s="69">
        <v>0</v>
      </c>
      <c r="G128" s="69">
        <v>42660</v>
      </c>
      <c r="H128" s="69">
        <v>0</v>
      </c>
      <c r="I128" s="68">
        <f>SUM(G128:H128)</f>
        <v>42660</v>
      </c>
      <c r="J128" s="7">
        <v>0</v>
      </c>
      <c r="K128" s="69">
        <v>0</v>
      </c>
      <c r="L128" s="69">
        <v>0</v>
      </c>
      <c r="M128" s="69">
        <v>0</v>
      </c>
      <c r="N128" s="69">
        <v>0</v>
      </c>
      <c r="O128" s="69">
        <v>0</v>
      </c>
      <c r="P128" s="69">
        <v>0</v>
      </c>
      <c r="Q128" s="68">
        <f>SUM(F128+I128+J128+K128+L128+M128+N128+O128+P128)</f>
        <v>42660</v>
      </c>
    </row>
    <row r="129" spans="1:17" ht="18.75" thickBot="1">
      <c r="A129" s="94" t="s">
        <v>61</v>
      </c>
      <c r="B129" s="94" t="s">
        <v>61</v>
      </c>
      <c r="C129" s="95" t="s">
        <v>6</v>
      </c>
      <c r="D129" s="70">
        <f t="shared" ref="D129:Q129" si="12">SUM(D127:D128)</f>
        <v>402</v>
      </c>
      <c r="E129" s="70">
        <f t="shared" si="12"/>
        <v>402</v>
      </c>
      <c r="F129" s="70">
        <f t="shared" si="12"/>
        <v>0</v>
      </c>
      <c r="G129" s="70">
        <f t="shared" si="12"/>
        <v>118418</v>
      </c>
      <c r="H129" s="70">
        <f t="shared" si="12"/>
        <v>0</v>
      </c>
      <c r="I129" s="70">
        <f t="shared" si="12"/>
        <v>118418</v>
      </c>
      <c r="J129" s="70">
        <f t="shared" si="12"/>
        <v>53031</v>
      </c>
      <c r="K129" s="70">
        <f t="shared" si="12"/>
        <v>0</v>
      </c>
      <c r="L129" s="70">
        <f t="shared" si="12"/>
        <v>7576</v>
      </c>
      <c r="M129" s="70">
        <f t="shared" si="12"/>
        <v>5280</v>
      </c>
      <c r="N129" s="70">
        <f t="shared" si="12"/>
        <v>0</v>
      </c>
      <c r="O129" s="70">
        <f t="shared" si="12"/>
        <v>0</v>
      </c>
      <c r="P129" s="70">
        <f t="shared" si="12"/>
        <v>165</v>
      </c>
      <c r="Q129" s="70">
        <f t="shared" si="12"/>
        <v>184470</v>
      </c>
    </row>
    <row r="130" spans="1:17" ht="18.75" thickTop="1">
      <c r="A130" s="71"/>
      <c r="B130" s="72"/>
      <c r="C130" s="73"/>
      <c r="D130" s="74"/>
      <c r="E130" s="74"/>
      <c r="F130" s="74"/>
      <c r="G130" s="74"/>
      <c r="H130" s="74"/>
      <c r="I130" s="74"/>
      <c r="J130" s="74"/>
      <c r="K130" s="74"/>
      <c r="L130" s="74"/>
      <c r="M130" s="74"/>
      <c r="N130" s="74"/>
      <c r="O130" s="74"/>
      <c r="P130" s="74"/>
      <c r="Q130" s="74"/>
    </row>
    <row r="131" spans="1:17">
      <c r="A131" s="307" t="s">
        <v>125</v>
      </c>
      <c r="B131" s="308"/>
      <c r="C131" s="308"/>
      <c r="D131" s="308"/>
      <c r="E131" s="308"/>
      <c r="F131" s="308"/>
      <c r="G131" s="308"/>
      <c r="H131" s="308"/>
      <c r="I131" s="308"/>
      <c r="J131" s="308"/>
      <c r="K131" s="308"/>
      <c r="L131" s="308"/>
      <c r="M131" s="308"/>
      <c r="N131" s="308"/>
      <c r="O131" s="308"/>
      <c r="P131" s="308"/>
      <c r="Q131" s="308"/>
    </row>
    <row r="132" spans="1:17">
      <c r="A132" s="309" t="s">
        <v>31</v>
      </c>
      <c r="B132" s="310"/>
      <c r="C132" s="310"/>
      <c r="D132" s="310"/>
      <c r="E132" s="310"/>
      <c r="F132" s="310"/>
      <c r="G132" s="310"/>
      <c r="H132" s="310"/>
      <c r="I132" s="310"/>
      <c r="J132" s="310"/>
      <c r="K132" s="310"/>
      <c r="L132" s="310"/>
      <c r="M132" s="310"/>
      <c r="N132" s="310"/>
      <c r="O132" s="310"/>
      <c r="P132" s="310"/>
      <c r="Q132" s="310"/>
    </row>
    <row r="133" spans="1:17" ht="23.25">
      <c r="A133" s="88" t="s">
        <v>63</v>
      </c>
      <c r="B133" s="89"/>
      <c r="C133" s="89"/>
      <c r="D133" s="79"/>
      <c r="E133" s="79"/>
      <c r="F133" s="79"/>
      <c r="G133" s="79"/>
      <c r="H133" s="79"/>
      <c r="I133" s="79"/>
      <c r="J133" s="79"/>
      <c r="K133" s="79"/>
      <c r="L133" s="79"/>
      <c r="M133" s="79"/>
      <c r="N133" s="79"/>
      <c r="O133" s="311" t="s">
        <v>1</v>
      </c>
      <c r="P133" s="312"/>
      <c r="Q133" s="312"/>
    </row>
    <row r="134" spans="1:17" ht="30" customHeight="1">
      <c r="A134" s="302" t="s">
        <v>42</v>
      </c>
      <c r="B134" s="302" t="s">
        <v>8</v>
      </c>
      <c r="C134" s="305" t="s">
        <v>70</v>
      </c>
      <c r="D134" s="90" t="s">
        <v>32</v>
      </c>
      <c r="E134" s="90" t="s">
        <v>32</v>
      </c>
      <c r="F134" s="296" t="s">
        <v>15</v>
      </c>
      <c r="G134" s="296" t="s">
        <v>71</v>
      </c>
      <c r="H134" s="296" t="s">
        <v>72</v>
      </c>
      <c r="I134" s="296" t="s">
        <v>6</v>
      </c>
      <c r="J134" s="296" t="s">
        <v>118</v>
      </c>
      <c r="K134" s="296" t="s">
        <v>73</v>
      </c>
      <c r="L134" s="296" t="s">
        <v>74</v>
      </c>
      <c r="M134" s="296" t="s">
        <v>85</v>
      </c>
      <c r="N134" s="296" t="s">
        <v>75</v>
      </c>
      <c r="O134" s="296" t="s">
        <v>76</v>
      </c>
      <c r="P134" s="296" t="s">
        <v>77</v>
      </c>
      <c r="Q134" s="296" t="s">
        <v>6</v>
      </c>
    </row>
    <row r="135" spans="1:17" ht="24.75" customHeight="1">
      <c r="A135" s="303"/>
      <c r="B135" s="303"/>
      <c r="C135" s="306"/>
      <c r="D135" s="226" t="s">
        <v>108</v>
      </c>
      <c r="E135" s="226" t="s">
        <v>114</v>
      </c>
      <c r="F135" s="301"/>
      <c r="G135" s="301"/>
      <c r="H135" s="301"/>
      <c r="I135" s="301"/>
      <c r="J135" s="301"/>
      <c r="K135" s="297"/>
      <c r="L135" s="297"/>
      <c r="M135" s="297"/>
      <c r="N135" s="297"/>
      <c r="O135" s="297"/>
      <c r="P135" s="297"/>
      <c r="Q135" s="297"/>
    </row>
    <row r="136" spans="1:17">
      <c r="A136" s="304"/>
      <c r="B136" s="304"/>
      <c r="C136" s="298" t="s">
        <v>35</v>
      </c>
      <c r="D136" s="299"/>
      <c r="E136" s="299"/>
      <c r="F136" s="299"/>
      <c r="G136" s="299"/>
      <c r="H136" s="299"/>
      <c r="I136" s="299"/>
      <c r="J136" s="299"/>
      <c r="K136" s="299"/>
      <c r="L136" s="299"/>
      <c r="M136" s="299"/>
      <c r="N136" s="299"/>
      <c r="O136" s="299"/>
      <c r="P136" s="299"/>
      <c r="Q136" s="300"/>
    </row>
    <row r="137" spans="1:17" ht="20.25">
      <c r="A137" s="91">
        <v>1</v>
      </c>
      <c r="B137" s="92" t="s">
        <v>10</v>
      </c>
      <c r="C137" s="93" t="s">
        <v>78</v>
      </c>
      <c r="D137" s="75">
        <v>178</v>
      </c>
      <c r="E137" s="75">
        <v>178</v>
      </c>
      <c r="F137" s="67">
        <v>0</v>
      </c>
      <c r="G137" s="67">
        <v>74648</v>
      </c>
      <c r="H137" s="67">
        <v>0</v>
      </c>
      <c r="I137" s="68">
        <f>SUM(G137:H137)</f>
        <v>74648</v>
      </c>
      <c r="J137" s="200">
        <f>ROUND(I137*0.7,0)</f>
        <v>52254</v>
      </c>
      <c r="K137" s="67">
        <v>0</v>
      </c>
      <c r="L137" s="67">
        <v>7465</v>
      </c>
      <c r="M137" s="67">
        <v>5696</v>
      </c>
      <c r="N137" s="67">
        <v>0</v>
      </c>
      <c r="O137" s="67">
        <v>0</v>
      </c>
      <c r="P137" s="67">
        <v>178</v>
      </c>
      <c r="Q137" s="76">
        <f>SUM(F137+I137+J137+K137+L137+M137+N137+O137+P137)</f>
        <v>140241</v>
      </c>
    </row>
    <row r="138" spans="1:17" ht="20.25">
      <c r="A138" s="91">
        <v>2</v>
      </c>
      <c r="B138" s="92" t="s">
        <v>11</v>
      </c>
      <c r="C138" s="93" t="s">
        <v>79</v>
      </c>
      <c r="D138" s="77">
        <v>0</v>
      </c>
      <c r="E138" s="77">
        <v>0</v>
      </c>
      <c r="F138" s="69">
        <v>0</v>
      </c>
      <c r="G138" s="69">
        <v>0</v>
      </c>
      <c r="H138" s="69">
        <v>0</v>
      </c>
      <c r="I138" s="68">
        <f>SUM(G138:H138)</f>
        <v>0</v>
      </c>
      <c r="J138" s="7">
        <v>0</v>
      </c>
      <c r="K138" s="69">
        <v>0</v>
      </c>
      <c r="L138" s="69">
        <v>0</v>
      </c>
      <c r="M138" s="69">
        <v>0</v>
      </c>
      <c r="N138" s="69">
        <v>0</v>
      </c>
      <c r="O138" s="69">
        <v>0</v>
      </c>
      <c r="P138" s="69">
        <v>0</v>
      </c>
      <c r="Q138" s="76">
        <f>SUM(F138+I138+J138+K138+L138+M138+N138+O138+P138)</f>
        <v>0</v>
      </c>
    </row>
    <row r="139" spans="1:17" ht="18.75" thickBot="1">
      <c r="A139" s="94" t="s">
        <v>61</v>
      </c>
      <c r="B139" s="94" t="s">
        <v>61</v>
      </c>
      <c r="C139" s="95" t="s">
        <v>6</v>
      </c>
      <c r="D139" s="78">
        <f t="shared" ref="D139:Q139" si="13">SUM(D137:D138)</f>
        <v>178</v>
      </c>
      <c r="E139" s="78">
        <f t="shared" si="13"/>
        <v>178</v>
      </c>
      <c r="F139" s="78">
        <f t="shared" si="13"/>
        <v>0</v>
      </c>
      <c r="G139" s="78">
        <f t="shared" si="13"/>
        <v>74648</v>
      </c>
      <c r="H139" s="78">
        <f t="shared" si="13"/>
        <v>0</v>
      </c>
      <c r="I139" s="78">
        <f t="shared" si="13"/>
        <v>74648</v>
      </c>
      <c r="J139" s="78">
        <f t="shared" si="13"/>
        <v>52254</v>
      </c>
      <c r="K139" s="78">
        <f t="shared" si="13"/>
        <v>0</v>
      </c>
      <c r="L139" s="78">
        <f t="shared" si="13"/>
        <v>7465</v>
      </c>
      <c r="M139" s="78">
        <f t="shared" si="13"/>
        <v>5696</v>
      </c>
      <c r="N139" s="78">
        <f t="shared" si="13"/>
        <v>0</v>
      </c>
      <c r="O139" s="78">
        <f t="shared" si="13"/>
        <v>0</v>
      </c>
      <c r="P139" s="78">
        <f t="shared" si="13"/>
        <v>178</v>
      </c>
      <c r="Q139" s="78">
        <f t="shared" si="13"/>
        <v>140241</v>
      </c>
    </row>
    <row r="140" spans="1:17" ht="18.75" thickTop="1">
      <c r="C140" s="84"/>
    </row>
    <row r="141" spans="1:17">
      <c r="A141" s="316" t="s">
        <v>98</v>
      </c>
      <c r="B141" s="316"/>
      <c r="C141" s="316"/>
      <c r="D141" s="316"/>
      <c r="E141" s="316"/>
      <c r="F141" s="316"/>
      <c r="G141" s="316"/>
      <c r="H141" s="316"/>
      <c r="I141" s="316"/>
      <c r="J141" s="316"/>
      <c r="K141" s="316"/>
      <c r="L141" s="316"/>
      <c r="M141" s="316"/>
      <c r="N141" s="316"/>
      <c r="O141" s="316"/>
      <c r="P141" s="316"/>
      <c r="Q141" s="316"/>
    </row>
    <row r="142" spans="1:17">
      <c r="A142" s="337" t="s">
        <v>31</v>
      </c>
      <c r="B142" s="338"/>
      <c r="C142" s="338"/>
      <c r="D142" s="338"/>
      <c r="E142" s="338"/>
      <c r="F142" s="338"/>
      <c r="G142" s="338"/>
      <c r="H142" s="338"/>
      <c r="I142" s="338"/>
      <c r="J142" s="338"/>
      <c r="K142" s="338"/>
      <c r="L142" s="338"/>
      <c r="M142" s="338"/>
      <c r="N142" s="338"/>
      <c r="O142" s="338"/>
      <c r="P142" s="338"/>
      <c r="Q142" s="338"/>
    </row>
    <row r="143" spans="1:17" s="6" customFormat="1" ht="23.25">
      <c r="A143" s="100" t="s">
        <v>62</v>
      </c>
      <c r="B143" s="101"/>
      <c r="C143" s="101"/>
      <c r="D143" s="102"/>
      <c r="E143" s="102"/>
      <c r="F143" s="102"/>
      <c r="G143" s="102"/>
      <c r="H143" s="102"/>
      <c r="I143" s="102"/>
      <c r="J143" s="102"/>
      <c r="K143" s="102"/>
      <c r="L143" s="102"/>
      <c r="M143" s="102"/>
      <c r="N143" s="102"/>
      <c r="O143" s="339" t="s">
        <v>1</v>
      </c>
      <c r="P143" s="340"/>
      <c r="Q143" s="340"/>
    </row>
    <row r="144" spans="1:17" ht="26.25" customHeight="1">
      <c r="A144" s="319" t="s">
        <v>42</v>
      </c>
      <c r="B144" s="319" t="s">
        <v>8</v>
      </c>
      <c r="C144" s="341" t="s">
        <v>70</v>
      </c>
      <c r="D144" s="103" t="s">
        <v>32</v>
      </c>
      <c r="E144" s="103" t="s">
        <v>32</v>
      </c>
      <c r="F144" s="317" t="s">
        <v>15</v>
      </c>
      <c r="G144" s="317" t="s">
        <v>71</v>
      </c>
      <c r="H144" s="317" t="s">
        <v>72</v>
      </c>
      <c r="I144" s="317" t="s">
        <v>6</v>
      </c>
      <c r="J144" s="317" t="s">
        <v>118</v>
      </c>
      <c r="K144" s="317" t="s">
        <v>73</v>
      </c>
      <c r="L144" s="317" t="s">
        <v>74</v>
      </c>
      <c r="M144" s="317" t="s">
        <v>85</v>
      </c>
      <c r="N144" s="317" t="s">
        <v>75</v>
      </c>
      <c r="O144" s="317" t="s">
        <v>76</v>
      </c>
      <c r="P144" s="317" t="s">
        <v>77</v>
      </c>
      <c r="Q144" s="317" t="s">
        <v>6</v>
      </c>
    </row>
    <row r="145" spans="1:17" ht="30.75" customHeight="1">
      <c r="A145" s="320"/>
      <c r="B145" s="320"/>
      <c r="C145" s="342"/>
      <c r="D145" s="104" t="s">
        <v>105</v>
      </c>
      <c r="E145" s="104" t="s">
        <v>106</v>
      </c>
      <c r="F145" s="318"/>
      <c r="G145" s="318"/>
      <c r="H145" s="318"/>
      <c r="I145" s="318"/>
      <c r="J145" s="318"/>
      <c r="K145" s="318"/>
      <c r="L145" s="318"/>
      <c r="M145" s="318"/>
      <c r="N145" s="318"/>
      <c r="O145" s="318"/>
      <c r="P145" s="318"/>
      <c r="Q145" s="318"/>
    </row>
    <row r="146" spans="1:17">
      <c r="A146" s="321"/>
      <c r="B146" s="321"/>
      <c r="C146" s="322" t="s">
        <v>34</v>
      </c>
      <c r="D146" s="323"/>
      <c r="E146" s="323"/>
      <c r="F146" s="323"/>
      <c r="G146" s="323"/>
      <c r="H146" s="323"/>
      <c r="I146" s="323"/>
      <c r="J146" s="323"/>
      <c r="K146" s="323"/>
      <c r="L146" s="323"/>
      <c r="M146" s="323"/>
      <c r="N146" s="323"/>
      <c r="O146" s="323"/>
      <c r="P146" s="323"/>
      <c r="Q146" s="324"/>
    </row>
    <row r="147" spans="1:17" ht="20.25">
      <c r="A147" s="105">
        <v>1</v>
      </c>
      <c r="B147" s="106" t="s">
        <v>10</v>
      </c>
      <c r="C147" s="107" t="s">
        <v>78</v>
      </c>
      <c r="D147" s="108">
        <v>0</v>
      </c>
      <c r="E147" s="109">
        <v>0</v>
      </c>
      <c r="F147" s="108">
        <v>0</v>
      </c>
      <c r="G147" s="108">
        <v>0</v>
      </c>
      <c r="H147" s="108">
        <v>0</v>
      </c>
      <c r="I147" s="110">
        <f>SUM(G147:H147)</f>
        <v>0</v>
      </c>
      <c r="J147" s="111">
        <f>ROUND(I147*1.6,0)</f>
        <v>0</v>
      </c>
      <c r="K147" s="108">
        <v>0</v>
      </c>
      <c r="L147" s="108">
        <v>0</v>
      </c>
      <c r="M147" s="108">
        <v>0</v>
      </c>
      <c r="N147" s="108">
        <v>0</v>
      </c>
      <c r="O147" s="108">
        <v>0</v>
      </c>
      <c r="P147" s="108">
        <v>0</v>
      </c>
      <c r="Q147" s="110">
        <f>SUM(F147+I147+J147+K147+L147+M147+N147+O147+P147)</f>
        <v>0</v>
      </c>
    </row>
    <row r="148" spans="1:17" ht="20.25">
      <c r="A148" s="105">
        <v>2</v>
      </c>
      <c r="B148" s="106" t="s">
        <v>11</v>
      </c>
      <c r="C148" s="107" t="s">
        <v>79</v>
      </c>
      <c r="D148" s="112">
        <v>0</v>
      </c>
      <c r="E148" s="113">
        <v>0</v>
      </c>
      <c r="F148" s="112">
        <v>0</v>
      </c>
      <c r="G148" s="112">
        <v>0</v>
      </c>
      <c r="H148" s="112">
        <v>0</v>
      </c>
      <c r="I148" s="110">
        <f>SUM(G148:H148)</f>
        <v>0</v>
      </c>
      <c r="J148" s="112">
        <v>0</v>
      </c>
      <c r="K148" s="112">
        <v>0</v>
      </c>
      <c r="L148" s="112">
        <v>0</v>
      </c>
      <c r="M148" s="112">
        <v>0</v>
      </c>
      <c r="N148" s="112">
        <v>0</v>
      </c>
      <c r="O148" s="112">
        <v>0</v>
      </c>
      <c r="P148" s="112">
        <v>0</v>
      </c>
      <c r="Q148" s="110">
        <f>SUM(F148+I148+J148+K148+L148+M148+N148+O148+P148)</f>
        <v>0</v>
      </c>
    </row>
    <row r="149" spans="1:17" ht="18.75" thickBot="1">
      <c r="A149" s="114" t="s">
        <v>61</v>
      </c>
      <c r="B149" s="114" t="s">
        <v>61</v>
      </c>
      <c r="C149" s="115" t="s">
        <v>6</v>
      </c>
      <c r="D149" s="116">
        <f>SUM(D147:D148)</f>
        <v>0</v>
      </c>
      <c r="E149" s="116">
        <f t="shared" ref="E149:Q149" si="14">SUM(E147:E148)</f>
        <v>0</v>
      </c>
      <c r="F149" s="116">
        <f t="shared" si="14"/>
        <v>0</v>
      </c>
      <c r="G149" s="116">
        <f t="shared" si="14"/>
        <v>0</v>
      </c>
      <c r="H149" s="116">
        <f t="shared" si="14"/>
        <v>0</v>
      </c>
      <c r="I149" s="116">
        <f t="shared" si="14"/>
        <v>0</v>
      </c>
      <c r="J149" s="116">
        <f t="shared" si="14"/>
        <v>0</v>
      </c>
      <c r="K149" s="116">
        <f t="shared" si="14"/>
        <v>0</v>
      </c>
      <c r="L149" s="116">
        <f t="shared" si="14"/>
        <v>0</v>
      </c>
      <c r="M149" s="116">
        <f t="shared" si="14"/>
        <v>0</v>
      </c>
      <c r="N149" s="116">
        <f t="shared" si="14"/>
        <v>0</v>
      </c>
      <c r="O149" s="116">
        <f t="shared" si="14"/>
        <v>0</v>
      </c>
      <c r="P149" s="116">
        <f t="shared" si="14"/>
        <v>0</v>
      </c>
      <c r="Q149" s="116">
        <f t="shared" si="14"/>
        <v>0</v>
      </c>
    </row>
    <row r="150" spans="1:17" ht="18.75" thickTop="1">
      <c r="A150" s="117"/>
      <c r="B150" s="118"/>
      <c r="C150" s="119"/>
      <c r="D150" s="120"/>
      <c r="E150" s="120"/>
      <c r="F150" s="120"/>
      <c r="G150" s="120"/>
      <c r="H150" s="120"/>
      <c r="I150" s="120"/>
      <c r="J150" s="120"/>
      <c r="K150" s="120"/>
      <c r="L150" s="120"/>
      <c r="M150" s="120"/>
      <c r="N150" s="120"/>
      <c r="O150" s="120"/>
      <c r="P150" s="120"/>
      <c r="Q150" s="120"/>
    </row>
    <row r="151" spans="1:17">
      <c r="A151" s="316" t="s">
        <v>125</v>
      </c>
      <c r="B151" s="316"/>
      <c r="C151" s="316"/>
      <c r="D151" s="316"/>
      <c r="E151" s="316"/>
      <c r="F151" s="316"/>
      <c r="G151" s="316"/>
      <c r="H151" s="316"/>
      <c r="I151" s="316"/>
      <c r="J151" s="316"/>
      <c r="K151" s="316"/>
      <c r="L151" s="316"/>
      <c r="M151" s="316"/>
      <c r="N151" s="316"/>
      <c r="O151" s="316"/>
      <c r="P151" s="316"/>
      <c r="Q151" s="316"/>
    </row>
    <row r="152" spans="1:17">
      <c r="A152" s="337" t="s">
        <v>31</v>
      </c>
      <c r="B152" s="338"/>
      <c r="C152" s="338"/>
      <c r="D152" s="338"/>
      <c r="E152" s="338"/>
      <c r="F152" s="338"/>
      <c r="G152" s="338"/>
      <c r="H152" s="338"/>
      <c r="I152" s="338"/>
      <c r="J152" s="338"/>
      <c r="K152" s="338"/>
      <c r="L152" s="338"/>
      <c r="M152" s="338"/>
      <c r="N152" s="338"/>
      <c r="O152" s="338"/>
      <c r="P152" s="338"/>
      <c r="Q152" s="338"/>
    </row>
    <row r="153" spans="1:17" s="6" customFormat="1" ht="23.25">
      <c r="A153" s="100" t="s">
        <v>62</v>
      </c>
      <c r="B153" s="101"/>
      <c r="C153" s="101"/>
      <c r="D153" s="102"/>
      <c r="E153" s="102"/>
      <c r="F153" s="102"/>
      <c r="G153" s="102"/>
      <c r="H153" s="102"/>
      <c r="I153" s="102"/>
      <c r="J153" s="102"/>
      <c r="K153" s="102"/>
      <c r="L153" s="102"/>
      <c r="M153" s="102"/>
      <c r="N153" s="102"/>
      <c r="O153" s="339" t="s">
        <v>1</v>
      </c>
      <c r="P153" s="340"/>
      <c r="Q153" s="340"/>
    </row>
    <row r="154" spans="1:17" ht="28.5" customHeight="1">
      <c r="A154" s="319" t="s">
        <v>42</v>
      </c>
      <c r="B154" s="319" t="s">
        <v>8</v>
      </c>
      <c r="C154" s="341" t="s">
        <v>70</v>
      </c>
      <c r="D154" s="103" t="s">
        <v>32</v>
      </c>
      <c r="E154" s="103" t="s">
        <v>32</v>
      </c>
      <c r="F154" s="317" t="s">
        <v>15</v>
      </c>
      <c r="G154" s="317" t="s">
        <v>71</v>
      </c>
      <c r="H154" s="317" t="s">
        <v>72</v>
      </c>
      <c r="I154" s="317" t="s">
        <v>6</v>
      </c>
      <c r="J154" s="317" t="s">
        <v>118</v>
      </c>
      <c r="K154" s="317" t="s">
        <v>73</v>
      </c>
      <c r="L154" s="317" t="s">
        <v>74</v>
      </c>
      <c r="M154" s="317" t="s">
        <v>85</v>
      </c>
      <c r="N154" s="317" t="s">
        <v>75</v>
      </c>
      <c r="O154" s="317" t="s">
        <v>76</v>
      </c>
      <c r="P154" s="317" t="s">
        <v>77</v>
      </c>
      <c r="Q154" s="317" t="s">
        <v>6</v>
      </c>
    </row>
    <row r="155" spans="1:17" ht="30" customHeight="1">
      <c r="A155" s="320"/>
      <c r="B155" s="320"/>
      <c r="C155" s="342"/>
      <c r="D155" s="104" t="s">
        <v>105</v>
      </c>
      <c r="E155" s="104" t="s">
        <v>106</v>
      </c>
      <c r="F155" s="318"/>
      <c r="G155" s="318"/>
      <c r="H155" s="318"/>
      <c r="I155" s="318"/>
      <c r="J155" s="318"/>
      <c r="K155" s="318"/>
      <c r="L155" s="318"/>
      <c r="M155" s="318"/>
      <c r="N155" s="318"/>
      <c r="O155" s="318"/>
      <c r="P155" s="318"/>
      <c r="Q155" s="318"/>
    </row>
    <row r="156" spans="1:17">
      <c r="A156" s="321"/>
      <c r="B156" s="321"/>
      <c r="C156" s="322" t="s">
        <v>35</v>
      </c>
      <c r="D156" s="323"/>
      <c r="E156" s="323"/>
      <c r="F156" s="323"/>
      <c r="G156" s="323"/>
      <c r="H156" s="323"/>
      <c r="I156" s="323"/>
      <c r="J156" s="323"/>
      <c r="K156" s="323"/>
      <c r="L156" s="323"/>
      <c r="M156" s="323"/>
      <c r="N156" s="323"/>
      <c r="O156" s="323"/>
      <c r="P156" s="323"/>
      <c r="Q156" s="324"/>
    </row>
    <row r="157" spans="1:17">
      <c r="A157" s="105">
        <v>1</v>
      </c>
      <c r="B157" s="106" t="s">
        <v>10</v>
      </c>
      <c r="C157" s="107" t="s">
        <v>78</v>
      </c>
      <c r="D157" s="121">
        <v>0</v>
      </c>
      <c r="E157" s="122">
        <v>0</v>
      </c>
      <c r="F157" s="121">
        <v>0</v>
      </c>
      <c r="G157" s="123">
        <v>0</v>
      </c>
      <c r="H157" s="123">
        <v>0</v>
      </c>
      <c r="I157" s="124">
        <f>SUM(G157:H157)</f>
        <v>0</v>
      </c>
      <c r="J157" s="111">
        <f>ROUND(I157*1.6,0)</f>
        <v>0</v>
      </c>
      <c r="K157" s="123">
        <v>0</v>
      </c>
      <c r="L157" s="123">
        <v>0</v>
      </c>
      <c r="M157" s="123">
        <v>0</v>
      </c>
      <c r="N157" s="123">
        <v>0</v>
      </c>
      <c r="O157" s="123">
        <v>0</v>
      </c>
      <c r="P157" s="123">
        <v>0</v>
      </c>
      <c r="Q157" s="109">
        <f>SUM(F157+I157+J157+K157+L157+M157+N157+O157+P157)</f>
        <v>0</v>
      </c>
    </row>
    <row r="158" spans="1:17">
      <c r="A158" s="105">
        <v>2</v>
      </c>
      <c r="B158" s="106" t="s">
        <v>11</v>
      </c>
      <c r="C158" s="107" t="s">
        <v>79</v>
      </c>
      <c r="D158" s="125">
        <v>0</v>
      </c>
      <c r="E158" s="126">
        <v>0</v>
      </c>
      <c r="F158" s="125">
        <v>0</v>
      </c>
      <c r="G158" s="127">
        <v>0</v>
      </c>
      <c r="H158" s="127">
        <v>0</v>
      </c>
      <c r="I158" s="124">
        <f>SUM(G158:H158)</f>
        <v>0</v>
      </c>
      <c r="J158" s="112">
        <v>0</v>
      </c>
      <c r="K158" s="127">
        <v>0</v>
      </c>
      <c r="L158" s="123">
        <v>0</v>
      </c>
      <c r="M158" s="123">
        <v>0</v>
      </c>
      <c r="N158" s="123">
        <v>0</v>
      </c>
      <c r="O158" s="123">
        <v>0</v>
      </c>
      <c r="P158" s="123">
        <v>0</v>
      </c>
      <c r="Q158" s="109">
        <f>SUM(F158+I158+J158+K158+L158+M158+N158+O158+P158)</f>
        <v>0</v>
      </c>
    </row>
    <row r="159" spans="1:17" ht="18.75" thickBot="1">
      <c r="A159" s="114" t="s">
        <v>61</v>
      </c>
      <c r="B159" s="114" t="s">
        <v>61</v>
      </c>
      <c r="C159" s="115" t="s">
        <v>6</v>
      </c>
      <c r="D159" s="128">
        <f>SUM(D157:D158)</f>
        <v>0</v>
      </c>
      <c r="E159" s="128">
        <f t="shared" ref="E159:Q159" si="15">SUM(E157:E158)</f>
        <v>0</v>
      </c>
      <c r="F159" s="128">
        <f t="shared" si="15"/>
        <v>0</v>
      </c>
      <c r="G159" s="128">
        <f t="shared" si="15"/>
        <v>0</v>
      </c>
      <c r="H159" s="128">
        <f t="shared" si="15"/>
        <v>0</v>
      </c>
      <c r="I159" s="128">
        <f t="shared" si="15"/>
        <v>0</v>
      </c>
      <c r="J159" s="128">
        <f t="shared" si="15"/>
        <v>0</v>
      </c>
      <c r="K159" s="128">
        <f t="shared" si="15"/>
        <v>0</v>
      </c>
      <c r="L159" s="128">
        <f t="shared" si="15"/>
        <v>0</v>
      </c>
      <c r="M159" s="128">
        <f t="shared" si="15"/>
        <v>0</v>
      </c>
      <c r="N159" s="128">
        <f t="shared" si="15"/>
        <v>0</v>
      </c>
      <c r="O159" s="128">
        <f t="shared" si="15"/>
        <v>0</v>
      </c>
      <c r="P159" s="128">
        <f t="shared" si="15"/>
        <v>0</v>
      </c>
      <c r="Q159" s="128">
        <f t="shared" si="15"/>
        <v>0</v>
      </c>
    </row>
    <row r="160" spans="1:17" ht="18.75" thickTop="1">
      <c r="A160" s="129"/>
      <c r="B160" s="130"/>
      <c r="C160" s="130"/>
      <c r="D160" s="131"/>
      <c r="E160" s="131"/>
      <c r="F160" s="131"/>
      <c r="G160" s="131"/>
      <c r="H160" s="131"/>
      <c r="I160" s="131"/>
      <c r="J160" s="131"/>
      <c r="K160" s="131"/>
      <c r="L160" s="131"/>
      <c r="M160" s="131"/>
      <c r="N160" s="131"/>
      <c r="O160" s="131"/>
      <c r="P160" s="131"/>
      <c r="Q160" s="131"/>
    </row>
    <row r="161" spans="1:17">
      <c r="A161" s="307" t="s">
        <v>125</v>
      </c>
      <c r="B161" s="308"/>
      <c r="C161" s="308"/>
      <c r="D161" s="308"/>
      <c r="E161" s="308"/>
      <c r="F161" s="308"/>
      <c r="G161" s="308"/>
      <c r="H161" s="308"/>
      <c r="I161" s="308"/>
      <c r="J161" s="308"/>
      <c r="K161" s="308"/>
      <c r="L161" s="308"/>
      <c r="M161" s="308"/>
      <c r="N161" s="308"/>
      <c r="O161" s="308"/>
      <c r="P161" s="308"/>
      <c r="Q161" s="308"/>
    </row>
    <row r="162" spans="1:17">
      <c r="A162" s="309" t="s">
        <v>31</v>
      </c>
      <c r="B162" s="310"/>
      <c r="C162" s="310"/>
      <c r="D162" s="310"/>
      <c r="E162" s="310"/>
      <c r="F162" s="310"/>
      <c r="G162" s="310"/>
      <c r="H162" s="310"/>
      <c r="I162" s="310"/>
      <c r="J162" s="310"/>
      <c r="K162" s="310"/>
      <c r="L162" s="310"/>
      <c r="M162" s="310"/>
      <c r="N162" s="310"/>
      <c r="O162" s="310"/>
      <c r="P162" s="310"/>
      <c r="Q162" s="310"/>
    </row>
    <row r="163" spans="1:17" s="6" customFormat="1" ht="23.25">
      <c r="A163" s="98" t="s">
        <v>30</v>
      </c>
      <c r="B163" s="99"/>
      <c r="C163" s="99"/>
      <c r="D163" s="11"/>
      <c r="E163" s="11"/>
      <c r="F163" s="11"/>
      <c r="G163" s="11"/>
      <c r="H163" s="11"/>
      <c r="I163" s="11"/>
      <c r="J163" s="11"/>
      <c r="K163" s="11"/>
      <c r="L163" s="11"/>
      <c r="M163" s="11"/>
      <c r="N163" s="11"/>
      <c r="O163" s="343" t="s">
        <v>1</v>
      </c>
      <c r="P163" s="344"/>
      <c r="Q163" s="344"/>
    </row>
    <row r="164" spans="1:17" ht="30.75" customHeight="1">
      <c r="A164" s="302" t="s">
        <v>42</v>
      </c>
      <c r="B164" s="302" t="s">
        <v>8</v>
      </c>
      <c r="C164" s="305" t="s">
        <v>70</v>
      </c>
      <c r="D164" s="90" t="s">
        <v>32</v>
      </c>
      <c r="E164" s="90" t="s">
        <v>32</v>
      </c>
      <c r="F164" s="296" t="s">
        <v>15</v>
      </c>
      <c r="G164" s="296" t="s">
        <v>71</v>
      </c>
      <c r="H164" s="296" t="s">
        <v>72</v>
      </c>
      <c r="I164" s="296" t="s">
        <v>6</v>
      </c>
      <c r="J164" s="296" t="s">
        <v>118</v>
      </c>
      <c r="K164" s="296" t="s">
        <v>73</v>
      </c>
      <c r="L164" s="296" t="s">
        <v>74</v>
      </c>
      <c r="M164" s="296" t="s">
        <v>85</v>
      </c>
      <c r="N164" s="296" t="s">
        <v>75</v>
      </c>
      <c r="O164" s="296" t="s">
        <v>76</v>
      </c>
      <c r="P164" s="296" t="s">
        <v>77</v>
      </c>
      <c r="Q164" s="296" t="s">
        <v>6</v>
      </c>
    </row>
    <row r="165" spans="1:17" ht="27.75" customHeight="1">
      <c r="A165" s="303"/>
      <c r="B165" s="303"/>
      <c r="C165" s="306"/>
      <c r="D165" s="226" t="s">
        <v>106</v>
      </c>
      <c r="E165" s="226" t="s">
        <v>108</v>
      </c>
      <c r="F165" s="301"/>
      <c r="G165" s="301"/>
      <c r="H165" s="301"/>
      <c r="I165" s="301"/>
      <c r="J165" s="301"/>
      <c r="K165" s="297"/>
      <c r="L165" s="297"/>
      <c r="M165" s="297"/>
      <c r="N165" s="297"/>
      <c r="O165" s="297"/>
      <c r="P165" s="297"/>
      <c r="Q165" s="297"/>
    </row>
    <row r="166" spans="1:17">
      <c r="A166" s="304"/>
      <c r="B166" s="304"/>
      <c r="C166" s="298" t="s">
        <v>34</v>
      </c>
      <c r="D166" s="299"/>
      <c r="E166" s="299"/>
      <c r="F166" s="299"/>
      <c r="G166" s="299"/>
      <c r="H166" s="299"/>
      <c r="I166" s="299"/>
      <c r="J166" s="299"/>
      <c r="K166" s="299"/>
      <c r="L166" s="299"/>
      <c r="M166" s="299"/>
      <c r="N166" s="299"/>
      <c r="O166" s="299"/>
      <c r="P166" s="299"/>
      <c r="Q166" s="300"/>
    </row>
    <row r="167" spans="1:17" ht="19.5">
      <c r="A167" s="91">
        <v>1</v>
      </c>
      <c r="B167" s="92" t="s">
        <v>10</v>
      </c>
      <c r="C167" s="93" t="s">
        <v>78</v>
      </c>
      <c r="D167" s="86">
        <f>SUM(D7+D27+D47+D67+D87+D107+D127+D147)</f>
        <v>1014</v>
      </c>
      <c r="E167" s="85">
        <f>SUM(E7+E27+E47+E67+E87+E107+E127+E147)</f>
        <v>1014</v>
      </c>
      <c r="F167" s="85">
        <f>SUM(F7+F27+F47+F67+F87+F107+F127+F147)</f>
        <v>0</v>
      </c>
      <c r="G167" s="85">
        <f>SUM(G7+G27+G47+G67+G87+G107+G127+G147)</f>
        <v>469484</v>
      </c>
      <c r="H167" s="85">
        <f>SUM(H7+H27+H47+H67+H87+H107+H127+H147)</f>
        <v>0</v>
      </c>
      <c r="I167" s="176">
        <f>SUM(G167:H167)</f>
        <v>469484</v>
      </c>
      <c r="J167" s="85">
        <f t="shared" ref="J167:P168" si="16">SUM(J7+J27+J47+J67+J87+J107+J127+J147)</f>
        <v>328640</v>
      </c>
      <c r="K167" s="85">
        <f t="shared" si="16"/>
        <v>7251</v>
      </c>
      <c r="L167" s="85">
        <f t="shared" si="16"/>
        <v>58444</v>
      </c>
      <c r="M167" s="85">
        <f t="shared" si="16"/>
        <v>20104</v>
      </c>
      <c r="N167" s="85">
        <f t="shared" si="16"/>
        <v>1943</v>
      </c>
      <c r="O167" s="85">
        <f t="shared" si="16"/>
        <v>1029</v>
      </c>
      <c r="P167" s="85">
        <f t="shared" si="16"/>
        <v>7334</v>
      </c>
      <c r="Q167" s="177">
        <f>SUM(F167+I167+J167+K167+L167+M167+N167+O167+P167)</f>
        <v>894229</v>
      </c>
    </row>
    <row r="168" spans="1:17" ht="19.5">
      <c r="A168" s="91">
        <v>2</v>
      </c>
      <c r="B168" s="92" t="s">
        <v>11</v>
      </c>
      <c r="C168" s="93" t="s">
        <v>79</v>
      </c>
      <c r="D168" s="86">
        <f>SUM(D8+D28+D48+D68+D88+D108+D128+D148)</f>
        <v>1355</v>
      </c>
      <c r="E168" s="85">
        <f>SUM(E8+E28+E48+E68+E88+E108+E128+E148)</f>
        <v>1355</v>
      </c>
      <c r="F168" s="86">
        <f>SUM(F8+F28+F48+F68+F88+F108+F128+F148)</f>
        <v>0</v>
      </c>
      <c r="G168" s="85">
        <f>SUM(G8+G28+G48+G68+G88+G108+G128+G148)</f>
        <v>246101</v>
      </c>
      <c r="H168" s="86"/>
      <c r="I168" s="176">
        <f>SUM(G168:H168)</f>
        <v>246101</v>
      </c>
      <c r="J168" s="85">
        <f t="shared" si="16"/>
        <v>0</v>
      </c>
      <c r="K168" s="86">
        <f t="shared" si="16"/>
        <v>0</v>
      </c>
      <c r="L168" s="86">
        <f t="shared" si="16"/>
        <v>0</v>
      </c>
      <c r="M168" s="86">
        <f t="shared" si="16"/>
        <v>0</v>
      </c>
      <c r="N168" s="86">
        <f t="shared" si="16"/>
        <v>0</v>
      </c>
      <c r="O168" s="86">
        <f t="shared" si="16"/>
        <v>0</v>
      </c>
      <c r="P168" s="85">
        <f t="shared" si="16"/>
        <v>2709</v>
      </c>
      <c r="Q168" s="177">
        <f>SUM(F168+I168+J168+K168+L168+M168+N168+O168+P168)</f>
        <v>248810</v>
      </c>
    </row>
    <row r="169" spans="1:17" ht="20.25" thickBot="1">
      <c r="A169" s="94" t="s">
        <v>61</v>
      </c>
      <c r="B169" s="94" t="s">
        <v>61</v>
      </c>
      <c r="C169" s="95" t="s">
        <v>6</v>
      </c>
      <c r="D169" s="87">
        <f t="shared" ref="D169:Q169" si="17">SUM(D167:D168)</f>
        <v>2369</v>
      </c>
      <c r="E169" s="87">
        <f t="shared" si="17"/>
        <v>2369</v>
      </c>
      <c r="F169" s="87">
        <f t="shared" si="17"/>
        <v>0</v>
      </c>
      <c r="G169" s="87">
        <f t="shared" si="17"/>
        <v>715585</v>
      </c>
      <c r="H169" s="87">
        <f t="shared" si="17"/>
        <v>0</v>
      </c>
      <c r="I169" s="87">
        <f t="shared" si="17"/>
        <v>715585</v>
      </c>
      <c r="J169" s="87">
        <f t="shared" si="17"/>
        <v>328640</v>
      </c>
      <c r="K169" s="87">
        <f t="shared" si="17"/>
        <v>7251</v>
      </c>
      <c r="L169" s="87">
        <f t="shared" si="17"/>
        <v>58444</v>
      </c>
      <c r="M169" s="87">
        <f t="shared" si="17"/>
        <v>20104</v>
      </c>
      <c r="N169" s="87">
        <f t="shared" si="17"/>
        <v>1943</v>
      </c>
      <c r="O169" s="87">
        <f t="shared" si="17"/>
        <v>1029</v>
      </c>
      <c r="P169" s="87">
        <f t="shared" si="17"/>
        <v>10043</v>
      </c>
      <c r="Q169" s="87">
        <f t="shared" si="17"/>
        <v>1143039</v>
      </c>
    </row>
    <row r="170" spans="1:17" ht="18.75" thickTop="1">
      <c r="A170" s="80"/>
      <c r="B170" s="81"/>
      <c r="C170" s="73"/>
      <c r="D170" s="82"/>
      <c r="E170" s="82"/>
      <c r="F170" s="82"/>
      <c r="G170" s="82"/>
      <c r="H170" s="82"/>
      <c r="I170" s="82"/>
      <c r="J170" s="82"/>
      <c r="K170" s="82"/>
      <c r="L170" s="82"/>
      <c r="M170" s="82"/>
      <c r="N170" s="82"/>
      <c r="O170" s="82"/>
      <c r="P170" s="82"/>
      <c r="Q170" s="82"/>
    </row>
    <row r="171" spans="1:17">
      <c r="A171" s="307" t="s">
        <v>125</v>
      </c>
      <c r="B171" s="308"/>
      <c r="C171" s="308"/>
      <c r="D171" s="308"/>
      <c r="E171" s="308"/>
      <c r="F171" s="308"/>
      <c r="G171" s="308"/>
      <c r="H171" s="308"/>
      <c r="I171" s="308"/>
      <c r="J171" s="308"/>
      <c r="K171" s="308"/>
      <c r="L171" s="308"/>
      <c r="M171" s="308"/>
      <c r="N171" s="308"/>
      <c r="O171" s="308"/>
      <c r="P171" s="308"/>
      <c r="Q171" s="308"/>
    </row>
    <row r="172" spans="1:17">
      <c r="A172" s="309" t="s">
        <v>31</v>
      </c>
      <c r="B172" s="310"/>
      <c r="C172" s="310"/>
      <c r="D172" s="310"/>
      <c r="E172" s="310"/>
      <c r="F172" s="310"/>
      <c r="G172" s="310"/>
      <c r="H172" s="310"/>
      <c r="I172" s="310"/>
      <c r="J172" s="310"/>
      <c r="K172" s="310"/>
      <c r="L172" s="310"/>
      <c r="M172" s="310"/>
      <c r="N172" s="310"/>
      <c r="O172" s="310"/>
      <c r="P172" s="310"/>
      <c r="Q172" s="310"/>
    </row>
    <row r="173" spans="1:17" s="6" customFormat="1" ht="23.25">
      <c r="A173" s="98" t="s">
        <v>30</v>
      </c>
      <c r="B173" s="99"/>
      <c r="C173" s="99"/>
      <c r="D173" s="11"/>
      <c r="E173" s="11"/>
      <c r="F173" s="11"/>
      <c r="G173" s="11"/>
      <c r="H173" s="11"/>
      <c r="I173" s="11"/>
      <c r="J173" s="11"/>
      <c r="K173" s="11"/>
      <c r="L173" s="11"/>
      <c r="M173" s="11"/>
      <c r="N173" s="11"/>
      <c r="O173" s="343" t="s">
        <v>1</v>
      </c>
      <c r="P173" s="344"/>
      <c r="Q173" s="344"/>
    </row>
    <row r="174" spans="1:17" ht="31.5" customHeight="1">
      <c r="A174" s="302" t="s">
        <v>42</v>
      </c>
      <c r="B174" s="302" t="s">
        <v>8</v>
      </c>
      <c r="C174" s="305" t="s">
        <v>70</v>
      </c>
      <c r="D174" s="90" t="s">
        <v>32</v>
      </c>
      <c r="E174" s="90" t="s">
        <v>32</v>
      </c>
      <c r="F174" s="296" t="s">
        <v>15</v>
      </c>
      <c r="G174" s="296" t="s">
        <v>71</v>
      </c>
      <c r="H174" s="296" t="s">
        <v>72</v>
      </c>
      <c r="I174" s="296" t="s">
        <v>6</v>
      </c>
      <c r="J174" s="296" t="s">
        <v>118</v>
      </c>
      <c r="K174" s="296" t="s">
        <v>73</v>
      </c>
      <c r="L174" s="296" t="s">
        <v>74</v>
      </c>
      <c r="M174" s="296" t="s">
        <v>85</v>
      </c>
      <c r="N174" s="296" t="s">
        <v>75</v>
      </c>
      <c r="O174" s="296" t="s">
        <v>76</v>
      </c>
      <c r="P174" s="296" t="s">
        <v>77</v>
      </c>
      <c r="Q174" s="296" t="s">
        <v>6</v>
      </c>
    </row>
    <row r="175" spans="1:17" ht="24.75" customHeight="1">
      <c r="A175" s="303"/>
      <c r="B175" s="303"/>
      <c r="C175" s="306"/>
      <c r="D175" s="226" t="s">
        <v>106</v>
      </c>
      <c r="E175" s="226" t="s">
        <v>108</v>
      </c>
      <c r="F175" s="301"/>
      <c r="G175" s="301"/>
      <c r="H175" s="301"/>
      <c r="I175" s="301"/>
      <c r="J175" s="301"/>
      <c r="K175" s="297"/>
      <c r="L175" s="297"/>
      <c r="M175" s="297"/>
      <c r="N175" s="297"/>
      <c r="O175" s="297"/>
      <c r="P175" s="297"/>
      <c r="Q175" s="297"/>
    </row>
    <row r="176" spans="1:17">
      <c r="A176" s="304"/>
      <c r="B176" s="304"/>
      <c r="C176" s="298" t="s">
        <v>35</v>
      </c>
      <c r="D176" s="299"/>
      <c r="E176" s="299"/>
      <c r="F176" s="299"/>
      <c r="G176" s="299"/>
      <c r="H176" s="299"/>
      <c r="I176" s="299"/>
      <c r="J176" s="299"/>
      <c r="K176" s="299"/>
      <c r="L176" s="299"/>
      <c r="M176" s="299"/>
      <c r="N176" s="299"/>
      <c r="O176" s="299"/>
      <c r="P176" s="299"/>
      <c r="Q176" s="300"/>
    </row>
    <row r="177" spans="1:17" ht="19.5">
      <c r="A177" s="91">
        <v>1</v>
      </c>
      <c r="B177" s="92" t="s">
        <v>10</v>
      </c>
      <c r="C177" s="93" t="s">
        <v>78</v>
      </c>
      <c r="D177" s="86">
        <f t="shared" ref="D177:H178" si="18">SUM(D17+D37+D57+D77+D97+D117+D137+D157)</f>
        <v>980</v>
      </c>
      <c r="E177" s="85">
        <f t="shared" si="18"/>
        <v>980</v>
      </c>
      <c r="F177" s="86">
        <f t="shared" si="18"/>
        <v>0</v>
      </c>
      <c r="G177" s="85">
        <f t="shared" si="18"/>
        <v>457446</v>
      </c>
      <c r="H177" s="85">
        <f t="shared" si="18"/>
        <v>0</v>
      </c>
      <c r="I177" s="176">
        <f>SUM(G177:H177)</f>
        <v>457446</v>
      </c>
      <c r="J177" s="85">
        <f t="shared" ref="J177:P178" si="19">SUM(J17+J37+J57+J77+J97+J117+J137+J157)</f>
        <v>320213</v>
      </c>
      <c r="K177" s="85">
        <f t="shared" si="19"/>
        <v>5615</v>
      </c>
      <c r="L177" s="85">
        <f t="shared" si="19"/>
        <v>63927</v>
      </c>
      <c r="M177" s="85">
        <f t="shared" si="19"/>
        <v>21475</v>
      </c>
      <c r="N177" s="85">
        <f t="shared" si="19"/>
        <v>2157</v>
      </c>
      <c r="O177" s="85">
        <f t="shared" si="19"/>
        <v>1058</v>
      </c>
      <c r="P177" s="85">
        <f t="shared" si="19"/>
        <v>7213</v>
      </c>
      <c r="Q177" s="177">
        <f>SUM(F177+I177+J177+K177+L177+M177+N177+O177+P177)</f>
        <v>879104</v>
      </c>
    </row>
    <row r="178" spans="1:17" ht="19.5">
      <c r="A178" s="91">
        <v>2</v>
      </c>
      <c r="B178" s="92" t="s">
        <v>11</v>
      </c>
      <c r="C178" s="93" t="s">
        <v>79</v>
      </c>
      <c r="D178" s="86">
        <f t="shared" si="18"/>
        <v>0</v>
      </c>
      <c r="E178" s="85">
        <f t="shared" si="18"/>
        <v>0</v>
      </c>
      <c r="F178" s="86">
        <f t="shared" si="18"/>
        <v>0</v>
      </c>
      <c r="G178" s="86">
        <f t="shared" si="18"/>
        <v>0</v>
      </c>
      <c r="H178" s="86">
        <f t="shared" si="18"/>
        <v>0</v>
      </c>
      <c r="I178" s="176">
        <f>SUM(G178:H178)</f>
        <v>0</v>
      </c>
      <c r="J178" s="86">
        <f t="shared" si="19"/>
        <v>0</v>
      </c>
      <c r="K178" s="86">
        <f t="shared" si="19"/>
        <v>0</v>
      </c>
      <c r="L178" s="86">
        <f t="shared" si="19"/>
        <v>0</v>
      </c>
      <c r="M178" s="86">
        <f t="shared" si="19"/>
        <v>0</v>
      </c>
      <c r="N178" s="86">
        <f t="shared" si="19"/>
        <v>0</v>
      </c>
      <c r="O178" s="86">
        <f t="shared" si="19"/>
        <v>0</v>
      </c>
      <c r="P178" s="86">
        <f t="shared" si="19"/>
        <v>0</v>
      </c>
      <c r="Q178" s="177">
        <f>SUM(F178+I178+J178+K178+L178+M178+N178+O178+P178)</f>
        <v>0</v>
      </c>
    </row>
    <row r="179" spans="1:17" ht="19.5">
      <c r="A179" s="181" t="s">
        <v>61</v>
      </c>
      <c r="B179" s="181" t="s">
        <v>61</v>
      </c>
      <c r="C179" s="182" t="s">
        <v>6</v>
      </c>
      <c r="D179" s="85">
        <f t="shared" ref="D179:Q179" si="20">SUM(D177:D178)</f>
        <v>980</v>
      </c>
      <c r="E179" s="85">
        <f>SUM(E177:E178)</f>
        <v>980</v>
      </c>
      <c r="F179" s="85">
        <f t="shared" si="20"/>
        <v>0</v>
      </c>
      <c r="G179" s="85">
        <f t="shared" si="20"/>
        <v>457446</v>
      </c>
      <c r="H179" s="85">
        <f t="shared" si="20"/>
        <v>0</v>
      </c>
      <c r="I179" s="85">
        <f t="shared" si="20"/>
        <v>457446</v>
      </c>
      <c r="J179" s="85">
        <f t="shared" si="20"/>
        <v>320213</v>
      </c>
      <c r="K179" s="85">
        <f t="shared" si="20"/>
        <v>5615</v>
      </c>
      <c r="L179" s="85">
        <f t="shared" si="20"/>
        <v>63927</v>
      </c>
      <c r="M179" s="85">
        <f t="shared" si="20"/>
        <v>21475</v>
      </c>
      <c r="N179" s="85">
        <f t="shared" si="20"/>
        <v>2157</v>
      </c>
      <c r="O179" s="85">
        <f t="shared" si="20"/>
        <v>1058</v>
      </c>
      <c r="P179" s="85">
        <f t="shared" si="20"/>
        <v>7213</v>
      </c>
      <c r="Q179" s="85">
        <f t="shared" si="20"/>
        <v>879104</v>
      </c>
    </row>
    <row r="180" spans="1:17">
      <c r="A180" s="345"/>
      <c r="B180" s="345"/>
      <c r="C180" s="345"/>
      <c r="D180" s="345"/>
      <c r="E180" s="345"/>
      <c r="F180" s="345"/>
      <c r="G180" s="345"/>
      <c r="H180" s="345"/>
      <c r="I180" s="345"/>
      <c r="J180" s="345"/>
      <c r="K180" s="345"/>
      <c r="L180" s="345"/>
      <c r="M180" s="345"/>
      <c r="N180" s="345"/>
      <c r="O180" s="345"/>
      <c r="P180" s="345"/>
      <c r="Q180" s="345"/>
    </row>
    <row r="181" spans="1:17">
      <c r="A181" s="346"/>
      <c r="B181" s="346"/>
      <c r="C181" s="346"/>
      <c r="D181" s="346"/>
      <c r="E181" s="346"/>
      <c r="F181" s="346"/>
      <c r="G181" s="346"/>
      <c r="H181" s="346"/>
      <c r="I181" s="346"/>
      <c r="J181" s="346"/>
      <c r="K181" s="346"/>
      <c r="L181" s="346"/>
      <c r="M181" s="346"/>
      <c r="N181" s="346"/>
      <c r="O181" s="346"/>
      <c r="P181" s="346"/>
      <c r="Q181" s="346"/>
    </row>
    <row r="182" spans="1:17">
      <c r="A182" s="193"/>
      <c r="B182" s="192"/>
      <c r="C182" s="192"/>
      <c r="D182" s="192"/>
      <c r="E182" s="192"/>
      <c r="F182" s="192"/>
      <c r="G182" s="192"/>
      <c r="H182" s="192"/>
      <c r="I182" s="192"/>
      <c r="J182" s="192"/>
      <c r="K182" s="192"/>
      <c r="L182" s="192"/>
      <c r="M182" s="192"/>
      <c r="N182" s="192"/>
      <c r="O182" s="192"/>
      <c r="P182" s="192"/>
      <c r="Q182" s="192"/>
    </row>
    <row r="183" spans="1:17">
      <c r="M183" s="183" t="s">
        <v>107</v>
      </c>
      <c r="N183" s="183"/>
      <c r="O183" s="183"/>
    </row>
    <row r="188" spans="1:17" ht="409.5">
      <c r="B188" s="84" t="s">
        <v>113</v>
      </c>
    </row>
  </sheetData>
  <mergeCells count="343">
    <mergeCell ref="A180:Q181"/>
    <mergeCell ref="O174:O175"/>
    <mergeCell ref="P174:P175"/>
    <mergeCell ref="Q174:Q175"/>
    <mergeCell ref="C176:Q176"/>
    <mergeCell ref="K174:K175"/>
    <mergeCell ref="L174:L175"/>
    <mergeCell ref="M174:M175"/>
    <mergeCell ref="N174:N175"/>
    <mergeCell ref="A172:Q172"/>
    <mergeCell ref="O173:Q173"/>
    <mergeCell ref="A174:A176"/>
    <mergeCell ref="B174:B176"/>
    <mergeCell ref="C174:C175"/>
    <mergeCell ref="F174:F175"/>
    <mergeCell ref="G174:G175"/>
    <mergeCell ref="H174:H175"/>
    <mergeCell ref="I174:I175"/>
    <mergeCell ref="J174:J175"/>
    <mergeCell ref="P164:P165"/>
    <mergeCell ref="Q164:Q165"/>
    <mergeCell ref="C166:Q166"/>
    <mergeCell ref="A171:Q171"/>
    <mergeCell ref="L164:L165"/>
    <mergeCell ref="M164:M165"/>
    <mergeCell ref="N164:N165"/>
    <mergeCell ref="O164:O165"/>
    <mergeCell ref="O163:Q163"/>
    <mergeCell ref="A164:A166"/>
    <mergeCell ref="B164:B166"/>
    <mergeCell ref="C164:C165"/>
    <mergeCell ref="F164:F165"/>
    <mergeCell ref="G164:G165"/>
    <mergeCell ref="H164:H165"/>
    <mergeCell ref="I164:I165"/>
    <mergeCell ref="J164:J165"/>
    <mergeCell ref="K164:K165"/>
    <mergeCell ref="Q154:Q155"/>
    <mergeCell ref="C156:Q156"/>
    <mergeCell ref="A161:Q161"/>
    <mergeCell ref="L154:L155"/>
    <mergeCell ref="M154:M155"/>
    <mergeCell ref="N154:N155"/>
    <mergeCell ref="O154:O155"/>
    <mergeCell ref="H154:H155"/>
    <mergeCell ref="I154:I155"/>
    <mergeCell ref="A151:Q151"/>
    <mergeCell ref="A152:Q152"/>
    <mergeCell ref="O153:Q153"/>
    <mergeCell ref="J154:J155"/>
    <mergeCell ref="K154:K155"/>
    <mergeCell ref="B154:B156"/>
    <mergeCell ref="C154:C155"/>
    <mergeCell ref="F154:F155"/>
    <mergeCell ref="G154:G155"/>
    <mergeCell ref="P154:P155"/>
    <mergeCell ref="A142:Q142"/>
    <mergeCell ref="O143:Q143"/>
    <mergeCell ref="A144:A146"/>
    <mergeCell ref="B144:B146"/>
    <mergeCell ref="C144:C145"/>
    <mergeCell ref="F144:F145"/>
    <mergeCell ref="G144:G145"/>
    <mergeCell ref="H144:H145"/>
    <mergeCell ref="I144:I145"/>
    <mergeCell ref="J144:J145"/>
    <mergeCell ref="Q124:Q125"/>
    <mergeCell ref="C126:Q126"/>
    <mergeCell ref="G124:G125"/>
    <mergeCell ref="H124:H125"/>
    <mergeCell ref="I124:I125"/>
    <mergeCell ref="J124:J125"/>
    <mergeCell ref="M124:M125"/>
    <mergeCell ref="N124:N125"/>
    <mergeCell ref="O124:O125"/>
    <mergeCell ref="P124:P125"/>
    <mergeCell ref="K124:K125"/>
    <mergeCell ref="L124:L125"/>
    <mergeCell ref="A124:A126"/>
    <mergeCell ref="B124:B126"/>
    <mergeCell ref="C124:C125"/>
    <mergeCell ref="F124:F125"/>
    <mergeCell ref="L104:L105"/>
    <mergeCell ref="O123:Q123"/>
    <mergeCell ref="M114:M115"/>
    <mergeCell ref="N114:N115"/>
    <mergeCell ref="O114:O115"/>
    <mergeCell ref="P114:P115"/>
    <mergeCell ref="C116:Q116"/>
    <mergeCell ref="A121:Q121"/>
    <mergeCell ref="I114:I115"/>
    <mergeCell ref="J114:J115"/>
    <mergeCell ref="F104:F105"/>
    <mergeCell ref="P104:P105"/>
    <mergeCell ref="Q104:Q105"/>
    <mergeCell ref="H114:H115"/>
    <mergeCell ref="C106:Q106"/>
    <mergeCell ref="A111:Q111"/>
    <mergeCell ref="A112:Q112"/>
    <mergeCell ref="O113:Q113"/>
    <mergeCell ref="J104:J105"/>
    <mergeCell ref="K104:K105"/>
    <mergeCell ref="G94:G95"/>
    <mergeCell ref="M104:M105"/>
    <mergeCell ref="N104:N105"/>
    <mergeCell ref="O104:O105"/>
    <mergeCell ref="A101:Q101"/>
    <mergeCell ref="A102:Q102"/>
    <mergeCell ref="O103:Q103"/>
    <mergeCell ref="A104:A106"/>
    <mergeCell ref="B104:B106"/>
    <mergeCell ref="C104:C105"/>
    <mergeCell ref="A92:Q92"/>
    <mergeCell ref="G104:G105"/>
    <mergeCell ref="H104:H105"/>
    <mergeCell ref="I104:I105"/>
    <mergeCell ref="Q94:Q95"/>
    <mergeCell ref="C96:Q96"/>
    <mergeCell ref="K94:K95"/>
    <mergeCell ref="L94:L95"/>
    <mergeCell ref="M94:M95"/>
    <mergeCell ref="N94:N95"/>
    <mergeCell ref="P84:P85"/>
    <mergeCell ref="Q84:Q85"/>
    <mergeCell ref="C86:Q86"/>
    <mergeCell ref="A91:Q91"/>
    <mergeCell ref="L84:L85"/>
    <mergeCell ref="M84:M85"/>
    <mergeCell ref="N84:N85"/>
    <mergeCell ref="O84:O85"/>
    <mergeCell ref="O83:Q83"/>
    <mergeCell ref="A84:A86"/>
    <mergeCell ref="B84:B86"/>
    <mergeCell ref="C84:C85"/>
    <mergeCell ref="F84:F85"/>
    <mergeCell ref="G84:G85"/>
    <mergeCell ref="H84:H85"/>
    <mergeCell ref="I84:I85"/>
    <mergeCell ref="J84:J85"/>
    <mergeCell ref="K84:K85"/>
    <mergeCell ref="A81:Q81"/>
    <mergeCell ref="L54:L55"/>
    <mergeCell ref="M54:M55"/>
    <mergeCell ref="N54:N55"/>
    <mergeCell ref="O54:O55"/>
    <mergeCell ref="H54:H55"/>
    <mergeCell ref="I54:I55"/>
    <mergeCell ref="J54:J55"/>
    <mergeCell ref="K54:K55"/>
    <mergeCell ref="G54:G55"/>
    <mergeCell ref="O53:Q53"/>
    <mergeCell ref="C44:C45"/>
    <mergeCell ref="F44:F45"/>
    <mergeCell ref="G44:G45"/>
    <mergeCell ref="O44:O45"/>
    <mergeCell ref="P44:P45"/>
    <mergeCell ref="Q44:Q45"/>
    <mergeCell ref="O43:Q43"/>
    <mergeCell ref="A44:A46"/>
    <mergeCell ref="B44:B46"/>
    <mergeCell ref="H44:H45"/>
    <mergeCell ref="I44:I45"/>
    <mergeCell ref="C46:Q46"/>
    <mergeCell ref="M44:M45"/>
    <mergeCell ref="N44:N45"/>
    <mergeCell ref="Q34:Q35"/>
    <mergeCell ref="A54:A56"/>
    <mergeCell ref="B54:B56"/>
    <mergeCell ref="C54:C55"/>
    <mergeCell ref="F54:F55"/>
    <mergeCell ref="C56:Q56"/>
    <mergeCell ref="P54:P55"/>
    <mergeCell ref="Q54:Q55"/>
    <mergeCell ref="A41:Q41"/>
    <mergeCell ref="A42:Q42"/>
    <mergeCell ref="L34:L35"/>
    <mergeCell ref="M34:M35"/>
    <mergeCell ref="N34:N35"/>
    <mergeCell ref="G34:G35"/>
    <mergeCell ref="H34:H35"/>
    <mergeCell ref="P34:P35"/>
    <mergeCell ref="A1:Q1"/>
    <mergeCell ref="A2:Q2"/>
    <mergeCell ref="O3:Q3"/>
    <mergeCell ref="A4:A6"/>
    <mergeCell ref="B4:B6"/>
    <mergeCell ref="C4:C5"/>
    <mergeCell ref="F4:F5"/>
    <mergeCell ref="O4:O5"/>
    <mergeCell ref="P4:P5"/>
    <mergeCell ref="Q4:Q5"/>
    <mergeCell ref="C6:Q6"/>
    <mergeCell ref="M4:M5"/>
    <mergeCell ref="N4:N5"/>
    <mergeCell ref="I4:I5"/>
    <mergeCell ref="J4:J5"/>
    <mergeCell ref="G4:G5"/>
    <mergeCell ref="H4:H5"/>
    <mergeCell ref="K4:K5"/>
    <mergeCell ref="L4:L5"/>
    <mergeCell ref="I14:I15"/>
    <mergeCell ref="J14:J15"/>
    <mergeCell ref="A14:A16"/>
    <mergeCell ref="B14:B16"/>
    <mergeCell ref="C14:C15"/>
    <mergeCell ref="F14:F15"/>
    <mergeCell ref="C16:Q16"/>
    <mergeCell ref="G14:G15"/>
    <mergeCell ref="H14:H15"/>
    <mergeCell ref="A11:Q11"/>
    <mergeCell ref="A12:Q12"/>
    <mergeCell ref="O13:Q13"/>
    <mergeCell ref="O14:O15"/>
    <mergeCell ref="P14:P15"/>
    <mergeCell ref="Q14:Q15"/>
    <mergeCell ref="K14:K15"/>
    <mergeCell ref="L14:L15"/>
    <mergeCell ref="M14:M15"/>
    <mergeCell ref="N14:N15"/>
    <mergeCell ref="A162:Q162"/>
    <mergeCell ref="N144:N145"/>
    <mergeCell ref="O144:O145"/>
    <mergeCell ref="P144:P145"/>
    <mergeCell ref="Q144:Q145"/>
    <mergeCell ref="K144:K145"/>
    <mergeCell ref="L144:L145"/>
    <mergeCell ref="M144:M145"/>
    <mergeCell ref="A154:A156"/>
    <mergeCell ref="C146:Q146"/>
    <mergeCell ref="A141:Q141"/>
    <mergeCell ref="G134:G135"/>
    <mergeCell ref="H134:H135"/>
    <mergeCell ref="I134:I135"/>
    <mergeCell ref="J134:J135"/>
    <mergeCell ref="K134:K135"/>
    <mergeCell ref="L134:L135"/>
    <mergeCell ref="M134:M135"/>
    <mergeCell ref="N134:N135"/>
    <mergeCell ref="O134:O135"/>
    <mergeCell ref="A122:Q122"/>
    <mergeCell ref="K114:K115"/>
    <mergeCell ref="L114:L115"/>
    <mergeCell ref="A114:A116"/>
    <mergeCell ref="B114:B116"/>
    <mergeCell ref="C114:C115"/>
    <mergeCell ref="F114:F115"/>
    <mergeCell ref="Q114:Q115"/>
    <mergeCell ref="G114:G115"/>
    <mergeCell ref="C26:Q26"/>
    <mergeCell ref="A32:Q32"/>
    <mergeCell ref="K24:K25"/>
    <mergeCell ref="L24:L25"/>
    <mergeCell ref="M24:M25"/>
    <mergeCell ref="N24:N25"/>
    <mergeCell ref="I24:I25"/>
    <mergeCell ref="J24:J25"/>
    <mergeCell ref="O24:O25"/>
    <mergeCell ref="O33:Q33"/>
    <mergeCell ref="A34:A36"/>
    <mergeCell ref="B34:B36"/>
    <mergeCell ref="C34:C35"/>
    <mergeCell ref="F34:F35"/>
    <mergeCell ref="I34:I35"/>
    <mergeCell ref="J34:J35"/>
    <mergeCell ref="O34:O35"/>
    <mergeCell ref="C36:Q36"/>
    <mergeCell ref="K34:K35"/>
    <mergeCell ref="A22:Q22"/>
    <mergeCell ref="O23:Q23"/>
    <mergeCell ref="A24:A26"/>
    <mergeCell ref="B24:B26"/>
    <mergeCell ref="C24:C25"/>
    <mergeCell ref="F24:F25"/>
    <mergeCell ref="G24:G25"/>
    <mergeCell ref="H24:H25"/>
    <mergeCell ref="P24:P25"/>
    <mergeCell ref="Q24:Q25"/>
    <mergeCell ref="O93:Q93"/>
    <mergeCell ref="A94:A96"/>
    <mergeCell ref="B94:B96"/>
    <mergeCell ref="C94:C95"/>
    <mergeCell ref="F94:F95"/>
    <mergeCell ref="I94:I95"/>
    <mergeCell ref="J94:J95"/>
    <mergeCell ref="O94:O95"/>
    <mergeCell ref="P94:P95"/>
    <mergeCell ref="H94:H95"/>
    <mergeCell ref="Q134:Q135"/>
    <mergeCell ref="C136:Q136"/>
    <mergeCell ref="A82:Q82"/>
    <mergeCell ref="A51:Q51"/>
    <mergeCell ref="A52:Q52"/>
    <mergeCell ref="A21:Q21"/>
    <mergeCell ref="A31:Q31"/>
    <mergeCell ref="J44:J45"/>
    <mergeCell ref="K44:K45"/>
    <mergeCell ref="L44:L45"/>
    <mergeCell ref="H64:H65"/>
    <mergeCell ref="I64:I65"/>
    <mergeCell ref="A131:Q131"/>
    <mergeCell ref="A132:Q132"/>
    <mergeCell ref="O133:Q133"/>
    <mergeCell ref="A134:A136"/>
    <mergeCell ref="B134:B136"/>
    <mergeCell ref="C134:C135"/>
    <mergeCell ref="F134:F135"/>
    <mergeCell ref="P134:P135"/>
    <mergeCell ref="N64:N65"/>
    <mergeCell ref="O64:O65"/>
    <mergeCell ref="A61:Q61"/>
    <mergeCell ref="A62:Q62"/>
    <mergeCell ref="O63:Q63"/>
    <mergeCell ref="A64:A66"/>
    <mergeCell ref="B64:B66"/>
    <mergeCell ref="C64:C65"/>
    <mergeCell ref="F64:F65"/>
    <mergeCell ref="G64:G65"/>
    <mergeCell ref="P64:P65"/>
    <mergeCell ref="Q64:Q65"/>
    <mergeCell ref="C66:Q66"/>
    <mergeCell ref="A71:Q71"/>
    <mergeCell ref="A72:Q72"/>
    <mergeCell ref="O73:Q73"/>
    <mergeCell ref="J64:J65"/>
    <mergeCell ref="K64:K65"/>
    <mergeCell ref="L64:L65"/>
    <mergeCell ref="M64:M65"/>
    <mergeCell ref="A74:A76"/>
    <mergeCell ref="B74:B76"/>
    <mergeCell ref="C74:C75"/>
    <mergeCell ref="F74:F75"/>
    <mergeCell ref="G74:G75"/>
    <mergeCell ref="H74:H75"/>
    <mergeCell ref="O74:O75"/>
    <mergeCell ref="P74:P75"/>
    <mergeCell ref="Q74:Q75"/>
    <mergeCell ref="C76:Q76"/>
    <mergeCell ref="I74:I75"/>
    <mergeCell ref="J74:J75"/>
    <mergeCell ref="K74:K75"/>
    <mergeCell ref="L74:L75"/>
    <mergeCell ref="M74:M75"/>
    <mergeCell ref="N74:N75"/>
  </mergeCells>
  <phoneticPr fontId="0" type="noConversion"/>
  <pageMargins left="0.78740157480314965" right="0.15748031496062992" top="0.39370078740157483" bottom="0.39370078740157483" header="0.31496062992125984" footer="0.15748031496062992"/>
  <pageSetup paperSize="5" scale="93" orientation="landscape" r:id="rId1"/>
  <headerFooter>
    <oddFooter>&amp;Z&amp;F&amp;RPage &amp;P</oddFooter>
  </headerFooter>
  <rowBreaks count="8" manualBreakCount="8">
    <brk id="20" max="16" man="1"/>
    <brk id="40" max="16" man="1"/>
    <brk id="60" max="16" man="1"/>
    <brk id="80" max="16" man="1"/>
    <brk id="100" max="16" man="1"/>
    <brk id="120" max="16" man="1"/>
    <brk id="140" max="16" man="1"/>
    <brk id="160"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2"/>
  <sheetViews>
    <sheetView view="pageBreakPreview" topLeftCell="A281" zoomScaleNormal="75" zoomScaleSheetLayoutView="100" workbookViewId="0">
      <selection activeCell="T301" sqref="T301"/>
    </sheetView>
  </sheetViews>
  <sheetFormatPr defaultRowHeight="20.25"/>
  <cols>
    <col min="1" max="1" width="9.7109375" style="2" customWidth="1"/>
    <col min="2" max="2" width="18.5703125" style="2" customWidth="1"/>
    <col min="3" max="3" width="11" style="2" customWidth="1"/>
    <col min="4" max="4" width="10.5703125" style="2" customWidth="1"/>
    <col min="5" max="5" width="11" style="2" customWidth="1"/>
    <col min="6" max="6" width="12.42578125" style="2" customWidth="1"/>
    <col min="7" max="7" width="10.7109375" style="2" customWidth="1"/>
    <col min="8" max="8" width="11.42578125" style="2" customWidth="1"/>
    <col min="9" max="9" width="11" style="2" customWidth="1"/>
    <col min="10" max="10" width="11.140625" style="2" customWidth="1"/>
    <col min="11" max="11" width="11.5703125" style="2" customWidth="1"/>
    <col min="12" max="12" width="2.7109375" style="2" customWidth="1"/>
    <col min="13" max="13" width="18.28515625" style="2" customWidth="1"/>
    <col min="14" max="14" width="13.28515625" style="2" customWidth="1"/>
    <col min="15" max="15" width="12.28515625" style="2" customWidth="1"/>
    <col min="16" max="16" width="11.7109375" style="2" customWidth="1"/>
    <col min="17" max="16384" width="9.140625" style="2"/>
  </cols>
  <sheetData>
    <row r="1" spans="1:17">
      <c r="A1" s="387" t="s">
        <v>124</v>
      </c>
      <c r="B1" s="388"/>
      <c r="C1" s="388"/>
      <c r="D1" s="388"/>
      <c r="E1" s="388"/>
      <c r="F1" s="388"/>
      <c r="G1" s="388"/>
      <c r="H1" s="388"/>
      <c r="I1" s="388"/>
      <c r="J1" s="388"/>
      <c r="K1" s="388"/>
      <c r="L1" s="388"/>
      <c r="M1" s="388"/>
      <c r="N1" s="388"/>
      <c r="O1" s="388"/>
      <c r="P1" s="388"/>
    </row>
    <row r="2" spans="1:17" ht="24" customHeight="1">
      <c r="A2" s="326" t="s">
        <v>31</v>
      </c>
      <c r="B2" s="327"/>
      <c r="C2" s="327"/>
      <c r="D2" s="327"/>
      <c r="E2" s="327"/>
      <c r="F2" s="327"/>
      <c r="G2" s="327"/>
      <c r="H2" s="327"/>
      <c r="I2" s="327"/>
      <c r="J2" s="327"/>
      <c r="K2" s="327"/>
      <c r="L2" s="327"/>
      <c r="M2" s="327"/>
      <c r="N2" s="327"/>
      <c r="O2" s="327"/>
      <c r="P2" s="327"/>
      <c r="Q2" s="30"/>
    </row>
    <row r="3" spans="1:17" ht="21" customHeight="1">
      <c r="A3" s="328" t="s">
        <v>1</v>
      </c>
      <c r="B3" s="329"/>
      <c r="C3" s="329"/>
      <c r="D3" s="329"/>
      <c r="E3" s="329"/>
      <c r="F3" s="329"/>
      <c r="G3" s="329"/>
      <c r="H3" s="329"/>
      <c r="I3" s="329"/>
      <c r="J3" s="329"/>
      <c r="K3" s="329"/>
      <c r="L3" s="253"/>
      <c r="M3" s="253"/>
      <c r="N3" s="253"/>
      <c r="O3" s="253"/>
      <c r="P3" s="253"/>
    </row>
    <row r="4" spans="1:17">
      <c r="A4" s="378" t="s">
        <v>2</v>
      </c>
      <c r="B4" s="384" t="s">
        <v>3</v>
      </c>
      <c r="C4" s="385"/>
      <c r="D4" s="385"/>
      <c r="E4" s="385"/>
      <c r="F4" s="385"/>
      <c r="G4" s="385"/>
      <c r="H4" s="385"/>
      <c r="I4" s="385"/>
      <c r="J4" s="385"/>
      <c r="K4" s="386"/>
      <c r="L4" s="253"/>
      <c r="M4" s="253"/>
      <c r="N4" s="253"/>
      <c r="O4" s="253"/>
      <c r="P4" s="253"/>
    </row>
    <row r="5" spans="1:17">
      <c r="A5" s="379"/>
      <c r="B5" s="255"/>
      <c r="C5" s="378" t="s">
        <v>4</v>
      </c>
      <c r="D5" s="379"/>
      <c r="E5" s="379"/>
      <c r="F5" s="379"/>
      <c r="G5" s="378" t="s">
        <v>5</v>
      </c>
      <c r="H5" s="379"/>
      <c r="I5" s="379"/>
      <c r="J5" s="379"/>
      <c r="K5" s="254" t="s">
        <v>6</v>
      </c>
      <c r="L5" s="253"/>
      <c r="M5" s="253"/>
      <c r="N5" s="253"/>
      <c r="O5" s="253"/>
      <c r="P5" s="253"/>
    </row>
    <row r="6" spans="1:17">
      <c r="A6" s="380" t="s">
        <v>7</v>
      </c>
      <c r="B6" s="256" t="s">
        <v>8</v>
      </c>
      <c r="C6" s="257" t="s">
        <v>9</v>
      </c>
      <c r="D6" s="257" t="s">
        <v>10</v>
      </c>
      <c r="E6" s="257" t="s">
        <v>11</v>
      </c>
      <c r="F6" s="257" t="s">
        <v>6</v>
      </c>
      <c r="G6" s="257" t="s">
        <v>9</v>
      </c>
      <c r="H6" s="257" t="s">
        <v>10</v>
      </c>
      <c r="I6" s="257" t="s">
        <v>11</v>
      </c>
      <c r="J6" s="257" t="s">
        <v>6</v>
      </c>
      <c r="K6" s="257" t="s">
        <v>6</v>
      </c>
      <c r="L6" s="253"/>
      <c r="M6" s="253"/>
      <c r="N6" s="253"/>
      <c r="O6" s="253"/>
      <c r="P6" s="253"/>
    </row>
    <row r="7" spans="1:17">
      <c r="A7" s="381"/>
      <c r="B7" s="258" t="s">
        <v>12</v>
      </c>
      <c r="C7" s="259">
        <v>0</v>
      </c>
      <c r="D7" s="259">
        <v>0</v>
      </c>
      <c r="E7" s="259">
        <v>0</v>
      </c>
      <c r="F7" s="260">
        <f t="shared" ref="F7:F16" si="0">SUM(C7:E7)</f>
        <v>0</v>
      </c>
      <c r="G7" s="259">
        <v>0</v>
      </c>
      <c r="H7" s="259">
        <v>0</v>
      </c>
      <c r="I7" s="259">
        <v>0</v>
      </c>
      <c r="J7" s="260">
        <f>SUM(G7:I7)</f>
        <v>0</v>
      </c>
      <c r="K7" s="260">
        <f>SUM(J7,F7)</f>
        <v>0</v>
      </c>
      <c r="L7" s="253"/>
      <c r="M7" s="253"/>
      <c r="N7" s="253"/>
      <c r="O7" s="253"/>
      <c r="P7" s="253"/>
    </row>
    <row r="8" spans="1:17">
      <c r="A8" s="381"/>
      <c r="B8" s="256" t="s">
        <v>13</v>
      </c>
      <c r="C8" s="259">
        <v>0</v>
      </c>
      <c r="D8" s="259">
        <v>0</v>
      </c>
      <c r="E8" s="259">
        <v>0</v>
      </c>
      <c r="F8" s="260">
        <f t="shared" si="0"/>
        <v>0</v>
      </c>
      <c r="G8" s="259">
        <v>0</v>
      </c>
      <c r="H8" s="259">
        <v>0</v>
      </c>
      <c r="I8" s="259">
        <v>0</v>
      </c>
      <c r="J8" s="260">
        <f t="shared" ref="J8:J16" si="1">SUM(G8:I8)</f>
        <v>0</v>
      </c>
      <c r="K8" s="260">
        <f t="shared" ref="K8:K16" si="2">SUM(J8,F8)</f>
        <v>0</v>
      </c>
      <c r="L8" s="253"/>
      <c r="M8" s="253"/>
      <c r="N8" s="253"/>
      <c r="O8" s="253"/>
      <c r="P8" s="253"/>
    </row>
    <row r="9" spans="1:17">
      <c r="A9" s="381"/>
      <c r="B9" s="256" t="s">
        <v>14</v>
      </c>
      <c r="C9" s="259">
        <v>0</v>
      </c>
      <c r="D9" s="259">
        <v>0</v>
      </c>
      <c r="E9" s="259">
        <v>0</v>
      </c>
      <c r="F9" s="260">
        <f t="shared" si="0"/>
        <v>0</v>
      </c>
      <c r="G9" s="259">
        <v>0</v>
      </c>
      <c r="H9" s="259">
        <v>0</v>
      </c>
      <c r="I9" s="259">
        <v>0</v>
      </c>
      <c r="J9" s="260">
        <f t="shared" si="1"/>
        <v>0</v>
      </c>
      <c r="K9" s="260">
        <f t="shared" si="2"/>
        <v>0</v>
      </c>
      <c r="L9" s="253"/>
      <c r="M9" s="253"/>
      <c r="N9" s="253"/>
      <c r="O9" s="253"/>
      <c r="P9" s="253"/>
    </row>
    <row r="10" spans="1:17" ht="21" thickBot="1">
      <c r="A10" s="381"/>
      <c r="B10" s="261" t="s">
        <v>6</v>
      </c>
      <c r="C10" s="262">
        <f>SUM(C8:C9)</f>
        <v>0</v>
      </c>
      <c r="D10" s="262">
        <f>SUM(D8:D9)</f>
        <v>0</v>
      </c>
      <c r="E10" s="262">
        <f>SUM(E8:E9)</f>
        <v>0</v>
      </c>
      <c r="F10" s="262">
        <f t="shared" si="0"/>
        <v>0</v>
      </c>
      <c r="G10" s="262">
        <f>SUM(G8:G9)</f>
        <v>0</v>
      </c>
      <c r="H10" s="262">
        <f>SUM(H8:H9)</f>
        <v>0</v>
      </c>
      <c r="I10" s="262">
        <f>SUM(I8:I9)</f>
        <v>0</v>
      </c>
      <c r="J10" s="262">
        <f>SUM(J8:J9)</f>
        <v>0</v>
      </c>
      <c r="K10" s="262">
        <f>SUM(K8:K9)</f>
        <v>0</v>
      </c>
      <c r="L10" s="253"/>
      <c r="M10" s="253"/>
      <c r="N10" s="253"/>
      <c r="O10" s="253"/>
      <c r="P10" s="253"/>
    </row>
    <row r="11" spans="1:17" ht="21" thickTop="1">
      <c r="A11" s="381"/>
      <c r="B11" s="263" t="s">
        <v>15</v>
      </c>
      <c r="C11" s="259">
        <v>0</v>
      </c>
      <c r="D11" s="259">
        <v>0</v>
      </c>
      <c r="E11" s="259">
        <v>0</v>
      </c>
      <c r="F11" s="260">
        <f t="shared" si="0"/>
        <v>0</v>
      </c>
      <c r="G11" s="264">
        <v>0</v>
      </c>
      <c r="H11" s="259">
        <v>0</v>
      </c>
      <c r="I11" s="264">
        <v>0</v>
      </c>
      <c r="J11" s="260">
        <f t="shared" si="1"/>
        <v>0</v>
      </c>
      <c r="K11" s="260">
        <f t="shared" si="2"/>
        <v>0</v>
      </c>
      <c r="L11" s="253"/>
      <c r="M11" s="253"/>
      <c r="N11" s="253"/>
      <c r="O11" s="253"/>
      <c r="P11" s="253"/>
    </row>
    <row r="12" spans="1:17">
      <c r="A12" s="381"/>
      <c r="B12" s="256" t="s">
        <v>16</v>
      </c>
      <c r="C12" s="259">
        <v>0</v>
      </c>
      <c r="D12" s="259">
        <v>0</v>
      </c>
      <c r="E12" s="259">
        <v>0</v>
      </c>
      <c r="F12" s="260">
        <f t="shared" si="0"/>
        <v>0</v>
      </c>
      <c r="G12" s="259">
        <v>0</v>
      </c>
      <c r="H12" s="259">
        <v>0</v>
      </c>
      <c r="I12" s="259">
        <v>0</v>
      </c>
      <c r="J12" s="260">
        <f t="shared" si="1"/>
        <v>0</v>
      </c>
      <c r="K12" s="260">
        <f t="shared" si="2"/>
        <v>0</v>
      </c>
      <c r="L12" s="253"/>
      <c r="M12" s="253"/>
      <c r="N12" s="253"/>
      <c r="O12" s="253"/>
      <c r="P12" s="253"/>
    </row>
    <row r="13" spans="1:17">
      <c r="A13" s="381"/>
      <c r="B13" s="256" t="s">
        <v>17</v>
      </c>
      <c r="C13" s="259">
        <v>0</v>
      </c>
      <c r="D13" s="259">
        <v>0</v>
      </c>
      <c r="E13" s="259">
        <v>0</v>
      </c>
      <c r="F13" s="260">
        <f t="shared" si="0"/>
        <v>0</v>
      </c>
      <c r="G13" s="259">
        <v>0</v>
      </c>
      <c r="H13" s="259">
        <v>0</v>
      </c>
      <c r="I13" s="259">
        <v>0</v>
      </c>
      <c r="J13" s="260">
        <f t="shared" si="1"/>
        <v>0</v>
      </c>
      <c r="K13" s="260">
        <f t="shared" si="2"/>
        <v>0</v>
      </c>
      <c r="L13" s="253"/>
      <c r="M13" s="253"/>
      <c r="N13" s="253"/>
      <c r="O13" s="253"/>
      <c r="P13" s="253"/>
    </row>
    <row r="14" spans="1:17">
      <c r="A14" s="381"/>
      <c r="B14" s="256" t="s">
        <v>18</v>
      </c>
      <c r="C14" s="259">
        <v>0</v>
      </c>
      <c r="D14" s="259">
        <v>0</v>
      </c>
      <c r="E14" s="259">
        <v>0</v>
      </c>
      <c r="F14" s="260">
        <f t="shared" si="0"/>
        <v>0</v>
      </c>
      <c r="G14" s="259">
        <v>0</v>
      </c>
      <c r="H14" s="259">
        <v>0</v>
      </c>
      <c r="I14" s="259">
        <v>0</v>
      </c>
      <c r="J14" s="260">
        <f t="shared" si="1"/>
        <v>0</v>
      </c>
      <c r="K14" s="260">
        <f t="shared" si="2"/>
        <v>0</v>
      </c>
      <c r="L14" s="253"/>
      <c r="M14" s="253"/>
      <c r="N14" s="253"/>
      <c r="O14" s="253"/>
      <c r="P14" s="253"/>
    </row>
    <row r="15" spans="1:17" ht="31.5">
      <c r="A15" s="381"/>
      <c r="B15" s="265" t="s">
        <v>86</v>
      </c>
      <c r="C15" s="259">
        <v>0</v>
      </c>
      <c r="D15" s="259">
        <v>0</v>
      </c>
      <c r="E15" s="259">
        <v>0</v>
      </c>
      <c r="F15" s="260">
        <f t="shared" si="0"/>
        <v>0</v>
      </c>
      <c r="G15" s="259">
        <v>0</v>
      </c>
      <c r="H15" s="259">
        <v>0</v>
      </c>
      <c r="I15" s="259">
        <v>0</v>
      </c>
      <c r="J15" s="260">
        <f t="shared" si="1"/>
        <v>0</v>
      </c>
      <c r="K15" s="260">
        <f t="shared" si="2"/>
        <v>0</v>
      </c>
      <c r="L15" s="253"/>
      <c r="M15" s="253"/>
      <c r="N15" s="253"/>
      <c r="O15" s="253"/>
      <c r="P15" s="253"/>
    </row>
    <row r="16" spans="1:17">
      <c r="A16" s="381"/>
      <c r="B16" s="256" t="s">
        <v>19</v>
      </c>
      <c r="C16" s="259">
        <v>0</v>
      </c>
      <c r="D16" s="259">
        <v>0</v>
      </c>
      <c r="E16" s="259">
        <v>0</v>
      </c>
      <c r="F16" s="260">
        <f t="shared" si="0"/>
        <v>0</v>
      </c>
      <c r="G16" s="259">
        <v>0</v>
      </c>
      <c r="H16" s="259">
        <v>0</v>
      </c>
      <c r="I16" s="259">
        <v>0</v>
      </c>
      <c r="J16" s="260">
        <f t="shared" si="1"/>
        <v>0</v>
      </c>
      <c r="K16" s="260">
        <f t="shared" si="2"/>
        <v>0</v>
      </c>
      <c r="L16" s="253"/>
      <c r="M16" s="253"/>
      <c r="N16" s="253"/>
      <c r="O16" s="253"/>
      <c r="P16" s="253"/>
    </row>
    <row r="17" spans="1:16" ht="21" thickBot="1">
      <c r="A17" s="382"/>
      <c r="B17" s="266" t="s">
        <v>6</v>
      </c>
      <c r="C17" s="262">
        <f>SUM(C10:C16)</f>
        <v>0</v>
      </c>
      <c r="D17" s="262">
        <f t="shared" ref="D17:K17" si="3">SUM(D10:D16)</f>
        <v>0</v>
      </c>
      <c r="E17" s="262">
        <f t="shared" si="3"/>
        <v>0</v>
      </c>
      <c r="F17" s="262">
        <f t="shared" si="3"/>
        <v>0</v>
      </c>
      <c r="G17" s="262">
        <f t="shared" si="3"/>
        <v>0</v>
      </c>
      <c r="H17" s="262">
        <f t="shared" si="3"/>
        <v>0</v>
      </c>
      <c r="I17" s="262">
        <f t="shared" si="3"/>
        <v>0</v>
      </c>
      <c r="J17" s="262">
        <f t="shared" si="3"/>
        <v>0</v>
      </c>
      <c r="K17" s="262">
        <f t="shared" si="3"/>
        <v>0</v>
      </c>
      <c r="L17" s="253"/>
      <c r="M17" s="253"/>
      <c r="N17" s="253"/>
      <c r="O17" s="253"/>
      <c r="P17" s="253"/>
    </row>
    <row r="18" spans="1:16" ht="17.25" customHeight="1" thickTop="1">
      <c r="A18" s="253"/>
      <c r="B18" s="253"/>
      <c r="C18" s="253"/>
      <c r="D18" s="253"/>
      <c r="E18" s="253"/>
      <c r="F18" s="253"/>
      <c r="G18" s="253"/>
      <c r="H18" s="253"/>
      <c r="I18" s="253"/>
      <c r="J18" s="253"/>
      <c r="K18" s="253"/>
      <c r="L18" s="253"/>
      <c r="M18" s="253"/>
      <c r="N18" s="253"/>
      <c r="O18" s="253"/>
      <c r="P18" s="253"/>
    </row>
    <row r="19" spans="1:16">
      <c r="A19" s="378" t="s">
        <v>2</v>
      </c>
      <c r="B19" s="384" t="s">
        <v>20</v>
      </c>
      <c r="C19" s="385"/>
      <c r="D19" s="385"/>
      <c r="E19" s="385"/>
      <c r="F19" s="385"/>
      <c r="G19" s="385"/>
      <c r="H19" s="385"/>
      <c r="I19" s="385"/>
      <c r="J19" s="385"/>
      <c r="K19" s="386"/>
      <c r="L19" s="253"/>
      <c r="M19" s="375" t="s">
        <v>21</v>
      </c>
      <c r="N19" s="376"/>
      <c r="O19" s="376"/>
      <c r="P19" s="377"/>
    </row>
    <row r="20" spans="1:16" ht="21" thickBot="1">
      <c r="A20" s="379"/>
      <c r="B20" s="255"/>
      <c r="C20" s="378" t="s">
        <v>4</v>
      </c>
      <c r="D20" s="379"/>
      <c r="E20" s="379"/>
      <c r="F20" s="379"/>
      <c r="G20" s="378" t="s">
        <v>5</v>
      </c>
      <c r="H20" s="379"/>
      <c r="I20" s="379"/>
      <c r="J20" s="379"/>
      <c r="K20" s="254" t="s">
        <v>6</v>
      </c>
      <c r="L20" s="253"/>
      <c r="M20" s="256" t="s">
        <v>8</v>
      </c>
      <c r="N20" s="256" t="s">
        <v>3</v>
      </c>
      <c r="O20" s="256" t="s">
        <v>20</v>
      </c>
      <c r="P20" s="266" t="s">
        <v>6</v>
      </c>
    </row>
    <row r="21" spans="1:16" ht="21" customHeight="1" thickTop="1">
      <c r="A21" s="380" t="s">
        <v>7</v>
      </c>
      <c r="B21" s="256" t="s">
        <v>8</v>
      </c>
      <c r="C21" s="257" t="s">
        <v>9</v>
      </c>
      <c r="D21" s="257" t="s">
        <v>10</v>
      </c>
      <c r="E21" s="257" t="s">
        <v>11</v>
      </c>
      <c r="F21" s="257" t="s">
        <v>6</v>
      </c>
      <c r="G21" s="257" t="s">
        <v>9</v>
      </c>
      <c r="H21" s="257" t="s">
        <v>10</v>
      </c>
      <c r="I21" s="257" t="s">
        <v>11</v>
      </c>
      <c r="J21" s="257" t="s">
        <v>6</v>
      </c>
      <c r="K21" s="257" t="s">
        <v>6</v>
      </c>
      <c r="L21" s="253"/>
      <c r="M21" s="258" t="s">
        <v>12</v>
      </c>
      <c r="N21" s="267">
        <f>K7</f>
        <v>0</v>
      </c>
      <c r="O21" s="267">
        <f>K22</f>
        <v>19</v>
      </c>
      <c r="P21" s="268">
        <f>SUM(N21:O21)</f>
        <v>19</v>
      </c>
    </row>
    <row r="22" spans="1:16">
      <c r="A22" s="381"/>
      <c r="B22" s="258" t="s">
        <v>12</v>
      </c>
      <c r="C22" s="259">
        <v>0</v>
      </c>
      <c r="D22" s="259">
        <v>17</v>
      </c>
      <c r="E22" s="259">
        <v>0</v>
      </c>
      <c r="F22" s="260">
        <f t="shared" ref="F22:F31" si="4">SUM(C22:E22)</f>
        <v>17</v>
      </c>
      <c r="G22" s="259">
        <v>0</v>
      </c>
      <c r="H22" s="259">
        <v>2</v>
      </c>
      <c r="I22" s="259">
        <v>0</v>
      </c>
      <c r="J22" s="260">
        <f>SUM(G22:I22)</f>
        <v>2</v>
      </c>
      <c r="K22" s="260">
        <f>SUM(J22,F22)</f>
        <v>19</v>
      </c>
      <c r="L22" s="253"/>
      <c r="M22" s="256" t="s">
        <v>13</v>
      </c>
      <c r="N22" s="267">
        <f>K8</f>
        <v>0</v>
      </c>
      <c r="O22" s="267">
        <f t="shared" ref="O22:O30" si="5">K23</f>
        <v>6402</v>
      </c>
      <c r="P22" s="268">
        <f t="shared" ref="P22:P30" si="6">SUM(N22:O22)</f>
        <v>6402</v>
      </c>
    </row>
    <row r="23" spans="1:16">
      <c r="A23" s="381"/>
      <c r="B23" s="256" t="s">
        <v>13</v>
      </c>
      <c r="C23" s="259">
        <v>0</v>
      </c>
      <c r="D23" s="259">
        <v>5771</v>
      </c>
      <c r="E23" s="259">
        <v>0</v>
      </c>
      <c r="F23" s="260">
        <f t="shared" si="4"/>
        <v>5771</v>
      </c>
      <c r="G23" s="259">
        <v>0</v>
      </c>
      <c r="H23" s="259">
        <v>631</v>
      </c>
      <c r="I23" s="259">
        <v>0</v>
      </c>
      <c r="J23" s="260">
        <f>SUM(G23:I23)</f>
        <v>631</v>
      </c>
      <c r="K23" s="260">
        <f>SUM(J23,F23)</f>
        <v>6402</v>
      </c>
      <c r="L23" s="253"/>
      <c r="M23" s="256" t="s">
        <v>14</v>
      </c>
      <c r="N23" s="267">
        <f>K9</f>
        <v>0</v>
      </c>
      <c r="O23" s="267">
        <f t="shared" si="5"/>
        <v>0</v>
      </c>
      <c r="P23" s="268">
        <f t="shared" si="6"/>
        <v>0</v>
      </c>
    </row>
    <row r="24" spans="1:16" ht="21" thickBot="1">
      <c r="A24" s="381"/>
      <c r="B24" s="256" t="s">
        <v>14</v>
      </c>
      <c r="C24" s="259">
        <v>0</v>
      </c>
      <c r="D24" s="259">
        <v>0</v>
      </c>
      <c r="E24" s="259">
        <v>0</v>
      </c>
      <c r="F24" s="260">
        <f t="shared" si="4"/>
        <v>0</v>
      </c>
      <c r="G24" s="259">
        <v>0</v>
      </c>
      <c r="H24" s="259">
        <v>0</v>
      </c>
      <c r="I24" s="259">
        <v>0</v>
      </c>
      <c r="J24" s="260">
        <f>SUM(G24:I24)</f>
        <v>0</v>
      </c>
      <c r="K24" s="260">
        <f>SUM(J24,F24)</f>
        <v>0</v>
      </c>
      <c r="L24" s="253"/>
      <c r="M24" s="261" t="s">
        <v>6</v>
      </c>
      <c r="N24" s="269">
        <f>K10</f>
        <v>0</v>
      </c>
      <c r="O24" s="269">
        <f t="shared" si="5"/>
        <v>6402</v>
      </c>
      <c r="P24" s="269">
        <f t="shared" si="6"/>
        <v>6402</v>
      </c>
    </row>
    <row r="25" spans="1:16" ht="21.75" thickTop="1" thickBot="1">
      <c r="A25" s="381"/>
      <c r="B25" s="261" t="s">
        <v>6</v>
      </c>
      <c r="C25" s="262">
        <f>SUM(C23:C24)</f>
        <v>0</v>
      </c>
      <c r="D25" s="262">
        <f>SUM(D23:D24)</f>
        <v>5771</v>
      </c>
      <c r="E25" s="262">
        <f>SUM(E23:E24)</f>
        <v>0</v>
      </c>
      <c r="F25" s="262">
        <f t="shared" si="4"/>
        <v>5771</v>
      </c>
      <c r="G25" s="262">
        <f>SUM(G23:G24)</f>
        <v>0</v>
      </c>
      <c r="H25" s="262">
        <f>SUM(H23:H24)</f>
        <v>631</v>
      </c>
      <c r="I25" s="262">
        <f>SUM(I23:I24)</f>
        <v>0</v>
      </c>
      <c r="J25" s="262">
        <f>SUM(J23:J24)</f>
        <v>631</v>
      </c>
      <c r="K25" s="262">
        <f>SUM(K23:K24)</f>
        <v>6402</v>
      </c>
      <c r="L25" s="253"/>
      <c r="M25" s="263" t="s">
        <v>16</v>
      </c>
      <c r="N25" s="270">
        <f>K12</f>
        <v>0</v>
      </c>
      <c r="O25" s="270">
        <f>K27</f>
        <v>4482</v>
      </c>
      <c r="P25" s="271">
        <f t="shared" si="6"/>
        <v>4482</v>
      </c>
    </row>
    <row r="26" spans="1:16" ht="21" thickTop="1">
      <c r="A26" s="381"/>
      <c r="B26" s="263" t="s">
        <v>15</v>
      </c>
      <c r="C26" s="259">
        <v>0</v>
      </c>
      <c r="D26" s="259">
        <v>0</v>
      </c>
      <c r="E26" s="259">
        <v>0</v>
      </c>
      <c r="F26" s="260">
        <f t="shared" si="4"/>
        <v>0</v>
      </c>
      <c r="G26" s="264">
        <v>0</v>
      </c>
      <c r="H26" s="259">
        <v>0</v>
      </c>
      <c r="I26" s="264">
        <v>0</v>
      </c>
      <c r="J26" s="260">
        <f t="shared" ref="J26:J31" si="7">SUM(G26:I26)</f>
        <v>0</v>
      </c>
      <c r="K26" s="260">
        <f t="shared" ref="K26:K31" si="8">SUM(J26,F26)</f>
        <v>0</v>
      </c>
      <c r="L26" s="253"/>
      <c r="M26" s="263" t="s">
        <v>15</v>
      </c>
      <c r="N26" s="267">
        <f>$K$11</f>
        <v>0</v>
      </c>
      <c r="O26" s="267">
        <f>SUM(K26)</f>
        <v>0</v>
      </c>
      <c r="P26" s="271">
        <f t="shared" si="6"/>
        <v>0</v>
      </c>
    </row>
    <row r="27" spans="1:16">
      <c r="A27" s="381"/>
      <c r="B27" s="256" t="s">
        <v>16</v>
      </c>
      <c r="C27" s="259">
        <v>0</v>
      </c>
      <c r="D27" s="259">
        <v>4040</v>
      </c>
      <c r="E27" s="259">
        <v>0</v>
      </c>
      <c r="F27" s="260">
        <f t="shared" si="4"/>
        <v>4040</v>
      </c>
      <c r="G27" s="259">
        <v>0</v>
      </c>
      <c r="H27" s="259">
        <v>442</v>
      </c>
      <c r="I27" s="259">
        <v>0</v>
      </c>
      <c r="J27" s="260">
        <f t="shared" si="7"/>
        <v>442</v>
      </c>
      <c r="K27" s="260">
        <f t="shared" si="8"/>
        <v>4482</v>
      </c>
      <c r="L27" s="253"/>
      <c r="M27" s="256" t="s">
        <v>17</v>
      </c>
      <c r="N27" s="267">
        <f>K13</f>
        <v>0</v>
      </c>
      <c r="O27" s="267">
        <f t="shared" si="5"/>
        <v>46</v>
      </c>
      <c r="P27" s="268">
        <f t="shared" si="6"/>
        <v>46</v>
      </c>
    </row>
    <row r="28" spans="1:16">
      <c r="A28" s="381"/>
      <c r="B28" s="256" t="s">
        <v>17</v>
      </c>
      <c r="C28" s="259">
        <v>0</v>
      </c>
      <c r="D28" s="259">
        <v>41</v>
      </c>
      <c r="E28" s="259">
        <v>0</v>
      </c>
      <c r="F28" s="260">
        <f t="shared" si="4"/>
        <v>41</v>
      </c>
      <c r="G28" s="259">
        <v>0</v>
      </c>
      <c r="H28" s="259">
        <v>5</v>
      </c>
      <c r="I28" s="259">
        <v>0</v>
      </c>
      <c r="J28" s="260">
        <f t="shared" si="7"/>
        <v>5</v>
      </c>
      <c r="K28" s="260">
        <f t="shared" si="8"/>
        <v>46</v>
      </c>
      <c r="L28" s="253"/>
      <c r="M28" s="256" t="s">
        <v>18</v>
      </c>
      <c r="N28" s="267">
        <f>K14</f>
        <v>0</v>
      </c>
      <c r="O28" s="267">
        <f t="shared" si="5"/>
        <v>1920</v>
      </c>
      <c r="P28" s="268">
        <f t="shared" si="6"/>
        <v>1920</v>
      </c>
    </row>
    <row r="29" spans="1:16" ht="36" customHeight="1">
      <c r="A29" s="381"/>
      <c r="B29" s="256" t="s">
        <v>18</v>
      </c>
      <c r="C29" s="259">
        <v>0</v>
      </c>
      <c r="D29" s="259">
        <v>1731</v>
      </c>
      <c r="E29" s="259">
        <v>0</v>
      </c>
      <c r="F29" s="260">
        <f t="shared" si="4"/>
        <v>1731</v>
      </c>
      <c r="G29" s="259">
        <v>0</v>
      </c>
      <c r="H29" s="259">
        <v>189</v>
      </c>
      <c r="I29" s="259">
        <v>0</v>
      </c>
      <c r="J29" s="260">
        <f t="shared" si="7"/>
        <v>189</v>
      </c>
      <c r="K29" s="260">
        <f t="shared" si="8"/>
        <v>1920</v>
      </c>
      <c r="L29" s="253"/>
      <c r="M29" s="265" t="s">
        <v>86</v>
      </c>
      <c r="N29" s="259">
        <f>K15</f>
        <v>0</v>
      </c>
      <c r="O29" s="259">
        <f t="shared" si="5"/>
        <v>616</v>
      </c>
      <c r="P29" s="260">
        <f t="shared" si="6"/>
        <v>616</v>
      </c>
    </row>
    <row r="30" spans="1:16" ht="31.5">
      <c r="A30" s="381"/>
      <c r="B30" s="265" t="s">
        <v>86</v>
      </c>
      <c r="C30" s="259">
        <v>0</v>
      </c>
      <c r="D30" s="259">
        <v>551</v>
      </c>
      <c r="E30" s="259">
        <v>0</v>
      </c>
      <c r="F30" s="260">
        <f t="shared" si="4"/>
        <v>551</v>
      </c>
      <c r="G30" s="259">
        <v>0</v>
      </c>
      <c r="H30" s="259">
        <v>65</v>
      </c>
      <c r="I30" s="259">
        <v>0</v>
      </c>
      <c r="J30" s="260">
        <f t="shared" si="7"/>
        <v>65</v>
      </c>
      <c r="K30" s="260">
        <f t="shared" si="8"/>
        <v>616</v>
      </c>
      <c r="L30" s="253"/>
      <c r="M30" s="256" t="s">
        <v>19</v>
      </c>
      <c r="N30" s="259">
        <f>K16</f>
        <v>0</v>
      </c>
      <c r="O30" s="259">
        <f t="shared" si="5"/>
        <v>285</v>
      </c>
      <c r="P30" s="260">
        <f t="shared" si="6"/>
        <v>285</v>
      </c>
    </row>
    <row r="31" spans="1:16" ht="21" thickBot="1">
      <c r="A31" s="381"/>
      <c r="B31" s="256" t="s">
        <v>19</v>
      </c>
      <c r="C31" s="259">
        <v>0</v>
      </c>
      <c r="D31" s="259">
        <v>255</v>
      </c>
      <c r="E31" s="259">
        <v>0</v>
      </c>
      <c r="F31" s="260">
        <f t="shared" si="4"/>
        <v>255</v>
      </c>
      <c r="G31" s="259">
        <v>0</v>
      </c>
      <c r="H31" s="259">
        <v>30</v>
      </c>
      <c r="I31" s="259">
        <v>0</v>
      </c>
      <c r="J31" s="260">
        <f t="shared" si="7"/>
        <v>30</v>
      </c>
      <c r="K31" s="260">
        <f t="shared" si="8"/>
        <v>285</v>
      </c>
      <c r="L31" s="253"/>
      <c r="M31" s="266" t="s">
        <v>6</v>
      </c>
      <c r="N31" s="269">
        <f>SUM(N24:N30)</f>
        <v>0</v>
      </c>
      <c r="O31" s="269">
        <f>SUM(O24:O30)</f>
        <v>13751</v>
      </c>
      <c r="P31" s="269">
        <f>SUM(P24:P30)</f>
        <v>13751</v>
      </c>
    </row>
    <row r="32" spans="1:16" ht="21.75" thickTop="1" thickBot="1">
      <c r="A32" s="382"/>
      <c r="B32" s="266" t="s">
        <v>6</v>
      </c>
      <c r="C32" s="262">
        <f>SUM(C25:C31)</f>
        <v>0</v>
      </c>
      <c r="D32" s="262">
        <f t="shared" ref="D32:K32" si="9">SUM(D25:D31)</f>
        <v>12389</v>
      </c>
      <c r="E32" s="262">
        <f t="shared" si="9"/>
        <v>0</v>
      </c>
      <c r="F32" s="262">
        <f t="shared" si="9"/>
        <v>12389</v>
      </c>
      <c r="G32" s="262">
        <f t="shared" si="9"/>
        <v>0</v>
      </c>
      <c r="H32" s="262">
        <f t="shared" si="9"/>
        <v>1362</v>
      </c>
      <c r="I32" s="262">
        <f t="shared" si="9"/>
        <v>0</v>
      </c>
      <c r="J32" s="262">
        <f t="shared" si="9"/>
        <v>1362</v>
      </c>
      <c r="K32" s="262">
        <f t="shared" si="9"/>
        <v>13751</v>
      </c>
      <c r="L32" s="253"/>
      <c r="M32" s="272"/>
      <c r="N32" s="272"/>
      <c r="O32" s="272"/>
      <c r="P32" s="272"/>
    </row>
    <row r="33" spans="1:17" ht="18" customHeight="1" thickTop="1">
      <c r="A33" s="273"/>
      <c r="B33" s="274"/>
      <c r="C33" s="275"/>
      <c r="D33" s="275"/>
      <c r="E33" s="275"/>
      <c r="F33" s="275"/>
      <c r="G33" s="275"/>
      <c r="H33" s="275"/>
      <c r="I33" s="275"/>
      <c r="J33" s="275"/>
      <c r="K33" s="275"/>
      <c r="L33" s="253"/>
      <c r="M33" s="272"/>
      <c r="N33" s="272"/>
      <c r="O33" s="272"/>
      <c r="P33" s="272"/>
    </row>
    <row r="34" spans="1:17">
      <c r="A34" s="358" t="s">
        <v>124</v>
      </c>
      <c r="B34" s="359"/>
      <c r="C34" s="359"/>
      <c r="D34" s="359"/>
      <c r="E34" s="359"/>
      <c r="F34" s="359"/>
      <c r="G34" s="359"/>
      <c r="H34" s="359"/>
      <c r="I34" s="359"/>
      <c r="J34" s="359"/>
      <c r="K34" s="359"/>
      <c r="L34" s="359"/>
      <c r="M34" s="359"/>
      <c r="N34" s="359"/>
      <c r="O34" s="359"/>
      <c r="P34" s="359"/>
    </row>
    <row r="35" spans="1:17" ht="24" customHeight="1">
      <c r="A35" s="360" t="s">
        <v>31</v>
      </c>
      <c r="B35" s="361"/>
      <c r="C35" s="361"/>
      <c r="D35" s="361"/>
      <c r="E35" s="361"/>
      <c r="F35" s="361"/>
      <c r="G35" s="361"/>
      <c r="H35" s="361"/>
      <c r="I35" s="361"/>
      <c r="J35" s="361"/>
      <c r="K35" s="361"/>
      <c r="L35" s="361"/>
      <c r="M35" s="361"/>
      <c r="N35" s="361"/>
      <c r="O35" s="361"/>
      <c r="P35" s="361"/>
      <c r="Q35" s="30"/>
    </row>
    <row r="36" spans="1:17" ht="21" customHeight="1">
      <c r="A36" s="343" t="s">
        <v>1</v>
      </c>
      <c r="B36" s="344"/>
      <c r="C36" s="344"/>
      <c r="D36" s="344"/>
      <c r="E36" s="344"/>
      <c r="F36" s="344"/>
      <c r="G36" s="344"/>
      <c r="H36" s="344"/>
      <c r="I36" s="344"/>
      <c r="J36" s="344"/>
      <c r="K36" s="344"/>
    </row>
    <row r="37" spans="1:17">
      <c r="A37" s="350" t="s">
        <v>2</v>
      </c>
      <c r="B37" s="352" t="s">
        <v>3</v>
      </c>
      <c r="C37" s="353"/>
      <c r="D37" s="353"/>
      <c r="E37" s="353"/>
      <c r="F37" s="353"/>
      <c r="G37" s="353"/>
      <c r="H37" s="353"/>
      <c r="I37" s="353"/>
      <c r="J37" s="353"/>
      <c r="K37" s="354"/>
    </row>
    <row r="38" spans="1:17">
      <c r="A38" s="351"/>
      <c r="B38" s="32"/>
      <c r="C38" s="350" t="s">
        <v>4</v>
      </c>
      <c r="D38" s="351"/>
      <c r="E38" s="351"/>
      <c r="F38" s="351"/>
      <c r="G38" s="350" t="s">
        <v>5</v>
      </c>
      <c r="H38" s="351"/>
      <c r="I38" s="351"/>
      <c r="J38" s="351"/>
      <c r="K38" s="31" t="s">
        <v>6</v>
      </c>
    </row>
    <row r="39" spans="1:17">
      <c r="A39" s="347" t="s">
        <v>22</v>
      </c>
      <c r="B39" s="33" t="s">
        <v>8</v>
      </c>
      <c r="C39" s="34" t="s">
        <v>9</v>
      </c>
      <c r="D39" s="34" t="s">
        <v>10</v>
      </c>
      <c r="E39" s="34" t="s">
        <v>11</v>
      </c>
      <c r="F39" s="34" t="s">
        <v>6</v>
      </c>
      <c r="G39" s="34" t="s">
        <v>9</v>
      </c>
      <c r="H39" s="34" t="s">
        <v>10</v>
      </c>
      <c r="I39" s="34" t="s">
        <v>11</v>
      </c>
      <c r="J39" s="34" t="s">
        <v>6</v>
      </c>
      <c r="K39" s="34" t="s">
        <v>6</v>
      </c>
    </row>
    <row r="40" spans="1:17">
      <c r="A40" s="348"/>
      <c r="B40" s="35" t="s">
        <v>12</v>
      </c>
      <c r="C40" s="4">
        <v>0</v>
      </c>
      <c r="D40" s="4">
        <v>18</v>
      </c>
      <c r="E40" s="4">
        <v>31</v>
      </c>
      <c r="F40" s="3">
        <f t="shared" ref="F40:F49" si="10">SUM(C40:E40)</f>
        <v>49</v>
      </c>
      <c r="G40" s="4">
        <v>0</v>
      </c>
      <c r="H40" s="4">
        <v>0</v>
      </c>
      <c r="I40" s="4">
        <v>10</v>
      </c>
      <c r="J40" s="3">
        <f>SUM(G40:I40)</f>
        <v>10</v>
      </c>
      <c r="K40" s="3">
        <f>SUM(J40,F40)</f>
        <v>59</v>
      </c>
    </row>
    <row r="41" spans="1:17">
      <c r="A41" s="348"/>
      <c r="B41" s="33" t="s">
        <v>13</v>
      </c>
      <c r="C41" s="4">
        <v>0</v>
      </c>
      <c r="D41" s="4">
        <v>10815</v>
      </c>
      <c r="E41" s="4">
        <v>7601</v>
      </c>
      <c r="F41" s="3">
        <f t="shared" si="10"/>
        <v>18416</v>
      </c>
      <c r="G41" s="4">
        <v>0</v>
      </c>
      <c r="H41" s="4">
        <v>0</v>
      </c>
      <c r="I41" s="4">
        <v>1800</v>
      </c>
      <c r="J41" s="3">
        <f>SUM(G41:I41)</f>
        <v>1800</v>
      </c>
      <c r="K41" s="3">
        <f>SUM(J41,F41)</f>
        <v>20216</v>
      </c>
    </row>
    <row r="42" spans="1:17">
      <c r="A42" s="348"/>
      <c r="B42" s="33" t="s">
        <v>14</v>
      </c>
      <c r="C42" s="4">
        <v>0</v>
      </c>
      <c r="D42" s="4">
        <v>0</v>
      </c>
      <c r="E42" s="4">
        <v>0</v>
      </c>
      <c r="F42" s="3">
        <f t="shared" si="10"/>
        <v>0</v>
      </c>
      <c r="G42" s="4">
        <v>0</v>
      </c>
      <c r="H42" s="4">
        <v>0</v>
      </c>
      <c r="I42" s="4">
        <v>0</v>
      </c>
      <c r="J42" s="3">
        <f>SUM(G42:I42)</f>
        <v>0</v>
      </c>
      <c r="K42" s="3">
        <f>SUM(J42,F42)</f>
        <v>0</v>
      </c>
    </row>
    <row r="43" spans="1:17" ht="21" thickBot="1">
      <c r="A43" s="348"/>
      <c r="B43" s="36" t="s">
        <v>6</v>
      </c>
      <c r="C43" s="8">
        <f>SUM(C41:C42)</f>
        <v>0</v>
      </c>
      <c r="D43" s="8">
        <f>SUM(D41:D42)</f>
        <v>10815</v>
      </c>
      <c r="E43" s="8">
        <f>SUM(E41:E42)</f>
        <v>7601</v>
      </c>
      <c r="F43" s="8">
        <f t="shared" si="10"/>
        <v>18416</v>
      </c>
      <c r="G43" s="8">
        <f>SUM(G41:G42)</f>
        <v>0</v>
      </c>
      <c r="H43" s="8">
        <f>SUM(H41:H42)</f>
        <v>0</v>
      </c>
      <c r="I43" s="8">
        <f>SUM(I41:I42)</f>
        <v>1800</v>
      </c>
      <c r="J43" s="8">
        <f>SUM(J41:J42)</f>
        <v>1800</v>
      </c>
      <c r="K43" s="8">
        <f>SUM(K41:K42)</f>
        <v>20216</v>
      </c>
    </row>
    <row r="44" spans="1:17" ht="21" thickTop="1">
      <c r="A44" s="348"/>
      <c r="B44" s="37" t="s">
        <v>15</v>
      </c>
      <c r="C44" s="4">
        <v>0</v>
      </c>
      <c r="D44" s="4">
        <v>0</v>
      </c>
      <c r="E44" s="4">
        <v>0</v>
      </c>
      <c r="F44" s="3">
        <f t="shared" si="10"/>
        <v>0</v>
      </c>
      <c r="G44" s="4">
        <v>0</v>
      </c>
      <c r="H44" s="4">
        <v>0</v>
      </c>
      <c r="I44" s="4">
        <v>0</v>
      </c>
      <c r="J44" s="3">
        <f t="shared" ref="J44:J49" si="11">SUM(G44:I44)</f>
        <v>0</v>
      </c>
      <c r="K44" s="3">
        <f t="shared" ref="K44:K49" si="12">SUM(J44,F44)</f>
        <v>0</v>
      </c>
    </row>
    <row r="45" spans="1:17">
      <c r="A45" s="348"/>
      <c r="B45" s="33" t="s">
        <v>16</v>
      </c>
      <c r="C45" s="4">
        <v>0</v>
      </c>
      <c r="D45" s="4">
        <v>7571</v>
      </c>
      <c r="E45" s="4">
        <v>0</v>
      </c>
      <c r="F45" s="3">
        <f t="shared" si="10"/>
        <v>7571</v>
      </c>
      <c r="G45" s="4">
        <v>0</v>
      </c>
      <c r="H45" s="4">
        <v>0</v>
      </c>
      <c r="I45" s="4">
        <v>0</v>
      </c>
      <c r="J45" s="3">
        <f t="shared" si="11"/>
        <v>0</v>
      </c>
      <c r="K45" s="3">
        <f t="shared" si="12"/>
        <v>7571</v>
      </c>
    </row>
    <row r="46" spans="1:17">
      <c r="A46" s="348"/>
      <c r="B46" s="33" t="s">
        <v>17</v>
      </c>
      <c r="C46" s="4">
        <v>0</v>
      </c>
      <c r="D46" s="4">
        <v>62</v>
      </c>
      <c r="E46" s="4">
        <v>0</v>
      </c>
      <c r="F46" s="3">
        <f t="shared" si="10"/>
        <v>62</v>
      </c>
      <c r="G46" s="4">
        <v>0</v>
      </c>
      <c r="H46" s="4">
        <v>0</v>
      </c>
      <c r="I46" s="4">
        <v>0</v>
      </c>
      <c r="J46" s="3">
        <f t="shared" si="11"/>
        <v>0</v>
      </c>
      <c r="K46" s="3">
        <f t="shared" si="12"/>
        <v>62</v>
      </c>
    </row>
    <row r="47" spans="1:17">
      <c r="A47" s="348"/>
      <c r="B47" s="33" t="s">
        <v>18</v>
      </c>
      <c r="C47" s="4">
        <v>0</v>
      </c>
      <c r="D47" s="4">
        <v>3245</v>
      </c>
      <c r="E47" s="4">
        <v>0</v>
      </c>
      <c r="F47" s="3">
        <f t="shared" si="10"/>
        <v>3245</v>
      </c>
      <c r="G47" s="4">
        <v>0</v>
      </c>
      <c r="H47" s="4">
        <v>0</v>
      </c>
      <c r="I47" s="4">
        <v>0</v>
      </c>
      <c r="J47" s="3">
        <f t="shared" si="11"/>
        <v>0</v>
      </c>
      <c r="K47" s="3">
        <f t="shared" si="12"/>
        <v>3245</v>
      </c>
    </row>
    <row r="48" spans="1:17" ht="31.5">
      <c r="A48" s="348"/>
      <c r="B48" s="194" t="s">
        <v>86</v>
      </c>
      <c r="C48" s="4">
        <v>0</v>
      </c>
      <c r="D48" s="4">
        <v>769</v>
      </c>
      <c r="E48" s="4">
        <v>0</v>
      </c>
      <c r="F48" s="3">
        <f t="shared" si="10"/>
        <v>769</v>
      </c>
      <c r="G48" s="4">
        <v>0</v>
      </c>
      <c r="H48" s="4">
        <v>0</v>
      </c>
      <c r="I48" s="4">
        <v>0</v>
      </c>
      <c r="J48" s="3">
        <f t="shared" si="11"/>
        <v>0</v>
      </c>
      <c r="K48" s="3">
        <f t="shared" si="12"/>
        <v>769</v>
      </c>
    </row>
    <row r="49" spans="1:16">
      <c r="A49" s="348"/>
      <c r="B49" s="33" t="s">
        <v>19</v>
      </c>
      <c r="C49" s="4">
        <v>0</v>
      </c>
      <c r="D49" s="4">
        <v>141</v>
      </c>
      <c r="E49" s="4">
        <v>0</v>
      </c>
      <c r="F49" s="3">
        <f t="shared" si="10"/>
        <v>141</v>
      </c>
      <c r="G49" s="4">
        <v>0</v>
      </c>
      <c r="H49" s="4">
        <v>0</v>
      </c>
      <c r="I49" s="4">
        <v>0</v>
      </c>
      <c r="J49" s="3">
        <f t="shared" si="11"/>
        <v>0</v>
      </c>
      <c r="K49" s="3">
        <f t="shared" si="12"/>
        <v>141</v>
      </c>
    </row>
    <row r="50" spans="1:16" ht="21" thickBot="1">
      <c r="A50" s="349"/>
      <c r="B50" s="38" t="s">
        <v>6</v>
      </c>
      <c r="C50" s="8">
        <f>SUM(C43:C49)</f>
        <v>0</v>
      </c>
      <c r="D50" s="8">
        <f t="shared" ref="D50:K50" si="13">SUM(D43:D49)</f>
        <v>22603</v>
      </c>
      <c r="E50" s="8">
        <f t="shared" si="13"/>
        <v>7601</v>
      </c>
      <c r="F50" s="8">
        <f t="shared" si="13"/>
        <v>30204</v>
      </c>
      <c r="G50" s="8">
        <f t="shared" si="13"/>
        <v>0</v>
      </c>
      <c r="H50" s="8">
        <f t="shared" si="13"/>
        <v>0</v>
      </c>
      <c r="I50" s="8">
        <f t="shared" si="13"/>
        <v>1800</v>
      </c>
      <c r="J50" s="8">
        <f t="shared" si="13"/>
        <v>1800</v>
      </c>
      <c r="K50" s="8">
        <f t="shared" si="13"/>
        <v>32004</v>
      </c>
    </row>
    <row r="51" spans="1:16" ht="17.25" customHeight="1" thickTop="1"/>
    <row r="52" spans="1:16">
      <c r="A52" s="350" t="s">
        <v>2</v>
      </c>
      <c r="B52" s="352" t="s">
        <v>20</v>
      </c>
      <c r="C52" s="353"/>
      <c r="D52" s="353"/>
      <c r="E52" s="353"/>
      <c r="F52" s="353"/>
      <c r="G52" s="353"/>
      <c r="H52" s="353"/>
      <c r="I52" s="353"/>
      <c r="J52" s="353"/>
      <c r="K52" s="354"/>
      <c r="M52" s="355" t="s">
        <v>21</v>
      </c>
      <c r="N52" s="356"/>
      <c r="O52" s="356"/>
      <c r="P52" s="357"/>
    </row>
    <row r="53" spans="1:16" ht="21" thickBot="1">
      <c r="A53" s="351"/>
      <c r="B53" s="32"/>
      <c r="C53" s="350" t="s">
        <v>4</v>
      </c>
      <c r="D53" s="351"/>
      <c r="E53" s="351"/>
      <c r="F53" s="351"/>
      <c r="G53" s="350" t="s">
        <v>5</v>
      </c>
      <c r="H53" s="351"/>
      <c r="I53" s="351"/>
      <c r="J53" s="351"/>
      <c r="K53" s="31" t="s">
        <v>6</v>
      </c>
      <c r="M53" s="33" t="s">
        <v>8</v>
      </c>
      <c r="N53" s="44" t="s">
        <v>3</v>
      </c>
      <c r="O53" s="33" t="s">
        <v>20</v>
      </c>
      <c r="P53" s="38" t="s">
        <v>6</v>
      </c>
    </row>
    <row r="54" spans="1:16" ht="21" customHeight="1" thickTop="1">
      <c r="A54" s="347" t="s">
        <v>22</v>
      </c>
      <c r="B54" s="33" t="s">
        <v>8</v>
      </c>
      <c r="C54" s="34" t="s">
        <v>9</v>
      </c>
      <c r="D54" s="34" t="s">
        <v>10</v>
      </c>
      <c r="E54" s="34" t="s">
        <v>11</v>
      </c>
      <c r="F54" s="34" t="s">
        <v>6</v>
      </c>
      <c r="G54" s="34" t="s">
        <v>9</v>
      </c>
      <c r="H54" s="34" t="s">
        <v>10</v>
      </c>
      <c r="I54" s="34" t="s">
        <v>11</v>
      </c>
      <c r="J54" s="34" t="s">
        <v>6</v>
      </c>
      <c r="K54" s="34" t="s">
        <v>6</v>
      </c>
      <c r="M54" s="35" t="s">
        <v>12</v>
      </c>
      <c r="N54" s="1">
        <f>K40</f>
        <v>59</v>
      </c>
      <c r="O54" s="1">
        <f>K55</f>
        <v>68</v>
      </c>
      <c r="P54" s="9">
        <f>SUM(N54:O54)</f>
        <v>127</v>
      </c>
    </row>
    <row r="55" spans="1:16">
      <c r="A55" s="348"/>
      <c r="B55" s="35" t="s">
        <v>12</v>
      </c>
      <c r="C55" s="4">
        <v>0</v>
      </c>
      <c r="D55" s="4">
        <v>57</v>
      </c>
      <c r="E55" s="4">
        <v>0</v>
      </c>
      <c r="F55" s="3">
        <f t="shared" ref="F55:F64" si="14">SUM(C55:E55)</f>
        <v>57</v>
      </c>
      <c r="G55" s="4">
        <v>0</v>
      </c>
      <c r="H55" s="4">
        <v>11</v>
      </c>
      <c r="I55" s="4">
        <v>0</v>
      </c>
      <c r="J55" s="3">
        <f>SUM(G55:I55)</f>
        <v>11</v>
      </c>
      <c r="K55" s="3">
        <f>SUM(J55,F55)</f>
        <v>68</v>
      </c>
      <c r="M55" s="33" t="s">
        <v>13</v>
      </c>
      <c r="N55" s="1">
        <f>K41</f>
        <v>20216</v>
      </c>
      <c r="O55" s="1">
        <f>K56</f>
        <v>42708</v>
      </c>
      <c r="P55" s="9">
        <f t="shared" ref="P55:P63" si="15">SUM(N55:O55)</f>
        <v>62924</v>
      </c>
    </row>
    <row r="56" spans="1:16">
      <c r="A56" s="348"/>
      <c r="B56" s="33" t="s">
        <v>13</v>
      </c>
      <c r="C56" s="4">
        <v>0</v>
      </c>
      <c r="D56" s="4">
        <v>38691</v>
      </c>
      <c r="E56" s="4">
        <v>0</v>
      </c>
      <c r="F56" s="3">
        <f t="shared" si="14"/>
        <v>38691</v>
      </c>
      <c r="G56" s="4">
        <v>0</v>
      </c>
      <c r="H56" s="4">
        <v>4017</v>
      </c>
      <c r="I56" s="4">
        <v>0</v>
      </c>
      <c r="J56" s="3">
        <f>SUM(G56:I56)</f>
        <v>4017</v>
      </c>
      <c r="K56" s="3">
        <f>SUM(J56,F56)</f>
        <v>42708</v>
      </c>
      <c r="M56" s="33" t="s">
        <v>14</v>
      </c>
      <c r="N56" s="1">
        <f>K42</f>
        <v>0</v>
      </c>
      <c r="O56" s="1">
        <f>K57</f>
        <v>0</v>
      </c>
      <c r="P56" s="9">
        <f t="shared" si="15"/>
        <v>0</v>
      </c>
    </row>
    <row r="57" spans="1:16" ht="21" thickBot="1">
      <c r="A57" s="348"/>
      <c r="B57" s="33" t="s">
        <v>14</v>
      </c>
      <c r="C57" s="4">
        <v>0</v>
      </c>
      <c r="D57" s="4">
        <v>0</v>
      </c>
      <c r="E57" s="4">
        <v>0</v>
      </c>
      <c r="F57" s="3">
        <f t="shared" si="14"/>
        <v>0</v>
      </c>
      <c r="G57" s="4">
        <v>0</v>
      </c>
      <c r="H57" s="4">
        <v>0</v>
      </c>
      <c r="I57" s="4">
        <v>0</v>
      </c>
      <c r="J57" s="3">
        <f>SUM(G57:I57)</f>
        <v>0</v>
      </c>
      <c r="K57" s="3">
        <f>SUM(J57,F57)</f>
        <v>0</v>
      </c>
      <c r="M57" s="36" t="s">
        <v>6</v>
      </c>
      <c r="N57" s="10">
        <f>K43</f>
        <v>20216</v>
      </c>
      <c r="O57" s="10">
        <f>K58</f>
        <v>42708</v>
      </c>
      <c r="P57" s="10">
        <f t="shared" si="15"/>
        <v>62924</v>
      </c>
    </row>
    <row r="58" spans="1:16" ht="21.75" thickTop="1" thickBot="1">
      <c r="A58" s="348"/>
      <c r="B58" s="36" t="s">
        <v>6</v>
      </c>
      <c r="C58" s="8">
        <f>SUM(C56:C57)</f>
        <v>0</v>
      </c>
      <c r="D58" s="8">
        <f>SUM(D56:D57)</f>
        <v>38691</v>
      </c>
      <c r="E58" s="8">
        <f>SUM(E56:E57)</f>
        <v>0</v>
      </c>
      <c r="F58" s="8">
        <f t="shared" si="14"/>
        <v>38691</v>
      </c>
      <c r="G58" s="8">
        <f>SUM(G56:G57)</f>
        <v>0</v>
      </c>
      <c r="H58" s="8">
        <f>SUM(H56:H57)</f>
        <v>4017</v>
      </c>
      <c r="I58" s="8">
        <f>SUM(I56:I57)</f>
        <v>0</v>
      </c>
      <c r="J58" s="8">
        <f>SUM(J56:J57)</f>
        <v>4017</v>
      </c>
      <c r="K58" s="8">
        <f>SUM(K56:K57)</f>
        <v>42708</v>
      </c>
      <c r="M58" s="37" t="s">
        <v>16</v>
      </c>
      <c r="N58" s="13">
        <f>K45</f>
        <v>7571</v>
      </c>
      <c r="O58" s="13">
        <f>K60</f>
        <v>29896</v>
      </c>
      <c r="P58" s="14">
        <f t="shared" si="15"/>
        <v>37467</v>
      </c>
    </row>
    <row r="59" spans="1:16" ht="21" thickTop="1">
      <c r="A59" s="348"/>
      <c r="B59" s="37" t="s">
        <v>15</v>
      </c>
      <c r="C59" s="4">
        <v>0</v>
      </c>
      <c r="D59" s="4">
        <v>0</v>
      </c>
      <c r="E59" s="4">
        <v>0</v>
      </c>
      <c r="F59" s="3">
        <f t="shared" si="14"/>
        <v>0</v>
      </c>
      <c r="G59" s="4">
        <v>0</v>
      </c>
      <c r="H59" s="4">
        <v>0</v>
      </c>
      <c r="I59" s="4">
        <v>0</v>
      </c>
      <c r="J59" s="3">
        <f t="shared" ref="J59:J64" si="16">SUM(G59:I59)</f>
        <v>0</v>
      </c>
      <c r="K59" s="3">
        <f t="shared" ref="K59:K64" si="17">SUM(J59,F59)</f>
        <v>0</v>
      </c>
      <c r="M59" s="37" t="s">
        <v>15</v>
      </c>
      <c r="N59" s="1">
        <f>$K$11</f>
        <v>0</v>
      </c>
      <c r="O59" s="1">
        <f>SUM(K59)</f>
        <v>0</v>
      </c>
      <c r="P59" s="14">
        <f t="shared" si="15"/>
        <v>0</v>
      </c>
    </row>
    <row r="60" spans="1:16">
      <c r="A60" s="348"/>
      <c r="B60" s="33" t="s">
        <v>16</v>
      </c>
      <c r="C60" s="4">
        <v>0</v>
      </c>
      <c r="D60" s="4">
        <v>27084</v>
      </c>
      <c r="E60" s="4">
        <v>0</v>
      </c>
      <c r="F60" s="3">
        <f t="shared" si="14"/>
        <v>27084</v>
      </c>
      <c r="G60" s="4">
        <v>0</v>
      </c>
      <c r="H60" s="4">
        <v>2812</v>
      </c>
      <c r="I60" s="4">
        <v>0</v>
      </c>
      <c r="J60" s="3">
        <f t="shared" si="16"/>
        <v>2812</v>
      </c>
      <c r="K60" s="3">
        <f t="shared" si="17"/>
        <v>29896</v>
      </c>
      <c r="M60" s="33" t="s">
        <v>17</v>
      </c>
      <c r="N60" s="1">
        <f>K46</f>
        <v>62</v>
      </c>
      <c r="O60" s="1">
        <f>K61</f>
        <v>186</v>
      </c>
      <c r="P60" s="9">
        <f t="shared" si="15"/>
        <v>248</v>
      </c>
    </row>
    <row r="61" spans="1:16">
      <c r="A61" s="348"/>
      <c r="B61" s="33" t="s">
        <v>17</v>
      </c>
      <c r="C61" s="4">
        <v>0</v>
      </c>
      <c r="D61" s="4">
        <v>156</v>
      </c>
      <c r="E61" s="4">
        <v>0</v>
      </c>
      <c r="F61" s="3">
        <f t="shared" si="14"/>
        <v>156</v>
      </c>
      <c r="G61" s="4">
        <v>0</v>
      </c>
      <c r="H61" s="4">
        <v>30</v>
      </c>
      <c r="I61" s="4">
        <v>0</v>
      </c>
      <c r="J61" s="3">
        <f t="shared" si="16"/>
        <v>30</v>
      </c>
      <c r="K61" s="3">
        <f t="shared" si="17"/>
        <v>186</v>
      </c>
      <c r="M61" s="33" t="s">
        <v>18</v>
      </c>
      <c r="N61" s="1">
        <f>K47</f>
        <v>3245</v>
      </c>
      <c r="O61" s="1">
        <f>K62</f>
        <v>12812</v>
      </c>
      <c r="P61" s="9">
        <f t="shared" si="15"/>
        <v>16057</v>
      </c>
    </row>
    <row r="62" spans="1:16" ht="36.75" customHeight="1">
      <c r="A62" s="348"/>
      <c r="B62" s="33" t="s">
        <v>18</v>
      </c>
      <c r="C62" s="4">
        <v>0</v>
      </c>
      <c r="D62" s="4">
        <v>11607</v>
      </c>
      <c r="E62" s="4">
        <v>0</v>
      </c>
      <c r="F62" s="3">
        <f t="shared" si="14"/>
        <v>11607</v>
      </c>
      <c r="G62" s="4">
        <v>0</v>
      </c>
      <c r="H62" s="4">
        <v>1205</v>
      </c>
      <c r="I62" s="4">
        <v>0</v>
      </c>
      <c r="J62" s="3">
        <f t="shared" si="16"/>
        <v>1205</v>
      </c>
      <c r="K62" s="3">
        <f t="shared" si="17"/>
        <v>12812</v>
      </c>
      <c r="M62" s="194" t="s">
        <v>86</v>
      </c>
      <c r="N62" s="4">
        <f>K48</f>
        <v>769</v>
      </c>
      <c r="O62" s="4">
        <f>K63</f>
        <v>3066</v>
      </c>
      <c r="P62" s="3">
        <f t="shared" si="15"/>
        <v>3835</v>
      </c>
    </row>
    <row r="63" spans="1:16" ht="31.5">
      <c r="A63" s="348"/>
      <c r="B63" s="194" t="s">
        <v>86</v>
      </c>
      <c r="C63" s="4">
        <v>0</v>
      </c>
      <c r="D63" s="4">
        <v>2618</v>
      </c>
      <c r="E63" s="4">
        <v>0</v>
      </c>
      <c r="F63" s="3">
        <f t="shared" si="14"/>
        <v>2618</v>
      </c>
      <c r="G63" s="4">
        <v>0</v>
      </c>
      <c r="H63" s="4">
        <v>448</v>
      </c>
      <c r="I63" s="4">
        <v>0</v>
      </c>
      <c r="J63" s="3">
        <f t="shared" si="16"/>
        <v>448</v>
      </c>
      <c r="K63" s="3">
        <f t="shared" si="17"/>
        <v>3066</v>
      </c>
      <c r="M63" s="33" t="s">
        <v>19</v>
      </c>
      <c r="N63" s="4">
        <f>K49</f>
        <v>141</v>
      </c>
      <c r="O63" s="4">
        <f>K64</f>
        <v>333</v>
      </c>
      <c r="P63" s="3">
        <f t="shared" si="15"/>
        <v>474</v>
      </c>
    </row>
    <row r="64" spans="1:16" ht="21" thickBot="1">
      <c r="A64" s="348"/>
      <c r="B64" s="33" t="s">
        <v>19</v>
      </c>
      <c r="C64" s="4">
        <v>0</v>
      </c>
      <c r="D64" s="4">
        <v>261</v>
      </c>
      <c r="E64" s="4">
        <v>0</v>
      </c>
      <c r="F64" s="3">
        <f t="shared" si="14"/>
        <v>261</v>
      </c>
      <c r="G64" s="4">
        <v>0</v>
      </c>
      <c r="H64" s="4">
        <v>72</v>
      </c>
      <c r="I64" s="4">
        <v>0</v>
      </c>
      <c r="J64" s="3">
        <f t="shared" si="16"/>
        <v>72</v>
      </c>
      <c r="K64" s="3">
        <f t="shared" si="17"/>
        <v>333</v>
      </c>
      <c r="M64" s="38" t="s">
        <v>6</v>
      </c>
      <c r="N64" s="10">
        <f>SUM(N57:N63)</f>
        <v>32004</v>
      </c>
      <c r="O64" s="10">
        <f>SUM(O57:O63)</f>
        <v>89001</v>
      </c>
      <c r="P64" s="10">
        <f>SUM(P57:P63)</f>
        <v>121005</v>
      </c>
    </row>
    <row r="65" spans="1:17" ht="21.75" thickTop="1" thickBot="1">
      <c r="A65" s="349"/>
      <c r="B65" s="38" t="s">
        <v>6</v>
      </c>
      <c r="C65" s="8">
        <f>SUM(C58:C64)</f>
        <v>0</v>
      </c>
      <c r="D65" s="8">
        <f t="shared" ref="D65:K65" si="18">SUM(D58:D64)</f>
        <v>80417</v>
      </c>
      <c r="E65" s="8">
        <f t="shared" si="18"/>
        <v>0</v>
      </c>
      <c r="F65" s="8">
        <f t="shared" si="18"/>
        <v>80417</v>
      </c>
      <c r="G65" s="8">
        <f t="shared" si="18"/>
        <v>0</v>
      </c>
      <c r="H65" s="8">
        <f t="shared" si="18"/>
        <v>8584</v>
      </c>
      <c r="I65" s="8">
        <f t="shared" si="18"/>
        <v>0</v>
      </c>
      <c r="J65" s="8">
        <f t="shared" si="18"/>
        <v>8584</v>
      </c>
      <c r="K65" s="8">
        <f t="shared" si="18"/>
        <v>89001</v>
      </c>
      <c r="M65" s="5"/>
      <c r="N65" s="5"/>
      <c r="O65" s="5"/>
      <c r="P65" s="5"/>
    </row>
    <row r="66" spans="1:17" ht="21" thickTop="1">
      <c r="A66" s="15"/>
      <c r="B66" s="16"/>
      <c r="C66" s="17"/>
      <c r="D66" s="17"/>
      <c r="E66" s="17"/>
      <c r="F66" s="17"/>
      <c r="G66" s="17"/>
      <c r="H66" s="17"/>
      <c r="I66" s="17"/>
      <c r="J66" s="17"/>
      <c r="K66" s="17"/>
      <c r="M66" s="5"/>
      <c r="N66" s="5"/>
      <c r="O66" s="5"/>
      <c r="P66" s="5"/>
    </row>
    <row r="67" spans="1:17">
      <c r="A67" s="358" t="s">
        <v>124</v>
      </c>
      <c r="B67" s="359"/>
      <c r="C67" s="359"/>
      <c r="D67" s="359"/>
      <c r="E67" s="359"/>
      <c r="F67" s="359"/>
      <c r="G67" s="359"/>
      <c r="H67" s="359"/>
      <c r="I67" s="359"/>
      <c r="J67" s="359"/>
      <c r="K67" s="359"/>
      <c r="L67" s="359"/>
      <c r="M67" s="359"/>
      <c r="N67" s="359"/>
      <c r="O67" s="359"/>
      <c r="P67" s="359"/>
    </row>
    <row r="68" spans="1:17" ht="24" customHeight="1">
      <c r="A68" s="360" t="s">
        <v>31</v>
      </c>
      <c r="B68" s="361"/>
      <c r="C68" s="361"/>
      <c r="D68" s="361"/>
      <c r="E68" s="361"/>
      <c r="F68" s="361"/>
      <c r="G68" s="361"/>
      <c r="H68" s="361"/>
      <c r="I68" s="361"/>
      <c r="J68" s="361"/>
      <c r="K68" s="361"/>
      <c r="L68" s="361"/>
      <c r="M68" s="361"/>
      <c r="N68" s="361"/>
      <c r="O68" s="361"/>
      <c r="P68" s="361"/>
      <c r="Q68" s="30"/>
    </row>
    <row r="69" spans="1:17" ht="21" customHeight="1">
      <c r="A69" s="343" t="s">
        <v>1</v>
      </c>
      <c r="B69" s="344"/>
      <c r="C69" s="344"/>
      <c r="D69" s="344"/>
      <c r="E69" s="344"/>
      <c r="F69" s="344"/>
      <c r="G69" s="344"/>
      <c r="H69" s="344"/>
      <c r="I69" s="344"/>
      <c r="J69" s="344"/>
      <c r="K69" s="344"/>
    </row>
    <row r="70" spans="1:17">
      <c r="A70" s="350" t="s">
        <v>2</v>
      </c>
      <c r="B70" s="352" t="s">
        <v>3</v>
      </c>
      <c r="C70" s="353"/>
      <c r="D70" s="353"/>
      <c r="E70" s="353"/>
      <c r="F70" s="353"/>
      <c r="G70" s="353"/>
      <c r="H70" s="353"/>
      <c r="I70" s="353"/>
      <c r="J70" s="353"/>
      <c r="K70" s="354"/>
    </row>
    <row r="71" spans="1:17">
      <c r="A71" s="351"/>
      <c r="B71" s="32"/>
      <c r="C71" s="350" t="s">
        <v>4</v>
      </c>
      <c r="D71" s="351"/>
      <c r="E71" s="351"/>
      <c r="F71" s="351"/>
      <c r="G71" s="350" t="s">
        <v>5</v>
      </c>
      <c r="H71" s="351"/>
      <c r="I71" s="351"/>
      <c r="J71" s="351"/>
      <c r="K71" s="31" t="s">
        <v>6</v>
      </c>
    </row>
    <row r="72" spans="1:17">
      <c r="A72" s="347" t="s">
        <v>23</v>
      </c>
      <c r="B72" s="33" t="s">
        <v>8</v>
      </c>
      <c r="C72" s="34" t="s">
        <v>9</v>
      </c>
      <c r="D72" s="34" t="s">
        <v>10</v>
      </c>
      <c r="E72" s="34" t="s">
        <v>11</v>
      </c>
      <c r="F72" s="34" t="s">
        <v>6</v>
      </c>
      <c r="G72" s="34" t="s">
        <v>9</v>
      </c>
      <c r="H72" s="34" t="s">
        <v>10</v>
      </c>
      <c r="I72" s="34" t="s">
        <v>11</v>
      </c>
      <c r="J72" s="34" t="s">
        <v>6</v>
      </c>
      <c r="K72" s="34" t="s">
        <v>6</v>
      </c>
    </row>
    <row r="73" spans="1:17">
      <c r="A73" s="348"/>
      <c r="B73" s="35" t="s">
        <v>12</v>
      </c>
      <c r="C73" s="4">
        <v>0</v>
      </c>
      <c r="D73" s="4">
        <v>114</v>
      </c>
      <c r="E73" s="4">
        <v>155</v>
      </c>
      <c r="F73" s="3">
        <f t="shared" ref="F73:F82" si="19">SUM(C73:E73)</f>
        <v>269</v>
      </c>
      <c r="G73" s="4">
        <v>0</v>
      </c>
      <c r="H73" s="4">
        <v>23</v>
      </c>
      <c r="I73" s="4">
        <v>0</v>
      </c>
      <c r="J73" s="3">
        <f>SUM(G73:I73)</f>
        <v>23</v>
      </c>
      <c r="K73" s="3">
        <f>SUM(J73,F73)</f>
        <v>292</v>
      </c>
    </row>
    <row r="74" spans="1:17">
      <c r="A74" s="348"/>
      <c r="B74" s="33" t="s">
        <v>13</v>
      </c>
      <c r="C74" s="4">
        <v>0</v>
      </c>
      <c r="D74" s="4">
        <v>49262</v>
      </c>
      <c r="E74" s="4">
        <v>27900</v>
      </c>
      <c r="F74" s="3">
        <f t="shared" si="19"/>
        <v>77162</v>
      </c>
      <c r="G74" s="4">
        <v>0</v>
      </c>
      <c r="H74" s="4">
        <v>9998</v>
      </c>
      <c r="I74" s="4">
        <v>0</v>
      </c>
      <c r="J74" s="3">
        <f>SUM(G74:I74)</f>
        <v>9998</v>
      </c>
      <c r="K74" s="3">
        <f>SUM(J74,F74)</f>
        <v>87160</v>
      </c>
    </row>
    <row r="75" spans="1:17">
      <c r="A75" s="348"/>
      <c r="B75" s="33" t="s">
        <v>14</v>
      </c>
      <c r="C75" s="4">
        <v>0</v>
      </c>
      <c r="D75" s="4">
        <v>0</v>
      </c>
      <c r="E75" s="4">
        <v>0</v>
      </c>
      <c r="F75" s="3">
        <f t="shared" si="19"/>
        <v>0</v>
      </c>
      <c r="G75" s="4">
        <v>0</v>
      </c>
      <c r="H75" s="4">
        <v>0</v>
      </c>
      <c r="I75" s="4">
        <v>0</v>
      </c>
      <c r="J75" s="3">
        <f>SUM(G75:I75)</f>
        <v>0</v>
      </c>
      <c r="K75" s="3">
        <f>SUM(J75,F75)</f>
        <v>0</v>
      </c>
    </row>
    <row r="76" spans="1:17" ht="21" thickBot="1">
      <c r="A76" s="348"/>
      <c r="B76" s="36" t="s">
        <v>6</v>
      </c>
      <c r="C76" s="8">
        <f>SUM(C74:C75)</f>
        <v>0</v>
      </c>
      <c r="D76" s="8">
        <f>SUM(D74:D75)</f>
        <v>49262</v>
      </c>
      <c r="E76" s="8">
        <f>SUM(E74:E75)</f>
        <v>27900</v>
      </c>
      <c r="F76" s="8">
        <f t="shared" si="19"/>
        <v>77162</v>
      </c>
      <c r="G76" s="8">
        <f>SUM(G74:G75)</f>
        <v>0</v>
      </c>
      <c r="H76" s="8">
        <f>SUM(H74:H75)</f>
        <v>9998</v>
      </c>
      <c r="I76" s="8">
        <f>SUM(I74:I75)</f>
        <v>0</v>
      </c>
      <c r="J76" s="8">
        <f>SUM(J74:J75)</f>
        <v>9998</v>
      </c>
      <c r="K76" s="8">
        <f>SUM(K74:K75)</f>
        <v>87160</v>
      </c>
    </row>
    <row r="77" spans="1:17" ht="21" thickTop="1">
      <c r="A77" s="348"/>
      <c r="B77" s="37" t="s">
        <v>15</v>
      </c>
      <c r="C77" s="4">
        <v>0</v>
      </c>
      <c r="D77" s="4">
        <v>0</v>
      </c>
      <c r="E77" s="4">
        <v>0</v>
      </c>
      <c r="F77" s="3">
        <f t="shared" si="19"/>
        <v>0</v>
      </c>
      <c r="G77" s="4">
        <v>0</v>
      </c>
      <c r="H77" s="4">
        <v>0</v>
      </c>
      <c r="I77" s="4">
        <v>0</v>
      </c>
      <c r="J77" s="3">
        <f t="shared" ref="J77:J82" si="20">SUM(G77:I77)</f>
        <v>0</v>
      </c>
      <c r="K77" s="3">
        <f t="shared" ref="K77:K82" si="21">SUM(J77,F77)</f>
        <v>0</v>
      </c>
    </row>
    <row r="78" spans="1:17">
      <c r="A78" s="348"/>
      <c r="B78" s="33" t="s">
        <v>16</v>
      </c>
      <c r="C78" s="4">
        <v>0</v>
      </c>
      <c r="D78" s="4">
        <v>34483</v>
      </c>
      <c r="E78" s="4">
        <v>0</v>
      </c>
      <c r="F78" s="3">
        <f t="shared" si="19"/>
        <v>34483</v>
      </c>
      <c r="G78" s="4">
        <v>0</v>
      </c>
      <c r="H78" s="4">
        <v>6999</v>
      </c>
      <c r="I78" s="4">
        <v>0</v>
      </c>
      <c r="J78" s="3">
        <f t="shared" si="20"/>
        <v>6999</v>
      </c>
      <c r="K78" s="3">
        <f t="shared" si="21"/>
        <v>41482</v>
      </c>
    </row>
    <row r="79" spans="1:17">
      <c r="A79" s="348"/>
      <c r="B79" s="33" t="s">
        <v>17</v>
      </c>
      <c r="C79" s="4">
        <v>0</v>
      </c>
      <c r="D79" s="4">
        <v>410</v>
      </c>
      <c r="E79" s="4">
        <v>0</v>
      </c>
      <c r="F79" s="3">
        <f t="shared" si="19"/>
        <v>410</v>
      </c>
      <c r="G79" s="4">
        <v>0</v>
      </c>
      <c r="H79" s="4">
        <v>83</v>
      </c>
      <c r="I79" s="4">
        <v>0</v>
      </c>
      <c r="J79" s="3">
        <f t="shared" si="20"/>
        <v>83</v>
      </c>
      <c r="K79" s="3">
        <f t="shared" si="21"/>
        <v>493</v>
      </c>
    </row>
    <row r="80" spans="1:17">
      <c r="A80" s="348"/>
      <c r="B80" s="33" t="s">
        <v>18</v>
      </c>
      <c r="C80" s="4">
        <v>0</v>
      </c>
      <c r="D80" s="4">
        <v>9617</v>
      </c>
      <c r="E80" s="4">
        <v>0</v>
      </c>
      <c r="F80" s="3">
        <f t="shared" si="19"/>
        <v>9617</v>
      </c>
      <c r="G80" s="4">
        <v>0</v>
      </c>
      <c r="H80" s="4">
        <v>2369</v>
      </c>
      <c r="I80" s="4">
        <v>0</v>
      </c>
      <c r="J80" s="3">
        <f t="shared" si="20"/>
        <v>2369</v>
      </c>
      <c r="K80" s="3">
        <f t="shared" si="21"/>
        <v>11986</v>
      </c>
    </row>
    <row r="81" spans="1:16" ht="31.5">
      <c r="A81" s="348"/>
      <c r="B81" s="194" t="s">
        <v>86</v>
      </c>
      <c r="C81" s="4">
        <v>0</v>
      </c>
      <c r="D81" s="4">
        <v>2446</v>
      </c>
      <c r="E81" s="4">
        <v>0</v>
      </c>
      <c r="F81" s="3">
        <f t="shared" si="19"/>
        <v>2446</v>
      </c>
      <c r="G81" s="4">
        <v>0</v>
      </c>
      <c r="H81" s="4">
        <v>616</v>
      </c>
      <c r="I81" s="4">
        <v>0</v>
      </c>
      <c r="J81" s="3">
        <f t="shared" si="20"/>
        <v>616</v>
      </c>
      <c r="K81" s="3">
        <f t="shared" si="21"/>
        <v>3062</v>
      </c>
    </row>
    <row r="82" spans="1:16">
      <c r="A82" s="348"/>
      <c r="B82" s="33" t="s">
        <v>19</v>
      </c>
      <c r="C82" s="4">
        <v>0</v>
      </c>
      <c r="D82" s="4">
        <v>1744</v>
      </c>
      <c r="E82" s="4">
        <v>223</v>
      </c>
      <c r="F82" s="3">
        <f t="shared" si="19"/>
        <v>1967</v>
      </c>
      <c r="G82" s="4">
        <v>0</v>
      </c>
      <c r="H82" s="4">
        <v>352</v>
      </c>
      <c r="I82" s="4">
        <v>0</v>
      </c>
      <c r="J82" s="3">
        <f t="shared" si="20"/>
        <v>352</v>
      </c>
      <c r="K82" s="3">
        <f t="shared" si="21"/>
        <v>2319</v>
      </c>
    </row>
    <row r="83" spans="1:16" ht="21" thickBot="1">
      <c r="A83" s="349"/>
      <c r="B83" s="38" t="s">
        <v>6</v>
      </c>
      <c r="C83" s="8">
        <f>SUM(C76:C82)</f>
        <v>0</v>
      </c>
      <c r="D83" s="8">
        <f t="shared" ref="D83:K83" si="22">SUM(D76:D82)</f>
        <v>97962</v>
      </c>
      <c r="E83" s="8">
        <f t="shared" si="22"/>
        <v>28123</v>
      </c>
      <c r="F83" s="8">
        <f t="shared" si="22"/>
        <v>126085</v>
      </c>
      <c r="G83" s="8">
        <f t="shared" si="22"/>
        <v>0</v>
      </c>
      <c r="H83" s="8">
        <f t="shared" si="22"/>
        <v>20417</v>
      </c>
      <c r="I83" s="8">
        <f t="shared" si="22"/>
        <v>0</v>
      </c>
      <c r="J83" s="8">
        <f t="shared" si="22"/>
        <v>20417</v>
      </c>
      <c r="K83" s="8">
        <f t="shared" si="22"/>
        <v>146502</v>
      </c>
    </row>
    <row r="84" spans="1:16" ht="17.25" customHeight="1" thickTop="1"/>
    <row r="85" spans="1:16">
      <c r="A85" s="350" t="s">
        <v>2</v>
      </c>
      <c r="B85" s="352" t="s">
        <v>20</v>
      </c>
      <c r="C85" s="353"/>
      <c r="D85" s="353"/>
      <c r="E85" s="353"/>
      <c r="F85" s="353"/>
      <c r="G85" s="353"/>
      <c r="H85" s="353"/>
      <c r="I85" s="353"/>
      <c r="J85" s="353"/>
      <c r="K85" s="354"/>
      <c r="M85" s="355" t="s">
        <v>21</v>
      </c>
      <c r="N85" s="356"/>
      <c r="O85" s="356"/>
      <c r="P85" s="357"/>
    </row>
    <row r="86" spans="1:16" ht="21" thickBot="1">
      <c r="A86" s="351"/>
      <c r="B86" s="32"/>
      <c r="C86" s="350" t="s">
        <v>4</v>
      </c>
      <c r="D86" s="351"/>
      <c r="E86" s="351"/>
      <c r="F86" s="351"/>
      <c r="G86" s="350" t="s">
        <v>5</v>
      </c>
      <c r="H86" s="351"/>
      <c r="I86" s="351"/>
      <c r="J86" s="351"/>
      <c r="K86" s="31" t="s">
        <v>6</v>
      </c>
      <c r="M86" s="33" t="s">
        <v>8</v>
      </c>
      <c r="N86" s="33" t="s">
        <v>3</v>
      </c>
      <c r="O86" s="33" t="s">
        <v>20</v>
      </c>
      <c r="P86" s="38" t="s">
        <v>6</v>
      </c>
    </row>
    <row r="87" spans="1:16" ht="21" customHeight="1" thickTop="1">
      <c r="A87" s="347" t="s">
        <v>23</v>
      </c>
      <c r="B87" s="33" t="s">
        <v>8</v>
      </c>
      <c r="C87" s="34" t="s">
        <v>9</v>
      </c>
      <c r="D87" s="34" t="s">
        <v>10</v>
      </c>
      <c r="E87" s="34" t="s">
        <v>11</v>
      </c>
      <c r="F87" s="34" t="s">
        <v>6</v>
      </c>
      <c r="G87" s="34" t="s">
        <v>9</v>
      </c>
      <c r="H87" s="34" t="s">
        <v>10</v>
      </c>
      <c r="I87" s="34" t="s">
        <v>11</v>
      </c>
      <c r="J87" s="34" t="s">
        <v>6</v>
      </c>
      <c r="K87" s="34" t="s">
        <v>6</v>
      </c>
      <c r="M87" s="35" t="s">
        <v>12</v>
      </c>
      <c r="N87" s="1">
        <f>K73</f>
        <v>292</v>
      </c>
      <c r="O87" s="1">
        <f>K88</f>
        <v>131</v>
      </c>
      <c r="P87" s="9">
        <f>SUM(N87:O87)</f>
        <v>423</v>
      </c>
    </row>
    <row r="88" spans="1:16">
      <c r="A88" s="348"/>
      <c r="B88" s="35" t="s">
        <v>12</v>
      </c>
      <c r="C88" s="4">
        <v>0</v>
      </c>
      <c r="D88" s="4">
        <v>127</v>
      </c>
      <c r="E88" s="4">
        <v>0</v>
      </c>
      <c r="F88" s="3">
        <f t="shared" ref="F88:F97" si="23">SUM(C88:E88)</f>
        <v>127</v>
      </c>
      <c r="G88" s="4">
        <v>0</v>
      </c>
      <c r="H88" s="4">
        <v>4</v>
      </c>
      <c r="I88" s="4">
        <v>0</v>
      </c>
      <c r="J88" s="3">
        <f>SUM(G88:I88)</f>
        <v>4</v>
      </c>
      <c r="K88" s="3">
        <f>SUM(J88,F88)</f>
        <v>131</v>
      </c>
      <c r="M88" s="33" t="s">
        <v>13</v>
      </c>
      <c r="N88" s="1">
        <f>K74</f>
        <v>87160</v>
      </c>
      <c r="O88" s="1">
        <f>K89</f>
        <v>58269</v>
      </c>
      <c r="P88" s="9">
        <f t="shared" ref="P88:P96" si="24">SUM(N88:O88)</f>
        <v>145429</v>
      </c>
    </row>
    <row r="89" spans="1:16">
      <c r="A89" s="348"/>
      <c r="B89" s="33" t="s">
        <v>13</v>
      </c>
      <c r="C89" s="4">
        <v>0</v>
      </c>
      <c r="D89" s="4">
        <v>56686</v>
      </c>
      <c r="E89" s="4">
        <v>0</v>
      </c>
      <c r="F89" s="3">
        <f t="shared" si="23"/>
        <v>56686</v>
      </c>
      <c r="G89" s="4">
        <v>0</v>
      </c>
      <c r="H89" s="4">
        <v>1583</v>
      </c>
      <c r="I89" s="4">
        <v>0</v>
      </c>
      <c r="J89" s="3">
        <f>SUM(G89:I89)</f>
        <v>1583</v>
      </c>
      <c r="K89" s="3">
        <f>SUM(J89,F89)</f>
        <v>58269</v>
      </c>
      <c r="M89" s="33" t="s">
        <v>14</v>
      </c>
      <c r="N89" s="1">
        <f>K75</f>
        <v>0</v>
      </c>
      <c r="O89" s="1">
        <f>K90</f>
        <v>0</v>
      </c>
      <c r="P89" s="9">
        <f t="shared" si="24"/>
        <v>0</v>
      </c>
    </row>
    <row r="90" spans="1:16" ht="21" thickBot="1">
      <c r="A90" s="348"/>
      <c r="B90" s="33" t="s">
        <v>14</v>
      </c>
      <c r="C90" s="4">
        <v>0</v>
      </c>
      <c r="D90" s="4">
        <v>0</v>
      </c>
      <c r="E90" s="4">
        <v>0</v>
      </c>
      <c r="F90" s="3">
        <f t="shared" si="23"/>
        <v>0</v>
      </c>
      <c r="G90" s="4">
        <v>0</v>
      </c>
      <c r="H90" s="4">
        <v>0</v>
      </c>
      <c r="I90" s="4">
        <v>0</v>
      </c>
      <c r="J90" s="3">
        <f>SUM(G90:I90)</f>
        <v>0</v>
      </c>
      <c r="K90" s="3">
        <f>SUM(J90,F90)</f>
        <v>0</v>
      </c>
      <c r="M90" s="36" t="s">
        <v>6</v>
      </c>
      <c r="N90" s="10">
        <f>K76</f>
        <v>87160</v>
      </c>
      <c r="O90" s="10">
        <f>K91</f>
        <v>58269</v>
      </c>
      <c r="P90" s="10">
        <f t="shared" si="24"/>
        <v>145429</v>
      </c>
    </row>
    <row r="91" spans="1:16" ht="21.75" thickTop="1" thickBot="1">
      <c r="A91" s="348"/>
      <c r="B91" s="36" t="s">
        <v>6</v>
      </c>
      <c r="C91" s="8">
        <f>SUM(C89:C90)</f>
        <v>0</v>
      </c>
      <c r="D91" s="8">
        <f>SUM(D89:D90)</f>
        <v>56686</v>
      </c>
      <c r="E91" s="8">
        <f>SUM(E89:E90)</f>
        <v>0</v>
      </c>
      <c r="F91" s="8">
        <f t="shared" si="23"/>
        <v>56686</v>
      </c>
      <c r="G91" s="8">
        <f>SUM(G89:G90)</f>
        <v>0</v>
      </c>
      <c r="H91" s="8">
        <f>SUM(H89:H90)</f>
        <v>1583</v>
      </c>
      <c r="I91" s="8">
        <f>SUM(I89:I90)</f>
        <v>0</v>
      </c>
      <c r="J91" s="8">
        <f>SUM(J89:J90)</f>
        <v>1583</v>
      </c>
      <c r="K91" s="8">
        <f>SUM(K89:K90)</f>
        <v>58269</v>
      </c>
      <c r="M91" s="37" t="s">
        <v>16</v>
      </c>
      <c r="N91" s="13">
        <f>K78</f>
        <v>41482</v>
      </c>
      <c r="O91" s="13">
        <f>K93</f>
        <v>40788</v>
      </c>
      <c r="P91" s="14">
        <f t="shared" si="24"/>
        <v>82270</v>
      </c>
    </row>
    <row r="92" spans="1:16" ht="21" thickTop="1">
      <c r="A92" s="348"/>
      <c r="B92" s="37" t="s">
        <v>15</v>
      </c>
      <c r="C92" s="4">
        <v>0</v>
      </c>
      <c r="D92" s="4">
        <v>0</v>
      </c>
      <c r="E92" s="4">
        <v>0</v>
      </c>
      <c r="F92" s="3">
        <f t="shared" si="23"/>
        <v>0</v>
      </c>
      <c r="G92" s="4">
        <v>0</v>
      </c>
      <c r="H92" s="4">
        <v>0</v>
      </c>
      <c r="I92" s="4">
        <v>0</v>
      </c>
      <c r="J92" s="3">
        <f t="shared" ref="J92:J97" si="25">SUM(G92:I92)</f>
        <v>0</v>
      </c>
      <c r="K92" s="3">
        <f t="shared" ref="K92:K97" si="26">SUM(J92,F92)</f>
        <v>0</v>
      </c>
      <c r="M92" s="37" t="s">
        <v>15</v>
      </c>
      <c r="N92" s="1">
        <f>$K$11</f>
        <v>0</v>
      </c>
      <c r="O92" s="1">
        <f>SUM(K92)</f>
        <v>0</v>
      </c>
      <c r="P92" s="14">
        <f t="shared" si="24"/>
        <v>0</v>
      </c>
    </row>
    <row r="93" spans="1:16">
      <c r="A93" s="348"/>
      <c r="B93" s="33" t="s">
        <v>16</v>
      </c>
      <c r="C93" s="4">
        <v>0</v>
      </c>
      <c r="D93" s="4">
        <v>39680</v>
      </c>
      <c r="E93" s="4">
        <v>0</v>
      </c>
      <c r="F93" s="3">
        <f t="shared" si="23"/>
        <v>39680</v>
      </c>
      <c r="G93" s="4">
        <v>0</v>
      </c>
      <c r="H93" s="4">
        <v>1108</v>
      </c>
      <c r="I93" s="4">
        <v>0</v>
      </c>
      <c r="J93" s="3">
        <f t="shared" si="25"/>
        <v>1108</v>
      </c>
      <c r="K93" s="3">
        <f t="shared" si="26"/>
        <v>40788</v>
      </c>
      <c r="M93" s="33" t="s">
        <v>17</v>
      </c>
      <c r="N93" s="1">
        <f>K79</f>
        <v>493</v>
      </c>
      <c r="O93" s="1">
        <f>K94</f>
        <v>418</v>
      </c>
      <c r="P93" s="9">
        <f t="shared" si="24"/>
        <v>911</v>
      </c>
    </row>
    <row r="94" spans="1:16">
      <c r="A94" s="348"/>
      <c r="B94" s="33" t="s">
        <v>17</v>
      </c>
      <c r="C94" s="4">
        <v>0</v>
      </c>
      <c r="D94" s="4">
        <v>403</v>
      </c>
      <c r="E94" s="4">
        <v>0</v>
      </c>
      <c r="F94" s="3">
        <f t="shared" si="23"/>
        <v>403</v>
      </c>
      <c r="G94" s="4">
        <v>0</v>
      </c>
      <c r="H94" s="4">
        <v>15</v>
      </c>
      <c r="I94" s="4">
        <v>0</v>
      </c>
      <c r="J94" s="3">
        <f t="shared" si="25"/>
        <v>15</v>
      </c>
      <c r="K94" s="3">
        <f t="shared" si="26"/>
        <v>418</v>
      </c>
      <c r="M94" s="33" t="s">
        <v>18</v>
      </c>
      <c r="N94" s="1">
        <f>K80</f>
        <v>11986</v>
      </c>
      <c r="O94" s="1">
        <f>K95</f>
        <v>10982</v>
      </c>
      <c r="P94" s="9">
        <f t="shared" si="24"/>
        <v>22968</v>
      </c>
    </row>
    <row r="95" spans="1:16" ht="36.75" customHeight="1">
      <c r="A95" s="348"/>
      <c r="B95" s="33" t="s">
        <v>18</v>
      </c>
      <c r="C95" s="4">
        <v>0</v>
      </c>
      <c r="D95" s="4">
        <v>10633</v>
      </c>
      <c r="E95" s="4">
        <v>0</v>
      </c>
      <c r="F95" s="3">
        <f t="shared" si="23"/>
        <v>10633</v>
      </c>
      <c r="G95" s="4">
        <v>0</v>
      </c>
      <c r="H95" s="4">
        <v>349</v>
      </c>
      <c r="I95" s="4">
        <v>0</v>
      </c>
      <c r="J95" s="3">
        <f t="shared" si="25"/>
        <v>349</v>
      </c>
      <c r="K95" s="3">
        <f t="shared" si="26"/>
        <v>10982</v>
      </c>
      <c r="M95" s="194" t="s">
        <v>86</v>
      </c>
      <c r="N95" s="4">
        <f>K81</f>
        <v>3062</v>
      </c>
      <c r="O95" s="4">
        <f>K96</f>
        <v>3013</v>
      </c>
      <c r="P95" s="3">
        <f t="shared" si="24"/>
        <v>6075</v>
      </c>
    </row>
    <row r="96" spans="1:16" ht="31.5">
      <c r="A96" s="348"/>
      <c r="B96" s="194" t="s">
        <v>86</v>
      </c>
      <c r="C96" s="4">
        <v>0</v>
      </c>
      <c r="D96" s="4">
        <v>2932</v>
      </c>
      <c r="E96" s="4">
        <v>0</v>
      </c>
      <c r="F96" s="3">
        <f t="shared" si="23"/>
        <v>2932</v>
      </c>
      <c r="G96" s="4">
        <v>0</v>
      </c>
      <c r="H96" s="4">
        <v>81</v>
      </c>
      <c r="I96" s="4">
        <v>0</v>
      </c>
      <c r="J96" s="3">
        <f t="shared" si="25"/>
        <v>81</v>
      </c>
      <c r="K96" s="3">
        <f t="shared" si="26"/>
        <v>3013</v>
      </c>
      <c r="M96" s="33" t="s">
        <v>19</v>
      </c>
      <c r="N96" s="4">
        <f>K82</f>
        <v>2319</v>
      </c>
      <c r="O96" s="4">
        <f>K97</f>
        <v>2004</v>
      </c>
      <c r="P96" s="3">
        <f t="shared" si="24"/>
        <v>4323</v>
      </c>
    </row>
    <row r="97" spans="1:17" ht="21" thickBot="1">
      <c r="A97" s="348"/>
      <c r="B97" s="33" t="s">
        <v>19</v>
      </c>
      <c r="C97" s="4">
        <v>0</v>
      </c>
      <c r="D97" s="4">
        <v>1943</v>
      </c>
      <c r="E97" s="4">
        <v>0</v>
      </c>
      <c r="F97" s="3">
        <f t="shared" si="23"/>
        <v>1943</v>
      </c>
      <c r="G97" s="4">
        <v>0</v>
      </c>
      <c r="H97" s="4">
        <v>61</v>
      </c>
      <c r="I97" s="4">
        <v>0</v>
      </c>
      <c r="J97" s="3">
        <f t="shared" si="25"/>
        <v>61</v>
      </c>
      <c r="K97" s="3">
        <f t="shared" si="26"/>
        <v>2004</v>
      </c>
      <c r="M97" s="38" t="s">
        <v>6</v>
      </c>
      <c r="N97" s="10">
        <f>SUM(N90:N96)</f>
        <v>146502</v>
      </c>
      <c r="O97" s="10">
        <f>SUM(O90:O96)</f>
        <v>115474</v>
      </c>
      <c r="P97" s="10">
        <f>SUM(P90:P96)</f>
        <v>261976</v>
      </c>
    </row>
    <row r="98" spans="1:17" ht="21.75" thickTop="1" thickBot="1">
      <c r="A98" s="349"/>
      <c r="B98" s="38" t="s">
        <v>6</v>
      </c>
      <c r="C98" s="8">
        <f>SUM(C91:C97)</f>
        <v>0</v>
      </c>
      <c r="D98" s="8">
        <f t="shared" ref="D98:K98" si="27">SUM(D91:D97)</f>
        <v>112277</v>
      </c>
      <c r="E98" s="8">
        <f t="shared" si="27"/>
        <v>0</v>
      </c>
      <c r="F98" s="8">
        <f t="shared" si="27"/>
        <v>112277</v>
      </c>
      <c r="G98" s="8">
        <f t="shared" si="27"/>
        <v>0</v>
      </c>
      <c r="H98" s="8">
        <f t="shared" si="27"/>
        <v>3197</v>
      </c>
      <c r="I98" s="8">
        <f t="shared" si="27"/>
        <v>0</v>
      </c>
      <c r="J98" s="8">
        <f t="shared" si="27"/>
        <v>3197</v>
      </c>
      <c r="K98" s="8">
        <f t="shared" si="27"/>
        <v>115474</v>
      </c>
      <c r="M98" s="5"/>
      <c r="N98" s="5"/>
      <c r="O98" s="5"/>
      <c r="P98" s="5"/>
    </row>
    <row r="99" spans="1:17" ht="21" thickTop="1">
      <c r="A99" s="15"/>
      <c r="B99" s="16"/>
      <c r="C99" s="17"/>
      <c r="D99" s="17"/>
      <c r="E99" s="17"/>
      <c r="F99" s="17"/>
      <c r="G99" s="17"/>
      <c r="H99" s="17"/>
      <c r="I99" s="17"/>
      <c r="J99" s="17"/>
      <c r="K99" s="17"/>
      <c r="M99" s="5"/>
      <c r="N99" s="5"/>
      <c r="O99" s="5"/>
      <c r="P99" s="5"/>
    </row>
    <row r="100" spans="1:17">
      <c r="A100" s="358" t="s">
        <v>124</v>
      </c>
      <c r="B100" s="359"/>
      <c r="C100" s="359"/>
      <c r="D100" s="359"/>
      <c r="E100" s="359"/>
      <c r="F100" s="359"/>
      <c r="G100" s="359"/>
      <c r="H100" s="359"/>
      <c r="I100" s="359"/>
      <c r="J100" s="359"/>
      <c r="K100" s="359"/>
      <c r="L100" s="359"/>
      <c r="M100" s="359"/>
      <c r="N100" s="359"/>
      <c r="O100" s="359"/>
      <c r="P100" s="359"/>
    </row>
    <row r="101" spans="1:17" ht="24" customHeight="1">
      <c r="A101" s="360" t="s">
        <v>31</v>
      </c>
      <c r="B101" s="361"/>
      <c r="C101" s="361"/>
      <c r="D101" s="361"/>
      <c r="E101" s="361"/>
      <c r="F101" s="361"/>
      <c r="G101" s="361"/>
      <c r="H101" s="361"/>
      <c r="I101" s="361"/>
      <c r="J101" s="361"/>
      <c r="K101" s="361"/>
      <c r="L101" s="361"/>
      <c r="M101" s="361"/>
      <c r="N101" s="361"/>
      <c r="O101" s="361"/>
      <c r="P101" s="361"/>
      <c r="Q101" s="30"/>
    </row>
    <row r="102" spans="1:17" ht="21" customHeight="1">
      <c r="A102" s="343" t="s">
        <v>1</v>
      </c>
      <c r="B102" s="344"/>
      <c r="C102" s="344"/>
      <c r="D102" s="344"/>
      <c r="E102" s="344"/>
      <c r="F102" s="344"/>
      <c r="G102" s="344"/>
      <c r="H102" s="344"/>
      <c r="I102" s="344"/>
      <c r="J102" s="344"/>
      <c r="K102" s="344"/>
    </row>
    <row r="103" spans="1:17">
      <c r="A103" s="350" t="s">
        <v>2</v>
      </c>
      <c r="B103" s="352" t="s">
        <v>3</v>
      </c>
      <c r="C103" s="353"/>
      <c r="D103" s="353"/>
      <c r="E103" s="353"/>
      <c r="F103" s="353"/>
      <c r="G103" s="353"/>
      <c r="H103" s="353"/>
      <c r="I103" s="353"/>
      <c r="J103" s="353"/>
      <c r="K103" s="354"/>
    </row>
    <row r="104" spans="1:17">
      <c r="A104" s="351"/>
      <c r="B104" s="32"/>
      <c r="C104" s="350" t="s">
        <v>4</v>
      </c>
      <c r="D104" s="351"/>
      <c r="E104" s="351"/>
      <c r="F104" s="351"/>
      <c r="G104" s="350" t="s">
        <v>5</v>
      </c>
      <c r="H104" s="351"/>
      <c r="I104" s="351"/>
      <c r="J104" s="351"/>
      <c r="K104" s="31" t="s">
        <v>6</v>
      </c>
    </row>
    <row r="105" spans="1:17">
      <c r="A105" s="347" t="s">
        <v>24</v>
      </c>
      <c r="B105" s="33" t="s">
        <v>8</v>
      </c>
      <c r="C105" s="34" t="s">
        <v>9</v>
      </c>
      <c r="D105" s="34" t="s">
        <v>10</v>
      </c>
      <c r="E105" s="34" t="s">
        <v>11</v>
      </c>
      <c r="F105" s="34" t="s">
        <v>6</v>
      </c>
      <c r="G105" s="34" t="s">
        <v>9</v>
      </c>
      <c r="H105" s="34" t="s">
        <v>10</v>
      </c>
      <c r="I105" s="34" t="s">
        <v>11</v>
      </c>
      <c r="J105" s="34" t="s">
        <v>6</v>
      </c>
      <c r="K105" s="34" t="s">
        <v>6</v>
      </c>
    </row>
    <row r="106" spans="1:17">
      <c r="A106" s="348"/>
      <c r="B106" s="35" t="s">
        <v>12</v>
      </c>
      <c r="C106" s="4">
        <v>0</v>
      </c>
      <c r="D106" s="4">
        <v>127</v>
      </c>
      <c r="E106" s="4">
        <v>100</v>
      </c>
      <c r="F106" s="3">
        <f t="shared" ref="F106:F115" si="28">SUM(C106:E106)</f>
        <v>227</v>
      </c>
      <c r="G106" s="4">
        <v>0</v>
      </c>
      <c r="H106" s="4">
        <v>0</v>
      </c>
      <c r="I106" s="4">
        <v>78</v>
      </c>
      <c r="J106" s="3">
        <f>SUM(G106:I106)</f>
        <v>78</v>
      </c>
      <c r="K106" s="3">
        <f>SUM(J106,F106)</f>
        <v>305</v>
      </c>
    </row>
    <row r="107" spans="1:17">
      <c r="A107" s="348"/>
      <c r="B107" s="33" t="s">
        <v>13</v>
      </c>
      <c r="C107" s="4">
        <v>0</v>
      </c>
      <c r="D107" s="4">
        <v>76410</v>
      </c>
      <c r="E107" s="4">
        <v>18000</v>
      </c>
      <c r="F107" s="3">
        <f t="shared" si="28"/>
        <v>94410</v>
      </c>
      <c r="G107" s="4">
        <v>0</v>
      </c>
      <c r="H107" s="4">
        <v>0</v>
      </c>
      <c r="I107" s="4">
        <v>14040</v>
      </c>
      <c r="J107" s="3">
        <f>SUM(G107:I107)</f>
        <v>14040</v>
      </c>
      <c r="K107" s="3">
        <f>SUM(J107,F107)</f>
        <v>108450</v>
      </c>
    </row>
    <row r="108" spans="1:17">
      <c r="A108" s="348"/>
      <c r="B108" s="33" t="s">
        <v>14</v>
      </c>
      <c r="C108" s="4">
        <v>0</v>
      </c>
      <c r="D108" s="4">
        <v>0</v>
      </c>
      <c r="E108" s="4">
        <v>0</v>
      </c>
      <c r="F108" s="3">
        <f t="shared" si="28"/>
        <v>0</v>
      </c>
      <c r="G108" s="4">
        <v>0</v>
      </c>
      <c r="H108" s="4">
        <v>0</v>
      </c>
      <c r="I108" s="4">
        <v>0</v>
      </c>
      <c r="J108" s="3">
        <f>SUM(G108:I108)</f>
        <v>0</v>
      </c>
      <c r="K108" s="3">
        <f>SUM(J108,F108)</f>
        <v>0</v>
      </c>
    </row>
    <row r="109" spans="1:17" ht="21" thickBot="1">
      <c r="A109" s="348"/>
      <c r="B109" s="36" t="s">
        <v>6</v>
      </c>
      <c r="C109" s="8">
        <f>SUM(C107:C108)</f>
        <v>0</v>
      </c>
      <c r="D109" s="8">
        <f>SUM(D107:D108)</f>
        <v>76410</v>
      </c>
      <c r="E109" s="8">
        <f>SUM(E107:E108)</f>
        <v>18000</v>
      </c>
      <c r="F109" s="8">
        <f t="shared" si="28"/>
        <v>94410</v>
      </c>
      <c r="G109" s="8">
        <f>SUM(G107:G108)</f>
        <v>0</v>
      </c>
      <c r="H109" s="8">
        <f>SUM(H107:H108)</f>
        <v>0</v>
      </c>
      <c r="I109" s="8">
        <f>SUM(I107:I108)</f>
        <v>14040</v>
      </c>
      <c r="J109" s="8">
        <f>SUM(J107:J108)</f>
        <v>14040</v>
      </c>
      <c r="K109" s="8">
        <f>SUM(K107:K108)</f>
        <v>108450</v>
      </c>
    </row>
    <row r="110" spans="1:17" ht="21" thickTop="1">
      <c r="A110" s="348"/>
      <c r="B110" s="37" t="s">
        <v>15</v>
      </c>
      <c r="C110" s="4">
        <v>0</v>
      </c>
      <c r="D110" s="4">
        <v>0</v>
      </c>
      <c r="E110" s="4">
        <v>0</v>
      </c>
      <c r="F110" s="3">
        <f t="shared" si="28"/>
        <v>0</v>
      </c>
      <c r="G110" s="4">
        <v>0</v>
      </c>
      <c r="H110" s="4">
        <v>0</v>
      </c>
      <c r="I110" s="4">
        <v>0</v>
      </c>
      <c r="J110" s="3">
        <f t="shared" ref="J110:J115" si="29">SUM(G110:I110)</f>
        <v>0</v>
      </c>
      <c r="K110" s="3">
        <f t="shared" ref="K110:K115" si="30">SUM(J110,F110)</f>
        <v>0</v>
      </c>
    </row>
    <row r="111" spans="1:17">
      <c r="A111" s="348"/>
      <c r="B111" s="33" t="s">
        <v>16</v>
      </c>
      <c r="C111" s="4">
        <v>0</v>
      </c>
      <c r="D111" s="4">
        <v>53487</v>
      </c>
      <c r="E111" s="4">
        <v>0</v>
      </c>
      <c r="F111" s="3">
        <f t="shared" si="28"/>
        <v>53487</v>
      </c>
      <c r="G111" s="4">
        <v>0</v>
      </c>
      <c r="H111" s="4">
        <v>0</v>
      </c>
      <c r="I111" s="4">
        <v>0</v>
      </c>
      <c r="J111" s="3">
        <f t="shared" si="29"/>
        <v>0</v>
      </c>
      <c r="K111" s="3">
        <f t="shared" si="30"/>
        <v>53487</v>
      </c>
    </row>
    <row r="112" spans="1:17">
      <c r="A112" s="348"/>
      <c r="B112" s="33" t="s">
        <v>17</v>
      </c>
      <c r="C112" s="4">
        <v>0</v>
      </c>
      <c r="D112" s="4">
        <v>1341</v>
      </c>
      <c r="E112" s="4">
        <v>0</v>
      </c>
      <c r="F112" s="3">
        <f t="shared" si="28"/>
        <v>1341</v>
      </c>
      <c r="G112" s="4">
        <v>0</v>
      </c>
      <c r="H112" s="4">
        <v>0</v>
      </c>
      <c r="I112" s="4">
        <v>0</v>
      </c>
      <c r="J112" s="3">
        <f t="shared" si="29"/>
        <v>0</v>
      </c>
      <c r="K112" s="3">
        <f t="shared" si="30"/>
        <v>1341</v>
      </c>
    </row>
    <row r="113" spans="1:16">
      <c r="A113" s="348"/>
      <c r="B113" s="33" t="s">
        <v>18</v>
      </c>
      <c r="C113" s="4">
        <v>0</v>
      </c>
      <c r="D113" s="4">
        <v>7641</v>
      </c>
      <c r="E113" s="4">
        <v>0</v>
      </c>
      <c r="F113" s="3">
        <f t="shared" si="28"/>
        <v>7641</v>
      </c>
      <c r="G113" s="4">
        <v>0</v>
      </c>
      <c r="H113" s="4">
        <v>0</v>
      </c>
      <c r="I113" s="4">
        <v>0</v>
      </c>
      <c r="J113" s="3">
        <f t="shared" si="29"/>
        <v>0</v>
      </c>
      <c r="K113" s="3">
        <f t="shared" si="30"/>
        <v>7641</v>
      </c>
    </row>
    <row r="114" spans="1:16" ht="31.5">
      <c r="A114" s="348"/>
      <c r="B114" s="194" t="s">
        <v>86</v>
      </c>
      <c r="C114" s="4">
        <v>0</v>
      </c>
      <c r="D114" s="4">
        <v>2057</v>
      </c>
      <c r="E114" s="4">
        <v>0</v>
      </c>
      <c r="F114" s="3">
        <f t="shared" si="28"/>
        <v>2057</v>
      </c>
      <c r="G114" s="4">
        <v>0</v>
      </c>
      <c r="H114" s="4">
        <v>0</v>
      </c>
      <c r="I114" s="4">
        <v>0</v>
      </c>
      <c r="J114" s="3">
        <f t="shared" si="29"/>
        <v>0</v>
      </c>
      <c r="K114" s="3">
        <f t="shared" si="30"/>
        <v>2057</v>
      </c>
    </row>
    <row r="115" spans="1:16">
      <c r="A115" s="348"/>
      <c r="B115" s="33" t="s">
        <v>19</v>
      </c>
      <c r="C115" s="4">
        <v>0</v>
      </c>
      <c r="D115" s="4">
        <v>3125</v>
      </c>
      <c r="E115" s="4">
        <v>0</v>
      </c>
      <c r="F115" s="3">
        <f t="shared" si="28"/>
        <v>3125</v>
      </c>
      <c r="G115" s="4">
        <v>0</v>
      </c>
      <c r="H115" s="4">
        <v>0</v>
      </c>
      <c r="I115" s="4">
        <v>0</v>
      </c>
      <c r="J115" s="3">
        <f t="shared" si="29"/>
        <v>0</v>
      </c>
      <c r="K115" s="3">
        <f t="shared" si="30"/>
        <v>3125</v>
      </c>
    </row>
    <row r="116" spans="1:16" ht="21" thickBot="1">
      <c r="A116" s="349"/>
      <c r="B116" s="38" t="s">
        <v>6</v>
      </c>
      <c r="C116" s="8">
        <f>SUM(C109:C115)</f>
        <v>0</v>
      </c>
      <c r="D116" s="8">
        <f t="shared" ref="D116:K116" si="31">SUM(D109:D115)</f>
        <v>144061</v>
      </c>
      <c r="E116" s="8">
        <f t="shared" si="31"/>
        <v>18000</v>
      </c>
      <c r="F116" s="8">
        <f t="shared" si="31"/>
        <v>162061</v>
      </c>
      <c r="G116" s="8">
        <f t="shared" si="31"/>
        <v>0</v>
      </c>
      <c r="H116" s="8">
        <f t="shared" si="31"/>
        <v>0</v>
      </c>
      <c r="I116" s="8">
        <f t="shared" si="31"/>
        <v>14040</v>
      </c>
      <c r="J116" s="8">
        <f t="shared" si="31"/>
        <v>14040</v>
      </c>
      <c r="K116" s="8">
        <f t="shared" si="31"/>
        <v>176101</v>
      </c>
    </row>
    <row r="117" spans="1:16" ht="17.25" customHeight="1" thickTop="1"/>
    <row r="118" spans="1:16">
      <c r="A118" s="350" t="s">
        <v>2</v>
      </c>
      <c r="B118" s="352" t="s">
        <v>20</v>
      </c>
      <c r="C118" s="353"/>
      <c r="D118" s="353"/>
      <c r="E118" s="353"/>
      <c r="F118" s="353"/>
      <c r="G118" s="353"/>
      <c r="H118" s="353"/>
      <c r="I118" s="353"/>
      <c r="J118" s="353"/>
      <c r="K118" s="354"/>
      <c r="M118" s="355" t="s">
        <v>21</v>
      </c>
      <c r="N118" s="356"/>
      <c r="O118" s="356"/>
      <c r="P118" s="357"/>
    </row>
    <row r="119" spans="1:16" ht="21" thickBot="1">
      <c r="A119" s="351"/>
      <c r="B119" s="32"/>
      <c r="C119" s="350" t="s">
        <v>4</v>
      </c>
      <c r="D119" s="351"/>
      <c r="E119" s="351"/>
      <c r="F119" s="351"/>
      <c r="G119" s="350" t="s">
        <v>5</v>
      </c>
      <c r="H119" s="351"/>
      <c r="I119" s="351"/>
      <c r="J119" s="351"/>
      <c r="K119" s="31" t="s">
        <v>6</v>
      </c>
      <c r="M119" s="33" t="s">
        <v>8</v>
      </c>
      <c r="N119" s="33" t="s">
        <v>3</v>
      </c>
      <c r="O119" s="33" t="s">
        <v>20</v>
      </c>
      <c r="P119" s="38" t="s">
        <v>6</v>
      </c>
    </row>
    <row r="120" spans="1:16" ht="21" customHeight="1" thickTop="1">
      <c r="A120" s="347" t="s">
        <v>24</v>
      </c>
      <c r="B120" s="33" t="s">
        <v>8</v>
      </c>
      <c r="C120" s="34" t="s">
        <v>9</v>
      </c>
      <c r="D120" s="34" t="s">
        <v>10</v>
      </c>
      <c r="E120" s="34" t="s">
        <v>11</v>
      </c>
      <c r="F120" s="34" t="s">
        <v>6</v>
      </c>
      <c r="G120" s="34" t="s">
        <v>9</v>
      </c>
      <c r="H120" s="34" t="s">
        <v>10</v>
      </c>
      <c r="I120" s="34" t="s">
        <v>11</v>
      </c>
      <c r="J120" s="34" t="s">
        <v>6</v>
      </c>
      <c r="K120" s="34" t="s">
        <v>6</v>
      </c>
      <c r="M120" s="35" t="s">
        <v>12</v>
      </c>
      <c r="N120" s="1">
        <f>K106</f>
        <v>305</v>
      </c>
      <c r="O120" s="1">
        <f>K121</f>
        <v>141</v>
      </c>
      <c r="P120" s="9">
        <f>SUM(N120:O120)</f>
        <v>446</v>
      </c>
    </row>
    <row r="121" spans="1:16">
      <c r="A121" s="348"/>
      <c r="B121" s="35" t="s">
        <v>12</v>
      </c>
      <c r="C121" s="4">
        <v>0</v>
      </c>
      <c r="D121" s="4">
        <v>30</v>
      </c>
      <c r="E121" s="4">
        <v>0</v>
      </c>
      <c r="F121" s="3">
        <f t="shared" ref="F121:F130" si="32">SUM(C121:E121)</f>
        <v>30</v>
      </c>
      <c r="G121" s="4">
        <v>0</v>
      </c>
      <c r="H121" s="4">
        <v>111</v>
      </c>
      <c r="I121" s="4">
        <v>0</v>
      </c>
      <c r="J121" s="3">
        <f>SUM(G121:I121)</f>
        <v>111</v>
      </c>
      <c r="K121" s="3">
        <f>SUM(J121,F121)</f>
        <v>141</v>
      </c>
      <c r="M121" s="33" t="s">
        <v>13</v>
      </c>
      <c r="N121" s="1">
        <f>K107</f>
        <v>108450</v>
      </c>
      <c r="O121" s="1">
        <f>K122</f>
        <v>92831</v>
      </c>
      <c r="P121" s="9">
        <f t="shared" ref="P121:P129" si="33">SUM(N121:O121)</f>
        <v>201281</v>
      </c>
    </row>
    <row r="122" spans="1:16">
      <c r="A122" s="348"/>
      <c r="B122" s="33" t="s">
        <v>13</v>
      </c>
      <c r="C122" s="4">
        <v>0</v>
      </c>
      <c r="D122" s="4">
        <v>27849</v>
      </c>
      <c r="E122" s="4">
        <v>0</v>
      </c>
      <c r="F122" s="3">
        <f t="shared" si="32"/>
        <v>27849</v>
      </c>
      <c r="G122" s="4">
        <v>0</v>
      </c>
      <c r="H122" s="4">
        <v>64982</v>
      </c>
      <c r="I122" s="4">
        <v>0</v>
      </c>
      <c r="J122" s="3">
        <f>SUM(G122:I122)</f>
        <v>64982</v>
      </c>
      <c r="K122" s="3">
        <f>SUM(J122,F122)</f>
        <v>92831</v>
      </c>
      <c r="M122" s="33" t="s">
        <v>14</v>
      </c>
      <c r="N122" s="1">
        <f>K108</f>
        <v>0</v>
      </c>
      <c r="O122" s="1">
        <f>K123</f>
        <v>0</v>
      </c>
      <c r="P122" s="9">
        <f t="shared" si="33"/>
        <v>0</v>
      </c>
    </row>
    <row r="123" spans="1:16" ht="21" thickBot="1">
      <c r="A123" s="348"/>
      <c r="B123" s="33" t="s">
        <v>14</v>
      </c>
      <c r="C123" s="4">
        <v>0</v>
      </c>
      <c r="D123" s="4">
        <v>0</v>
      </c>
      <c r="E123" s="4">
        <v>0</v>
      </c>
      <c r="F123" s="3">
        <f t="shared" si="32"/>
        <v>0</v>
      </c>
      <c r="G123" s="4">
        <v>0</v>
      </c>
      <c r="H123" s="4">
        <v>0</v>
      </c>
      <c r="I123" s="4">
        <v>0</v>
      </c>
      <c r="J123" s="3">
        <f>SUM(G123:I123)</f>
        <v>0</v>
      </c>
      <c r="K123" s="3">
        <f>SUM(J123,F123)</f>
        <v>0</v>
      </c>
      <c r="M123" s="36" t="s">
        <v>6</v>
      </c>
      <c r="N123" s="10">
        <f>K109</f>
        <v>108450</v>
      </c>
      <c r="O123" s="10">
        <f>K124</f>
        <v>92831</v>
      </c>
      <c r="P123" s="10">
        <f t="shared" si="33"/>
        <v>201281</v>
      </c>
    </row>
    <row r="124" spans="1:16" ht="21.75" thickTop="1" thickBot="1">
      <c r="A124" s="348"/>
      <c r="B124" s="36" t="s">
        <v>6</v>
      </c>
      <c r="C124" s="8">
        <f>SUM(C122:C123)</f>
        <v>0</v>
      </c>
      <c r="D124" s="8">
        <f>SUM(D122:D123)</f>
        <v>27849</v>
      </c>
      <c r="E124" s="8">
        <f>SUM(E122:E123)</f>
        <v>0</v>
      </c>
      <c r="F124" s="8">
        <f t="shared" si="32"/>
        <v>27849</v>
      </c>
      <c r="G124" s="8">
        <f>SUM(G122:G123)</f>
        <v>0</v>
      </c>
      <c r="H124" s="8">
        <f>SUM(H122:H123)</f>
        <v>64982</v>
      </c>
      <c r="I124" s="8">
        <f>SUM(I122:I123)</f>
        <v>0</v>
      </c>
      <c r="J124" s="8">
        <f>SUM(J122:J123)</f>
        <v>64982</v>
      </c>
      <c r="K124" s="8">
        <f>SUM(K122:K123)</f>
        <v>92831</v>
      </c>
      <c r="M124" s="37" t="s">
        <v>16</v>
      </c>
      <c r="N124" s="13">
        <f>K111</f>
        <v>53487</v>
      </c>
      <c r="O124" s="13">
        <f>K126</f>
        <v>64982</v>
      </c>
      <c r="P124" s="14">
        <f t="shared" si="33"/>
        <v>118469</v>
      </c>
    </row>
    <row r="125" spans="1:16" ht="21" thickTop="1">
      <c r="A125" s="348"/>
      <c r="B125" s="37" t="s">
        <v>15</v>
      </c>
      <c r="C125" s="4">
        <v>0</v>
      </c>
      <c r="D125" s="4">
        <v>0</v>
      </c>
      <c r="E125" s="4">
        <v>0</v>
      </c>
      <c r="F125" s="3">
        <f t="shared" si="32"/>
        <v>0</v>
      </c>
      <c r="G125" s="4">
        <v>0</v>
      </c>
      <c r="H125" s="4">
        <v>0</v>
      </c>
      <c r="I125" s="4">
        <v>0</v>
      </c>
      <c r="J125" s="3">
        <f t="shared" ref="J125:J130" si="34">SUM(G125:I125)</f>
        <v>0</v>
      </c>
      <c r="K125" s="3">
        <f t="shared" ref="K125:K130" si="35">SUM(J125,F125)</f>
        <v>0</v>
      </c>
      <c r="M125" s="37" t="s">
        <v>15</v>
      </c>
      <c r="N125" s="1">
        <f>$K$11</f>
        <v>0</v>
      </c>
      <c r="O125" s="1">
        <f>SUM(K125)</f>
        <v>0</v>
      </c>
      <c r="P125" s="14">
        <f t="shared" si="33"/>
        <v>0</v>
      </c>
    </row>
    <row r="126" spans="1:16">
      <c r="A126" s="348"/>
      <c r="B126" s="33" t="s">
        <v>16</v>
      </c>
      <c r="C126" s="4">
        <v>0</v>
      </c>
      <c r="D126" s="4">
        <v>19495</v>
      </c>
      <c r="E126" s="4">
        <v>0</v>
      </c>
      <c r="F126" s="3">
        <f t="shared" si="32"/>
        <v>19495</v>
      </c>
      <c r="G126" s="4">
        <v>0</v>
      </c>
      <c r="H126" s="4">
        <v>45487</v>
      </c>
      <c r="I126" s="4">
        <v>0</v>
      </c>
      <c r="J126" s="3">
        <f t="shared" si="34"/>
        <v>45487</v>
      </c>
      <c r="K126" s="3">
        <f t="shared" si="35"/>
        <v>64982</v>
      </c>
      <c r="M126" s="33" t="s">
        <v>17</v>
      </c>
      <c r="N126" s="1">
        <f>K112</f>
        <v>1341</v>
      </c>
      <c r="O126" s="1">
        <f>K127</f>
        <v>1489</v>
      </c>
      <c r="P126" s="9">
        <f t="shared" si="33"/>
        <v>2830</v>
      </c>
    </row>
    <row r="127" spans="1:16">
      <c r="A127" s="348"/>
      <c r="B127" s="33" t="s">
        <v>17</v>
      </c>
      <c r="C127" s="4">
        <v>0</v>
      </c>
      <c r="D127" s="4">
        <v>296</v>
      </c>
      <c r="E127" s="4">
        <v>0</v>
      </c>
      <c r="F127" s="3">
        <f t="shared" si="32"/>
        <v>296</v>
      </c>
      <c r="G127" s="4">
        <v>0</v>
      </c>
      <c r="H127" s="4">
        <v>1193</v>
      </c>
      <c r="I127" s="4">
        <v>0</v>
      </c>
      <c r="J127" s="3">
        <f t="shared" si="34"/>
        <v>1193</v>
      </c>
      <c r="K127" s="3">
        <f t="shared" si="35"/>
        <v>1489</v>
      </c>
      <c r="M127" s="33" t="s">
        <v>18</v>
      </c>
      <c r="N127" s="1">
        <f>K113</f>
        <v>7641</v>
      </c>
      <c r="O127" s="1">
        <f>K128</f>
        <v>9283</v>
      </c>
      <c r="P127" s="9">
        <f t="shared" si="33"/>
        <v>16924</v>
      </c>
    </row>
    <row r="128" spans="1:16" ht="35.25" customHeight="1">
      <c r="A128" s="348"/>
      <c r="B128" s="33" t="s">
        <v>18</v>
      </c>
      <c r="C128" s="4">
        <v>0</v>
      </c>
      <c r="D128" s="4">
        <v>2785</v>
      </c>
      <c r="E128" s="4">
        <v>0</v>
      </c>
      <c r="F128" s="3">
        <f t="shared" si="32"/>
        <v>2785</v>
      </c>
      <c r="G128" s="4">
        <v>0</v>
      </c>
      <c r="H128" s="4">
        <v>6498</v>
      </c>
      <c r="I128" s="4">
        <v>0</v>
      </c>
      <c r="J128" s="3">
        <f t="shared" si="34"/>
        <v>6498</v>
      </c>
      <c r="K128" s="3">
        <f t="shared" si="35"/>
        <v>9283</v>
      </c>
      <c r="M128" s="194" t="s">
        <v>86</v>
      </c>
      <c r="N128" s="4">
        <f>K114</f>
        <v>2057</v>
      </c>
      <c r="O128" s="4">
        <f>K129</f>
        <v>2284</v>
      </c>
      <c r="P128" s="3">
        <f t="shared" si="33"/>
        <v>4341</v>
      </c>
    </row>
    <row r="129" spans="1:17" ht="31.5">
      <c r="A129" s="348"/>
      <c r="B129" s="194" t="s">
        <v>86</v>
      </c>
      <c r="C129" s="4">
        <v>0</v>
      </c>
      <c r="D129" s="4">
        <v>454</v>
      </c>
      <c r="E129" s="4">
        <v>0</v>
      </c>
      <c r="F129" s="3">
        <f t="shared" si="32"/>
        <v>454</v>
      </c>
      <c r="G129" s="4">
        <v>0</v>
      </c>
      <c r="H129" s="4">
        <v>1830</v>
      </c>
      <c r="I129" s="4">
        <v>0</v>
      </c>
      <c r="J129" s="3">
        <f t="shared" si="34"/>
        <v>1830</v>
      </c>
      <c r="K129" s="3">
        <f t="shared" si="35"/>
        <v>2284</v>
      </c>
      <c r="M129" s="33" t="s">
        <v>19</v>
      </c>
      <c r="N129" s="4">
        <f>K115</f>
        <v>3125</v>
      </c>
      <c r="O129" s="4">
        <f>K130</f>
        <v>3384</v>
      </c>
      <c r="P129" s="3">
        <f t="shared" si="33"/>
        <v>6509</v>
      </c>
    </row>
    <row r="130" spans="1:17" ht="21" thickBot="1">
      <c r="A130" s="348"/>
      <c r="B130" s="33" t="s">
        <v>19</v>
      </c>
      <c r="C130" s="4">
        <v>0</v>
      </c>
      <c r="D130" s="4">
        <v>672</v>
      </c>
      <c r="E130" s="4">
        <v>0</v>
      </c>
      <c r="F130" s="3">
        <f t="shared" si="32"/>
        <v>672</v>
      </c>
      <c r="G130" s="4">
        <v>0</v>
      </c>
      <c r="H130" s="4">
        <v>2712</v>
      </c>
      <c r="I130" s="4">
        <v>0</v>
      </c>
      <c r="J130" s="3">
        <f t="shared" si="34"/>
        <v>2712</v>
      </c>
      <c r="K130" s="3">
        <f t="shared" si="35"/>
        <v>3384</v>
      </c>
      <c r="M130" s="38" t="s">
        <v>6</v>
      </c>
      <c r="N130" s="10">
        <f>SUM(N123:N129)</f>
        <v>176101</v>
      </c>
      <c r="O130" s="10">
        <f>SUM(O123:O129)</f>
        <v>174253</v>
      </c>
      <c r="P130" s="10">
        <f>SUM(P123:P129)</f>
        <v>350354</v>
      </c>
    </row>
    <row r="131" spans="1:17" ht="21.75" thickTop="1" thickBot="1">
      <c r="A131" s="349"/>
      <c r="B131" s="38" t="s">
        <v>6</v>
      </c>
      <c r="C131" s="8">
        <f>SUM(C124:C130)</f>
        <v>0</v>
      </c>
      <c r="D131" s="8">
        <f t="shared" ref="D131:K131" si="36">SUM(D124:D130)</f>
        <v>51551</v>
      </c>
      <c r="E131" s="8">
        <f t="shared" si="36"/>
        <v>0</v>
      </c>
      <c r="F131" s="8">
        <f t="shared" si="36"/>
        <v>51551</v>
      </c>
      <c r="G131" s="8">
        <f t="shared" si="36"/>
        <v>0</v>
      </c>
      <c r="H131" s="8">
        <f t="shared" si="36"/>
        <v>122702</v>
      </c>
      <c r="I131" s="8">
        <f t="shared" si="36"/>
        <v>0</v>
      </c>
      <c r="J131" s="8">
        <f t="shared" si="36"/>
        <v>122702</v>
      </c>
      <c r="K131" s="8">
        <f t="shared" si="36"/>
        <v>174253</v>
      </c>
      <c r="M131" s="5"/>
      <c r="N131" s="5"/>
      <c r="O131" s="5"/>
      <c r="P131" s="5"/>
    </row>
    <row r="132" spans="1:17" ht="21" thickTop="1">
      <c r="A132" s="15"/>
      <c r="B132" s="16"/>
      <c r="C132" s="17"/>
      <c r="D132" s="17"/>
      <c r="E132" s="17"/>
      <c r="F132" s="17"/>
      <c r="G132" s="17"/>
      <c r="H132" s="17"/>
      <c r="I132" s="17"/>
      <c r="J132" s="17"/>
      <c r="K132" s="17"/>
      <c r="M132" s="5"/>
      <c r="N132" s="5"/>
      <c r="O132" s="5"/>
      <c r="P132" s="5"/>
    </row>
    <row r="133" spans="1:17">
      <c r="A133" s="358" t="s">
        <v>124</v>
      </c>
      <c r="B133" s="359"/>
      <c r="C133" s="359"/>
      <c r="D133" s="359"/>
      <c r="E133" s="359"/>
      <c r="F133" s="359"/>
      <c r="G133" s="359"/>
      <c r="H133" s="359"/>
      <c r="I133" s="359"/>
      <c r="J133" s="359"/>
      <c r="K133" s="359"/>
      <c r="L133" s="359"/>
      <c r="M133" s="359"/>
      <c r="N133" s="359"/>
      <c r="O133" s="359"/>
      <c r="P133" s="359"/>
    </row>
    <row r="134" spans="1:17" ht="24" customHeight="1">
      <c r="A134" s="360" t="s">
        <v>31</v>
      </c>
      <c r="B134" s="361"/>
      <c r="C134" s="361"/>
      <c r="D134" s="361"/>
      <c r="E134" s="361"/>
      <c r="F134" s="361"/>
      <c r="G134" s="361"/>
      <c r="H134" s="361"/>
      <c r="I134" s="361"/>
      <c r="J134" s="361"/>
      <c r="K134" s="361"/>
      <c r="L134" s="361"/>
      <c r="M134" s="361"/>
      <c r="N134" s="361"/>
      <c r="O134" s="361"/>
      <c r="P134" s="361"/>
      <c r="Q134" s="30"/>
    </row>
    <row r="135" spans="1:17" ht="21" customHeight="1">
      <c r="A135" s="343" t="s">
        <v>1</v>
      </c>
      <c r="B135" s="344"/>
      <c r="C135" s="344"/>
      <c r="D135" s="344"/>
      <c r="E135" s="344"/>
      <c r="F135" s="344"/>
      <c r="G135" s="344"/>
      <c r="H135" s="344"/>
      <c r="I135" s="344"/>
      <c r="J135" s="344"/>
      <c r="K135" s="344"/>
    </row>
    <row r="136" spans="1:17">
      <c r="A136" s="350" t="s">
        <v>2</v>
      </c>
      <c r="B136" s="352" t="s">
        <v>3</v>
      </c>
      <c r="C136" s="353"/>
      <c r="D136" s="353"/>
      <c r="E136" s="353"/>
      <c r="F136" s="353"/>
      <c r="G136" s="353"/>
      <c r="H136" s="353"/>
      <c r="I136" s="353"/>
      <c r="J136" s="353"/>
      <c r="K136" s="354"/>
    </row>
    <row r="137" spans="1:17">
      <c r="A137" s="351"/>
      <c r="B137" s="32"/>
      <c r="C137" s="350" t="s">
        <v>4</v>
      </c>
      <c r="D137" s="351"/>
      <c r="E137" s="351"/>
      <c r="F137" s="351"/>
      <c r="G137" s="350" t="s">
        <v>5</v>
      </c>
      <c r="H137" s="351"/>
      <c r="I137" s="351"/>
      <c r="J137" s="351"/>
      <c r="K137" s="31" t="s">
        <v>6</v>
      </c>
    </row>
    <row r="138" spans="1:17">
      <c r="A138" s="347" t="s">
        <v>25</v>
      </c>
      <c r="B138" s="33" t="s">
        <v>8</v>
      </c>
      <c r="C138" s="34" t="s">
        <v>9</v>
      </c>
      <c r="D138" s="34" t="s">
        <v>10</v>
      </c>
      <c r="E138" s="34" t="s">
        <v>11</v>
      </c>
      <c r="F138" s="34" t="s">
        <v>6</v>
      </c>
      <c r="G138" s="34" t="s">
        <v>9</v>
      </c>
      <c r="H138" s="34" t="s">
        <v>10</v>
      </c>
      <c r="I138" s="34" t="s">
        <v>11</v>
      </c>
      <c r="J138" s="34" t="s">
        <v>6</v>
      </c>
      <c r="K138" s="34" t="s">
        <v>6</v>
      </c>
    </row>
    <row r="139" spans="1:17">
      <c r="A139" s="348"/>
      <c r="B139" s="35" t="s">
        <v>12</v>
      </c>
      <c r="C139" s="4">
        <v>0</v>
      </c>
      <c r="D139" s="4">
        <v>219</v>
      </c>
      <c r="E139" s="4">
        <v>235</v>
      </c>
      <c r="F139" s="3">
        <f t="shared" ref="F139:F148" si="37">SUM(C139:E139)</f>
        <v>454</v>
      </c>
      <c r="G139" s="4">
        <v>0</v>
      </c>
      <c r="H139" s="4">
        <v>40</v>
      </c>
      <c r="I139" s="4">
        <v>116</v>
      </c>
      <c r="J139" s="3">
        <f>SUM(G139:I139)</f>
        <v>156</v>
      </c>
      <c r="K139" s="3">
        <f>SUM(J139,F139)</f>
        <v>610</v>
      </c>
    </row>
    <row r="140" spans="1:17">
      <c r="A140" s="348"/>
      <c r="B140" s="33" t="s">
        <v>13</v>
      </c>
      <c r="C140" s="4">
        <v>0</v>
      </c>
      <c r="D140" s="4">
        <v>89790</v>
      </c>
      <c r="E140" s="4">
        <v>42300</v>
      </c>
      <c r="F140" s="3">
        <f t="shared" si="37"/>
        <v>132090</v>
      </c>
      <c r="G140" s="4">
        <v>0</v>
      </c>
      <c r="H140" s="4">
        <v>12496</v>
      </c>
      <c r="I140" s="4">
        <v>20880</v>
      </c>
      <c r="J140" s="3">
        <f>SUM(G140:I140)</f>
        <v>33376</v>
      </c>
      <c r="K140" s="3">
        <f>SUM(J140,F140)</f>
        <v>165466</v>
      </c>
    </row>
    <row r="141" spans="1:17">
      <c r="A141" s="348"/>
      <c r="B141" s="33" t="s">
        <v>14</v>
      </c>
      <c r="C141" s="4">
        <v>0</v>
      </c>
      <c r="D141" s="4">
        <v>0</v>
      </c>
      <c r="E141" s="4">
        <v>0</v>
      </c>
      <c r="F141" s="3">
        <f t="shared" si="37"/>
        <v>0</v>
      </c>
      <c r="G141" s="4">
        <v>0</v>
      </c>
      <c r="H141" s="4">
        <v>0</v>
      </c>
      <c r="I141" s="4">
        <v>0</v>
      </c>
      <c r="J141" s="3">
        <f>SUM(G141:I141)</f>
        <v>0</v>
      </c>
      <c r="K141" s="3">
        <f>SUM(J141,F141)</f>
        <v>0</v>
      </c>
    </row>
    <row r="142" spans="1:17" ht="21" thickBot="1">
      <c r="A142" s="348"/>
      <c r="B142" s="36" t="s">
        <v>6</v>
      </c>
      <c r="C142" s="8">
        <f>SUM(C140:C141)</f>
        <v>0</v>
      </c>
      <c r="D142" s="8">
        <f>SUM(D140:D141)</f>
        <v>89790</v>
      </c>
      <c r="E142" s="8">
        <f>SUM(E140:E141)</f>
        <v>42300</v>
      </c>
      <c r="F142" s="8">
        <f t="shared" si="37"/>
        <v>132090</v>
      </c>
      <c r="G142" s="8">
        <f>SUM(G140:G141)</f>
        <v>0</v>
      </c>
      <c r="H142" s="8">
        <f>SUM(H140:H141)</f>
        <v>12496</v>
      </c>
      <c r="I142" s="8">
        <f>SUM(I140:I141)</f>
        <v>20880</v>
      </c>
      <c r="J142" s="8">
        <f>SUM(J140:J141)</f>
        <v>33376</v>
      </c>
      <c r="K142" s="8">
        <f>SUM(K140:K141)</f>
        <v>165466</v>
      </c>
    </row>
    <row r="143" spans="1:17" ht="21" thickTop="1">
      <c r="A143" s="348"/>
      <c r="B143" s="37" t="s">
        <v>15</v>
      </c>
      <c r="C143" s="4">
        <v>0</v>
      </c>
      <c r="D143" s="4">
        <v>0</v>
      </c>
      <c r="E143" s="4">
        <v>0</v>
      </c>
      <c r="F143" s="3">
        <f t="shared" si="37"/>
        <v>0</v>
      </c>
      <c r="G143" s="4">
        <v>0</v>
      </c>
      <c r="H143" s="4">
        <v>0</v>
      </c>
      <c r="I143" s="4">
        <v>0</v>
      </c>
      <c r="J143" s="3">
        <f t="shared" ref="J143:J148" si="38">SUM(G143:I143)</f>
        <v>0</v>
      </c>
      <c r="K143" s="3">
        <f t="shared" ref="K143:K148" si="39">SUM(J143,F143)</f>
        <v>0</v>
      </c>
    </row>
    <row r="144" spans="1:17">
      <c r="A144" s="348"/>
      <c r="B144" s="33" t="s">
        <v>16</v>
      </c>
      <c r="C144" s="4">
        <v>0</v>
      </c>
      <c r="D144" s="4">
        <v>62853</v>
      </c>
      <c r="E144" s="4">
        <v>0</v>
      </c>
      <c r="F144" s="3">
        <f t="shared" si="37"/>
        <v>62853</v>
      </c>
      <c r="G144" s="4">
        <v>0</v>
      </c>
      <c r="H144" s="4">
        <v>8747</v>
      </c>
      <c r="I144" s="4">
        <v>0</v>
      </c>
      <c r="J144" s="3">
        <f t="shared" si="38"/>
        <v>8747</v>
      </c>
      <c r="K144" s="3">
        <f t="shared" si="39"/>
        <v>71600</v>
      </c>
    </row>
    <row r="145" spans="1:16">
      <c r="A145" s="348"/>
      <c r="B145" s="33" t="s">
        <v>17</v>
      </c>
      <c r="C145" s="4">
        <v>0</v>
      </c>
      <c r="D145" s="4">
        <v>234</v>
      </c>
      <c r="E145" s="4">
        <v>0</v>
      </c>
      <c r="F145" s="3">
        <f t="shared" si="37"/>
        <v>234</v>
      </c>
      <c r="G145" s="4">
        <v>0</v>
      </c>
      <c r="H145" s="4">
        <v>55</v>
      </c>
      <c r="I145" s="4">
        <v>0</v>
      </c>
      <c r="J145" s="3">
        <f t="shared" si="38"/>
        <v>55</v>
      </c>
      <c r="K145" s="3">
        <f t="shared" si="39"/>
        <v>289</v>
      </c>
    </row>
    <row r="146" spans="1:16">
      <c r="A146" s="348"/>
      <c r="B146" s="33" t="s">
        <v>18</v>
      </c>
      <c r="C146" s="4">
        <v>0</v>
      </c>
      <c r="D146" s="4">
        <v>11876</v>
      </c>
      <c r="E146" s="4">
        <v>0</v>
      </c>
      <c r="F146" s="3">
        <f t="shared" si="37"/>
        <v>11876</v>
      </c>
      <c r="G146" s="4">
        <v>0</v>
      </c>
      <c r="H146" s="4">
        <v>1624</v>
      </c>
      <c r="I146" s="4">
        <v>0</v>
      </c>
      <c r="J146" s="3">
        <f t="shared" si="38"/>
        <v>1624</v>
      </c>
      <c r="K146" s="3">
        <f t="shared" si="39"/>
        <v>13500</v>
      </c>
    </row>
    <row r="147" spans="1:16" ht="31.5">
      <c r="A147" s="348"/>
      <c r="B147" s="194" t="s">
        <v>86</v>
      </c>
      <c r="C147" s="4">
        <v>0</v>
      </c>
      <c r="D147" s="4">
        <v>3351</v>
      </c>
      <c r="E147" s="4">
        <v>0</v>
      </c>
      <c r="F147" s="3">
        <f t="shared" si="37"/>
        <v>3351</v>
      </c>
      <c r="G147" s="4">
        <v>0</v>
      </c>
      <c r="H147" s="4">
        <v>612</v>
      </c>
      <c r="I147" s="4">
        <v>0</v>
      </c>
      <c r="J147" s="3">
        <f t="shared" si="38"/>
        <v>612</v>
      </c>
      <c r="K147" s="3">
        <f t="shared" si="39"/>
        <v>3963</v>
      </c>
    </row>
    <row r="148" spans="1:16">
      <c r="A148" s="348"/>
      <c r="B148" s="33" t="s">
        <v>19</v>
      </c>
      <c r="C148" s="4">
        <v>0</v>
      </c>
      <c r="D148" s="4">
        <v>4034</v>
      </c>
      <c r="E148" s="4">
        <v>29</v>
      </c>
      <c r="F148" s="3">
        <f t="shared" si="37"/>
        <v>4063</v>
      </c>
      <c r="G148" s="4">
        <v>0</v>
      </c>
      <c r="H148" s="4">
        <v>745</v>
      </c>
      <c r="I148" s="4">
        <v>14</v>
      </c>
      <c r="J148" s="3">
        <f t="shared" si="38"/>
        <v>759</v>
      </c>
      <c r="K148" s="3">
        <f t="shared" si="39"/>
        <v>4822</v>
      </c>
    </row>
    <row r="149" spans="1:16" ht="21" thickBot="1">
      <c r="A149" s="349"/>
      <c r="B149" s="38" t="s">
        <v>6</v>
      </c>
      <c r="C149" s="8">
        <f>SUM(C142:C148)</f>
        <v>0</v>
      </c>
      <c r="D149" s="8">
        <f t="shared" ref="D149:K149" si="40">SUM(D142:D148)</f>
        <v>172138</v>
      </c>
      <c r="E149" s="8">
        <f t="shared" si="40"/>
        <v>42329</v>
      </c>
      <c r="F149" s="8">
        <f t="shared" si="40"/>
        <v>214467</v>
      </c>
      <c r="G149" s="8">
        <f t="shared" si="40"/>
        <v>0</v>
      </c>
      <c r="H149" s="8">
        <f t="shared" si="40"/>
        <v>24279</v>
      </c>
      <c r="I149" s="8">
        <f t="shared" si="40"/>
        <v>20894</v>
      </c>
      <c r="J149" s="8">
        <f t="shared" si="40"/>
        <v>45173</v>
      </c>
      <c r="K149" s="8">
        <f t="shared" si="40"/>
        <v>259640</v>
      </c>
    </row>
    <row r="150" spans="1:16" ht="17.25" customHeight="1" thickTop="1"/>
    <row r="151" spans="1:16">
      <c r="A151" s="350" t="s">
        <v>2</v>
      </c>
      <c r="B151" s="352" t="s">
        <v>20</v>
      </c>
      <c r="C151" s="353"/>
      <c r="D151" s="353"/>
      <c r="E151" s="353"/>
      <c r="F151" s="353"/>
      <c r="G151" s="353"/>
      <c r="H151" s="353"/>
      <c r="I151" s="353"/>
      <c r="J151" s="353"/>
      <c r="K151" s="354"/>
      <c r="M151" s="355" t="s">
        <v>21</v>
      </c>
      <c r="N151" s="356"/>
      <c r="O151" s="356"/>
      <c r="P151" s="357"/>
    </row>
    <row r="152" spans="1:16" ht="21" thickBot="1">
      <c r="A152" s="351"/>
      <c r="B152" s="32"/>
      <c r="C152" s="350" t="s">
        <v>4</v>
      </c>
      <c r="D152" s="351"/>
      <c r="E152" s="351"/>
      <c r="F152" s="351"/>
      <c r="G152" s="350" t="s">
        <v>5</v>
      </c>
      <c r="H152" s="351"/>
      <c r="I152" s="351"/>
      <c r="J152" s="351"/>
      <c r="K152" s="31" t="s">
        <v>6</v>
      </c>
      <c r="M152" s="33" t="s">
        <v>8</v>
      </c>
      <c r="N152" s="31" t="s">
        <v>3</v>
      </c>
      <c r="O152" s="33" t="s">
        <v>20</v>
      </c>
      <c r="P152" s="38" t="s">
        <v>6</v>
      </c>
    </row>
    <row r="153" spans="1:16" ht="21" customHeight="1" thickTop="1">
      <c r="A153" s="347" t="s">
        <v>25</v>
      </c>
      <c r="B153" s="33" t="s">
        <v>8</v>
      </c>
      <c r="C153" s="34" t="s">
        <v>9</v>
      </c>
      <c r="D153" s="34" t="s">
        <v>10</v>
      </c>
      <c r="E153" s="34" t="s">
        <v>11</v>
      </c>
      <c r="F153" s="34" t="s">
        <v>6</v>
      </c>
      <c r="G153" s="34" t="s">
        <v>9</v>
      </c>
      <c r="H153" s="34" t="s">
        <v>10</v>
      </c>
      <c r="I153" s="34" t="s">
        <v>11</v>
      </c>
      <c r="J153" s="34" t="s">
        <v>6</v>
      </c>
      <c r="K153" s="34" t="s">
        <v>6</v>
      </c>
      <c r="M153" s="35" t="s">
        <v>12</v>
      </c>
      <c r="N153" s="1">
        <f>K139</f>
        <v>610</v>
      </c>
      <c r="O153" s="1">
        <f>K154</f>
        <v>249</v>
      </c>
      <c r="P153" s="9">
        <f>SUM(N153:O153)</f>
        <v>859</v>
      </c>
    </row>
    <row r="154" spans="1:16">
      <c r="A154" s="348"/>
      <c r="B154" s="35" t="s">
        <v>12</v>
      </c>
      <c r="C154" s="4">
        <v>0</v>
      </c>
      <c r="D154" s="4">
        <v>177</v>
      </c>
      <c r="E154" s="4">
        <v>0</v>
      </c>
      <c r="F154" s="3">
        <f t="shared" ref="F154:F163" si="41">SUM(C154:E154)</f>
        <v>177</v>
      </c>
      <c r="G154" s="4">
        <v>0</v>
      </c>
      <c r="H154" s="4">
        <v>72</v>
      </c>
      <c r="I154" s="4">
        <v>0</v>
      </c>
      <c r="J154" s="3">
        <f>SUM(G154:I154)</f>
        <v>72</v>
      </c>
      <c r="K154" s="3">
        <f>SUM(J154,F154)</f>
        <v>249</v>
      </c>
      <c r="M154" s="33" t="s">
        <v>13</v>
      </c>
      <c r="N154" s="1">
        <f>K140</f>
        <v>165466</v>
      </c>
      <c r="O154" s="1">
        <f>K155</f>
        <v>91776</v>
      </c>
      <c r="P154" s="9">
        <f t="shared" ref="P154:P162" si="42">SUM(N154:O154)</f>
        <v>257242</v>
      </c>
    </row>
    <row r="155" spans="1:16">
      <c r="A155" s="348"/>
      <c r="B155" s="33" t="s">
        <v>13</v>
      </c>
      <c r="C155" s="4">
        <v>0</v>
      </c>
      <c r="D155" s="4">
        <v>69283</v>
      </c>
      <c r="E155" s="4">
        <v>0</v>
      </c>
      <c r="F155" s="3">
        <f t="shared" si="41"/>
        <v>69283</v>
      </c>
      <c r="G155" s="4">
        <v>0</v>
      </c>
      <c r="H155" s="4">
        <v>22493</v>
      </c>
      <c r="I155" s="4">
        <v>0</v>
      </c>
      <c r="J155" s="3">
        <f>SUM(G155:I155)</f>
        <v>22493</v>
      </c>
      <c r="K155" s="3">
        <f>SUM(J155,F155)</f>
        <v>91776</v>
      </c>
      <c r="M155" s="33" t="s">
        <v>14</v>
      </c>
      <c r="N155" s="1">
        <f>K141</f>
        <v>0</v>
      </c>
      <c r="O155" s="1">
        <f>K156</f>
        <v>0</v>
      </c>
      <c r="P155" s="9">
        <f t="shared" si="42"/>
        <v>0</v>
      </c>
    </row>
    <row r="156" spans="1:16" ht="21" thickBot="1">
      <c r="A156" s="348"/>
      <c r="B156" s="33" t="s">
        <v>14</v>
      </c>
      <c r="C156" s="4">
        <v>0</v>
      </c>
      <c r="D156" s="4">
        <v>0</v>
      </c>
      <c r="E156" s="4">
        <v>0</v>
      </c>
      <c r="F156" s="3">
        <f t="shared" si="41"/>
        <v>0</v>
      </c>
      <c r="G156" s="4">
        <v>0</v>
      </c>
      <c r="H156" s="4">
        <v>0</v>
      </c>
      <c r="I156" s="4">
        <v>0</v>
      </c>
      <c r="J156" s="3">
        <f>SUM(G156:I156)</f>
        <v>0</v>
      </c>
      <c r="K156" s="3">
        <f>SUM(J156,F156)</f>
        <v>0</v>
      </c>
      <c r="M156" s="36" t="s">
        <v>6</v>
      </c>
      <c r="N156" s="10">
        <f>K142</f>
        <v>165466</v>
      </c>
      <c r="O156" s="10">
        <f>K157</f>
        <v>91776</v>
      </c>
      <c r="P156" s="10">
        <f t="shared" si="42"/>
        <v>257242</v>
      </c>
    </row>
    <row r="157" spans="1:16" ht="21.75" thickTop="1" thickBot="1">
      <c r="A157" s="348"/>
      <c r="B157" s="36" t="s">
        <v>6</v>
      </c>
      <c r="C157" s="8">
        <f>SUM(C155:C156)</f>
        <v>0</v>
      </c>
      <c r="D157" s="8">
        <f>SUM(D155:D156)</f>
        <v>69283</v>
      </c>
      <c r="E157" s="8">
        <f>SUM(E155:E156)</f>
        <v>0</v>
      </c>
      <c r="F157" s="8">
        <f t="shared" si="41"/>
        <v>69283</v>
      </c>
      <c r="G157" s="8">
        <f>SUM(G155:G156)</f>
        <v>0</v>
      </c>
      <c r="H157" s="8">
        <f>SUM(H155:H156)</f>
        <v>22493</v>
      </c>
      <c r="I157" s="8">
        <f>SUM(I155:I156)</f>
        <v>0</v>
      </c>
      <c r="J157" s="8">
        <f>SUM(J155:J156)</f>
        <v>22493</v>
      </c>
      <c r="K157" s="8">
        <f>SUM(K155:K156)</f>
        <v>91776</v>
      </c>
      <c r="M157" s="37" t="s">
        <v>16</v>
      </c>
      <c r="N157" s="13">
        <f>K144</f>
        <v>71600</v>
      </c>
      <c r="O157" s="13">
        <f>K159</f>
        <v>64243</v>
      </c>
      <c r="P157" s="14">
        <f t="shared" si="42"/>
        <v>135843</v>
      </c>
    </row>
    <row r="158" spans="1:16" ht="21" thickTop="1">
      <c r="A158" s="348"/>
      <c r="B158" s="37" t="s">
        <v>15</v>
      </c>
      <c r="C158" s="4">
        <v>0</v>
      </c>
      <c r="D158" s="4">
        <v>0</v>
      </c>
      <c r="E158" s="4">
        <v>0</v>
      </c>
      <c r="F158" s="3">
        <f t="shared" si="41"/>
        <v>0</v>
      </c>
      <c r="G158" s="4">
        <v>0</v>
      </c>
      <c r="H158" s="4">
        <v>0</v>
      </c>
      <c r="I158" s="4">
        <v>0</v>
      </c>
      <c r="J158" s="3">
        <f t="shared" ref="J158:J163" si="43">SUM(G158:I158)</f>
        <v>0</v>
      </c>
      <c r="K158" s="3">
        <f t="shared" ref="K158:K163" si="44">SUM(J158,F158)</f>
        <v>0</v>
      </c>
      <c r="M158" s="37" t="s">
        <v>15</v>
      </c>
      <c r="N158" s="1">
        <f>$K$11</f>
        <v>0</v>
      </c>
      <c r="O158" s="1">
        <f>SUM(K158)</f>
        <v>0</v>
      </c>
      <c r="P158" s="14">
        <f t="shared" si="42"/>
        <v>0</v>
      </c>
    </row>
    <row r="159" spans="1:16">
      <c r="A159" s="348"/>
      <c r="B159" s="33" t="s">
        <v>16</v>
      </c>
      <c r="C159" s="4">
        <v>0</v>
      </c>
      <c r="D159" s="4">
        <v>48498</v>
      </c>
      <c r="E159" s="4">
        <v>0</v>
      </c>
      <c r="F159" s="3">
        <f t="shared" si="41"/>
        <v>48498</v>
      </c>
      <c r="G159" s="4">
        <v>0</v>
      </c>
      <c r="H159" s="4">
        <v>15745</v>
      </c>
      <c r="I159" s="4">
        <v>0</v>
      </c>
      <c r="J159" s="3">
        <f t="shared" si="43"/>
        <v>15745</v>
      </c>
      <c r="K159" s="3">
        <f t="shared" si="44"/>
        <v>64243</v>
      </c>
      <c r="M159" s="33" t="s">
        <v>17</v>
      </c>
      <c r="N159" s="1">
        <f>K145</f>
        <v>289</v>
      </c>
      <c r="O159" s="1">
        <f>K160</f>
        <v>275</v>
      </c>
      <c r="P159" s="9">
        <f t="shared" si="42"/>
        <v>564</v>
      </c>
    </row>
    <row r="160" spans="1:16">
      <c r="A160" s="348"/>
      <c r="B160" s="33" t="s">
        <v>17</v>
      </c>
      <c r="C160" s="4">
        <v>0</v>
      </c>
      <c r="D160" s="4">
        <v>211</v>
      </c>
      <c r="E160" s="4">
        <v>0</v>
      </c>
      <c r="F160" s="3">
        <f t="shared" si="41"/>
        <v>211</v>
      </c>
      <c r="G160" s="4">
        <v>0</v>
      </c>
      <c r="H160" s="4">
        <v>64</v>
      </c>
      <c r="I160" s="4">
        <v>0</v>
      </c>
      <c r="J160" s="3">
        <f t="shared" si="43"/>
        <v>64</v>
      </c>
      <c r="K160" s="3">
        <f t="shared" si="44"/>
        <v>275</v>
      </c>
      <c r="M160" s="33" t="s">
        <v>18</v>
      </c>
      <c r="N160" s="1">
        <f>K146</f>
        <v>13500</v>
      </c>
      <c r="O160" s="1">
        <f>K161</f>
        <v>12384</v>
      </c>
      <c r="P160" s="9">
        <f t="shared" si="42"/>
        <v>25884</v>
      </c>
    </row>
    <row r="161" spans="1:17" ht="35.25" customHeight="1">
      <c r="A161" s="348"/>
      <c r="B161" s="33" t="s">
        <v>18</v>
      </c>
      <c r="C161" s="4">
        <v>0</v>
      </c>
      <c r="D161" s="4">
        <v>9697</v>
      </c>
      <c r="E161" s="4">
        <v>0</v>
      </c>
      <c r="F161" s="3">
        <f t="shared" si="41"/>
        <v>9697</v>
      </c>
      <c r="G161" s="4">
        <v>0</v>
      </c>
      <c r="H161" s="4">
        <v>2687</v>
      </c>
      <c r="I161" s="4">
        <v>0</v>
      </c>
      <c r="J161" s="3">
        <f t="shared" si="43"/>
        <v>2687</v>
      </c>
      <c r="K161" s="3">
        <f t="shared" si="44"/>
        <v>12384</v>
      </c>
      <c r="M161" s="194" t="s">
        <v>86</v>
      </c>
      <c r="N161" s="4">
        <f>K147</f>
        <v>3963</v>
      </c>
      <c r="O161" s="4">
        <f>K162</f>
        <v>3657</v>
      </c>
      <c r="P161" s="3">
        <f t="shared" si="42"/>
        <v>7620</v>
      </c>
    </row>
    <row r="162" spans="1:17" ht="31.5">
      <c r="A162" s="348"/>
      <c r="B162" s="194" t="s">
        <v>86</v>
      </c>
      <c r="C162" s="4">
        <v>0</v>
      </c>
      <c r="D162" s="4">
        <v>2708</v>
      </c>
      <c r="E162" s="4">
        <v>0</v>
      </c>
      <c r="F162" s="3">
        <f t="shared" si="41"/>
        <v>2708</v>
      </c>
      <c r="G162" s="4">
        <v>0</v>
      </c>
      <c r="H162" s="4">
        <v>949</v>
      </c>
      <c r="I162" s="4">
        <v>0</v>
      </c>
      <c r="J162" s="3">
        <f t="shared" si="43"/>
        <v>949</v>
      </c>
      <c r="K162" s="3">
        <f t="shared" si="44"/>
        <v>3657</v>
      </c>
      <c r="M162" s="33" t="s">
        <v>19</v>
      </c>
      <c r="N162" s="4">
        <f>K148</f>
        <v>4822</v>
      </c>
      <c r="O162" s="4">
        <f>K163</f>
        <v>4244</v>
      </c>
      <c r="P162" s="3">
        <f t="shared" si="42"/>
        <v>9066</v>
      </c>
    </row>
    <row r="163" spans="1:17" ht="21" thickBot="1">
      <c r="A163" s="348"/>
      <c r="B163" s="33" t="s">
        <v>19</v>
      </c>
      <c r="C163" s="4">
        <v>0</v>
      </c>
      <c r="D163" s="4">
        <v>3385</v>
      </c>
      <c r="E163" s="4">
        <v>0</v>
      </c>
      <c r="F163" s="3">
        <f t="shared" si="41"/>
        <v>3385</v>
      </c>
      <c r="G163" s="4">
        <v>0</v>
      </c>
      <c r="H163" s="4">
        <v>859</v>
      </c>
      <c r="I163" s="4">
        <v>0</v>
      </c>
      <c r="J163" s="3">
        <f t="shared" si="43"/>
        <v>859</v>
      </c>
      <c r="K163" s="3">
        <f t="shared" si="44"/>
        <v>4244</v>
      </c>
      <c r="M163" s="38" t="s">
        <v>6</v>
      </c>
      <c r="N163" s="10">
        <f>SUM(N156:N162)</f>
        <v>259640</v>
      </c>
      <c r="O163" s="10">
        <f>SUM(O156:O162)</f>
        <v>176579</v>
      </c>
      <c r="P163" s="10">
        <f>SUM(P156:P162)</f>
        <v>436219</v>
      </c>
    </row>
    <row r="164" spans="1:17" ht="21.75" thickTop="1" thickBot="1">
      <c r="A164" s="349"/>
      <c r="B164" s="38" t="s">
        <v>6</v>
      </c>
      <c r="C164" s="8">
        <f>SUM(C157:C163)</f>
        <v>0</v>
      </c>
      <c r="D164" s="8">
        <f t="shared" ref="D164:K164" si="45">SUM(D157:D163)</f>
        <v>133782</v>
      </c>
      <c r="E164" s="8">
        <f t="shared" si="45"/>
        <v>0</v>
      </c>
      <c r="F164" s="8">
        <f t="shared" si="45"/>
        <v>133782</v>
      </c>
      <c r="G164" s="8">
        <f t="shared" si="45"/>
        <v>0</v>
      </c>
      <c r="H164" s="8">
        <f t="shared" si="45"/>
        <v>42797</v>
      </c>
      <c r="I164" s="8">
        <f t="shared" si="45"/>
        <v>0</v>
      </c>
      <c r="J164" s="8">
        <f t="shared" si="45"/>
        <v>42797</v>
      </c>
      <c r="K164" s="8">
        <f t="shared" si="45"/>
        <v>176579</v>
      </c>
      <c r="M164" s="5"/>
      <c r="N164" s="5"/>
      <c r="O164" s="5"/>
      <c r="P164" s="5"/>
    </row>
    <row r="165" spans="1:17" ht="21" thickTop="1">
      <c r="A165" s="15"/>
      <c r="B165" s="16"/>
      <c r="C165" s="17"/>
      <c r="D165" s="17"/>
      <c r="E165" s="17"/>
      <c r="F165" s="17"/>
      <c r="G165" s="17"/>
      <c r="H165" s="17"/>
      <c r="I165" s="17"/>
      <c r="J165" s="17"/>
      <c r="K165" s="17"/>
      <c r="M165" s="5"/>
      <c r="N165" s="5"/>
      <c r="O165" s="5"/>
      <c r="P165" s="5"/>
    </row>
    <row r="166" spans="1:17">
      <c r="A166" s="358" t="s">
        <v>124</v>
      </c>
      <c r="B166" s="359"/>
      <c r="C166" s="359"/>
      <c r="D166" s="359"/>
      <c r="E166" s="359"/>
      <c r="F166" s="359"/>
      <c r="G166" s="359"/>
      <c r="H166" s="359"/>
      <c r="I166" s="359"/>
      <c r="J166" s="359"/>
      <c r="K166" s="359"/>
      <c r="L166" s="359"/>
      <c r="M166" s="359"/>
      <c r="N166" s="359"/>
      <c r="O166" s="359"/>
      <c r="P166" s="359"/>
    </row>
    <row r="167" spans="1:17" ht="24" customHeight="1">
      <c r="A167" s="360" t="s">
        <v>31</v>
      </c>
      <c r="B167" s="361"/>
      <c r="C167" s="361"/>
      <c r="D167" s="361"/>
      <c r="E167" s="361"/>
      <c r="F167" s="361"/>
      <c r="G167" s="361"/>
      <c r="H167" s="361"/>
      <c r="I167" s="361"/>
      <c r="J167" s="361"/>
      <c r="K167" s="361"/>
      <c r="L167" s="361"/>
      <c r="M167" s="361"/>
      <c r="N167" s="361"/>
      <c r="O167" s="361"/>
      <c r="P167" s="361"/>
      <c r="Q167" s="30"/>
    </row>
    <row r="168" spans="1:17" ht="21" customHeight="1">
      <c r="A168" s="343" t="s">
        <v>1</v>
      </c>
      <c r="B168" s="344"/>
      <c r="C168" s="344"/>
      <c r="D168" s="344"/>
      <c r="E168" s="344"/>
      <c r="F168" s="344"/>
      <c r="G168" s="344"/>
      <c r="H168" s="344"/>
      <c r="I168" s="344"/>
      <c r="J168" s="344"/>
      <c r="K168" s="344"/>
    </row>
    <row r="169" spans="1:17">
      <c r="A169" s="350" t="s">
        <v>2</v>
      </c>
      <c r="B169" s="352" t="s">
        <v>3</v>
      </c>
      <c r="C169" s="353"/>
      <c r="D169" s="353"/>
      <c r="E169" s="353"/>
      <c r="F169" s="353"/>
      <c r="G169" s="353"/>
      <c r="H169" s="353"/>
      <c r="I169" s="353"/>
      <c r="J169" s="353"/>
      <c r="K169" s="354"/>
    </row>
    <row r="170" spans="1:17">
      <c r="A170" s="351"/>
      <c r="B170" s="32"/>
      <c r="C170" s="350" t="s">
        <v>4</v>
      </c>
      <c r="D170" s="351"/>
      <c r="E170" s="351"/>
      <c r="F170" s="351"/>
      <c r="G170" s="350" t="s">
        <v>5</v>
      </c>
      <c r="H170" s="351"/>
      <c r="I170" s="351"/>
      <c r="J170" s="351"/>
      <c r="K170" s="31" t="s">
        <v>6</v>
      </c>
    </row>
    <row r="171" spans="1:17">
      <c r="A171" s="347" t="s">
        <v>26</v>
      </c>
      <c r="B171" s="33" t="s">
        <v>8</v>
      </c>
      <c r="C171" s="34" t="s">
        <v>9</v>
      </c>
      <c r="D171" s="34" t="s">
        <v>10</v>
      </c>
      <c r="E171" s="34" t="s">
        <v>11</v>
      </c>
      <c r="F171" s="34" t="s">
        <v>6</v>
      </c>
      <c r="G171" s="34" t="s">
        <v>9</v>
      </c>
      <c r="H171" s="34" t="s">
        <v>10</v>
      </c>
      <c r="I171" s="34" t="s">
        <v>11</v>
      </c>
      <c r="J171" s="34" t="s">
        <v>6</v>
      </c>
      <c r="K171" s="34" t="s">
        <v>6</v>
      </c>
    </row>
    <row r="172" spans="1:17">
      <c r="A172" s="348"/>
      <c r="B172" s="35" t="s">
        <v>12</v>
      </c>
      <c r="C172" s="4">
        <v>0</v>
      </c>
      <c r="D172" s="4">
        <v>249</v>
      </c>
      <c r="E172" s="4">
        <v>335</v>
      </c>
      <c r="F172" s="3">
        <f t="shared" ref="F172:F181" si="46">SUM(C172:E172)</f>
        <v>584</v>
      </c>
      <c r="G172" s="4">
        <v>0</v>
      </c>
      <c r="H172" s="4">
        <v>58</v>
      </c>
      <c r="I172" s="4">
        <v>59</v>
      </c>
      <c r="J172" s="3">
        <f>SUM(G172:I172)</f>
        <v>117</v>
      </c>
      <c r="K172" s="3">
        <f>SUM(J172,F172)</f>
        <v>701</v>
      </c>
    </row>
    <row r="173" spans="1:17">
      <c r="A173" s="348"/>
      <c r="B173" s="33" t="s">
        <v>13</v>
      </c>
      <c r="C173" s="4">
        <v>0</v>
      </c>
      <c r="D173" s="4">
        <v>126093</v>
      </c>
      <c r="E173" s="4">
        <v>60300</v>
      </c>
      <c r="F173" s="3">
        <f t="shared" si="46"/>
        <v>186393</v>
      </c>
      <c r="G173" s="4">
        <v>0</v>
      </c>
      <c r="H173" s="4">
        <v>18862</v>
      </c>
      <c r="I173" s="4">
        <v>10620</v>
      </c>
      <c r="J173" s="3">
        <f>SUM(G173:I173)</f>
        <v>29482</v>
      </c>
      <c r="K173" s="3">
        <f>SUM(J173,F173)</f>
        <v>215875</v>
      </c>
    </row>
    <row r="174" spans="1:17">
      <c r="A174" s="348"/>
      <c r="B174" s="33" t="s">
        <v>14</v>
      </c>
      <c r="C174" s="4">
        <v>0</v>
      </c>
      <c r="D174" s="4">
        <v>0</v>
      </c>
      <c r="E174" s="4">
        <v>0</v>
      </c>
      <c r="F174" s="3">
        <f t="shared" si="46"/>
        <v>0</v>
      </c>
      <c r="G174" s="4">
        <v>0</v>
      </c>
      <c r="H174" s="4">
        <v>0</v>
      </c>
      <c r="I174" s="4">
        <v>0</v>
      </c>
      <c r="J174" s="3">
        <f>SUM(G174:I174)</f>
        <v>0</v>
      </c>
      <c r="K174" s="3">
        <f>SUM(J174,F174)</f>
        <v>0</v>
      </c>
    </row>
    <row r="175" spans="1:17" ht="21" thickBot="1">
      <c r="A175" s="348"/>
      <c r="B175" s="36" t="s">
        <v>6</v>
      </c>
      <c r="C175" s="8">
        <f>SUM(C173:C174)</f>
        <v>0</v>
      </c>
      <c r="D175" s="8">
        <f>SUM(D173:D174)</f>
        <v>126093</v>
      </c>
      <c r="E175" s="8">
        <f>SUM(E173:E174)</f>
        <v>60300</v>
      </c>
      <c r="F175" s="8">
        <f t="shared" si="46"/>
        <v>186393</v>
      </c>
      <c r="G175" s="8">
        <f>SUM(G173:G174)</f>
        <v>0</v>
      </c>
      <c r="H175" s="8">
        <f>SUM(H173:H174)</f>
        <v>18862</v>
      </c>
      <c r="I175" s="8">
        <f>SUM(I173:I174)</f>
        <v>10620</v>
      </c>
      <c r="J175" s="8">
        <f>SUM(J173:J174)</f>
        <v>29482</v>
      </c>
      <c r="K175" s="8">
        <f>SUM(K173:K174)</f>
        <v>215875</v>
      </c>
    </row>
    <row r="176" spans="1:17" ht="21" thickTop="1">
      <c r="A176" s="348"/>
      <c r="B176" s="37" t="s">
        <v>15</v>
      </c>
      <c r="C176" s="4">
        <v>0</v>
      </c>
      <c r="D176" s="4">
        <v>0</v>
      </c>
      <c r="E176" s="4">
        <v>0</v>
      </c>
      <c r="F176" s="3">
        <f t="shared" si="46"/>
        <v>0</v>
      </c>
      <c r="G176" s="4">
        <v>0</v>
      </c>
      <c r="H176" s="4">
        <v>0</v>
      </c>
      <c r="I176" s="4">
        <v>0</v>
      </c>
      <c r="J176" s="3">
        <f t="shared" ref="J176:J181" si="47">SUM(G176:I176)</f>
        <v>0</v>
      </c>
      <c r="K176" s="3">
        <f t="shared" ref="K176:K181" si="48">SUM(J176,F176)</f>
        <v>0</v>
      </c>
    </row>
    <row r="177" spans="1:16">
      <c r="A177" s="348"/>
      <c r="B177" s="33" t="s">
        <v>16</v>
      </c>
      <c r="C177" s="4">
        <v>0</v>
      </c>
      <c r="D177" s="4">
        <v>88265</v>
      </c>
      <c r="E177" s="4">
        <v>0</v>
      </c>
      <c r="F177" s="3">
        <f t="shared" si="46"/>
        <v>88265</v>
      </c>
      <c r="G177" s="4">
        <v>0</v>
      </c>
      <c r="H177" s="4">
        <v>13204</v>
      </c>
      <c r="I177" s="4">
        <v>0</v>
      </c>
      <c r="J177" s="3">
        <f t="shared" si="47"/>
        <v>13204</v>
      </c>
      <c r="K177" s="3">
        <f t="shared" si="48"/>
        <v>101469</v>
      </c>
    </row>
    <row r="178" spans="1:16">
      <c r="A178" s="348"/>
      <c r="B178" s="33" t="s">
        <v>17</v>
      </c>
      <c r="C178" s="4">
        <v>0</v>
      </c>
      <c r="D178" s="4">
        <v>4109</v>
      </c>
      <c r="E178" s="4">
        <v>0</v>
      </c>
      <c r="F178" s="3">
        <f t="shared" si="46"/>
        <v>4109</v>
      </c>
      <c r="G178" s="4">
        <v>0</v>
      </c>
      <c r="H178" s="4">
        <v>957</v>
      </c>
      <c r="I178" s="4">
        <v>0</v>
      </c>
      <c r="J178" s="3">
        <f t="shared" si="47"/>
        <v>957</v>
      </c>
      <c r="K178" s="3">
        <f t="shared" si="48"/>
        <v>5066</v>
      </c>
    </row>
    <row r="179" spans="1:16">
      <c r="A179" s="348"/>
      <c r="B179" s="33" t="s">
        <v>18</v>
      </c>
      <c r="C179" s="4">
        <v>0</v>
      </c>
      <c r="D179" s="4">
        <v>12610</v>
      </c>
      <c r="E179" s="4">
        <v>0</v>
      </c>
      <c r="F179" s="3">
        <f t="shared" si="46"/>
        <v>12610</v>
      </c>
      <c r="G179" s="4">
        <v>0</v>
      </c>
      <c r="H179" s="4">
        <v>1886</v>
      </c>
      <c r="I179" s="4">
        <v>0</v>
      </c>
      <c r="J179" s="3">
        <f t="shared" si="47"/>
        <v>1886</v>
      </c>
      <c r="K179" s="3">
        <f t="shared" si="48"/>
        <v>14496</v>
      </c>
    </row>
    <row r="180" spans="1:16" ht="31.5">
      <c r="A180" s="348"/>
      <c r="B180" s="194" t="s">
        <v>86</v>
      </c>
      <c r="C180" s="4">
        <v>0</v>
      </c>
      <c r="D180" s="4">
        <v>4034</v>
      </c>
      <c r="E180" s="4">
        <v>0</v>
      </c>
      <c r="F180" s="3">
        <f t="shared" si="46"/>
        <v>4034</v>
      </c>
      <c r="G180" s="4">
        <v>0</v>
      </c>
      <c r="H180" s="4">
        <v>939</v>
      </c>
      <c r="I180" s="4">
        <v>0</v>
      </c>
      <c r="J180" s="3">
        <f t="shared" si="47"/>
        <v>939</v>
      </c>
      <c r="K180" s="3">
        <f t="shared" si="48"/>
        <v>4973</v>
      </c>
    </row>
    <row r="181" spans="1:16">
      <c r="A181" s="348"/>
      <c r="B181" s="33" t="s">
        <v>19</v>
      </c>
      <c r="C181" s="4">
        <v>0</v>
      </c>
      <c r="D181" s="4">
        <v>0</v>
      </c>
      <c r="E181" s="4">
        <v>1882</v>
      </c>
      <c r="F181" s="3">
        <f t="shared" si="46"/>
        <v>1882</v>
      </c>
      <c r="G181" s="4">
        <v>0</v>
      </c>
      <c r="H181" s="4">
        <v>0</v>
      </c>
      <c r="I181" s="4">
        <v>561</v>
      </c>
      <c r="J181" s="3">
        <f t="shared" si="47"/>
        <v>561</v>
      </c>
      <c r="K181" s="3">
        <f t="shared" si="48"/>
        <v>2443</v>
      </c>
    </row>
    <row r="182" spans="1:16" ht="21" thickBot="1">
      <c r="A182" s="349"/>
      <c r="B182" s="38" t="s">
        <v>6</v>
      </c>
      <c r="C182" s="8">
        <f>SUM(C175:C181)</f>
        <v>0</v>
      </c>
      <c r="D182" s="8">
        <f t="shared" ref="D182:K182" si="49">SUM(D175:D181)</f>
        <v>235111</v>
      </c>
      <c r="E182" s="8">
        <f t="shared" si="49"/>
        <v>62182</v>
      </c>
      <c r="F182" s="8">
        <f t="shared" si="49"/>
        <v>297293</v>
      </c>
      <c r="G182" s="8">
        <f t="shared" si="49"/>
        <v>0</v>
      </c>
      <c r="H182" s="8">
        <f t="shared" si="49"/>
        <v>35848</v>
      </c>
      <c r="I182" s="8">
        <f t="shared" si="49"/>
        <v>11181</v>
      </c>
      <c r="J182" s="8">
        <f t="shared" si="49"/>
        <v>47029</v>
      </c>
      <c r="K182" s="8">
        <f t="shared" si="49"/>
        <v>344322</v>
      </c>
    </row>
    <row r="183" spans="1:16" ht="17.25" customHeight="1" thickTop="1"/>
    <row r="184" spans="1:16">
      <c r="A184" s="350" t="s">
        <v>2</v>
      </c>
      <c r="B184" s="352" t="s">
        <v>20</v>
      </c>
      <c r="C184" s="353"/>
      <c r="D184" s="353"/>
      <c r="E184" s="353"/>
      <c r="F184" s="353"/>
      <c r="G184" s="353"/>
      <c r="H184" s="353"/>
      <c r="I184" s="353"/>
      <c r="J184" s="353"/>
      <c r="K184" s="354"/>
      <c r="M184" s="355" t="s">
        <v>21</v>
      </c>
      <c r="N184" s="356"/>
      <c r="O184" s="356"/>
      <c r="P184" s="357"/>
    </row>
    <row r="185" spans="1:16" ht="21" thickBot="1">
      <c r="A185" s="351"/>
      <c r="B185" s="32"/>
      <c r="C185" s="350" t="s">
        <v>4</v>
      </c>
      <c r="D185" s="351"/>
      <c r="E185" s="351"/>
      <c r="F185" s="351"/>
      <c r="G185" s="350" t="s">
        <v>5</v>
      </c>
      <c r="H185" s="351"/>
      <c r="I185" s="351"/>
      <c r="J185" s="351"/>
      <c r="K185" s="31" t="s">
        <v>6</v>
      </c>
      <c r="M185" s="33" t="s">
        <v>8</v>
      </c>
      <c r="N185" s="33" t="s">
        <v>3</v>
      </c>
      <c r="O185" s="33" t="s">
        <v>20</v>
      </c>
      <c r="P185" s="38" t="s">
        <v>6</v>
      </c>
    </row>
    <row r="186" spans="1:16" ht="21" customHeight="1" thickTop="1">
      <c r="A186" s="347" t="s">
        <v>26</v>
      </c>
      <c r="B186" s="33" t="s">
        <v>8</v>
      </c>
      <c r="C186" s="34" t="s">
        <v>9</v>
      </c>
      <c r="D186" s="34" t="s">
        <v>10</v>
      </c>
      <c r="E186" s="34" t="s">
        <v>11</v>
      </c>
      <c r="F186" s="34" t="s">
        <v>6</v>
      </c>
      <c r="G186" s="34" t="s">
        <v>9</v>
      </c>
      <c r="H186" s="34" t="s">
        <v>10</v>
      </c>
      <c r="I186" s="34" t="s">
        <v>11</v>
      </c>
      <c r="J186" s="34" t="s">
        <v>6</v>
      </c>
      <c r="K186" s="34" t="s">
        <v>6</v>
      </c>
      <c r="M186" s="35" t="s">
        <v>12</v>
      </c>
      <c r="N186" s="1">
        <f>K172</f>
        <v>701</v>
      </c>
      <c r="O186" s="1">
        <f>K187</f>
        <v>194</v>
      </c>
      <c r="P186" s="9">
        <f>SUM(N186:O186)</f>
        <v>895</v>
      </c>
    </row>
    <row r="187" spans="1:16">
      <c r="A187" s="348"/>
      <c r="B187" s="35" t="s">
        <v>12</v>
      </c>
      <c r="C187" s="4">
        <v>0</v>
      </c>
      <c r="D187" s="4">
        <v>153</v>
      </c>
      <c r="E187" s="4">
        <v>0</v>
      </c>
      <c r="F187" s="3">
        <f t="shared" ref="F187:F196" si="50">SUM(C187:E187)</f>
        <v>153</v>
      </c>
      <c r="G187" s="4">
        <v>0</v>
      </c>
      <c r="H187" s="4">
        <v>41</v>
      </c>
      <c r="I187" s="4">
        <v>0</v>
      </c>
      <c r="J187" s="3">
        <f>SUM(G187:I187)</f>
        <v>41</v>
      </c>
      <c r="K187" s="3">
        <f>SUM(J187,F187)</f>
        <v>194</v>
      </c>
      <c r="M187" s="33" t="s">
        <v>13</v>
      </c>
      <c r="N187" s="1">
        <f>K173</f>
        <v>215875</v>
      </c>
      <c r="O187" s="1">
        <f>K188</f>
        <v>90812</v>
      </c>
      <c r="P187" s="9">
        <f t="shared" ref="P187:P195" si="51">SUM(N187:O187)</f>
        <v>306687</v>
      </c>
    </row>
    <row r="188" spans="1:16">
      <c r="A188" s="348"/>
      <c r="B188" s="33" t="s">
        <v>13</v>
      </c>
      <c r="C188" s="4">
        <v>0</v>
      </c>
      <c r="D188" s="4">
        <v>77479</v>
      </c>
      <c r="E188" s="4">
        <v>0</v>
      </c>
      <c r="F188" s="3">
        <f t="shared" si="50"/>
        <v>77479</v>
      </c>
      <c r="G188" s="4">
        <v>0</v>
      </c>
      <c r="H188" s="4">
        <v>13333</v>
      </c>
      <c r="I188" s="4">
        <v>0</v>
      </c>
      <c r="J188" s="3">
        <f>SUM(G188:I188)</f>
        <v>13333</v>
      </c>
      <c r="K188" s="3">
        <f>SUM(J188,F188)</f>
        <v>90812</v>
      </c>
      <c r="M188" s="33" t="s">
        <v>14</v>
      </c>
      <c r="N188" s="1">
        <f>K174</f>
        <v>0</v>
      </c>
      <c r="O188" s="1">
        <f>K189</f>
        <v>0</v>
      </c>
      <c r="P188" s="9">
        <f t="shared" si="51"/>
        <v>0</v>
      </c>
    </row>
    <row r="189" spans="1:16" ht="21" thickBot="1">
      <c r="A189" s="348"/>
      <c r="B189" s="33" t="s">
        <v>14</v>
      </c>
      <c r="C189" s="4">
        <v>0</v>
      </c>
      <c r="D189" s="4">
        <v>0</v>
      </c>
      <c r="E189" s="4">
        <v>0</v>
      </c>
      <c r="F189" s="3">
        <f t="shared" si="50"/>
        <v>0</v>
      </c>
      <c r="G189" s="4">
        <v>0</v>
      </c>
      <c r="H189" s="4">
        <v>0</v>
      </c>
      <c r="I189" s="4">
        <v>0</v>
      </c>
      <c r="J189" s="3">
        <f>SUM(G189:I189)</f>
        <v>0</v>
      </c>
      <c r="K189" s="3">
        <f>SUM(J189,F189)</f>
        <v>0</v>
      </c>
      <c r="M189" s="36" t="s">
        <v>6</v>
      </c>
      <c r="N189" s="10">
        <f>K175</f>
        <v>215875</v>
      </c>
      <c r="O189" s="10">
        <f>K190</f>
        <v>90812</v>
      </c>
      <c r="P189" s="10">
        <f t="shared" si="51"/>
        <v>306687</v>
      </c>
    </row>
    <row r="190" spans="1:16" ht="21.75" thickTop="1" thickBot="1">
      <c r="A190" s="348"/>
      <c r="B190" s="36" t="s">
        <v>6</v>
      </c>
      <c r="C190" s="8">
        <f>SUM(C188:C189)</f>
        <v>0</v>
      </c>
      <c r="D190" s="8">
        <f>SUM(D188:D189)</f>
        <v>77479</v>
      </c>
      <c r="E190" s="8">
        <f>SUM(E188:E189)</f>
        <v>0</v>
      </c>
      <c r="F190" s="8">
        <f t="shared" si="50"/>
        <v>77479</v>
      </c>
      <c r="G190" s="8">
        <f>SUM(G188:G189)</f>
        <v>0</v>
      </c>
      <c r="H190" s="8">
        <f>SUM(H188:H189)</f>
        <v>13333</v>
      </c>
      <c r="I190" s="8">
        <f>SUM(I188:I189)</f>
        <v>0</v>
      </c>
      <c r="J190" s="8">
        <f>SUM(J188:J189)</f>
        <v>13333</v>
      </c>
      <c r="K190" s="8">
        <f>SUM(K188:K189)</f>
        <v>90812</v>
      </c>
      <c r="M190" s="37" t="s">
        <v>16</v>
      </c>
      <c r="N190" s="13">
        <f>K177</f>
        <v>101469</v>
      </c>
      <c r="O190" s="13">
        <f>K192</f>
        <v>63568</v>
      </c>
      <c r="P190" s="14">
        <f t="shared" si="51"/>
        <v>165037</v>
      </c>
    </row>
    <row r="191" spans="1:16" ht="21" thickTop="1">
      <c r="A191" s="348"/>
      <c r="B191" s="37" t="s">
        <v>15</v>
      </c>
      <c r="C191" s="4">
        <v>0</v>
      </c>
      <c r="D191" s="4">
        <v>0</v>
      </c>
      <c r="E191" s="4">
        <v>0</v>
      </c>
      <c r="F191" s="3">
        <f t="shared" si="50"/>
        <v>0</v>
      </c>
      <c r="G191" s="4">
        <v>0</v>
      </c>
      <c r="H191" s="4">
        <v>0</v>
      </c>
      <c r="I191" s="4">
        <v>0</v>
      </c>
      <c r="J191" s="3">
        <f t="shared" ref="J191:J196" si="52">SUM(G191:I191)</f>
        <v>0</v>
      </c>
      <c r="K191" s="3">
        <f t="shared" ref="K191:K196" si="53">SUM(J191,F191)</f>
        <v>0</v>
      </c>
      <c r="M191" s="37" t="s">
        <v>15</v>
      </c>
      <c r="N191" s="1">
        <f>$K$11</f>
        <v>0</v>
      </c>
      <c r="O191" s="1">
        <f>SUM(K191)</f>
        <v>0</v>
      </c>
      <c r="P191" s="14">
        <f t="shared" si="51"/>
        <v>0</v>
      </c>
    </row>
    <row r="192" spans="1:16">
      <c r="A192" s="348"/>
      <c r="B192" s="33" t="s">
        <v>16</v>
      </c>
      <c r="C192" s="4">
        <v>0</v>
      </c>
      <c r="D192" s="4">
        <v>54235</v>
      </c>
      <c r="E192" s="4">
        <v>0</v>
      </c>
      <c r="F192" s="3">
        <f t="shared" si="50"/>
        <v>54235</v>
      </c>
      <c r="G192" s="4">
        <v>0</v>
      </c>
      <c r="H192" s="4">
        <v>9333</v>
      </c>
      <c r="I192" s="4">
        <v>0</v>
      </c>
      <c r="J192" s="3">
        <f t="shared" si="52"/>
        <v>9333</v>
      </c>
      <c r="K192" s="3">
        <f t="shared" si="53"/>
        <v>63568</v>
      </c>
      <c r="M192" s="33" t="s">
        <v>17</v>
      </c>
      <c r="N192" s="1">
        <f>K178</f>
        <v>5066</v>
      </c>
      <c r="O192" s="1">
        <f>K193</f>
        <v>3201</v>
      </c>
      <c r="P192" s="9">
        <f t="shared" si="51"/>
        <v>8267</v>
      </c>
    </row>
    <row r="193" spans="1:17">
      <c r="A193" s="348"/>
      <c r="B193" s="33" t="s">
        <v>17</v>
      </c>
      <c r="C193" s="4">
        <v>0</v>
      </c>
      <c r="D193" s="4">
        <v>2525</v>
      </c>
      <c r="E193" s="4">
        <v>0</v>
      </c>
      <c r="F193" s="3">
        <f t="shared" si="50"/>
        <v>2525</v>
      </c>
      <c r="G193" s="4">
        <v>0</v>
      </c>
      <c r="H193" s="4">
        <v>676</v>
      </c>
      <c r="I193" s="4">
        <v>0</v>
      </c>
      <c r="J193" s="3">
        <f t="shared" si="52"/>
        <v>676</v>
      </c>
      <c r="K193" s="3">
        <f t="shared" si="53"/>
        <v>3201</v>
      </c>
      <c r="M193" s="33" t="s">
        <v>18</v>
      </c>
      <c r="N193" s="1">
        <f>K179</f>
        <v>14496</v>
      </c>
      <c r="O193" s="1">
        <f>K194</f>
        <v>9081</v>
      </c>
      <c r="P193" s="9">
        <f t="shared" si="51"/>
        <v>23577</v>
      </c>
    </row>
    <row r="194" spans="1:17" ht="36" customHeight="1">
      <c r="A194" s="348"/>
      <c r="B194" s="33" t="s">
        <v>18</v>
      </c>
      <c r="C194" s="4">
        <v>0</v>
      </c>
      <c r="D194" s="4">
        <v>7748</v>
      </c>
      <c r="E194" s="4">
        <v>0</v>
      </c>
      <c r="F194" s="3">
        <f t="shared" si="50"/>
        <v>7748</v>
      </c>
      <c r="G194" s="4">
        <v>0</v>
      </c>
      <c r="H194" s="4">
        <v>1333</v>
      </c>
      <c r="I194" s="4">
        <v>0</v>
      </c>
      <c r="J194" s="3">
        <f t="shared" si="52"/>
        <v>1333</v>
      </c>
      <c r="K194" s="3">
        <f t="shared" si="53"/>
        <v>9081</v>
      </c>
      <c r="M194" s="194" t="s">
        <v>86</v>
      </c>
      <c r="N194" s="4">
        <f>K180</f>
        <v>4973</v>
      </c>
      <c r="O194" s="4">
        <f>K195</f>
        <v>3143</v>
      </c>
      <c r="P194" s="3">
        <f t="shared" si="51"/>
        <v>8116</v>
      </c>
    </row>
    <row r="195" spans="1:17" ht="31.5">
      <c r="A195" s="348"/>
      <c r="B195" s="194" t="s">
        <v>86</v>
      </c>
      <c r="C195" s="4">
        <v>0</v>
      </c>
      <c r="D195" s="4">
        <v>2479</v>
      </c>
      <c r="E195" s="4">
        <v>0</v>
      </c>
      <c r="F195" s="3">
        <f t="shared" si="50"/>
        <v>2479</v>
      </c>
      <c r="G195" s="4">
        <v>0</v>
      </c>
      <c r="H195" s="4">
        <v>664</v>
      </c>
      <c r="I195" s="4">
        <v>0</v>
      </c>
      <c r="J195" s="3">
        <f t="shared" si="52"/>
        <v>664</v>
      </c>
      <c r="K195" s="3">
        <f t="shared" si="53"/>
        <v>3143</v>
      </c>
      <c r="M195" s="33" t="s">
        <v>19</v>
      </c>
      <c r="N195" s="4">
        <f>K181</f>
        <v>2443</v>
      </c>
      <c r="O195" s="4">
        <f>K196</f>
        <v>0</v>
      </c>
      <c r="P195" s="3">
        <f t="shared" si="51"/>
        <v>2443</v>
      </c>
    </row>
    <row r="196" spans="1:17" ht="21" thickBot="1">
      <c r="A196" s="348"/>
      <c r="B196" s="33" t="s">
        <v>19</v>
      </c>
      <c r="C196" s="4">
        <v>0</v>
      </c>
      <c r="D196" s="4">
        <v>0</v>
      </c>
      <c r="E196" s="4">
        <v>0</v>
      </c>
      <c r="F196" s="3">
        <f t="shared" si="50"/>
        <v>0</v>
      </c>
      <c r="G196" s="4">
        <v>0</v>
      </c>
      <c r="H196" s="4">
        <v>0</v>
      </c>
      <c r="I196" s="4">
        <v>0</v>
      </c>
      <c r="J196" s="3">
        <f t="shared" si="52"/>
        <v>0</v>
      </c>
      <c r="K196" s="3">
        <f t="shared" si="53"/>
        <v>0</v>
      </c>
      <c r="M196" s="38" t="s">
        <v>6</v>
      </c>
      <c r="N196" s="10">
        <f>SUM(N189:N195)</f>
        <v>344322</v>
      </c>
      <c r="O196" s="10">
        <f>SUM(O189:O195)</f>
        <v>169805</v>
      </c>
      <c r="P196" s="10">
        <f>SUM(P189:P195)</f>
        <v>514127</v>
      </c>
    </row>
    <row r="197" spans="1:17" ht="21.75" thickTop="1" thickBot="1">
      <c r="A197" s="349"/>
      <c r="B197" s="38" t="s">
        <v>6</v>
      </c>
      <c r="C197" s="8">
        <f>SUM(C190:C196)</f>
        <v>0</v>
      </c>
      <c r="D197" s="8">
        <f t="shared" ref="D197:K197" si="54">SUM(D190:D196)</f>
        <v>144466</v>
      </c>
      <c r="E197" s="8">
        <f t="shared" si="54"/>
        <v>0</v>
      </c>
      <c r="F197" s="8">
        <f t="shared" si="54"/>
        <v>144466</v>
      </c>
      <c r="G197" s="8">
        <f t="shared" si="54"/>
        <v>0</v>
      </c>
      <c r="H197" s="8">
        <f t="shared" si="54"/>
        <v>25339</v>
      </c>
      <c r="I197" s="8">
        <f t="shared" si="54"/>
        <v>0</v>
      </c>
      <c r="J197" s="8">
        <f t="shared" si="54"/>
        <v>25339</v>
      </c>
      <c r="K197" s="8">
        <f t="shared" si="54"/>
        <v>169805</v>
      </c>
      <c r="M197" s="5"/>
      <c r="N197" s="5"/>
      <c r="O197" s="5"/>
      <c r="P197" s="5"/>
    </row>
    <row r="198" spans="1:17" ht="21" thickTop="1">
      <c r="A198" s="15"/>
      <c r="B198" s="16"/>
      <c r="C198" s="17"/>
      <c r="D198" s="17"/>
      <c r="E198" s="17"/>
      <c r="F198" s="17"/>
      <c r="G198" s="17"/>
      <c r="H198" s="17"/>
      <c r="I198" s="17"/>
      <c r="J198" s="17"/>
      <c r="K198" s="17"/>
      <c r="M198" s="5"/>
      <c r="N198" s="5"/>
      <c r="O198" s="5"/>
      <c r="P198" s="5"/>
    </row>
    <row r="199" spans="1:17">
      <c r="A199" s="358" t="s">
        <v>124</v>
      </c>
      <c r="B199" s="359"/>
      <c r="C199" s="359"/>
      <c r="D199" s="359"/>
      <c r="E199" s="359"/>
      <c r="F199" s="359"/>
      <c r="G199" s="359"/>
      <c r="H199" s="359"/>
      <c r="I199" s="359"/>
      <c r="J199" s="359"/>
      <c r="K199" s="359"/>
      <c r="L199" s="359"/>
      <c r="M199" s="359"/>
      <c r="N199" s="359"/>
      <c r="O199" s="359"/>
      <c r="P199" s="359"/>
    </row>
    <row r="200" spans="1:17" ht="24" customHeight="1">
      <c r="A200" s="360" t="s">
        <v>31</v>
      </c>
      <c r="B200" s="361"/>
      <c r="C200" s="361"/>
      <c r="D200" s="361"/>
      <c r="E200" s="361"/>
      <c r="F200" s="361"/>
      <c r="G200" s="361"/>
      <c r="H200" s="361"/>
      <c r="I200" s="361"/>
      <c r="J200" s="361"/>
      <c r="K200" s="361"/>
      <c r="L200" s="361"/>
      <c r="M200" s="361"/>
      <c r="N200" s="361"/>
      <c r="O200" s="361"/>
      <c r="P200" s="361"/>
      <c r="Q200" s="30"/>
    </row>
    <row r="201" spans="1:17" ht="21" customHeight="1">
      <c r="A201" s="343" t="s">
        <v>1</v>
      </c>
      <c r="B201" s="344"/>
      <c r="C201" s="344"/>
      <c r="D201" s="344"/>
      <c r="E201" s="344"/>
      <c r="F201" s="344"/>
      <c r="G201" s="344"/>
      <c r="H201" s="344"/>
      <c r="I201" s="344"/>
      <c r="J201" s="344"/>
      <c r="K201" s="344"/>
    </row>
    <row r="202" spans="1:17">
      <c r="A202" s="350" t="s">
        <v>2</v>
      </c>
      <c r="B202" s="352" t="s">
        <v>3</v>
      </c>
      <c r="C202" s="353"/>
      <c r="D202" s="353"/>
      <c r="E202" s="353"/>
      <c r="F202" s="353"/>
      <c r="G202" s="353"/>
      <c r="H202" s="353"/>
      <c r="I202" s="353"/>
      <c r="J202" s="353"/>
      <c r="K202" s="354"/>
    </row>
    <row r="203" spans="1:17">
      <c r="A203" s="351"/>
      <c r="B203" s="32"/>
      <c r="C203" s="350" t="s">
        <v>4</v>
      </c>
      <c r="D203" s="351"/>
      <c r="E203" s="351"/>
      <c r="F203" s="351"/>
      <c r="G203" s="350" t="s">
        <v>5</v>
      </c>
      <c r="H203" s="351"/>
      <c r="I203" s="351"/>
      <c r="J203" s="351"/>
      <c r="K203" s="31" t="s">
        <v>6</v>
      </c>
    </row>
    <row r="204" spans="1:17">
      <c r="A204" s="347" t="s">
        <v>27</v>
      </c>
      <c r="B204" s="33" t="s">
        <v>8</v>
      </c>
      <c r="C204" s="34" t="s">
        <v>9</v>
      </c>
      <c r="D204" s="34" t="s">
        <v>10</v>
      </c>
      <c r="E204" s="34" t="s">
        <v>11</v>
      </c>
      <c r="F204" s="34" t="s">
        <v>6</v>
      </c>
      <c r="G204" s="34" t="s">
        <v>9</v>
      </c>
      <c r="H204" s="34" t="s">
        <v>10</v>
      </c>
      <c r="I204" s="34" t="s">
        <v>11</v>
      </c>
      <c r="J204" s="34" t="s">
        <v>6</v>
      </c>
      <c r="K204" s="34" t="s">
        <v>6</v>
      </c>
    </row>
    <row r="205" spans="1:17">
      <c r="A205" s="348"/>
      <c r="B205" s="35" t="s">
        <v>12</v>
      </c>
      <c r="C205" s="4">
        <v>0</v>
      </c>
      <c r="D205" s="4">
        <v>128</v>
      </c>
      <c r="E205" s="4">
        <v>212</v>
      </c>
      <c r="F205" s="3">
        <f t="shared" ref="F205:F214" si="55">SUM(C205:E205)</f>
        <v>340</v>
      </c>
      <c r="G205" s="4">
        <v>0</v>
      </c>
      <c r="H205" s="4">
        <v>38</v>
      </c>
      <c r="I205" s="4">
        <v>24</v>
      </c>
      <c r="J205" s="3">
        <f>SUM(G205:I205)</f>
        <v>62</v>
      </c>
      <c r="K205" s="3">
        <f>SUM(J205,F205)</f>
        <v>402</v>
      </c>
    </row>
    <row r="206" spans="1:17">
      <c r="A206" s="348"/>
      <c r="B206" s="33" t="s">
        <v>13</v>
      </c>
      <c r="C206" s="4">
        <v>0</v>
      </c>
      <c r="D206" s="4">
        <v>55778</v>
      </c>
      <c r="E206" s="4">
        <v>38160</v>
      </c>
      <c r="F206" s="3">
        <f t="shared" si="55"/>
        <v>93938</v>
      </c>
      <c r="G206" s="4">
        <v>0</v>
      </c>
      <c r="H206" s="4">
        <v>19980</v>
      </c>
      <c r="I206" s="4">
        <v>4500</v>
      </c>
      <c r="J206" s="3">
        <f>SUM(G206:I206)</f>
        <v>24480</v>
      </c>
      <c r="K206" s="3">
        <f>SUM(J206,F206)</f>
        <v>118418</v>
      </c>
    </row>
    <row r="207" spans="1:17">
      <c r="A207" s="348"/>
      <c r="B207" s="33" t="s">
        <v>14</v>
      </c>
      <c r="C207" s="4">
        <v>0</v>
      </c>
      <c r="D207" s="4">
        <v>0</v>
      </c>
      <c r="E207" s="4">
        <v>0</v>
      </c>
      <c r="F207" s="3">
        <f t="shared" si="55"/>
        <v>0</v>
      </c>
      <c r="G207" s="4">
        <v>0</v>
      </c>
      <c r="H207" s="4">
        <v>0</v>
      </c>
      <c r="I207" s="4">
        <v>0</v>
      </c>
      <c r="J207" s="3">
        <f>SUM(G207:I207)</f>
        <v>0</v>
      </c>
      <c r="K207" s="3">
        <f>SUM(J207,F207)</f>
        <v>0</v>
      </c>
    </row>
    <row r="208" spans="1:17" ht="21" thickBot="1">
      <c r="A208" s="348"/>
      <c r="B208" s="36" t="s">
        <v>6</v>
      </c>
      <c r="C208" s="8">
        <f>SUM(C206:C207)</f>
        <v>0</v>
      </c>
      <c r="D208" s="8">
        <f>SUM(D206:D207)</f>
        <v>55778</v>
      </c>
      <c r="E208" s="8">
        <f>SUM(E206:E207)</f>
        <v>38160</v>
      </c>
      <c r="F208" s="8">
        <f t="shared" si="55"/>
        <v>93938</v>
      </c>
      <c r="G208" s="8">
        <f>SUM(G206:G207)</f>
        <v>0</v>
      </c>
      <c r="H208" s="8">
        <f>SUM(H206:H207)</f>
        <v>19980</v>
      </c>
      <c r="I208" s="8">
        <f>SUM(I206:I207)</f>
        <v>4500</v>
      </c>
      <c r="J208" s="8">
        <f>SUM(J206:J207)</f>
        <v>24480</v>
      </c>
      <c r="K208" s="8">
        <f>SUM(K206:K207)</f>
        <v>118418</v>
      </c>
    </row>
    <row r="209" spans="1:16" ht="21" thickTop="1">
      <c r="A209" s="348"/>
      <c r="B209" s="37" t="s">
        <v>15</v>
      </c>
      <c r="C209" s="4">
        <v>0</v>
      </c>
      <c r="D209" s="4">
        <v>0</v>
      </c>
      <c r="E209" s="4">
        <v>0</v>
      </c>
      <c r="F209" s="3">
        <f t="shared" si="55"/>
        <v>0</v>
      </c>
      <c r="G209" s="4">
        <v>0</v>
      </c>
      <c r="H209" s="4">
        <v>0</v>
      </c>
      <c r="I209" s="4">
        <v>0</v>
      </c>
      <c r="J209" s="3">
        <f t="shared" ref="J209:J214" si="56">SUM(G209:I209)</f>
        <v>0</v>
      </c>
      <c r="K209" s="3">
        <f t="shared" ref="K209:K214" si="57">SUM(J209,F209)</f>
        <v>0</v>
      </c>
    </row>
    <row r="210" spans="1:16">
      <c r="A210" s="348"/>
      <c r="B210" s="33" t="s">
        <v>16</v>
      </c>
      <c r="C210" s="4">
        <v>0</v>
      </c>
      <c r="D210" s="4">
        <v>39045</v>
      </c>
      <c r="E210" s="4">
        <v>0</v>
      </c>
      <c r="F210" s="3">
        <f t="shared" si="55"/>
        <v>39045</v>
      </c>
      <c r="G210" s="4">
        <v>0</v>
      </c>
      <c r="H210" s="4">
        <v>13986</v>
      </c>
      <c r="I210" s="4">
        <v>0</v>
      </c>
      <c r="J210" s="3">
        <f t="shared" si="56"/>
        <v>13986</v>
      </c>
      <c r="K210" s="3">
        <f t="shared" si="57"/>
        <v>53031</v>
      </c>
    </row>
    <row r="211" spans="1:16">
      <c r="A211" s="348"/>
      <c r="B211" s="33" t="s">
        <v>17</v>
      </c>
      <c r="C211" s="4">
        <v>0</v>
      </c>
      <c r="D211" s="4">
        <v>0</v>
      </c>
      <c r="E211" s="4">
        <v>0</v>
      </c>
      <c r="F211" s="3">
        <f t="shared" si="55"/>
        <v>0</v>
      </c>
      <c r="G211" s="4">
        <v>0</v>
      </c>
      <c r="H211" s="4">
        <v>0</v>
      </c>
      <c r="I211" s="4">
        <v>0</v>
      </c>
      <c r="J211" s="3">
        <f t="shared" si="56"/>
        <v>0</v>
      </c>
      <c r="K211" s="3">
        <f t="shared" si="57"/>
        <v>0</v>
      </c>
    </row>
    <row r="212" spans="1:16">
      <c r="A212" s="348"/>
      <c r="B212" s="33" t="s">
        <v>18</v>
      </c>
      <c r="C212" s="4">
        <v>0</v>
      </c>
      <c r="D212" s="4">
        <v>5578</v>
      </c>
      <c r="E212" s="4">
        <v>0</v>
      </c>
      <c r="F212" s="3">
        <f t="shared" si="55"/>
        <v>5578</v>
      </c>
      <c r="G212" s="4">
        <v>0</v>
      </c>
      <c r="H212" s="4">
        <v>1998</v>
      </c>
      <c r="I212" s="4">
        <v>0</v>
      </c>
      <c r="J212" s="3">
        <f t="shared" si="56"/>
        <v>1998</v>
      </c>
      <c r="K212" s="3">
        <f t="shared" si="57"/>
        <v>7576</v>
      </c>
    </row>
    <row r="213" spans="1:16" ht="31.5">
      <c r="A213" s="348"/>
      <c r="B213" s="194" t="s">
        <v>86</v>
      </c>
      <c r="C213" s="4">
        <v>0</v>
      </c>
      <c r="D213" s="4">
        <v>4096</v>
      </c>
      <c r="E213" s="4">
        <v>0</v>
      </c>
      <c r="F213" s="3">
        <f t="shared" si="55"/>
        <v>4096</v>
      </c>
      <c r="G213" s="4">
        <v>0</v>
      </c>
      <c r="H213" s="4">
        <v>1184</v>
      </c>
      <c r="I213" s="4">
        <v>0</v>
      </c>
      <c r="J213" s="3">
        <f t="shared" si="56"/>
        <v>1184</v>
      </c>
      <c r="K213" s="3">
        <f t="shared" si="57"/>
        <v>5280</v>
      </c>
    </row>
    <row r="214" spans="1:16">
      <c r="A214" s="348"/>
      <c r="B214" s="33" t="s">
        <v>19</v>
      </c>
      <c r="C214" s="4">
        <v>0</v>
      </c>
      <c r="D214" s="4">
        <v>128</v>
      </c>
      <c r="E214" s="4">
        <v>0</v>
      </c>
      <c r="F214" s="3">
        <f t="shared" si="55"/>
        <v>128</v>
      </c>
      <c r="G214" s="4">
        <v>0</v>
      </c>
      <c r="H214" s="4">
        <v>37</v>
      </c>
      <c r="I214" s="4">
        <v>0</v>
      </c>
      <c r="J214" s="3">
        <f t="shared" si="56"/>
        <v>37</v>
      </c>
      <c r="K214" s="3">
        <f t="shared" si="57"/>
        <v>165</v>
      </c>
    </row>
    <row r="215" spans="1:16" ht="21" thickBot="1">
      <c r="A215" s="349"/>
      <c r="B215" s="38" t="s">
        <v>6</v>
      </c>
      <c r="C215" s="8">
        <f>SUM(C208:C214)</f>
        <v>0</v>
      </c>
      <c r="D215" s="8">
        <f t="shared" ref="D215:K215" si="58">SUM(D208:D214)</f>
        <v>104625</v>
      </c>
      <c r="E215" s="8">
        <f t="shared" si="58"/>
        <v>38160</v>
      </c>
      <c r="F215" s="8">
        <f t="shared" si="58"/>
        <v>142785</v>
      </c>
      <c r="G215" s="8">
        <f t="shared" si="58"/>
        <v>0</v>
      </c>
      <c r="H215" s="8">
        <f t="shared" si="58"/>
        <v>37185</v>
      </c>
      <c r="I215" s="8">
        <f t="shared" si="58"/>
        <v>4500</v>
      </c>
      <c r="J215" s="8">
        <f t="shared" si="58"/>
        <v>41685</v>
      </c>
      <c r="K215" s="8">
        <f t="shared" si="58"/>
        <v>184470</v>
      </c>
    </row>
    <row r="216" spans="1:16" ht="17.25" customHeight="1" thickTop="1"/>
    <row r="217" spans="1:16">
      <c r="A217" s="350" t="s">
        <v>2</v>
      </c>
      <c r="B217" s="352" t="s">
        <v>20</v>
      </c>
      <c r="C217" s="353"/>
      <c r="D217" s="353"/>
      <c r="E217" s="353"/>
      <c r="F217" s="353"/>
      <c r="G217" s="353"/>
      <c r="H217" s="353"/>
      <c r="I217" s="353"/>
      <c r="J217" s="353"/>
      <c r="K217" s="354"/>
      <c r="M217" s="355" t="s">
        <v>21</v>
      </c>
      <c r="N217" s="356"/>
      <c r="O217" s="356"/>
      <c r="P217" s="357"/>
    </row>
    <row r="218" spans="1:16" ht="21" thickBot="1">
      <c r="A218" s="351"/>
      <c r="B218" s="32"/>
      <c r="C218" s="350" t="s">
        <v>4</v>
      </c>
      <c r="D218" s="351"/>
      <c r="E218" s="351"/>
      <c r="F218" s="351"/>
      <c r="G218" s="350" t="s">
        <v>5</v>
      </c>
      <c r="H218" s="351"/>
      <c r="I218" s="351"/>
      <c r="J218" s="351"/>
      <c r="K218" s="31" t="s">
        <v>6</v>
      </c>
      <c r="M218" s="33" t="s">
        <v>8</v>
      </c>
      <c r="N218" s="33" t="s">
        <v>3</v>
      </c>
      <c r="O218" s="33" t="s">
        <v>20</v>
      </c>
      <c r="P218" s="38" t="s">
        <v>6</v>
      </c>
    </row>
    <row r="219" spans="1:16" ht="21" customHeight="1" thickTop="1">
      <c r="A219" s="347" t="s">
        <v>27</v>
      </c>
      <c r="B219" s="33" t="s">
        <v>8</v>
      </c>
      <c r="C219" s="34" t="s">
        <v>9</v>
      </c>
      <c r="D219" s="34" t="s">
        <v>10</v>
      </c>
      <c r="E219" s="34" t="s">
        <v>11</v>
      </c>
      <c r="F219" s="34" t="s">
        <v>6</v>
      </c>
      <c r="G219" s="34" t="s">
        <v>9</v>
      </c>
      <c r="H219" s="34" t="s">
        <v>10</v>
      </c>
      <c r="I219" s="34" t="s">
        <v>11</v>
      </c>
      <c r="J219" s="34" t="s">
        <v>6</v>
      </c>
      <c r="K219" s="34" t="s">
        <v>6</v>
      </c>
      <c r="M219" s="35" t="s">
        <v>12</v>
      </c>
      <c r="N219" s="1">
        <f>K205</f>
        <v>402</v>
      </c>
      <c r="O219" s="1">
        <f>K220</f>
        <v>178</v>
      </c>
      <c r="P219" s="9">
        <f>SUM(N219:O219)</f>
        <v>580</v>
      </c>
    </row>
    <row r="220" spans="1:16">
      <c r="A220" s="348"/>
      <c r="B220" s="35" t="s">
        <v>12</v>
      </c>
      <c r="C220" s="4">
        <v>0</v>
      </c>
      <c r="D220" s="4">
        <v>126</v>
      </c>
      <c r="E220" s="4">
        <v>0</v>
      </c>
      <c r="F220" s="3">
        <f t="shared" ref="F220:F229" si="59">SUM(C220:E220)</f>
        <v>126</v>
      </c>
      <c r="G220" s="4">
        <v>0</v>
      </c>
      <c r="H220" s="4">
        <v>52</v>
      </c>
      <c r="I220" s="4">
        <v>0</v>
      </c>
      <c r="J220" s="3">
        <f>SUM(G220:I220)</f>
        <v>52</v>
      </c>
      <c r="K220" s="3">
        <f>SUM(J220,F220)</f>
        <v>178</v>
      </c>
      <c r="M220" s="33" t="s">
        <v>13</v>
      </c>
      <c r="N220" s="1">
        <f>K206</f>
        <v>118418</v>
      </c>
      <c r="O220" s="1">
        <f>K221</f>
        <v>74648</v>
      </c>
      <c r="P220" s="9">
        <f t="shared" ref="P220:P228" si="60">SUM(N220:O220)</f>
        <v>193066</v>
      </c>
    </row>
    <row r="221" spans="1:16">
      <c r="A221" s="348"/>
      <c r="B221" s="33" t="s">
        <v>13</v>
      </c>
      <c r="C221" s="4">
        <v>0</v>
      </c>
      <c r="D221" s="4">
        <v>34513</v>
      </c>
      <c r="E221" s="4">
        <v>0</v>
      </c>
      <c r="F221" s="3">
        <f t="shared" si="59"/>
        <v>34513</v>
      </c>
      <c r="G221" s="4">
        <v>0</v>
      </c>
      <c r="H221" s="4">
        <v>40135</v>
      </c>
      <c r="I221" s="4">
        <v>0</v>
      </c>
      <c r="J221" s="3">
        <f>SUM(G221:I221)</f>
        <v>40135</v>
      </c>
      <c r="K221" s="3">
        <f>SUM(J221,F221)</f>
        <v>74648</v>
      </c>
      <c r="M221" s="33" t="s">
        <v>14</v>
      </c>
      <c r="N221" s="1">
        <f>K207</f>
        <v>0</v>
      </c>
      <c r="O221" s="1">
        <f>K222</f>
        <v>0</v>
      </c>
      <c r="P221" s="9">
        <f t="shared" si="60"/>
        <v>0</v>
      </c>
    </row>
    <row r="222" spans="1:16" ht="21" thickBot="1">
      <c r="A222" s="348"/>
      <c r="B222" s="33" t="s">
        <v>14</v>
      </c>
      <c r="C222" s="4">
        <v>0</v>
      </c>
      <c r="D222" s="4"/>
      <c r="E222" s="4">
        <v>0</v>
      </c>
      <c r="F222" s="3">
        <f t="shared" si="59"/>
        <v>0</v>
      </c>
      <c r="G222" s="4">
        <v>0</v>
      </c>
      <c r="H222" s="4">
        <v>0</v>
      </c>
      <c r="I222" s="4">
        <v>0</v>
      </c>
      <c r="J222" s="3">
        <f>SUM(G222:I222)</f>
        <v>0</v>
      </c>
      <c r="K222" s="3">
        <f>SUM(J222,F222)</f>
        <v>0</v>
      </c>
      <c r="M222" s="36" t="s">
        <v>6</v>
      </c>
      <c r="N222" s="10">
        <f>K208</f>
        <v>118418</v>
      </c>
      <c r="O222" s="10">
        <f>K223</f>
        <v>74648</v>
      </c>
      <c r="P222" s="10">
        <f t="shared" si="60"/>
        <v>193066</v>
      </c>
    </row>
    <row r="223" spans="1:16" ht="21.75" thickTop="1" thickBot="1">
      <c r="A223" s="348"/>
      <c r="B223" s="36" t="s">
        <v>6</v>
      </c>
      <c r="C223" s="8">
        <f>SUM(C221:C222)</f>
        <v>0</v>
      </c>
      <c r="D223" s="8">
        <f>SUM(D221:D222)</f>
        <v>34513</v>
      </c>
      <c r="E223" s="8">
        <f>SUM(E221:E222)</f>
        <v>0</v>
      </c>
      <c r="F223" s="8">
        <f t="shared" si="59"/>
        <v>34513</v>
      </c>
      <c r="G223" s="8">
        <f>SUM(G221:G222)</f>
        <v>0</v>
      </c>
      <c r="H223" s="8">
        <f>SUM(H221:H222)</f>
        <v>40135</v>
      </c>
      <c r="I223" s="8">
        <f>SUM(I221:I222)</f>
        <v>0</v>
      </c>
      <c r="J223" s="8">
        <f>SUM(J221:J222)</f>
        <v>40135</v>
      </c>
      <c r="K223" s="8">
        <f>SUM(K221:K222)</f>
        <v>74648</v>
      </c>
      <c r="M223" s="37" t="s">
        <v>16</v>
      </c>
      <c r="N223" s="13">
        <f>K210</f>
        <v>53031</v>
      </c>
      <c r="O223" s="13">
        <f>K225</f>
        <v>52254</v>
      </c>
      <c r="P223" s="14">
        <f t="shared" si="60"/>
        <v>105285</v>
      </c>
    </row>
    <row r="224" spans="1:16" ht="21" thickTop="1">
      <c r="A224" s="348"/>
      <c r="B224" s="37" t="s">
        <v>15</v>
      </c>
      <c r="C224" s="4">
        <v>0</v>
      </c>
      <c r="D224" s="4">
        <v>0</v>
      </c>
      <c r="E224" s="4">
        <v>0</v>
      </c>
      <c r="F224" s="3">
        <f t="shared" si="59"/>
        <v>0</v>
      </c>
      <c r="G224" s="4">
        <v>0</v>
      </c>
      <c r="H224" s="4">
        <v>0</v>
      </c>
      <c r="I224" s="4">
        <v>0</v>
      </c>
      <c r="J224" s="3">
        <f t="shared" ref="J224:J229" si="61">SUM(G224:I224)</f>
        <v>0</v>
      </c>
      <c r="K224" s="3">
        <f t="shared" ref="K224:K229" si="62">SUM(J224,F224)</f>
        <v>0</v>
      </c>
      <c r="M224" s="37" t="s">
        <v>15</v>
      </c>
      <c r="N224" s="1">
        <f>$K$11</f>
        <v>0</v>
      </c>
      <c r="O224" s="1">
        <f>SUM(K224)</f>
        <v>0</v>
      </c>
      <c r="P224" s="14">
        <f t="shared" si="60"/>
        <v>0</v>
      </c>
    </row>
    <row r="225" spans="1:17">
      <c r="A225" s="348"/>
      <c r="B225" s="33" t="s">
        <v>16</v>
      </c>
      <c r="C225" s="4">
        <v>0</v>
      </c>
      <c r="D225" s="4">
        <v>24159</v>
      </c>
      <c r="E225" s="4">
        <v>0</v>
      </c>
      <c r="F225" s="3">
        <f t="shared" si="59"/>
        <v>24159</v>
      </c>
      <c r="G225" s="4">
        <v>0</v>
      </c>
      <c r="H225" s="4">
        <v>28095</v>
      </c>
      <c r="I225" s="4">
        <v>0</v>
      </c>
      <c r="J225" s="3">
        <f t="shared" si="61"/>
        <v>28095</v>
      </c>
      <c r="K225" s="3">
        <f t="shared" si="62"/>
        <v>52254</v>
      </c>
      <c r="M225" s="33" t="s">
        <v>17</v>
      </c>
      <c r="N225" s="1">
        <f>K211</f>
        <v>0</v>
      </c>
      <c r="O225" s="1">
        <f>K226</f>
        <v>0</v>
      </c>
      <c r="P225" s="9">
        <f t="shared" si="60"/>
        <v>0</v>
      </c>
    </row>
    <row r="226" spans="1:17">
      <c r="A226" s="348"/>
      <c r="B226" s="33" t="s">
        <v>17</v>
      </c>
      <c r="C226" s="4">
        <v>0</v>
      </c>
      <c r="D226" s="4"/>
      <c r="E226" s="4">
        <v>0</v>
      </c>
      <c r="F226" s="3">
        <f t="shared" si="59"/>
        <v>0</v>
      </c>
      <c r="G226" s="4">
        <v>0</v>
      </c>
      <c r="H226" s="4">
        <v>0</v>
      </c>
      <c r="I226" s="4">
        <v>0</v>
      </c>
      <c r="J226" s="3">
        <f t="shared" si="61"/>
        <v>0</v>
      </c>
      <c r="K226" s="3">
        <f t="shared" si="62"/>
        <v>0</v>
      </c>
      <c r="M226" s="33" t="s">
        <v>18</v>
      </c>
      <c r="N226" s="1">
        <f>K212</f>
        <v>7576</v>
      </c>
      <c r="O226" s="1">
        <f>K227</f>
        <v>7465</v>
      </c>
      <c r="P226" s="9">
        <f t="shared" si="60"/>
        <v>15041</v>
      </c>
    </row>
    <row r="227" spans="1:17" ht="36" customHeight="1">
      <c r="A227" s="348"/>
      <c r="B227" s="33" t="s">
        <v>18</v>
      </c>
      <c r="C227" s="4">
        <v>0</v>
      </c>
      <c r="D227" s="4">
        <v>3451</v>
      </c>
      <c r="E227" s="4">
        <v>0</v>
      </c>
      <c r="F227" s="3">
        <f t="shared" si="59"/>
        <v>3451</v>
      </c>
      <c r="G227" s="4">
        <v>0</v>
      </c>
      <c r="H227" s="4">
        <v>4014</v>
      </c>
      <c r="I227" s="4">
        <v>0</v>
      </c>
      <c r="J227" s="3">
        <f t="shared" si="61"/>
        <v>4014</v>
      </c>
      <c r="K227" s="3">
        <f t="shared" si="62"/>
        <v>7465</v>
      </c>
      <c r="M227" s="194" t="s">
        <v>86</v>
      </c>
      <c r="N227" s="4">
        <f>K213</f>
        <v>5280</v>
      </c>
      <c r="O227" s="4">
        <f>K228</f>
        <v>5696</v>
      </c>
      <c r="P227" s="3">
        <f t="shared" si="60"/>
        <v>10976</v>
      </c>
    </row>
    <row r="228" spans="1:17" ht="31.5">
      <c r="A228" s="348"/>
      <c r="B228" s="194" t="s">
        <v>86</v>
      </c>
      <c r="C228" s="4">
        <v>0</v>
      </c>
      <c r="D228" s="4">
        <v>4032</v>
      </c>
      <c r="E228" s="4">
        <v>0</v>
      </c>
      <c r="F228" s="3">
        <f t="shared" si="59"/>
        <v>4032</v>
      </c>
      <c r="G228" s="4">
        <v>0</v>
      </c>
      <c r="H228" s="4">
        <v>1664</v>
      </c>
      <c r="I228" s="4">
        <v>0</v>
      </c>
      <c r="J228" s="3">
        <f t="shared" si="61"/>
        <v>1664</v>
      </c>
      <c r="K228" s="3">
        <f t="shared" si="62"/>
        <v>5696</v>
      </c>
      <c r="M228" s="33" t="s">
        <v>19</v>
      </c>
      <c r="N228" s="4">
        <f>K214</f>
        <v>165</v>
      </c>
      <c r="O228" s="4">
        <f>K229</f>
        <v>178</v>
      </c>
      <c r="P228" s="3">
        <f t="shared" si="60"/>
        <v>343</v>
      </c>
    </row>
    <row r="229" spans="1:17" ht="21" thickBot="1">
      <c r="A229" s="348"/>
      <c r="B229" s="33" t="s">
        <v>19</v>
      </c>
      <c r="C229" s="4">
        <v>0</v>
      </c>
      <c r="D229" s="4">
        <v>126</v>
      </c>
      <c r="E229" s="4">
        <v>0</v>
      </c>
      <c r="F229" s="3">
        <f t="shared" si="59"/>
        <v>126</v>
      </c>
      <c r="G229" s="4">
        <v>0</v>
      </c>
      <c r="H229" s="4">
        <v>52</v>
      </c>
      <c r="I229" s="4">
        <v>0</v>
      </c>
      <c r="J229" s="3">
        <f t="shared" si="61"/>
        <v>52</v>
      </c>
      <c r="K229" s="3">
        <f t="shared" si="62"/>
        <v>178</v>
      </c>
      <c r="M229" s="38" t="s">
        <v>6</v>
      </c>
      <c r="N229" s="10">
        <f>SUM(N222:N228)</f>
        <v>184470</v>
      </c>
      <c r="O229" s="10">
        <f>SUM(O222:O228)</f>
        <v>140241</v>
      </c>
      <c r="P229" s="10">
        <f>SUM(P222:P228)</f>
        <v>324711</v>
      </c>
    </row>
    <row r="230" spans="1:17" ht="21.75" thickTop="1" thickBot="1">
      <c r="A230" s="349"/>
      <c r="B230" s="38" t="s">
        <v>6</v>
      </c>
      <c r="C230" s="8">
        <f>SUM(C223:C229)</f>
        <v>0</v>
      </c>
      <c r="D230" s="8">
        <f t="shared" ref="D230:K230" si="63">SUM(D223:D229)</f>
        <v>66281</v>
      </c>
      <c r="E230" s="8">
        <f t="shared" si="63"/>
        <v>0</v>
      </c>
      <c r="F230" s="8">
        <f t="shared" si="63"/>
        <v>66281</v>
      </c>
      <c r="G230" s="8">
        <f t="shared" si="63"/>
        <v>0</v>
      </c>
      <c r="H230" s="8">
        <f t="shared" si="63"/>
        <v>73960</v>
      </c>
      <c r="I230" s="8">
        <f t="shared" si="63"/>
        <v>0</v>
      </c>
      <c r="J230" s="8">
        <f t="shared" si="63"/>
        <v>73960</v>
      </c>
      <c r="K230" s="8">
        <f t="shared" si="63"/>
        <v>140241</v>
      </c>
      <c r="M230" s="5"/>
      <c r="N230" s="5"/>
      <c r="O230" s="5"/>
      <c r="P230" s="5"/>
    </row>
    <row r="231" spans="1:17" ht="21" thickTop="1">
      <c r="A231" s="15"/>
      <c r="B231" s="16"/>
      <c r="C231" s="17"/>
      <c r="D231" s="17"/>
      <c r="E231" s="17"/>
      <c r="F231" s="17"/>
      <c r="G231" s="17"/>
      <c r="H231" s="17"/>
      <c r="I231" s="17"/>
      <c r="J231" s="17"/>
      <c r="K231" s="17"/>
      <c r="M231" s="5"/>
      <c r="N231" s="5"/>
      <c r="O231" s="5"/>
      <c r="P231" s="5"/>
    </row>
    <row r="232" spans="1:17">
      <c r="A232" s="373" t="s">
        <v>98</v>
      </c>
      <c r="B232" s="374"/>
      <c r="C232" s="374"/>
      <c r="D232" s="374"/>
      <c r="E232" s="374"/>
      <c r="F232" s="374"/>
      <c r="G232" s="374"/>
      <c r="H232" s="374"/>
      <c r="I232" s="374"/>
      <c r="J232" s="374"/>
      <c r="K232" s="374"/>
      <c r="L232" s="374"/>
      <c r="M232" s="374"/>
      <c r="N232" s="374"/>
      <c r="O232" s="374"/>
      <c r="P232" s="374"/>
    </row>
    <row r="233" spans="1:17" ht="24" customHeight="1">
      <c r="A233" s="337" t="s">
        <v>31</v>
      </c>
      <c r="B233" s="338"/>
      <c r="C233" s="338"/>
      <c r="D233" s="338"/>
      <c r="E233" s="338"/>
      <c r="F233" s="338"/>
      <c r="G233" s="338"/>
      <c r="H233" s="338"/>
      <c r="I233" s="338"/>
      <c r="J233" s="338"/>
      <c r="K233" s="338"/>
      <c r="L233" s="338"/>
      <c r="M233" s="338"/>
      <c r="N233" s="338"/>
      <c r="O233" s="338"/>
      <c r="P233" s="338"/>
      <c r="Q233" s="30"/>
    </row>
    <row r="234" spans="1:17" ht="21" customHeight="1">
      <c r="A234" s="339" t="s">
        <v>1</v>
      </c>
      <c r="B234" s="340"/>
      <c r="C234" s="340"/>
      <c r="D234" s="340"/>
      <c r="E234" s="340"/>
      <c r="F234" s="340"/>
      <c r="G234" s="340"/>
      <c r="H234" s="340"/>
      <c r="I234" s="340"/>
      <c r="J234" s="340"/>
      <c r="K234" s="340"/>
      <c r="L234" s="132"/>
      <c r="M234" s="132"/>
      <c r="N234" s="132"/>
      <c r="O234" s="132"/>
      <c r="P234" s="132"/>
    </row>
    <row r="235" spans="1:17">
      <c r="A235" s="365" t="s">
        <v>2</v>
      </c>
      <c r="B235" s="367" t="s">
        <v>3</v>
      </c>
      <c r="C235" s="368"/>
      <c r="D235" s="368"/>
      <c r="E235" s="368"/>
      <c r="F235" s="368"/>
      <c r="G235" s="368"/>
      <c r="H235" s="368"/>
      <c r="I235" s="368"/>
      <c r="J235" s="368"/>
      <c r="K235" s="369"/>
      <c r="L235" s="132"/>
      <c r="M235" s="132"/>
      <c r="N235" s="132"/>
      <c r="O235" s="132"/>
      <c r="P235" s="132"/>
    </row>
    <row r="236" spans="1:17">
      <c r="A236" s="366"/>
      <c r="B236" s="133"/>
      <c r="C236" s="365" t="s">
        <v>4</v>
      </c>
      <c r="D236" s="366"/>
      <c r="E236" s="366"/>
      <c r="F236" s="366"/>
      <c r="G236" s="365" t="s">
        <v>5</v>
      </c>
      <c r="H236" s="366"/>
      <c r="I236" s="366"/>
      <c r="J236" s="366"/>
      <c r="K236" s="134" t="s">
        <v>6</v>
      </c>
      <c r="L236" s="132"/>
      <c r="M236" s="132"/>
      <c r="N236" s="132"/>
      <c r="O236" s="132"/>
      <c r="P236" s="132"/>
    </row>
    <row r="237" spans="1:17">
      <c r="A237" s="362" t="s">
        <v>28</v>
      </c>
      <c r="B237" s="135" t="s">
        <v>8</v>
      </c>
      <c r="C237" s="136" t="s">
        <v>9</v>
      </c>
      <c r="D237" s="136" t="s">
        <v>10</v>
      </c>
      <c r="E237" s="136" t="s">
        <v>11</v>
      </c>
      <c r="F237" s="136" t="s">
        <v>6</v>
      </c>
      <c r="G237" s="136" t="s">
        <v>9</v>
      </c>
      <c r="H237" s="136" t="s">
        <v>10</v>
      </c>
      <c r="I237" s="136" t="s">
        <v>11</v>
      </c>
      <c r="J237" s="136" t="s">
        <v>6</v>
      </c>
      <c r="K237" s="136" t="s">
        <v>6</v>
      </c>
      <c r="L237" s="132"/>
      <c r="M237" s="132"/>
      <c r="N237" s="132"/>
      <c r="O237" s="132"/>
      <c r="P237" s="132"/>
    </row>
    <row r="238" spans="1:17">
      <c r="A238" s="363"/>
      <c r="B238" s="137" t="s">
        <v>12</v>
      </c>
      <c r="C238" s="138">
        <v>0</v>
      </c>
      <c r="D238" s="138">
        <v>0</v>
      </c>
      <c r="E238" s="138">
        <v>0</v>
      </c>
      <c r="F238" s="139">
        <f t="shared" ref="F238:F247" si="64">SUM(C238:E238)</f>
        <v>0</v>
      </c>
      <c r="G238" s="138">
        <v>0</v>
      </c>
      <c r="H238" s="138">
        <v>0</v>
      </c>
      <c r="I238" s="138">
        <v>0</v>
      </c>
      <c r="J238" s="139">
        <f>SUM(G238:I238)</f>
        <v>0</v>
      </c>
      <c r="K238" s="139">
        <f>SUM(J238,F238)</f>
        <v>0</v>
      </c>
      <c r="L238" s="132"/>
      <c r="M238" s="132"/>
      <c r="N238" s="132"/>
      <c r="O238" s="132"/>
      <c r="P238" s="132"/>
    </row>
    <row r="239" spans="1:17">
      <c r="A239" s="363"/>
      <c r="B239" s="135" t="s">
        <v>13</v>
      </c>
      <c r="C239" s="138">
        <v>0</v>
      </c>
      <c r="D239" s="138">
        <v>0</v>
      </c>
      <c r="E239" s="138">
        <v>0</v>
      </c>
      <c r="F239" s="139">
        <f t="shared" si="64"/>
        <v>0</v>
      </c>
      <c r="G239" s="138">
        <v>0</v>
      </c>
      <c r="H239" s="138">
        <v>0</v>
      </c>
      <c r="I239" s="138">
        <v>0</v>
      </c>
      <c r="J239" s="139">
        <f>SUM(G239:I239)</f>
        <v>0</v>
      </c>
      <c r="K239" s="139">
        <f>SUM(J239,F239)</f>
        <v>0</v>
      </c>
      <c r="L239" s="132"/>
      <c r="M239" s="132"/>
      <c r="N239" s="132"/>
      <c r="O239" s="132"/>
      <c r="P239" s="132"/>
    </row>
    <row r="240" spans="1:17">
      <c r="A240" s="363"/>
      <c r="B240" s="135" t="s">
        <v>14</v>
      </c>
      <c r="C240" s="138">
        <v>0</v>
      </c>
      <c r="D240" s="138">
        <v>0</v>
      </c>
      <c r="E240" s="138">
        <v>0</v>
      </c>
      <c r="F240" s="139">
        <f t="shared" si="64"/>
        <v>0</v>
      </c>
      <c r="G240" s="138">
        <v>0</v>
      </c>
      <c r="H240" s="138">
        <v>0</v>
      </c>
      <c r="I240" s="138">
        <v>0</v>
      </c>
      <c r="J240" s="139">
        <f>SUM(G240:I240)</f>
        <v>0</v>
      </c>
      <c r="K240" s="139">
        <f>SUM(J240,F240)</f>
        <v>0</v>
      </c>
      <c r="L240" s="132"/>
      <c r="M240" s="132"/>
      <c r="N240" s="132"/>
      <c r="O240" s="132"/>
      <c r="P240" s="132"/>
    </row>
    <row r="241" spans="1:16" ht="21" thickBot="1">
      <c r="A241" s="363"/>
      <c r="B241" s="140" t="s">
        <v>6</v>
      </c>
      <c r="C241" s="141">
        <f>SUM(C239:C240)</f>
        <v>0</v>
      </c>
      <c r="D241" s="141">
        <f>SUM(D239:D240)</f>
        <v>0</v>
      </c>
      <c r="E241" s="141">
        <f>SUM(E239:E240)</f>
        <v>0</v>
      </c>
      <c r="F241" s="141">
        <f t="shared" si="64"/>
        <v>0</v>
      </c>
      <c r="G241" s="141">
        <f>SUM(G239:G240)</f>
        <v>0</v>
      </c>
      <c r="H241" s="141">
        <f>SUM(H239:H240)</f>
        <v>0</v>
      </c>
      <c r="I241" s="141">
        <f>SUM(I239:I240)</f>
        <v>0</v>
      </c>
      <c r="J241" s="141">
        <f>SUM(J239:J240)</f>
        <v>0</v>
      </c>
      <c r="K241" s="141">
        <f>SUM(K239:K240)</f>
        <v>0</v>
      </c>
      <c r="L241" s="132"/>
      <c r="M241" s="132"/>
      <c r="N241" s="132"/>
      <c r="O241" s="132"/>
      <c r="P241" s="132"/>
    </row>
    <row r="242" spans="1:16" ht="21" thickTop="1">
      <c r="A242" s="363"/>
      <c r="B242" s="142" t="s">
        <v>15</v>
      </c>
      <c r="C242" s="138">
        <v>0</v>
      </c>
      <c r="D242" s="138">
        <v>0</v>
      </c>
      <c r="E242" s="138">
        <v>0</v>
      </c>
      <c r="F242" s="139">
        <f t="shared" si="64"/>
        <v>0</v>
      </c>
      <c r="G242" s="143">
        <v>0</v>
      </c>
      <c r="H242" s="138">
        <v>0</v>
      </c>
      <c r="I242" s="143">
        <v>0</v>
      </c>
      <c r="J242" s="139">
        <f t="shared" ref="J242:J247" si="65">SUM(G242:I242)</f>
        <v>0</v>
      </c>
      <c r="K242" s="139">
        <f t="shared" ref="K242:K247" si="66">SUM(J242,F242)</f>
        <v>0</v>
      </c>
      <c r="L242" s="132"/>
      <c r="M242" s="132"/>
      <c r="N242" s="132"/>
      <c r="O242" s="132"/>
      <c r="P242" s="132"/>
    </row>
    <row r="243" spans="1:16">
      <c r="A243" s="363"/>
      <c r="B243" s="135" t="s">
        <v>16</v>
      </c>
      <c r="C243" s="138">
        <v>0</v>
      </c>
      <c r="D243" s="138">
        <v>0</v>
      </c>
      <c r="E243" s="138">
        <v>0</v>
      </c>
      <c r="F243" s="139">
        <f t="shared" si="64"/>
        <v>0</v>
      </c>
      <c r="G243" s="138">
        <v>0</v>
      </c>
      <c r="H243" s="138">
        <v>0</v>
      </c>
      <c r="I243" s="138">
        <v>0</v>
      </c>
      <c r="J243" s="139">
        <f t="shared" si="65"/>
        <v>0</v>
      </c>
      <c r="K243" s="139">
        <f t="shared" si="66"/>
        <v>0</v>
      </c>
      <c r="L243" s="132"/>
      <c r="M243" s="132"/>
      <c r="N243" s="132"/>
      <c r="O243" s="132"/>
      <c r="P243" s="132"/>
    </row>
    <row r="244" spans="1:16">
      <c r="A244" s="363"/>
      <c r="B244" s="135" t="s">
        <v>17</v>
      </c>
      <c r="C244" s="138">
        <v>0</v>
      </c>
      <c r="D244" s="138">
        <v>0</v>
      </c>
      <c r="E244" s="138">
        <v>0</v>
      </c>
      <c r="F244" s="139">
        <f t="shared" si="64"/>
        <v>0</v>
      </c>
      <c r="G244" s="138">
        <v>0</v>
      </c>
      <c r="H244" s="138">
        <v>0</v>
      </c>
      <c r="I244" s="138">
        <v>0</v>
      </c>
      <c r="J244" s="139">
        <f t="shared" si="65"/>
        <v>0</v>
      </c>
      <c r="K244" s="139">
        <f t="shared" si="66"/>
        <v>0</v>
      </c>
      <c r="L244" s="132"/>
      <c r="M244" s="132"/>
      <c r="N244" s="132"/>
      <c r="O244" s="132"/>
      <c r="P244" s="132"/>
    </row>
    <row r="245" spans="1:16">
      <c r="A245" s="363"/>
      <c r="B245" s="135" t="s">
        <v>18</v>
      </c>
      <c r="C245" s="138">
        <v>0</v>
      </c>
      <c r="D245" s="138">
        <v>0</v>
      </c>
      <c r="E245" s="138">
        <v>0</v>
      </c>
      <c r="F245" s="139">
        <f t="shared" si="64"/>
        <v>0</v>
      </c>
      <c r="G245" s="138">
        <v>0</v>
      </c>
      <c r="H245" s="138">
        <v>0</v>
      </c>
      <c r="I245" s="138">
        <v>0</v>
      </c>
      <c r="J245" s="139">
        <f t="shared" si="65"/>
        <v>0</v>
      </c>
      <c r="K245" s="139">
        <f t="shared" si="66"/>
        <v>0</v>
      </c>
      <c r="L245" s="132"/>
      <c r="M245" s="132"/>
      <c r="N245" s="132"/>
      <c r="O245" s="132"/>
      <c r="P245" s="132"/>
    </row>
    <row r="246" spans="1:16" ht="31.5">
      <c r="A246" s="363"/>
      <c r="B246" s="195" t="s">
        <v>86</v>
      </c>
      <c r="C246" s="138">
        <v>0</v>
      </c>
      <c r="D246" s="138">
        <v>0</v>
      </c>
      <c r="E246" s="138">
        <v>0</v>
      </c>
      <c r="F246" s="139">
        <f t="shared" si="64"/>
        <v>0</v>
      </c>
      <c r="G246" s="138">
        <v>0</v>
      </c>
      <c r="H246" s="138">
        <v>0</v>
      </c>
      <c r="I246" s="138">
        <v>0</v>
      </c>
      <c r="J246" s="139">
        <f t="shared" si="65"/>
        <v>0</v>
      </c>
      <c r="K246" s="139">
        <f t="shared" si="66"/>
        <v>0</v>
      </c>
      <c r="L246" s="132"/>
      <c r="M246" s="132"/>
      <c r="N246" s="132"/>
      <c r="O246" s="132"/>
      <c r="P246" s="132"/>
    </row>
    <row r="247" spans="1:16">
      <c r="A247" s="363"/>
      <c r="B247" s="135" t="s">
        <v>19</v>
      </c>
      <c r="C247" s="138">
        <v>0</v>
      </c>
      <c r="D247" s="138">
        <v>0</v>
      </c>
      <c r="E247" s="138">
        <v>0</v>
      </c>
      <c r="F247" s="139">
        <f t="shared" si="64"/>
        <v>0</v>
      </c>
      <c r="G247" s="138">
        <v>0</v>
      </c>
      <c r="H247" s="138">
        <v>0</v>
      </c>
      <c r="I247" s="138">
        <v>0</v>
      </c>
      <c r="J247" s="139">
        <f t="shared" si="65"/>
        <v>0</v>
      </c>
      <c r="K247" s="139">
        <f t="shared" si="66"/>
        <v>0</v>
      </c>
      <c r="L247" s="132"/>
      <c r="M247" s="132"/>
      <c r="N247" s="132"/>
      <c r="O247" s="132"/>
      <c r="P247" s="132"/>
    </row>
    <row r="248" spans="1:16" ht="21" thickBot="1">
      <c r="A248" s="364"/>
      <c r="B248" s="144" t="s">
        <v>6</v>
      </c>
      <c r="C248" s="141">
        <f>SUM(C241:C247)</f>
        <v>0</v>
      </c>
      <c r="D248" s="141">
        <f t="shared" ref="D248:K248" si="67">SUM(D241:D247)</f>
        <v>0</v>
      </c>
      <c r="E248" s="141">
        <f t="shared" si="67"/>
        <v>0</v>
      </c>
      <c r="F248" s="141">
        <f t="shared" si="67"/>
        <v>0</v>
      </c>
      <c r="G248" s="141">
        <f t="shared" si="67"/>
        <v>0</v>
      </c>
      <c r="H248" s="141">
        <f t="shared" si="67"/>
        <v>0</v>
      </c>
      <c r="I248" s="141">
        <f t="shared" si="67"/>
        <v>0</v>
      </c>
      <c r="J248" s="141">
        <f t="shared" si="67"/>
        <v>0</v>
      </c>
      <c r="K248" s="141">
        <f t="shared" si="67"/>
        <v>0</v>
      </c>
      <c r="L248" s="132"/>
      <c r="M248" s="132"/>
      <c r="N248" s="132"/>
      <c r="O248" s="132"/>
      <c r="P248" s="132"/>
    </row>
    <row r="249" spans="1:16" ht="17.25" customHeight="1" thickTop="1">
      <c r="A249" s="132"/>
      <c r="B249" s="132"/>
      <c r="C249" s="132"/>
      <c r="D249" s="132"/>
      <c r="E249" s="132"/>
      <c r="F249" s="132"/>
      <c r="G249" s="132"/>
      <c r="H249" s="132"/>
      <c r="I249" s="132"/>
      <c r="J249" s="132"/>
      <c r="K249" s="132"/>
      <c r="L249" s="132"/>
      <c r="M249" s="132"/>
      <c r="N249" s="132"/>
      <c r="O249" s="132"/>
      <c r="P249" s="132"/>
    </row>
    <row r="250" spans="1:16">
      <c r="A250" s="365" t="s">
        <v>2</v>
      </c>
      <c r="B250" s="367" t="s">
        <v>20</v>
      </c>
      <c r="C250" s="368"/>
      <c r="D250" s="368"/>
      <c r="E250" s="368"/>
      <c r="F250" s="368"/>
      <c r="G250" s="368"/>
      <c r="H250" s="368"/>
      <c r="I250" s="368"/>
      <c r="J250" s="368"/>
      <c r="K250" s="369"/>
      <c r="L250" s="132"/>
      <c r="M250" s="370" t="s">
        <v>21</v>
      </c>
      <c r="N250" s="371"/>
      <c r="O250" s="371"/>
      <c r="P250" s="372"/>
    </row>
    <row r="251" spans="1:16" ht="21" thickBot="1">
      <c r="A251" s="366"/>
      <c r="B251" s="133"/>
      <c r="C251" s="365" t="s">
        <v>4</v>
      </c>
      <c r="D251" s="366"/>
      <c r="E251" s="366"/>
      <c r="F251" s="366"/>
      <c r="G251" s="365" t="s">
        <v>5</v>
      </c>
      <c r="H251" s="366"/>
      <c r="I251" s="366"/>
      <c r="J251" s="366"/>
      <c r="K251" s="134" t="s">
        <v>6</v>
      </c>
      <c r="L251" s="132"/>
      <c r="M251" s="135" t="s">
        <v>8</v>
      </c>
      <c r="N251" s="135" t="s">
        <v>3</v>
      </c>
      <c r="O251" s="135" t="s">
        <v>20</v>
      </c>
      <c r="P251" s="144" t="s">
        <v>6</v>
      </c>
    </row>
    <row r="252" spans="1:16" ht="21" customHeight="1" thickTop="1">
      <c r="A252" s="362" t="s">
        <v>28</v>
      </c>
      <c r="B252" s="135" t="s">
        <v>8</v>
      </c>
      <c r="C252" s="136" t="s">
        <v>9</v>
      </c>
      <c r="D252" s="136" t="s">
        <v>10</v>
      </c>
      <c r="E252" s="136" t="s">
        <v>11</v>
      </c>
      <c r="F252" s="136" t="s">
        <v>6</v>
      </c>
      <c r="G252" s="136" t="s">
        <v>9</v>
      </c>
      <c r="H252" s="136" t="s">
        <v>10</v>
      </c>
      <c r="I252" s="136" t="s">
        <v>11</v>
      </c>
      <c r="J252" s="136" t="s">
        <v>6</v>
      </c>
      <c r="K252" s="136" t="s">
        <v>6</v>
      </c>
      <c r="L252" s="132"/>
      <c r="M252" s="137" t="s">
        <v>12</v>
      </c>
      <c r="N252" s="145">
        <f>K238</f>
        <v>0</v>
      </c>
      <c r="O252" s="145">
        <f>K253</f>
        <v>0</v>
      </c>
      <c r="P252" s="146">
        <f>SUM(N252:O252)</f>
        <v>0</v>
      </c>
    </row>
    <row r="253" spans="1:16">
      <c r="A253" s="363"/>
      <c r="B253" s="137" t="s">
        <v>12</v>
      </c>
      <c r="C253" s="138">
        <v>0</v>
      </c>
      <c r="D253" s="138">
        <v>0</v>
      </c>
      <c r="E253" s="138">
        <v>0</v>
      </c>
      <c r="F253" s="139">
        <f t="shared" ref="F253:F262" si="68">SUM(C253:E253)</f>
        <v>0</v>
      </c>
      <c r="G253" s="138">
        <v>0</v>
      </c>
      <c r="H253" s="138">
        <v>0</v>
      </c>
      <c r="I253" s="138">
        <v>0</v>
      </c>
      <c r="J253" s="139">
        <f>SUM(G253:I253)</f>
        <v>0</v>
      </c>
      <c r="K253" s="139">
        <f>SUM(J253,F253)</f>
        <v>0</v>
      </c>
      <c r="L253" s="132"/>
      <c r="M253" s="135" t="s">
        <v>13</v>
      </c>
      <c r="N253" s="145">
        <f>K239</f>
        <v>0</v>
      </c>
      <c r="O253" s="145">
        <f>K254</f>
        <v>0</v>
      </c>
      <c r="P253" s="146">
        <f t="shared" ref="P253:P261" si="69">SUM(N253:O253)</f>
        <v>0</v>
      </c>
    </row>
    <row r="254" spans="1:16">
      <c r="A254" s="363"/>
      <c r="B254" s="135" t="s">
        <v>13</v>
      </c>
      <c r="C254" s="138">
        <v>0</v>
      </c>
      <c r="D254" s="138">
        <v>0</v>
      </c>
      <c r="E254" s="138">
        <v>0</v>
      </c>
      <c r="F254" s="139">
        <f t="shared" si="68"/>
        <v>0</v>
      </c>
      <c r="G254" s="138">
        <v>0</v>
      </c>
      <c r="H254" s="138">
        <v>0</v>
      </c>
      <c r="I254" s="138">
        <v>0</v>
      </c>
      <c r="J254" s="139">
        <f>SUM(G254:I254)</f>
        <v>0</v>
      </c>
      <c r="K254" s="139">
        <f>SUM(J254,F254)</f>
        <v>0</v>
      </c>
      <c r="L254" s="132"/>
      <c r="M254" s="135" t="s">
        <v>14</v>
      </c>
      <c r="N254" s="145">
        <f>K240</f>
        <v>0</v>
      </c>
      <c r="O254" s="145">
        <f>K255</f>
        <v>0</v>
      </c>
      <c r="P254" s="146">
        <f t="shared" si="69"/>
        <v>0</v>
      </c>
    </row>
    <row r="255" spans="1:16" ht="21" thickBot="1">
      <c r="A255" s="363"/>
      <c r="B255" s="135" t="s">
        <v>14</v>
      </c>
      <c r="C255" s="138">
        <v>0</v>
      </c>
      <c r="D255" s="138">
        <v>0</v>
      </c>
      <c r="E255" s="138">
        <v>0</v>
      </c>
      <c r="F255" s="139">
        <f t="shared" si="68"/>
        <v>0</v>
      </c>
      <c r="G255" s="138">
        <v>0</v>
      </c>
      <c r="H255" s="138">
        <v>0</v>
      </c>
      <c r="I255" s="138">
        <v>0</v>
      </c>
      <c r="J255" s="139">
        <f>SUM(G255:I255)</f>
        <v>0</v>
      </c>
      <c r="K255" s="139">
        <f>SUM(J255,F255)</f>
        <v>0</v>
      </c>
      <c r="L255" s="132"/>
      <c r="M255" s="140" t="s">
        <v>6</v>
      </c>
      <c r="N255" s="147">
        <f>K241</f>
        <v>0</v>
      </c>
      <c r="O255" s="147">
        <f>K256</f>
        <v>0</v>
      </c>
      <c r="P255" s="147">
        <f t="shared" si="69"/>
        <v>0</v>
      </c>
    </row>
    <row r="256" spans="1:16" ht="21.75" thickTop="1" thickBot="1">
      <c r="A256" s="363"/>
      <c r="B256" s="140" t="s">
        <v>6</v>
      </c>
      <c r="C256" s="141">
        <f>SUM(C254:C255)</f>
        <v>0</v>
      </c>
      <c r="D256" s="141">
        <f>SUM(D254:D255)</f>
        <v>0</v>
      </c>
      <c r="E256" s="141">
        <f>SUM(E254:E255)</f>
        <v>0</v>
      </c>
      <c r="F256" s="141">
        <f t="shared" si="68"/>
        <v>0</v>
      </c>
      <c r="G256" s="141">
        <f>SUM(G254:G255)</f>
        <v>0</v>
      </c>
      <c r="H256" s="141">
        <f>SUM(H254:H255)</f>
        <v>0</v>
      </c>
      <c r="I256" s="141">
        <f>SUM(I254:I255)</f>
        <v>0</v>
      </c>
      <c r="J256" s="141">
        <f>SUM(J254:J255)</f>
        <v>0</v>
      </c>
      <c r="K256" s="141">
        <f>SUM(K254:K255)</f>
        <v>0</v>
      </c>
      <c r="L256" s="132"/>
      <c r="M256" s="142" t="s">
        <v>16</v>
      </c>
      <c r="N256" s="148">
        <f>K243</f>
        <v>0</v>
      </c>
      <c r="O256" s="148">
        <f>K258</f>
        <v>0</v>
      </c>
      <c r="P256" s="149">
        <f t="shared" si="69"/>
        <v>0</v>
      </c>
    </row>
    <row r="257" spans="1:17" ht="21" thickTop="1">
      <c r="A257" s="363"/>
      <c r="B257" s="142" t="s">
        <v>15</v>
      </c>
      <c r="C257" s="138">
        <v>0</v>
      </c>
      <c r="D257" s="138">
        <v>0</v>
      </c>
      <c r="E257" s="138">
        <v>0</v>
      </c>
      <c r="F257" s="139">
        <f t="shared" si="68"/>
        <v>0</v>
      </c>
      <c r="G257" s="143">
        <v>0</v>
      </c>
      <c r="H257" s="138">
        <v>0</v>
      </c>
      <c r="I257" s="143">
        <v>0</v>
      </c>
      <c r="J257" s="139">
        <f t="shared" ref="J257:J262" si="70">SUM(G257:I257)</f>
        <v>0</v>
      </c>
      <c r="K257" s="139">
        <f t="shared" ref="K257:K262" si="71">SUM(J257,F257)</f>
        <v>0</v>
      </c>
      <c r="L257" s="132"/>
      <c r="M257" s="142" t="s">
        <v>15</v>
      </c>
      <c r="N257" s="145">
        <f>$K$11</f>
        <v>0</v>
      </c>
      <c r="O257" s="145">
        <f>SUM(K257)</f>
        <v>0</v>
      </c>
      <c r="P257" s="149">
        <f t="shared" si="69"/>
        <v>0</v>
      </c>
    </row>
    <row r="258" spans="1:17">
      <c r="A258" s="363"/>
      <c r="B258" s="135" t="s">
        <v>16</v>
      </c>
      <c r="C258" s="138">
        <v>0</v>
      </c>
      <c r="D258" s="138">
        <v>0</v>
      </c>
      <c r="E258" s="138">
        <v>0</v>
      </c>
      <c r="F258" s="139">
        <f t="shared" si="68"/>
        <v>0</v>
      </c>
      <c r="G258" s="138">
        <v>0</v>
      </c>
      <c r="H258" s="138">
        <v>0</v>
      </c>
      <c r="I258" s="138">
        <v>0</v>
      </c>
      <c r="J258" s="139">
        <f t="shared" si="70"/>
        <v>0</v>
      </c>
      <c r="K258" s="139">
        <f t="shared" si="71"/>
        <v>0</v>
      </c>
      <c r="L258" s="132"/>
      <c r="M258" s="135" t="s">
        <v>17</v>
      </c>
      <c r="N258" s="145">
        <f>K244</f>
        <v>0</v>
      </c>
      <c r="O258" s="145">
        <f>K259</f>
        <v>0</v>
      </c>
      <c r="P258" s="146">
        <f t="shared" si="69"/>
        <v>0</v>
      </c>
    </row>
    <row r="259" spans="1:17">
      <c r="A259" s="363"/>
      <c r="B259" s="135" t="s">
        <v>17</v>
      </c>
      <c r="C259" s="138">
        <v>0</v>
      </c>
      <c r="D259" s="138">
        <v>0</v>
      </c>
      <c r="E259" s="138">
        <v>0</v>
      </c>
      <c r="F259" s="139">
        <f t="shared" si="68"/>
        <v>0</v>
      </c>
      <c r="G259" s="138">
        <v>0</v>
      </c>
      <c r="H259" s="138">
        <v>0</v>
      </c>
      <c r="I259" s="138">
        <v>0</v>
      </c>
      <c r="J259" s="139">
        <f t="shared" si="70"/>
        <v>0</v>
      </c>
      <c r="K259" s="139">
        <f t="shared" si="71"/>
        <v>0</v>
      </c>
      <c r="L259" s="132"/>
      <c r="M259" s="135" t="s">
        <v>18</v>
      </c>
      <c r="N259" s="145">
        <f>K245</f>
        <v>0</v>
      </c>
      <c r="O259" s="145">
        <f>K260</f>
        <v>0</v>
      </c>
      <c r="P259" s="146">
        <f t="shared" si="69"/>
        <v>0</v>
      </c>
    </row>
    <row r="260" spans="1:17" ht="35.25" customHeight="1">
      <c r="A260" s="363"/>
      <c r="B260" s="135" t="s">
        <v>18</v>
      </c>
      <c r="C260" s="138">
        <v>0</v>
      </c>
      <c r="D260" s="138">
        <v>0</v>
      </c>
      <c r="E260" s="138">
        <v>0</v>
      </c>
      <c r="F260" s="139">
        <f t="shared" si="68"/>
        <v>0</v>
      </c>
      <c r="G260" s="138">
        <v>0</v>
      </c>
      <c r="H260" s="138">
        <v>0</v>
      </c>
      <c r="I260" s="138">
        <v>0</v>
      </c>
      <c r="J260" s="139">
        <f t="shared" si="70"/>
        <v>0</v>
      </c>
      <c r="K260" s="139">
        <f t="shared" si="71"/>
        <v>0</v>
      </c>
      <c r="L260" s="132"/>
      <c r="M260" s="195" t="s">
        <v>86</v>
      </c>
      <c r="N260" s="138">
        <f>K246</f>
        <v>0</v>
      </c>
      <c r="O260" s="138">
        <f>K261</f>
        <v>0</v>
      </c>
      <c r="P260" s="139">
        <f t="shared" si="69"/>
        <v>0</v>
      </c>
    </row>
    <row r="261" spans="1:17" ht="31.5">
      <c r="A261" s="363"/>
      <c r="B261" s="195" t="s">
        <v>86</v>
      </c>
      <c r="C261" s="138">
        <v>0</v>
      </c>
      <c r="D261" s="138">
        <v>0</v>
      </c>
      <c r="E261" s="138">
        <v>0</v>
      </c>
      <c r="F261" s="139">
        <f t="shared" si="68"/>
        <v>0</v>
      </c>
      <c r="G261" s="138">
        <v>0</v>
      </c>
      <c r="H261" s="138">
        <v>0</v>
      </c>
      <c r="I261" s="138">
        <v>0</v>
      </c>
      <c r="J261" s="139">
        <f t="shared" si="70"/>
        <v>0</v>
      </c>
      <c r="K261" s="139">
        <f t="shared" si="71"/>
        <v>0</v>
      </c>
      <c r="L261" s="132"/>
      <c r="M261" s="135" t="s">
        <v>19</v>
      </c>
      <c r="N261" s="138">
        <f>K247</f>
        <v>0</v>
      </c>
      <c r="O261" s="138">
        <f>K262</f>
        <v>0</v>
      </c>
      <c r="P261" s="139">
        <f t="shared" si="69"/>
        <v>0</v>
      </c>
    </row>
    <row r="262" spans="1:17" ht="21" thickBot="1">
      <c r="A262" s="363"/>
      <c r="B262" s="135" t="s">
        <v>19</v>
      </c>
      <c r="C262" s="138">
        <v>0</v>
      </c>
      <c r="D262" s="138">
        <v>0</v>
      </c>
      <c r="E262" s="138">
        <v>0</v>
      </c>
      <c r="F262" s="139">
        <f t="shared" si="68"/>
        <v>0</v>
      </c>
      <c r="G262" s="138">
        <v>0</v>
      </c>
      <c r="H262" s="138">
        <v>0</v>
      </c>
      <c r="I262" s="138">
        <v>0</v>
      </c>
      <c r="J262" s="139">
        <f t="shared" si="70"/>
        <v>0</v>
      </c>
      <c r="K262" s="139">
        <f t="shared" si="71"/>
        <v>0</v>
      </c>
      <c r="L262" s="132"/>
      <c r="M262" s="144" t="s">
        <v>6</v>
      </c>
      <c r="N262" s="147">
        <f>SUM(N255:N261)</f>
        <v>0</v>
      </c>
      <c r="O262" s="147">
        <f>SUM(O255:O261)</f>
        <v>0</v>
      </c>
      <c r="P262" s="147">
        <f>SUM(P255:P261)</f>
        <v>0</v>
      </c>
    </row>
    <row r="263" spans="1:17" ht="21.75" thickTop="1" thickBot="1">
      <c r="A263" s="364"/>
      <c r="B263" s="144" t="s">
        <v>6</v>
      </c>
      <c r="C263" s="141">
        <f>SUM(C256:C262)</f>
        <v>0</v>
      </c>
      <c r="D263" s="141">
        <f t="shared" ref="D263:K263" si="72">SUM(D256:D262)</f>
        <v>0</v>
      </c>
      <c r="E263" s="141">
        <f t="shared" si="72"/>
        <v>0</v>
      </c>
      <c r="F263" s="141">
        <f t="shared" si="72"/>
        <v>0</v>
      </c>
      <c r="G263" s="141">
        <f t="shared" si="72"/>
        <v>0</v>
      </c>
      <c r="H263" s="141">
        <f t="shared" si="72"/>
        <v>0</v>
      </c>
      <c r="I263" s="141">
        <f t="shared" si="72"/>
        <v>0</v>
      </c>
      <c r="J263" s="141">
        <f t="shared" si="72"/>
        <v>0</v>
      </c>
      <c r="K263" s="141">
        <f t="shared" si="72"/>
        <v>0</v>
      </c>
      <c r="L263" s="132"/>
      <c r="M263" s="150"/>
      <c r="N263" s="150"/>
      <c r="O263" s="150"/>
      <c r="P263" s="150"/>
    </row>
    <row r="264" spans="1:17" ht="21" thickTop="1">
      <c r="A264" s="151"/>
      <c r="B264" s="152"/>
      <c r="C264" s="153"/>
      <c r="D264" s="153"/>
      <c r="E264" s="153"/>
      <c r="F264" s="153"/>
      <c r="G264" s="153"/>
      <c r="H264" s="153"/>
      <c r="I264" s="153"/>
      <c r="J264" s="153"/>
      <c r="K264" s="153"/>
      <c r="L264" s="132"/>
      <c r="M264" s="150"/>
      <c r="N264" s="150"/>
      <c r="O264" s="150"/>
      <c r="P264" s="150"/>
    </row>
    <row r="265" spans="1:17">
      <c r="A265" s="358" t="s">
        <v>124</v>
      </c>
      <c r="B265" s="359"/>
      <c r="C265" s="359"/>
      <c r="D265" s="359"/>
      <c r="E265" s="359"/>
      <c r="F265" s="359"/>
      <c r="G265" s="359"/>
      <c r="H265" s="359"/>
      <c r="I265" s="359"/>
      <c r="J265" s="359"/>
      <c r="K265" s="359"/>
      <c r="L265" s="359"/>
      <c r="M265" s="359"/>
      <c r="N265" s="359"/>
      <c r="O265" s="359"/>
      <c r="P265" s="359"/>
    </row>
    <row r="266" spans="1:17" ht="24" customHeight="1">
      <c r="A266" s="360" t="s">
        <v>31</v>
      </c>
      <c r="B266" s="361"/>
      <c r="C266" s="361"/>
      <c r="D266" s="361"/>
      <c r="E266" s="361"/>
      <c r="F266" s="361"/>
      <c r="G266" s="361"/>
      <c r="H266" s="361"/>
      <c r="I266" s="361"/>
      <c r="J266" s="361"/>
      <c r="K266" s="361"/>
      <c r="L266" s="361"/>
      <c r="M266" s="361"/>
      <c r="N266" s="361"/>
      <c r="O266" s="361"/>
      <c r="P266" s="361"/>
      <c r="Q266" s="30"/>
    </row>
    <row r="267" spans="1:17" ht="15.75" customHeight="1">
      <c r="A267" s="343" t="s">
        <v>1</v>
      </c>
      <c r="B267" s="344"/>
      <c r="C267" s="344"/>
      <c r="D267" s="344"/>
      <c r="E267" s="344"/>
      <c r="F267" s="344"/>
      <c r="G267" s="344"/>
      <c r="H267" s="344"/>
      <c r="I267" s="344"/>
      <c r="J267" s="344"/>
      <c r="K267" s="344"/>
    </row>
    <row r="268" spans="1:17" ht="16.5" customHeight="1">
      <c r="A268" s="350" t="s">
        <v>29</v>
      </c>
      <c r="B268" s="352" t="s">
        <v>3</v>
      </c>
      <c r="C268" s="353"/>
      <c r="D268" s="353"/>
      <c r="E268" s="353"/>
      <c r="F268" s="353"/>
      <c r="G268" s="353"/>
      <c r="H268" s="353"/>
      <c r="I268" s="353"/>
      <c r="J268" s="353"/>
      <c r="K268" s="354"/>
    </row>
    <row r="269" spans="1:17">
      <c r="A269" s="351"/>
      <c r="B269" s="32"/>
      <c r="C269" s="350" t="s">
        <v>4</v>
      </c>
      <c r="D269" s="351"/>
      <c r="E269" s="351"/>
      <c r="F269" s="351"/>
      <c r="G269" s="350" t="s">
        <v>5</v>
      </c>
      <c r="H269" s="351"/>
      <c r="I269" s="351"/>
      <c r="J269" s="351"/>
      <c r="K269" s="31" t="s">
        <v>6</v>
      </c>
    </row>
    <row r="270" spans="1:17" ht="18.75" customHeight="1">
      <c r="A270" s="347" t="s">
        <v>30</v>
      </c>
      <c r="B270" s="33" t="s">
        <v>8</v>
      </c>
      <c r="C270" s="34" t="s">
        <v>9</v>
      </c>
      <c r="D270" s="34" t="s">
        <v>10</v>
      </c>
      <c r="E270" s="34" t="s">
        <v>11</v>
      </c>
      <c r="F270" s="34" t="s">
        <v>6</v>
      </c>
      <c r="G270" s="34" t="s">
        <v>9</v>
      </c>
      <c r="H270" s="34" t="s">
        <v>10</v>
      </c>
      <c r="I270" s="34" t="s">
        <v>11</v>
      </c>
      <c r="J270" s="34" t="s">
        <v>6</v>
      </c>
      <c r="K270" s="34" t="s">
        <v>6</v>
      </c>
    </row>
    <row r="271" spans="1:17">
      <c r="A271" s="348"/>
      <c r="B271" s="35" t="s">
        <v>12</v>
      </c>
      <c r="C271" s="12">
        <f t="shared" ref="C271:E273" si="73">SUM(C7+C40+C73+C106+C139+C172+C205+C238)</f>
        <v>0</v>
      </c>
      <c r="D271" s="12">
        <f t="shared" si="73"/>
        <v>855</v>
      </c>
      <c r="E271" s="12">
        <f t="shared" si="73"/>
        <v>1068</v>
      </c>
      <c r="F271" s="3">
        <f>SUM(C271:E271)</f>
        <v>1923</v>
      </c>
      <c r="G271" s="12">
        <f>SUM(G7+G40+G73+G106+G139+G172+G205+G238)</f>
        <v>0</v>
      </c>
      <c r="H271" s="12">
        <f>SUM(H7+H40+H73+H106+H139+H172+H205+H238)</f>
        <v>159</v>
      </c>
      <c r="I271" s="12">
        <f>SUM(I7+I40+I73+I106+I139+I172+I205+I238)</f>
        <v>287</v>
      </c>
      <c r="J271" s="3">
        <f>SUM(G271:I271)</f>
        <v>446</v>
      </c>
      <c r="K271" s="3">
        <f>SUM(J271,F271)</f>
        <v>2369</v>
      </c>
    </row>
    <row r="272" spans="1:17">
      <c r="A272" s="348"/>
      <c r="B272" s="33" t="s">
        <v>13</v>
      </c>
      <c r="C272" s="12">
        <f t="shared" si="73"/>
        <v>0</v>
      </c>
      <c r="D272" s="12">
        <f t="shared" si="73"/>
        <v>408148</v>
      </c>
      <c r="E272" s="12">
        <f t="shared" si="73"/>
        <v>194261</v>
      </c>
      <c r="F272" s="3">
        <f t="shared" ref="F272:F280" si="74">SUM(C272:E272)</f>
        <v>602409</v>
      </c>
      <c r="G272" s="12">
        <f t="shared" ref="G272:I273" si="75">SUM(G8+G41+G74+G107+G140+G173+G206+G239)</f>
        <v>0</v>
      </c>
      <c r="H272" s="12">
        <f t="shared" si="75"/>
        <v>61336</v>
      </c>
      <c r="I272" s="12">
        <f t="shared" si="75"/>
        <v>51840</v>
      </c>
      <c r="J272" s="3">
        <f>SUM(G272:I272)</f>
        <v>113176</v>
      </c>
      <c r="K272" s="3">
        <f>SUM(J272,F272)</f>
        <v>715585</v>
      </c>
    </row>
    <row r="273" spans="1:16">
      <c r="A273" s="348"/>
      <c r="B273" s="33" t="s">
        <v>14</v>
      </c>
      <c r="C273" s="12">
        <f t="shared" si="73"/>
        <v>0</v>
      </c>
      <c r="D273" s="12">
        <f t="shared" si="73"/>
        <v>0</v>
      </c>
      <c r="E273" s="12">
        <f t="shared" si="73"/>
        <v>0</v>
      </c>
      <c r="F273" s="3">
        <f t="shared" si="74"/>
        <v>0</v>
      </c>
      <c r="G273" s="12">
        <f>SUM(G9+G42+G75+G108+G141+G174+G207+G240)</f>
        <v>0</v>
      </c>
      <c r="H273" s="12">
        <f>SUM(H9+H42+H75+H108+H141+H174+H207+H240)</f>
        <v>0</v>
      </c>
      <c r="I273" s="12">
        <f t="shared" si="75"/>
        <v>0</v>
      </c>
      <c r="J273" s="3">
        <f>SUM(G273:I273)</f>
        <v>0</v>
      </c>
      <c r="K273" s="3">
        <f>SUM(J273,F273)</f>
        <v>0</v>
      </c>
    </row>
    <row r="274" spans="1:16" ht="21" thickBot="1">
      <c r="A274" s="348"/>
      <c r="B274" s="36" t="s">
        <v>6</v>
      </c>
      <c r="C274" s="8">
        <f>SUM(C272:C273)</f>
        <v>0</v>
      </c>
      <c r="D274" s="8">
        <f t="shared" ref="D274:K274" si="76">SUM(D272:D273)</f>
        <v>408148</v>
      </c>
      <c r="E274" s="8">
        <f t="shared" si="76"/>
        <v>194261</v>
      </c>
      <c r="F274" s="8">
        <f t="shared" si="76"/>
        <v>602409</v>
      </c>
      <c r="G274" s="8">
        <f t="shared" si="76"/>
        <v>0</v>
      </c>
      <c r="H274" s="8">
        <f t="shared" si="76"/>
        <v>61336</v>
      </c>
      <c r="I274" s="8">
        <f t="shared" si="76"/>
        <v>51840</v>
      </c>
      <c r="J274" s="8">
        <f t="shared" si="76"/>
        <v>113176</v>
      </c>
      <c r="K274" s="8">
        <f t="shared" si="76"/>
        <v>715585</v>
      </c>
    </row>
    <row r="275" spans="1:16" ht="21" thickTop="1">
      <c r="A275" s="348"/>
      <c r="B275" s="37" t="s">
        <v>15</v>
      </c>
      <c r="C275" s="12">
        <f>SUM(C11+C44+C77+C110+C143+C176+C209+C242)</f>
        <v>0</v>
      </c>
      <c r="D275" s="12">
        <f>SUM(D11+D44+D77+D110+D143+D176+D209+D242)</f>
        <v>0</v>
      </c>
      <c r="E275" s="12">
        <f>SUM(E11+E44+E77+E110+E143+E176+E209+E242)</f>
        <v>0</v>
      </c>
      <c r="F275" s="3">
        <f t="shared" si="74"/>
        <v>0</v>
      </c>
      <c r="G275" s="12">
        <f>SUM(G11+G44+G77+G110+G143+G176+G209+G242)</f>
        <v>0</v>
      </c>
      <c r="H275" s="12">
        <f>SUM(H11+H44+H77+H110+H143+H176+H209+H242)</f>
        <v>0</v>
      </c>
      <c r="I275" s="12">
        <f>SUM(I11+I44+I77+I110+I143+I176+I209+I242)</f>
        <v>0</v>
      </c>
      <c r="J275" s="3">
        <f t="shared" ref="J275:J280" si="77">SUM(G275:I275)</f>
        <v>0</v>
      </c>
      <c r="K275" s="3">
        <f t="shared" ref="K275:K280" si="78">SUM(J275,F275)</f>
        <v>0</v>
      </c>
    </row>
    <row r="276" spans="1:16">
      <c r="A276" s="348"/>
      <c r="B276" s="33" t="s">
        <v>16</v>
      </c>
      <c r="C276" s="12">
        <f t="shared" ref="C276:D280" si="79">SUM(C12+C45+C78+C111+C144+C177+C210+C243)</f>
        <v>0</v>
      </c>
      <c r="D276" s="12">
        <f t="shared" si="79"/>
        <v>285704</v>
      </c>
      <c r="E276" s="12">
        <f>SUM(E12+E45+E78+E111+E144+E177+E210+E243)</f>
        <v>0</v>
      </c>
      <c r="F276" s="3">
        <f t="shared" si="74"/>
        <v>285704</v>
      </c>
      <c r="G276" s="12">
        <f t="shared" ref="G276:I280" si="80">SUM(G12+G45+G78+G111+G144+G177+G210+G243)</f>
        <v>0</v>
      </c>
      <c r="H276" s="12">
        <f t="shared" si="80"/>
        <v>42936</v>
      </c>
      <c r="I276" s="12">
        <f t="shared" si="80"/>
        <v>0</v>
      </c>
      <c r="J276" s="3">
        <f t="shared" si="77"/>
        <v>42936</v>
      </c>
      <c r="K276" s="3">
        <f t="shared" si="78"/>
        <v>328640</v>
      </c>
    </row>
    <row r="277" spans="1:16">
      <c r="A277" s="348"/>
      <c r="B277" s="33" t="s">
        <v>17</v>
      </c>
      <c r="C277" s="12">
        <f t="shared" si="79"/>
        <v>0</v>
      </c>
      <c r="D277" s="12">
        <f t="shared" si="79"/>
        <v>6156</v>
      </c>
      <c r="E277" s="12">
        <f>SUM(E13+E46+E79+E112+E145+E178+E211+E244)</f>
        <v>0</v>
      </c>
      <c r="F277" s="3">
        <f t="shared" si="74"/>
        <v>6156</v>
      </c>
      <c r="G277" s="12">
        <f t="shared" si="80"/>
        <v>0</v>
      </c>
      <c r="H277" s="12">
        <f t="shared" si="80"/>
        <v>1095</v>
      </c>
      <c r="I277" s="12">
        <f t="shared" si="80"/>
        <v>0</v>
      </c>
      <c r="J277" s="3">
        <f t="shared" si="77"/>
        <v>1095</v>
      </c>
      <c r="K277" s="3">
        <f t="shared" si="78"/>
        <v>7251</v>
      </c>
    </row>
    <row r="278" spans="1:16">
      <c r="A278" s="348"/>
      <c r="B278" s="33" t="s">
        <v>18</v>
      </c>
      <c r="C278" s="12">
        <f t="shared" si="79"/>
        <v>0</v>
      </c>
      <c r="D278" s="12">
        <f t="shared" si="79"/>
        <v>50567</v>
      </c>
      <c r="E278" s="12">
        <f>SUM(E14+E47+E80+E113+E146+E179+E212+E245)</f>
        <v>0</v>
      </c>
      <c r="F278" s="3">
        <f t="shared" si="74"/>
        <v>50567</v>
      </c>
      <c r="G278" s="12">
        <f t="shared" si="80"/>
        <v>0</v>
      </c>
      <c r="H278" s="12">
        <f t="shared" si="80"/>
        <v>7877</v>
      </c>
      <c r="I278" s="12">
        <f t="shared" si="80"/>
        <v>0</v>
      </c>
      <c r="J278" s="3">
        <f t="shared" si="77"/>
        <v>7877</v>
      </c>
      <c r="K278" s="3">
        <f t="shared" si="78"/>
        <v>58444</v>
      </c>
    </row>
    <row r="279" spans="1:16" ht="31.5">
      <c r="A279" s="348"/>
      <c r="B279" s="194" t="s">
        <v>86</v>
      </c>
      <c r="C279" s="196">
        <f t="shared" si="79"/>
        <v>0</v>
      </c>
      <c r="D279" s="196">
        <f t="shared" si="79"/>
        <v>16753</v>
      </c>
      <c r="E279" s="196">
        <f>SUM(E15+E48+E81+E114+E147+E180+E213+E246)</f>
        <v>0</v>
      </c>
      <c r="F279" s="3">
        <f t="shared" si="74"/>
        <v>16753</v>
      </c>
      <c r="G279" s="196">
        <f t="shared" si="80"/>
        <v>0</v>
      </c>
      <c r="H279" s="196">
        <f t="shared" si="80"/>
        <v>3351</v>
      </c>
      <c r="I279" s="196">
        <f t="shared" si="80"/>
        <v>0</v>
      </c>
      <c r="J279" s="3">
        <f t="shared" si="77"/>
        <v>3351</v>
      </c>
      <c r="K279" s="3">
        <f t="shared" si="78"/>
        <v>20104</v>
      </c>
    </row>
    <row r="280" spans="1:16">
      <c r="A280" s="348"/>
      <c r="B280" s="33" t="s">
        <v>19</v>
      </c>
      <c r="C280" s="12">
        <f t="shared" si="79"/>
        <v>0</v>
      </c>
      <c r="D280" s="12">
        <f>SUM(D16+D49+D82+D115+D148+D181+D214+D247)</f>
        <v>9172</v>
      </c>
      <c r="E280" s="12">
        <f>SUM(E16+E49+E82+E115+E148+E181+E214+E247)</f>
        <v>2134</v>
      </c>
      <c r="F280" s="3">
        <f t="shared" si="74"/>
        <v>11306</v>
      </c>
      <c r="G280" s="12">
        <f t="shared" si="80"/>
        <v>0</v>
      </c>
      <c r="H280" s="12">
        <f t="shared" si="80"/>
        <v>1134</v>
      </c>
      <c r="I280" s="12">
        <f t="shared" si="80"/>
        <v>575</v>
      </c>
      <c r="J280" s="3">
        <f t="shared" si="77"/>
        <v>1709</v>
      </c>
      <c r="K280" s="3">
        <f t="shared" si="78"/>
        <v>13015</v>
      </c>
    </row>
    <row r="281" spans="1:16" ht="21" thickBot="1">
      <c r="A281" s="349"/>
      <c r="B281" s="38" t="s">
        <v>6</v>
      </c>
      <c r="C281" s="8">
        <f t="shared" ref="C281:K281" si="81">SUM(C274:C280)</f>
        <v>0</v>
      </c>
      <c r="D281" s="8">
        <f t="shared" si="81"/>
        <v>776500</v>
      </c>
      <c r="E281" s="8">
        <f t="shared" si="81"/>
        <v>196395</v>
      </c>
      <c r="F281" s="8">
        <f t="shared" si="81"/>
        <v>972895</v>
      </c>
      <c r="G281" s="8">
        <f t="shared" si="81"/>
        <v>0</v>
      </c>
      <c r="H281" s="8">
        <f t="shared" si="81"/>
        <v>117729</v>
      </c>
      <c r="I281" s="8">
        <f t="shared" si="81"/>
        <v>52415</v>
      </c>
      <c r="J281" s="8">
        <f t="shared" si="81"/>
        <v>170144</v>
      </c>
      <c r="K281" s="8">
        <f t="shared" si="81"/>
        <v>1143039</v>
      </c>
    </row>
    <row r="282" spans="1:16" ht="15.75" customHeight="1" thickTop="1"/>
    <row r="283" spans="1:16">
      <c r="A283" s="350" t="s">
        <v>29</v>
      </c>
      <c r="B283" s="352" t="s">
        <v>20</v>
      </c>
      <c r="C283" s="353"/>
      <c r="D283" s="353"/>
      <c r="E283" s="353"/>
      <c r="F283" s="353"/>
      <c r="G283" s="353"/>
      <c r="H283" s="353"/>
      <c r="I283" s="353"/>
      <c r="J283" s="353"/>
      <c r="K283" s="354"/>
      <c r="M283" s="355" t="s">
        <v>21</v>
      </c>
      <c r="N283" s="356"/>
      <c r="O283" s="356"/>
      <c r="P283" s="357"/>
    </row>
    <row r="284" spans="1:16" ht="21" thickBot="1">
      <c r="A284" s="351"/>
      <c r="B284" s="32"/>
      <c r="C284" s="350" t="s">
        <v>4</v>
      </c>
      <c r="D284" s="351"/>
      <c r="E284" s="351"/>
      <c r="F284" s="351"/>
      <c r="G284" s="350" t="s">
        <v>5</v>
      </c>
      <c r="H284" s="351"/>
      <c r="I284" s="351"/>
      <c r="J284" s="351"/>
      <c r="K284" s="31" t="s">
        <v>6</v>
      </c>
      <c r="M284" s="33" t="s">
        <v>8</v>
      </c>
      <c r="N284" s="31" t="s">
        <v>3</v>
      </c>
      <c r="O284" s="31" t="s">
        <v>20</v>
      </c>
      <c r="P284" s="38" t="s">
        <v>6</v>
      </c>
    </row>
    <row r="285" spans="1:16" ht="21" thickTop="1">
      <c r="A285" s="347" t="s">
        <v>30</v>
      </c>
      <c r="B285" s="33" t="s">
        <v>8</v>
      </c>
      <c r="C285" s="34" t="s">
        <v>9</v>
      </c>
      <c r="D285" s="34" t="s">
        <v>10</v>
      </c>
      <c r="E285" s="34" t="s">
        <v>11</v>
      </c>
      <c r="F285" s="34" t="s">
        <v>6</v>
      </c>
      <c r="G285" s="34" t="s">
        <v>9</v>
      </c>
      <c r="H285" s="34" t="s">
        <v>10</v>
      </c>
      <c r="I285" s="34" t="s">
        <v>11</v>
      </c>
      <c r="J285" s="34" t="s">
        <v>6</v>
      </c>
      <c r="K285" s="34" t="s">
        <v>6</v>
      </c>
      <c r="M285" s="35" t="s">
        <v>12</v>
      </c>
      <c r="N285" s="12">
        <f t="shared" ref="N285:O287" si="82">SUM(N21+N54+N87+N120+N153+N186+N219+N252)</f>
        <v>2369</v>
      </c>
      <c r="O285" s="12">
        <f t="shared" si="82"/>
        <v>980</v>
      </c>
      <c r="P285" s="9">
        <f>SUM(N285:O285)</f>
        <v>3349</v>
      </c>
    </row>
    <row r="286" spans="1:16">
      <c r="A286" s="348"/>
      <c r="B286" s="35" t="s">
        <v>12</v>
      </c>
      <c r="C286" s="12">
        <f t="shared" ref="C286:E288" si="83">SUM(C22+C55+C88+C121+C154+C187+C220+C253)</f>
        <v>0</v>
      </c>
      <c r="D286" s="12">
        <f t="shared" si="83"/>
        <v>687</v>
      </c>
      <c r="E286" s="12">
        <f t="shared" si="83"/>
        <v>0</v>
      </c>
      <c r="F286" s="3">
        <f>SUM(C286:E286)</f>
        <v>687</v>
      </c>
      <c r="G286" s="12">
        <f t="shared" ref="G286:I288" si="84">SUM(G22+G55+G88+G121+G154+G187+G220+G253)</f>
        <v>0</v>
      </c>
      <c r="H286" s="12">
        <f t="shared" si="84"/>
        <v>293</v>
      </c>
      <c r="I286" s="12">
        <f t="shared" si="84"/>
        <v>0</v>
      </c>
      <c r="J286" s="3">
        <f>SUM(G286:I286)</f>
        <v>293</v>
      </c>
      <c r="K286" s="3">
        <f>SUM(J286,F286)</f>
        <v>980</v>
      </c>
      <c r="M286" s="33" t="s">
        <v>13</v>
      </c>
      <c r="N286" s="12">
        <f t="shared" si="82"/>
        <v>715585</v>
      </c>
      <c r="O286" s="12">
        <f t="shared" si="82"/>
        <v>457446</v>
      </c>
      <c r="P286" s="9">
        <f t="shared" ref="P286:P294" si="85">SUM(N286:O286)</f>
        <v>1173031</v>
      </c>
    </row>
    <row r="287" spans="1:16">
      <c r="A287" s="348"/>
      <c r="B287" s="33" t="s">
        <v>13</v>
      </c>
      <c r="C287" s="12">
        <f t="shared" si="83"/>
        <v>0</v>
      </c>
      <c r="D287" s="12">
        <f t="shared" si="83"/>
        <v>310272</v>
      </c>
      <c r="E287" s="12">
        <f t="shared" si="83"/>
        <v>0</v>
      </c>
      <c r="F287" s="3">
        <f>SUM(C287:E287)</f>
        <v>310272</v>
      </c>
      <c r="G287" s="12">
        <f t="shared" si="84"/>
        <v>0</v>
      </c>
      <c r="H287" s="12">
        <f t="shared" si="84"/>
        <v>147174</v>
      </c>
      <c r="I287" s="12">
        <f t="shared" si="84"/>
        <v>0</v>
      </c>
      <c r="J287" s="3">
        <f>SUM(G287:I287)</f>
        <v>147174</v>
      </c>
      <c r="K287" s="3">
        <f>SUM(J287,F287)</f>
        <v>457446</v>
      </c>
      <c r="M287" s="33" t="s">
        <v>14</v>
      </c>
      <c r="N287" s="12">
        <f t="shared" si="82"/>
        <v>0</v>
      </c>
      <c r="O287" s="12">
        <f t="shared" si="82"/>
        <v>0</v>
      </c>
      <c r="P287" s="9">
        <f t="shared" si="85"/>
        <v>0</v>
      </c>
    </row>
    <row r="288" spans="1:16" ht="21" thickBot="1">
      <c r="A288" s="348"/>
      <c r="B288" s="33" t="s">
        <v>14</v>
      </c>
      <c r="C288" s="12">
        <f t="shared" si="83"/>
        <v>0</v>
      </c>
      <c r="D288" s="12">
        <f t="shared" si="83"/>
        <v>0</v>
      </c>
      <c r="E288" s="12">
        <f t="shared" si="83"/>
        <v>0</v>
      </c>
      <c r="F288" s="3">
        <f>SUM(C288:E288)</f>
        <v>0</v>
      </c>
      <c r="G288" s="12">
        <f t="shared" si="84"/>
        <v>0</v>
      </c>
      <c r="H288" s="12">
        <f t="shared" si="84"/>
        <v>0</v>
      </c>
      <c r="I288" s="12">
        <f t="shared" si="84"/>
        <v>0</v>
      </c>
      <c r="J288" s="3">
        <f>SUM(G288:I288)</f>
        <v>0</v>
      </c>
      <c r="K288" s="3">
        <f>SUM(J288,F288)</f>
        <v>0</v>
      </c>
      <c r="M288" s="36" t="s">
        <v>6</v>
      </c>
      <c r="N288" s="10">
        <f>SUM(N286:N287)</f>
        <v>715585</v>
      </c>
      <c r="O288" s="10">
        <f>SUM(O286:O287)</f>
        <v>457446</v>
      </c>
      <c r="P288" s="10">
        <f>SUM(P286:P287)</f>
        <v>1173031</v>
      </c>
    </row>
    <row r="289" spans="1:16" ht="21.75" thickTop="1" thickBot="1">
      <c r="A289" s="348"/>
      <c r="B289" s="36" t="s">
        <v>6</v>
      </c>
      <c r="C289" s="8">
        <f>SUM(C287:C288)</f>
        <v>0</v>
      </c>
      <c r="D289" s="8">
        <f t="shared" ref="D289:K289" si="86">SUM(D287:D288)</f>
        <v>310272</v>
      </c>
      <c r="E289" s="8">
        <f t="shared" si="86"/>
        <v>0</v>
      </c>
      <c r="F289" s="8">
        <f t="shared" si="86"/>
        <v>310272</v>
      </c>
      <c r="G289" s="8">
        <f t="shared" si="86"/>
        <v>0</v>
      </c>
      <c r="H289" s="8">
        <f t="shared" si="86"/>
        <v>147174</v>
      </c>
      <c r="I289" s="8">
        <f t="shared" si="86"/>
        <v>0</v>
      </c>
      <c r="J289" s="8">
        <f t="shared" si="86"/>
        <v>147174</v>
      </c>
      <c r="K289" s="8">
        <f t="shared" si="86"/>
        <v>457446</v>
      </c>
      <c r="M289" s="37" t="s">
        <v>16</v>
      </c>
      <c r="N289" s="12">
        <f t="shared" ref="N289:O293" si="87">SUM(N25+N58+N91+N124+N157+N190+N223+N256)</f>
        <v>328640</v>
      </c>
      <c r="O289" s="12">
        <f t="shared" si="87"/>
        <v>320213</v>
      </c>
      <c r="P289" s="14">
        <f t="shared" si="85"/>
        <v>648853</v>
      </c>
    </row>
    <row r="290" spans="1:16" ht="21" thickTop="1">
      <c r="A290" s="348"/>
      <c r="B290" s="37" t="s">
        <v>15</v>
      </c>
      <c r="C290" s="12">
        <f>SUM(C26+C59+C92+C125+C158+C191+C224+C257)</f>
        <v>0</v>
      </c>
      <c r="D290" s="12">
        <f>SUM(D26+D59+D92+D125+D158+D191+D224+D257)</f>
        <v>0</v>
      </c>
      <c r="E290" s="12">
        <f>SUM(E26+E59+E92+E125+E158+E191+E224+E257)</f>
        <v>0</v>
      </c>
      <c r="F290" s="3">
        <f t="shared" ref="F290:F295" si="88">SUM(C290:E290)</f>
        <v>0</v>
      </c>
      <c r="G290" s="12">
        <f t="shared" ref="G290:I295" si="89">SUM(G26+G59+G92+G125+G158+G191+G224+G257)</f>
        <v>0</v>
      </c>
      <c r="H290" s="12">
        <f t="shared" si="89"/>
        <v>0</v>
      </c>
      <c r="I290" s="12">
        <f t="shared" si="89"/>
        <v>0</v>
      </c>
      <c r="J290" s="3">
        <f t="shared" ref="J290:J295" si="90">SUM(G290:I290)</f>
        <v>0</v>
      </c>
      <c r="K290" s="3">
        <f t="shared" ref="K290:K295" si="91">SUM(J290,F290)</f>
        <v>0</v>
      </c>
      <c r="M290" s="37" t="s">
        <v>15</v>
      </c>
      <c r="N290" s="12">
        <f t="shared" si="87"/>
        <v>0</v>
      </c>
      <c r="O290" s="12">
        <f t="shared" si="87"/>
        <v>0</v>
      </c>
      <c r="P290" s="14">
        <f t="shared" si="85"/>
        <v>0</v>
      </c>
    </row>
    <row r="291" spans="1:16">
      <c r="A291" s="348"/>
      <c r="B291" s="33" t="s">
        <v>16</v>
      </c>
      <c r="C291" s="12">
        <f t="shared" ref="C291:E295" si="92">SUM(C27+C60+C93+C126+C159+C192+C225+C258)</f>
        <v>0</v>
      </c>
      <c r="D291" s="12">
        <f t="shared" si="92"/>
        <v>217191</v>
      </c>
      <c r="E291" s="12">
        <f t="shared" si="92"/>
        <v>0</v>
      </c>
      <c r="F291" s="3">
        <f t="shared" si="88"/>
        <v>217191</v>
      </c>
      <c r="G291" s="12">
        <f t="shared" si="89"/>
        <v>0</v>
      </c>
      <c r="H291" s="12">
        <f t="shared" si="89"/>
        <v>103022</v>
      </c>
      <c r="I291" s="12">
        <f t="shared" si="89"/>
        <v>0</v>
      </c>
      <c r="J291" s="3">
        <f t="shared" si="90"/>
        <v>103022</v>
      </c>
      <c r="K291" s="3">
        <f t="shared" si="91"/>
        <v>320213</v>
      </c>
      <c r="M291" s="33" t="s">
        <v>17</v>
      </c>
      <c r="N291" s="12">
        <f t="shared" si="87"/>
        <v>7251</v>
      </c>
      <c r="O291" s="12">
        <f t="shared" si="87"/>
        <v>5615</v>
      </c>
      <c r="P291" s="9">
        <f t="shared" si="85"/>
        <v>12866</v>
      </c>
    </row>
    <row r="292" spans="1:16">
      <c r="A292" s="348"/>
      <c r="B292" s="33" t="s">
        <v>17</v>
      </c>
      <c r="C292" s="12">
        <f t="shared" si="92"/>
        <v>0</v>
      </c>
      <c r="D292" s="12">
        <f t="shared" si="92"/>
        <v>3632</v>
      </c>
      <c r="E292" s="12">
        <f t="shared" si="92"/>
        <v>0</v>
      </c>
      <c r="F292" s="3">
        <f t="shared" si="88"/>
        <v>3632</v>
      </c>
      <c r="G292" s="12">
        <f t="shared" si="89"/>
        <v>0</v>
      </c>
      <c r="H292" s="12">
        <f t="shared" si="89"/>
        <v>1983</v>
      </c>
      <c r="I292" s="12">
        <f t="shared" si="89"/>
        <v>0</v>
      </c>
      <c r="J292" s="3">
        <f t="shared" si="90"/>
        <v>1983</v>
      </c>
      <c r="K292" s="3">
        <f t="shared" si="91"/>
        <v>5615</v>
      </c>
      <c r="M292" s="33" t="s">
        <v>18</v>
      </c>
      <c r="N292" s="12">
        <f t="shared" si="87"/>
        <v>58444</v>
      </c>
      <c r="O292" s="12">
        <f t="shared" si="87"/>
        <v>63927</v>
      </c>
      <c r="P292" s="9">
        <f t="shared" si="85"/>
        <v>122371</v>
      </c>
    </row>
    <row r="293" spans="1:16" ht="33.75" customHeight="1">
      <c r="A293" s="348"/>
      <c r="B293" s="33" t="s">
        <v>18</v>
      </c>
      <c r="C293" s="196">
        <f t="shared" si="92"/>
        <v>0</v>
      </c>
      <c r="D293" s="196">
        <f t="shared" si="92"/>
        <v>47652</v>
      </c>
      <c r="E293" s="196">
        <f t="shared" si="92"/>
        <v>0</v>
      </c>
      <c r="F293" s="3">
        <f t="shared" si="88"/>
        <v>47652</v>
      </c>
      <c r="G293" s="196">
        <f t="shared" si="89"/>
        <v>0</v>
      </c>
      <c r="H293" s="196">
        <f t="shared" si="89"/>
        <v>16275</v>
      </c>
      <c r="I293" s="196">
        <f t="shared" si="89"/>
        <v>0</v>
      </c>
      <c r="J293" s="3">
        <f t="shared" si="90"/>
        <v>16275</v>
      </c>
      <c r="K293" s="3">
        <f t="shared" si="91"/>
        <v>63927</v>
      </c>
      <c r="M293" s="194" t="s">
        <v>86</v>
      </c>
      <c r="N293" s="196">
        <f t="shared" si="87"/>
        <v>20104</v>
      </c>
      <c r="O293" s="196">
        <f t="shared" si="87"/>
        <v>21475</v>
      </c>
      <c r="P293" s="3">
        <f t="shared" si="85"/>
        <v>41579</v>
      </c>
    </row>
    <row r="294" spans="1:16" ht="31.5">
      <c r="A294" s="348"/>
      <c r="B294" s="194" t="s">
        <v>86</v>
      </c>
      <c r="C294" s="196">
        <f t="shared" si="92"/>
        <v>0</v>
      </c>
      <c r="D294" s="196">
        <f t="shared" si="92"/>
        <v>15774</v>
      </c>
      <c r="E294" s="196">
        <f t="shared" si="92"/>
        <v>0</v>
      </c>
      <c r="F294" s="3">
        <f t="shared" si="88"/>
        <v>15774</v>
      </c>
      <c r="G294" s="196">
        <f t="shared" si="89"/>
        <v>0</v>
      </c>
      <c r="H294" s="196">
        <f t="shared" si="89"/>
        <v>5701</v>
      </c>
      <c r="I294" s="196">
        <f t="shared" si="89"/>
        <v>0</v>
      </c>
      <c r="J294" s="3">
        <f t="shared" si="90"/>
        <v>5701</v>
      </c>
      <c r="K294" s="3">
        <f t="shared" si="91"/>
        <v>21475</v>
      </c>
      <c r="M294" s="33" t="s">
        <v>19</v>
      </c>
      <c r="N294" s="196">
        <f>SUM(N30+N63+N96+N129+N162+N195+N228+N261)</f>
        <v>13015</v>
      </c>
      <c r="O294" s="196">
        <f>SUM(O30+O63+O96+O129+O162+O195+O228+O261)</f>
        <v>10428</v>
      </c>
      <c r="P294" s="3">
        <f t="shared" si="85"/>
        <v>23443</v>
      </c>
    </row>
    <row r="295" spans="1:16" ht="18.75" customHeight="1" thickBot="1">
      <c r="A295" s="348"/>
      <c r="B295" s="33" t="s">
        <v>19</v>
      </c>
      <c r="C295" s="12">
        <f t="shared" si="92"/>
        <v>0</v>
      </c>
      <c r="D295" s="12">
        <f>SUM(D31+D64+D97+D130+D163+D196+D229+D262)</f>
        <v>6642</v>
      </c>
      <c r="E295" s="12">
        <f t="shared" si="92"/>
        <v>0</v>
      </c>
      <c r="F295" s="3">
        <f t="shared" si="88"/>
        <v>6642</v>
      </c>
      <c r="G295" s="12">
        <f t="shared" si="89"/>
        <v>0</v>
      </c>
      <c r="H295" s="12">
        <f t="shared" si="89"/>
        <v>3786</v>
      </c>
      <c r="I295" s="12">
        <f t="shared" si="89"/>
        <v>0</v>
      </c>
      <c r="J295" s="3">
        <f t="shared" si="90"/>
        <v>3786</v>
      </c>
      <c r="K295" s="3">
        <f t="shared" si="91"/>
        <v>10428</v>
      </c>
      <c r="M295" s="38" t="s">
        <v>6</v>
      </c>
      <c r="N295" s="10">
        <f>SUM(N288:N294)</f>
        <v>1143039</v>
      </c>
      <c r="O295" s="10">
        <f>SUM(O288:O294)</f>
        <v>879104</v>
      </c>
      <c r="P295" s="10">
        <f>SUM(P288:P294)</f>
        <v>2022143</v>
      </c>
    </row>
    <row r="296" spans="1:16" ht="21.75" thickTop="1" thickBot="1">
      <c r="A296" s="349"/>
      <c r="B296" s="38" t="s">
        <v>6</v>
      </c>
      <c r="C296" s="8">
        <f t="shared" ref="C296:K296" si="93">SUM(C289:C295)</f>
        <v>0</v>
      </c>
      <c r="D296" s="8">
        <f t="shared" si="93"/>
        <v>601163</v>
      </c>
      <c r="E296" s="8">
        <f t="shared" si="93"/>
        <v>0</v>
      </c>
      <c r="F296" s="8">
        <f t="shared" si="93"/>
        <v>601163</v>
      </c>
      <c r="G296" s="8">
        <f t="shared" si="93"/>
        <v>0</v>
      </c>
      <c r="H296" s="8">
        <f t="shared" si="93"/>
        <v>277941</v>
      </c>
      <c r="I296" s="8">
        <f t="shared" si="93"/>
        <v>0</v>
      </c>
      <c r="J296" s="8">
        <f t="shared" si="93"/>
        <v>277941</v>
      </c>
      <c r="K296" s="8">
        <f t="shared" si="93"/>
        <v>879104</v>
      </c>
      <c r="M296" s="5"/>
      <c r="N296" s="5"/>
      <c r="O296" s="5"/>
      <c r="P296" s="5"/>
    </row>
    <row r="297" spans="1:16" ht="16.5" customHeight="1" thickTop="1">
      <c r="N297" s="383" t="s">
        <v>107</v>
      </c>
      <c r="O297" s="383"/>
      <c r="P297" s="383"/>
    </row>
    <row r="302" spans="1:16">
      <c r="M302" s="2" t="s">
        <v>101</v>
      </c>
    </row>
  </sheetData>
  <mergeCells count="127">
    <mergeCell ref="N297:P297"/>
    <mergeCell ref="A6:A17"/>
    <mergeCell ref="A19:A20"/>
    <mergeCell ref="B19:K19"/>
    <mergeCell ref="A1:P1"/>
    <mergeCell ref="A2:P2"/>
    <mergeCell ref="A4:A5"/>
    <mergeCell ref="C5:F5"/>
    <mergeCell ref="G5:J5"/>
    <mergeCell ref="B4:K4"/>
    <mergeCell ref="A3:K3"/>
    <mergeCell ref="M19:P19"/>
    <mergeCell ref="C20:F20"/>
    <mergeCell ref="G20:J20"/>
    <mergeCell ref="A21:A32"/>
    <mergeCell ref="A34:P34"/>
    <mergeCell ref="A35:P35"/>
    <mergeCell ref="A36:K36"/>
    <mergeCell ref="A37:A38"/>
    <mergeCell ref="B37:K37"/>
    <mergeCell ref="C38:F38"/>
    <mergeCell ref="G38:J38"/>
    <mergeCell ref="A39:A50"/>
    <mergeCell ref="A52:A53"/>
    <mergeCell ref="B52:K52"/>
    <mergeCell ref="M52:P52"/>
    <mergeCell ref="C53:F53"/>
    <mergeCell ref="G53:J53"/>
    <mergeCell ref="A54:A65"/>
    <mergeCell ref="A67:P67"/>
    <mergeCell ref="A68:P68"/>
    <mergeCell ref="A69:K69"/>
    <mergeCell ref="A70:A71"/>
    <mergeCell ref="B70:K70"/>
    <mergeCell ref="C71:F71"/>
    <mergeCell ref="G71:J71"/>
    <mergeCell ref="A72:A83"/>
    <mergeCell ref="A85:A86"/>
    <mergeCell ref="B85:K85"/>
    <mergeCell ref="M85:P85"/>
    <mergeCell ref="C86:F86"/>
    <mergeCell ref="G86:J86"/>
    <mergeCell ref="A87:A98"/>
    <mergeCell ref="A100:P100"/>
    <mergeCell ref="A101:P101"/>
    <mergeCell ref="A102:K102"/>
    <mergeCell ref="A103:A104"/>
    <mergeCell ref="B103:K103"/>
    <mergeCell ref="C104:F104"/>
    <mergeCell ref="G104:J104"/>
    <mergeCell ref="A105:A116"/>
    <mergeCell ref="A118:A119"/>
    <mergeCell ref="B118:K118"/>
    <mergeCell ref="M118:P118"/>
    <mergeCell ref="C119:F119"/>
    <mergeCell ref="G119:J119"/>
    <mergeCell ref="A120:A131"/>
    <mergeCell ref="A133:P133"/>
    <mergeCell ref="A134:P134"/>
    <mergeCell ref="A135:K135"/>
    <mergeCell ref="A138:A149"/>
    <mergeCell ref="A151:A152"/>
    <mergeCell ref="B151:K151"/>
    <mergeCell ref="A136:A137"/>
    <mergeCell ref="B136:K136"/>
    <mergeCell ref="C137:F137"/>
    <mergeCell ref="G137:J137"/>
    <mergeCell ref="M151:P151"/>
    <mergeCell ref="C152:F152"/>
    <mergeCell ref="G152:J152"/>
    <mergeCell ref="A153:A164"/>
    <mergeCell ref="A171:A182"/>
    <mergeCell ref="A166:P166"/>
    <mergeCell ref="A167:P167"/>
    <mergeCell ref="A168:K168"/>
    <mergeCell ref="A169:A170"/>
    <mergeCell ref="B169:K169"/>
    <mergeCell ref="C170:F170"/>
    <mergeCell ref="G170:J170"/>
    <mergeCell ref="C185:F185"/>
    <mergeCell ref="G185:J185"/>
    <mergeCell ref="A186:A197"/>
    <mergeCell ref="A199:P199"/>
    <mergeCell ref="A200:P200"/>
    <mergeCell ref="A201:K201"/>
    <mergeCell ref="A184:A185"/>
    <mergeCell ref="B184:K184"/>
    <mergeCell ref="M184:P184"/>
    <mergeCell ref="A202:A203"/>
    <mergeCell ref="B202:K202"/>
    <mergeCell ref="C203:F203"/>
    <mergeCell ref="G203:J203"/>
    <mergeCell ref="A204:A215"/>
    <mergeCell ref="A217:A218"/>
    <mergeCell ref="B217:K217"/>
    <mergeCell ref="C236:F236"/>
    <mergeCell ref="G236:J236"/>
    <mergeCell ref="M217:P217"/>
    <mergeCell ref="C218:F218"/>
    <mergeCell ref="G218:J218"/>
    <mergeCell ref="A219:A230"/>
    <mergeCell ref="A232:P232"/>
    <mergeCell ref="A233:P233"/>
    <mergeCell ref="A252:A263"/>
    <mergeCell ref="A237:A248"/>
    <mergeCell ref="A250:A251"/>
    <mergeCell ref="B250:K250"/>
    <mergeCell ref="A234:K234"/>
    <mergeCell ref="M250:P250"/>
    <mergeCell ref="C251:F251"/>
    <mergeCell ref="G251:J251"/>
    <mergeCell ref="A235:A236"/>
    <mergeCell ref="B235:K235"/>
    <mergeCell ref="A265:P265"/>
    <mergeCell ref="A266:P266"/>
    <mergeCell ref="A267:K267"/>
    <mergeCell ref="A268:A269"/>
    <mergeCell ref="B268:K268"/>
    <mergeCell ref="C269:F269"/>
    <mergeCell ref="G269:J269"/>
    <mergeCell ref="A285:A296"/>
    <mergeCell ref="A270:A281"/>
    <mergeCell ref="A283:A284"/>
    <mergeCell ref="B283:K283"/>
    <mergeCell ref="M283:P283"/>
    <mergeCell ref="C284:F284"/>
    <mergeCell ref="G284:J284"/>
  </mergeCells>
  <phoneticPr fontId="0" type="noConversion"/>
  <pageMargins left="0.78740157480314965" right="0.19685039370078741" top="0.15748031496062992" bottom="0.31496062992125984" header="0.15748031496062992" footer="0.15748031496062992"/>
  <pageSetup paperSize="5" scale="76" orientation="landscape" r:id="rId1"/>
  <headerFooter>
    <oddFooter>&amp;Z&amp;F&amp;RPage &amp;P</oddFooter>
  </headerFooter>
  <rowBreaks count="8" manualBreakCount="8">
    <brk id="33" max="16383" man="1"/>
    <brk id="66" max="15" man="1"/>
    <brk id="99" max="15" man="1"/>
    <brk id="132" max="15" man="1"/>
    <brk id="165" max="15" man="1"/>
    <brk id="198" max="15" man="1"/>
    <brk id="231" max="15" man="1"/>
    <brk id="26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7"/>
  <sheetViews>
    <sheetView view="pageBreakPreview" topLeftCell="A131" zoomScaleNormal="75" zoomScaleSheetLayoutView="100" workbookViewId="0">
      <selection activeCell="H111" sqref="H111"/>
    </sheetView>
  </sheetViews>
  <sheetFormatPr defaultRowHeight="20.25"/>
  <cols>
    <col min="1" max="1" width="7.5703125" style="2" customWidth="1"/>
    <col min="2" max="2" width="26.85546875" style="2" customWidth="1"/>
    <col min="3" max="3" width="16.42578125" style="2" customWidth="1"/>
    <col min="4" max="4" width="18.85546875" style="2" customWidth="1"/>
    <col min="5" max="5" width="20" style="2" customWidth="1"/>
    <col min="6" max="6" width="17.5703125" style="2" customWidth="1"/>
    <col min="7" max="7" width="14" style="2" customWidth="1"/>
    <col min="8" max="8" width="11" style="2" customWidth="1"/>
    <col min="9" max="16384" width="9.140625" style="2"/>
  </cols>
  <sheetData>
    <row r="1" spans="1:15">
      <c r="A1" s="403" t="s">
        <v>123</v>
      </c>
      <c r="B1" s="404"/>
      <c r="C1" s="404"/>
      <c r="D1" s="404"/>
      <c r="E1" s="404"/>
      <c r="F1" s="404"/>
      <c r="G1" s="404"/>
      <c r="H1" s="404"/>
      <c r="I1" s="18"/>
      <c r="J1" s="18"/>
      <c r="K1" s="18"/>
      <c r="L1" s="18"/>
      <c r="M1" s="18"/>
      <c r="N1" s="18"/>
      <c r="O1" s="18"/>
    </row>
    <row r="2" spans="1:15">
      <c r="A2" s="403" t="s">
        <v>31</v>
      </c>
      <c r="B2" s="404"/>
      <c r="C2" s="404"/>
      <c r="D2" s="404"/>
      <c r="E2" s="404"/>
      <c r="F2" s="404"/>
      <c r="G2" s="404"/>
      <c r="H2" s="404"/>
      <c r="I2" s="40"/>
      <c r="J2" s="40"/>
      <c r="K2" s="40"/>
      <c r="L2" s="40"/>
      <c r="M2" s="40"/>
      <c r="N2" s="40"/>
      <c r="O2" s="40"/>
    </row>
    <row r="3" spans="1:15">
      <c r="A3" s="277" t="s">
        <v>32</v>
      </c>
      <c r="B3" s="276"/>
      <c r="C3" s="278"/>
      <c r="D3" s="278"/>
      <c r="E3" s="278"/>
      <c r="F3" s="278"/>
      <c r="G3" s="278"/>
      <c r="H3" s="278"/>
    </row>
    <row r="4" spans="1:15">
      <c r="A4" s="405" t="s">
        <v>33</v>
      </c>
      <c r="B4" s="405" t="s">
        <v>8</v>
      </c>
      <c r="C4" s="375" t="s">
        <v>34</v>
      </c>
      <c r="D4" s="377"/>
      <c r="E4" s="375" t="s">
        <v>35</v>
      </c>
      <c r="F4" s="377"/>
      <c r="G4" s="407" t="s">
        <v>6</v>
      </c>
      <c r="H4" s="278"/>
    </row>
    <row r="5" spans="1:15">
      <c r="A5" s="406"/>
      <c r="B5" s="406"/>
      <c r="C5" s="280" t="s">
        <v>4</v>
      </c>
      <c r="D5" s="280" t="s">
        <v>5</v>
      </c>
      <c r="E5" s="280" t="s">
        <v>4</v>
      </c>
      <c r="F5" s="280" t="s">
        <v>5</v>
      </c>
      <c r="G5" s="408"/>
      <c r="H5" s="278"/>
    </row>
    <row r="6" spans="1:15">
      <c r="A6" s="281">
        <v>1</v>
      </c>
      <c r="B6" s="281">
        <v>1</v>
      </c>
      <c r="C6" s="282">
        <v>0</v>
      </c>
      <c r="D6" s="282">
        <v>0</v>
      </c>
      <c r="E6" s="282">
        <v>0</v>
      </c>
      <c r="F6" s="282">
        <v>0</v>
      </c>
      <c r="G6" s="283">
        <f>SUM(C6:F6)</f>
        <v>0</v>
      </c>
      <c r="H6" s="253"/>
    </row>
    <row r="7" spans="1:15">
      <c r="A7" s="281">
        <v>2</v>
      </c>
      <c r="B7" s="281">
        <v>2</v>
      </c>
      <c r="C7" s="282">
        <v>0</v>
      </c>
      <c r="D7" s="282">
        <v>0</v>
      </c>
      <c r="E7" s="282">
        <v>0</v>
      </c>
      <c r="F7" s="282">
        <v>0</v>
      </c>
      <c r="G7" s="283">
        <f>SUM(C7:F7)</f>
        <v>0</v>
      </c>
      <c r="H7" s="253"/>
    </row>
    <row r="8" spans="1:15">
      <c r="A8" s="281">
        <v>3</v>
      </c>
      <c r="B8" s="281">
        <v>3</v>
      </c>
      <c r="C8" s="282">
        <v>0</v>
      </c>
      <c r="D8" s="282">
        <v>0</v>
      </c>
      <c r="E8" s="282">
        <v>17</v>
      </c>
      <c r="F8" s="282">
        <v>2</v>
      </c>
      <c r="G8" s="283">
        <f>SUM(C8:F8)</f>
        <v>19</v>
      </c>
      <c r="H8" s="253"/>
    </row>
    <row r="9" spans="1:15">
      <c r="A9" s="281">
        <v>4</v>
      </c>
      <c r="B9" s="281">
        <v>4</v>
      </c>
      <c r="C9" s="282">
        <v>0</v>
      </c>
      <c r="D9" s="282">
        <v>0</v>
      </c>
      <c r="E9" s="282">
        <v>0</v>
      </c>
      <c r="F9" s="282">
        <v>0</v>
      </c>
      <c r="G9" s="283">
        <f>SUM(C9:F9)</f>
        <v>0</v>
      </c>
      <c r="H9" s="253"/>
    </row>
    <row r="10" spans="1:15" ht="21" thickBot="1">
      <c r="A10" s="284" t="s">
        <v>0</v>
      </c>
      <c r="B10" s="284" t="s">
        <v>6</v>
      </c>
      <c r="C10" s="285">
        <f>SUM(C6:C9)</f>
        <v>0</v>
      </c>
      <c r="D10" s="285">
        <f>SUM(D6:D9)</f>
        <v>0</v>
      </c>
      <c r="E10" s="285">
        <f>SUM(E6:E9)</f>
        <v>17</v>
      </c>
      <c r="F10" s="285">
        <f>SUM(F6:F9)</f>
        <v>2</v>
      </c>
      <c r="G10" s="285">
        <f>SUM(G6:G9)</f>
        <v>19</v>
      </c>
      <c r="H10" s="253"/>
    </row>
    <row r="11" spans="1:15" ht="21" thickTop="1">
      <c r="A11" s="286"/>
      <c r="B11" s="286"/>
      <c r="C11" s="286"/>
      <c r="D11" s="286"/>
      <c r="E11" s="286"/>
      <c r="F11" s="286"/>
      <c r="G11" s="253"/>
      <c r="H11" s="253"/>
    </row>
    <row r="12" spans="1:15">
      <c r="A12" s="253"/>
      <c r="B12" s="253"/>
      <c r="C12" s="253"/>
      <c r="D12" s="253"/>
      <c r="E12" s="253"/>
      <c r="F12" s="253"/>
      <c r="G12" s="253"/>
      <c r="H12" s="253"/>
    </row>
    <row r="13" spans="1:15" ht="22.5" customHeight="1">
      <c r="A13" s="411"/>
      <c r="B13" s="411"/>
      <c r="C13" s="411"/>
      <c r="D13" s="411"/>
      <c r="E13" s="411"/>
      <c r="F13" s="409" t="s">
        <v>1</v>
      </c>
      <c r="G13" s="409"/>
      <c r="H13" s="409"/>
    </row>
    <row r="14" spans="1:15" ht="31.5">
      <c r="A14" s="279" t="s">
        <v>33</v>
      </c>
      <c r="B14" s="279" t="s">
        <v>36</v>
      </c>
      <c r="C14" s="279" t="s">
        <v>37</v>
      </c>
      <c r="D14" s="279" t="s">
        <v>38</v>
      </c>
      <c r="E14" s="279" t="s">
        <v>39</v>
      </c>
      <c r="F14" s="43" t="s">
        <v>110</v>
      </c>
      <c r="G14" s="279" t="s">
        <v>19</v>
      </c>
      <c r="H14" s="279" t="s">
        <v>6</v>
      </c>
    </row>
    <row r="15" spans="1:15" ht="23.25" customHeight="1">
      <c r="A15" s="287">
        <v>1</v>
      </c>
      <c r="B15" s="279" t="s">
        <v>7</v>
      </c>
      <c r="C15" s="288">
        <v>400</v>
      </c>
      <c r="D15" s="288">
        <v>238</v>
      </c>
      <c r="E15" s="288">
        <v>120</v>
      </c>
      <c r="F15" s="288">
        <v>2200</v>
      </c>
      <c r="G15" s="288">
        <v>0</v>
      </c>
      <c r="H15" s="289">
        <f>SUM(C15:G15)</f>
        <v>2958</v>
      </c>
    </row>
    <row r="16" spans="1:15">
      <c r="A16" s="253"/>
      <c r="B16" s="253"/>
      <c r="C16" s="253"/>
      <c r="D16" s="253"/>
      <c r="E16" s="253"/>
      <c r="F16" s="253"/>
      <c r="G16" s="253"/>
      <c r="H16" s="253"/>
    </row>
    <row r="17" spans="1:15">
      <c r="A17" s="397" t="s">
        <v>123</v>
      </c>
      <c r="B17" s="398"/>
      <c r="C17" s="398"/>
      <c r="D17" s="398"/>
      <c r="E17" s="398"/>
      <c r="F17" s="398"/>
      <c r="G17" s="398"/>
      <c r="H17" s="398"/>
      <c r="I17" s="18"/>
      <c r="J17" s="18"/>
      <c r="K17" s="18"/>
      <c r="L17" s="18"/>
      <c r="M17" s="18"/>
      <c r="N17" s="18"/>
      <c r="O17" s="18"/>
    </row>
    <row r="18" spans="1:15">
      <c r="A18" s="397" t="s">
        <v>31</v>
      </c>
      <c r="B18" s="398"/>
      <c r="C18" s="398"/>
      <c r="D18" s="398"/>
      <c r="E18" s="398"/>
      <c r="F18" s="398"/>
      <c r="G18" s="398"/>
      <c r="H18" s="398"/>
      <c r="I18" s="40"/>
      <c r="J18" s="40"/>
      <c r="K18" s="40"/>
      <c r="L18" s="40"/>
      <c r="M18" s="40"/>
      <c r="N18" s="40"/>
      <c r="O18" s="40"/>
    </row>
    <row r="19" spans="1:15">
      <c r="A19" s="41" t="s">
        <v>32</v>
      </c>
      <c r="B19" s="39"/>
      <c r="C19" s="42"/>
      <c r="D19" s="42"/>
      <c r="E19" s="42"/>
      <c r="F19" s="42"/>
      <c r="G19" s="42"/>
      <c r="H19" s="42"/>
    </row>
    <row r="20" spans="1:15">
      <c r="A20" s="399" t="s">
        <v>33</v>
      </c>
      <c r="B20" s="399" t="s">
        <v>8</v>
      </c>
      <c r="C20" s="355" t="s">
        <v>34</v>
      </c>
      <c r="D20" s="357"/>
      <c r="E20" s="355" t="s">
        <v>35</v>
      </c>
      <c r="F20" s="357"/>
      <c r="G20" s="401" t="s">
        <v>6</v>
      </c>
      <c r="H20" s="42"/>
    </row>
    <row r="21" spans="1:15">
      <c r="A21" s="400"/>
      <c r="B21" s="400"/>
      <c r="C21" s="44" t="s">
        <v>4</v>
      </c>
      <c r="D21" s="44" t="s">
        <v>5</v>
      </c>
      <c r="E21" s="44" t="s">
        <v>4</v>
      </c>
      <c r="F21" s="44" t="s">
        <v>5</v>
      </c>
      <c r="G21" s="402"/>
      <c r="H21" s="42"/>
    </row>
    <row r="22" spans="1:15">
      <c r="A22" s="19">
        <v>1</v>
      </c>
      <c r="B22" s="19">
        <v>1</v>
      </c>
      <c r="C22" s="201">
        <v>0</v>
      </c>
      <c r="D22" s="201">
        <v>0</v>
      </c>
      <c r="E22" s="201">
        <v>0</v>
      </c>
      <c r="F22" s="201">
        <v>0</v>
      </c>
      <c r="G22" s="21">
        <f>SUM(C22:F22)</f>
        <v>0</v>
      </c>
    </row>
    <row r="23" spans="1:15">
      <c r="A23" s="19">
        <v>2</v>
      </c>
      <c r="B23" s="19">
        <v>2</v>
      </c>
      <c r="C23" s="201">
        <v>0</v>
      </c>
      <c r="D23" s="201">
        <v>0</v>
      </c>
      <c r="E23" s="201">
        <v>0</v>
      </c>
      <c r="F23" s="201">
        <v>0</v>
      </c>
      <c r="G23" s="21">
        <f>SUM(C23:F23)</f>
        <v>0</v>
      </c>
    </row>
    <row r="24" spans="1:15">
      <c r="A24" s="19">
        <v>3</v>
      </c>
      <c r="B24" s="19">
        <v>3</v>
      </c>
      <c r="C24" s="201">
        <v>18</v>
      </c>
      <c r="D24" s="201">
        <v>0</v>
      </c>
      <c r="E24" s="201">
        <v>57</v>
      </c>
      <c r="F24" s="201">
        <v>11</v>
      </c>
      <c r="G24" s="21">
        <f>SUM(C24:F24)</f>
        <v>86</v>
      </c>
    </row>
    <row r="25" spans="1:15">
      <c r="A25" s="19">
        <v>4</v>
      </c>
      <c r="B25" s="19">
        <v>4</v>
      </c>
      <c r="C25" s="201">
        <v>31</v>
      </c>
      <c r="D25" s="201">
        <v>10</v>
      </c>
      <c r="E25" s="201">
        <v>0</v>
      </c>
      <c r="F25" s="201">
        <v>0</v>
      </c>
      <c r="G25" s="21">
        <f>SUM(C25:F25)</f>
        <v>41</v>
      </c>
    </row>
    <row r="26" spans="1:15" ht="21" thickBot="1">
      <c r="A26" s="45" t="s">
        <v>0</v>
      </c>
      <c r="B26" s="45" t="s">
        <v>6</v>
      </c>
      <c r="C26" s="23">
        <f>SUM(C22:C25)</f>
        <v>49</v>
      </c>
      <c r="D26" s="23">
        <f>SUM(D22:D25)</f>
        <v>10</v>
      </c>
      <c r="E26" s="23">
        <f>SUM(E22:E25)</f>
        <v>57</v>
      </c>
      <c r="F26" s="23">
        <f>SUM(F22:F25)</f>
        <v>11</v>
      </c>
      <c r="G26" s="23">
        <f>SUM(G22:G25)</f>
        <v>127</v>
      </c>
    </row>
    <row r="27" spans="1:15" ht="21" thickTop="1">
      <c r="A27" s="24"/>
      <c r="B27" s="24"/>
      <c r="C27" s="24"/>
      <c r="D27" s="24"/>
      <c r="E27" s="24"/>
      <c r="F27" s="24"/>
    </row>
    <row r="29" spans="1:15" ht="22.5" customHeight="1">
      <c r="A29" s="392"/>
      <c r="B29" s="392"/>
      <c r="C29" s="392"/>
      <c r="D29" s="392"/>
      <c r="E29" s="392"/>
      <c r="F29" s="410" t="s">
        <v>1</v>
      </c>
      <c r="G29" s="410"/>
      <c r="H29" s="410"/>
    </row>
    <row r="30" spans="1:15" ht="31.5">
      <c r="A30" s="43" t="s">
        <v>33</v>
      </c>
      <c r="B30" s="43" t="s">
        <v>36</v>
      </c>
      <c r="C30" s="43" t="s">
        <v>37</v>
      </c>
      <c r="D30" s="43" t="s">
        <v>38</v>
      </c>
      <c r="E30" s="43" t="s">
        <v>39</v>
      </c>
      <c r="F30" s="43" t="s">
        <v>110</v>
      </c>
      <c r="G30" s="43" t="s">
        <v>19</v>
      </c>
      <c r="H30" s="43" t="s">
        <v>6</v>
      </c>
    </row>
    <row r="31" spans="1:15" ht="23.25" customHeight="1">
      <c r="A31" s="27">
        <v>1</v>
      </c>
      <c r="B31" s="43" t="s">
        <v>22</v>
      </c>
      <c r="C31" s="51">
        <v>4800</v>
      </c>
      <c r="D31" s="51">
        <v>878</v>
      </c>
      <c r="E31" s="51">
        <v>600</v>
      </c>
      <c r="F31" s="51">
        <v>4494</v>
      </c>
      <c r="G31" s="51">
        <v>1000</v>
      </c>
      <c r="H31" s="25">
        <f>SUM(C31:G31)</f>
        <v>11772</v>
      </c>
    </row>
    <row r="33" spans="1:15">
      <c r="A33" s="397" t="s">
        <v>123</v>
      </c>
      <c r="B33" s="398"/>
      <c r="C33" s="398"/>
      <c r="D33" s="398"/>
      <c r="E33" s="398"/>
      <c r="F33" s="398"/>
      <c r="G33" s="398"/>
      <c r="H33" s="398"/>
      <c r="I33" s="18"/>
      <c r="J33" s="18"/>
      <c r="K33" s="18"/>
      <c r="L33" s="18"/>
      <c r="M33" s="18"/>
      <c r="N33" s="18"/>
      <c r="O33" s="18"/>
    </row>
    <row r="34" spans="1:15">
      <c r="A34" s="397" t="s">
        <v>31</v>
      </c>
      <c r="B34" s="398"/>
      <c r="C34" s="398"/>
      <c r="D34" s="398"/>
      <c r="E34" s="398"/>
      <c r="F34" s="398"/>
      <c r="G34" s="398"/>
      <c r="H34" s="398"/>
      <c r="I34" s="40"/>
      <c r="J34" s="40"/>
      <c r="K34" s="40"/>
      <c r="L34" s="40"/>
      <c r="M34" s="40"/>
      <c r="N34" s="40"/>
      <c r="O34" s="40"/>
    </row>
    <row r="35" spans="1:15">
      <c r="A35" s="41" t="s">
        <v>32</v>
      </c>
      <c r="B35" s="39"/>
      <c r="C35" s="42"/>
      <c r="D35" s="42"/>
      <c r="E35" s="42"/>
      <c r="F35" s="42"/>
      <c r="G35" s="42"/>
      <c r="H35" s="42"/>
    </row>
    <row r="36" spans="1:15">
      <c r="A36" s="399" t="s">
        <v>33</v>
      </c>
      <c r="B36" s="399" t="s">
        <v>8</v>
      </c>
      <c r="C36" s="355" t="s">
        <v>34</v>
      </c>
      <c r="D36" s="357"/>
      <c r="E36" s="355" t="s">
        <v>35</v>
      </c>
      <c r="F36" s="357"/>
      <c r="G36" s="401" t="s">
        <v>6</v>
      </c>
      <c r="H36" s="42"/>
    </row>
    <row r="37" spans="1:15">
      <c r="A37" s="400"/>
      <c r="B37" s="400"/>
      <c r="C37" s="44" t="s">
        <v>4</v>
      </c>
      <c r="D37" s="44" t="s">
        <v>5</v>
      </c>
      <c r="E37" s="44" t="s">
        <v>4</v>
      </c>
      <c r="F37" s="44" t="s">
        <v>5</v>
      </c>
      <c r="G37" s="402"/>
      <c r="H37" s="42"/>
    </row>
    <row r="38" spans="1:15">
      <c r="A38" s="19">
        <v>1</v>
      </c>
      <c r="B38" s="19">
        <v>1</v>
      </c>
      <c r="C38" s="201">
        <v>0</v>
      </c>
      <c r="D38" s="201">
        <v>0</v>
      </c>
      <c r="E38" s="201">
        <v>0</v>
      </c>
      <c r="F38" s="201">
        <v>0</v>
      </c>
      <c r="G38" s="21">
        <f>SUM(C38:F38)</f>
        <v>0</v>
      </c>
    </row>
    <row r="39" spans="1:15">
      <c r="A39" s="19">
        <v>2</v>
      </c>
      <c r="B39" s="19">
        <v>2</v>
      </c>
      <c r="C39" s="201">
        <v>0</v>
      </c>
      <c r="D39" s="201">
        <v>0</v>
      </c>
      <c r="E39" s="201">
        <v>0</v>
      </c>
      <c r="F39" s="201">
        <v>0</v>
      </c>
      <c r="G39" s="21">
        <f>SUM(C39:F39)</f>
        <v>0</v>
      </c>
    </row>
    <row r="40" spans="1:15">
      <c r="A40" s="19">
        <v>3</v>
      </c>
      <c r="B40" s="19">
        <v>3</v>
      </c>
      <c r="C40" s="201">
        <v>114</v>
      </c>
      <c r="D40" s="201">
        <v>23</v>
      </c>
      <c r="E40" s="201">
        <v>127</v>
      </c>
      <c r="F40" s="201">
        <v>4</v>
      </c>
      <c r="G40" s="21">
        <f>SUM(C40:F40)</f>
        <v>268</v>
      </c>
    </row>
    <row r="41" spans="1:15">
      <c r="A41" s="19">
        <v>4</v>
      </c>
      <c r="B41" s="19">
        <v>4</v>
      </c>
      <c r="C41" s="201">
        <v>155</v>
      </c>
      <c r="D41" s="201">
        <v>0</v>
      </c>
      <c r="E41" s="201">
        <v>0</v>
      </c>
      <c r="F41" s="201">
        <v>0</v>
      </c>
      <c r="G41" s="21">
        <f>SUM(C41:F41)</f>
        <v>155</v>
      </c>
    </row>
    <row r="42" spans="1:15" ht="21" thickBot="1">
      <c r="A42" s="45" t="s">
        <v>0</v>
      </c>
      <c r="B42" s="45" t="s">
        <v>6</v>
      </c>
      <c r="C42" s="23">
        <f>SUM(C38:C41)</f>
        <v>269</v>
      </c>
      <c r="D42" s="23">
        <f>SUM(D38:D41)</f>
        <v>23</v>
      </c>
      <c r="E42" s="23">
        <f>SUM(E38:E41)</f>
        <v>127</v>
      </c>
      <c r="F42" s="23">
        <f>SUM(F38:F41)</f>
        <v>4</v>
      </c>
      <c r="G42" s="23">
        <f>SUM(G38:G41)</f>
        <v>423</v>
      </c>
    </row>
    <row r="43" spans="1:15" ht="21" thickTop="1">
      <c r="A43" s="24"/>
      <c r="B43" s="24"/>
      <c r="C43" s="24"/>
      <c r="D43" s="24"/>
      <c r="E43" s="24"/>
      <c r="F43" s="24"/>
    </row>
    <row r="45" spans="1:15" ht="22.5" customHeight="1">
      <c r="A45" s="392"/>
      <c r="B45" s="392"/>
      <c r="C45" s="392"/>
      <c r="D45" s="392"/>
      <c r="E45" s="392"/>
      <c r="F45" s="410" t="s">
        <v>1</v>
      </c>
      <c r="G45" s="410"/>
      <c r="H45" s="410"/>
    </row>
    <row r="46" spans="1:15" ht="31.5">
      <c r="A46" s="43" t="s">
        <v>33</v>
      </c>
      <c r="B46" s="43" t="s">
        <v>36</v>
      </c>
      <c r="C46" s="43" t="s">
        <v>37</v>
      </c>
      <c r="D46" s="43" t="s">
        <v>38</v>
      </c>
      <c r="E46" s="43" t="s">
        <v>39</v>
      </c>
      <c r="F46" s="43" t="s">
        <v>110</v>
      </c>
      <c r="G46" s="43" t="s">
        <v>19</v>
      </c>
      <c r="H46" s="43" t="s">
        <v>6</v>
      </c>
    </row>
    <row r="47" spans="1:15" ht="23.25" customHeight="1">
      <c r="A47" s="27">
        <v>1</v>
      </c>
      <c r="B47" s="43" t="s">
        <v>23</v>
      </c>
      <c r="C47" s="51">
        <v>1000</v>
      </c>
      <c r="D47" s="51">
        <v>2000</v>
      </c>
      <c r="E47" s="51">
        <v>100</v>
      </c>
      <c r="F47" s="51">
        <v>0</v>
      </c>
      <c r="G47" s="51">
        <v>2000</v>
      </c>
      <c r="H47" s="25">
        <f>SUM(C47:G47)</f>
        <v>5100</v>
      </c>
    </row>
    <row r="49" spans="1:15">
      <c r="A49" s="397" t="s">
        <v>123</v>
      </c>
      <c r="B49" s="398"/>
      <c r="C49" s="398"/>
      <c r="D49" s="398"/>
      <c r="E49" s="398"/>
      <c r="F49" s="398"/>
      <c r="G49" s="398"/>
      <c r="H49" s="398"/>
      <c r="I49" s="18"/>
      <c r="J49" s="18"/>
      <c r="K49" s="18"/>
      <c r="L49" s="18"/>
      <c r="M49" s="18"/>
      <c r="N49" s="18"/>
      <c r="O49" s="18"/>
    </row>
    <row r="50" spans="1:15">
      <c r="A50" s="397" t="s">
        <v>31</v>
      </c>
      <c r="B50" s="398"/>
      <c r="C50" s="398"/>
      <c r="D50" s="398"/>
      <c r="E50" s="398"/>
      <c r="F50" s="398"/>
      <c r="G50" s="398"/>
      <c r="H50" s="398"/>
      <c r="I50" s="40"/>
      <c r="J50" s="40"/>
      <c r="K50" s="40"/>
      <c r="L50" s="40"/>
      <c r="M50" s="40"/>
      <c r="N50" s="40"/>
      <c r="O50" s="40"/>
    </row>
    <row r="51" spans="1:15">
      <c r="A51" s="41" t="s">
        <v>32</v>
      </c>
      <c r="B51" s="39"/>
      <c r="C51" s="42"/>
      <c r="D51" s="42"/>
      <c r="E51" s="42"/>
      <c r="F51" s="42"/>
      <c r="G51" s="42"/>
      <c r="H51" s="42"/>
    </row>
    <row r="52" spans="1:15">
      <c r="A52" s="399" t="s">
        <v>33</v>
      </c>
      <c r="B52" s="399" t="s">
        <v>8</v>
      </c>
      <c r="C52" s="355" t="s">
        <v>34</v>
      </c>
      <c r="D52" s="357"/>
      <c r="E52" s="355" t="s">
        <v>35</v>
      </c>
      <c r="F52" s="357"/>
      <c r="G52" s="401" t="s">
        <v>6</v>
      </c>
      <c r="H52" s="42"/>
    </row>
    <row r="53" spans="1:15">
      <c r="A53" s="400"/>
      <c r="B53" s="400"/>
      <c r="C53" s="44" t="s">
        <v>4</v>
      </c>
      <c r="D53" s="44" t="s">
        <v>5</v>
      </c>
      <c r="E53" s="44" t="s">
        <v>4</v>
      </c>
      <c r="F53" s="44" t="s">
        <v>5</v>
      </c>
      <c r="G53" s="402"/>
      <c r="H53" s="42"/>
    </row>
    <row r="54" spans="1:15">
      <c r="A54" s="19">
        <v>1</v>
      </c>
      <c r="B54" s="19">
        <v>1</v>
      </c>
      <c r="C54" s="201">
        <v>0</v>
      </c>
      <c r="D54" s="201">
        <v>0</v>
      </c>
      <c r="E54" s="201">
        <v>0</v>
      </c>
      <c r="F54" s="201">
        <v>0</v>
      </c>
      <c r="G54" s="21">
        <f>SUM(C54:F54)</f>
        <v>0</v>
      </c>
    </row>
    <row r="55" spans="1:15">
      <c r="A55" s="19">
        <v>2</v>
      </c>
      <c r="B55" s="19">
        <v>2</v>
      </c>
      <c r="C55" s="201">
        <v>0</v>
      </c>
      <c r="D55" s="201">
        <v>0</v>
      </c>
      <c r="E55" s="201">
        <v>0</v>
      </c>
      <c r="F55" s="201">
        <v>0</v>
      </c>
      <c r="G55" s="21">
        <f>SUM(C55:F55)</f>
        <v>0</v>
      </c>
    </row>
    <row r="56" spans="1:15">
      <c r="A56" s="19">
        <v>3</v>
      </c>
      <c r="B56" s="19">
        <v>3</v>
      </c>
      <c r="C56" s="201">
        <v>127</v>
      </c>
      <c r="D56" s="201">
        <v>0</v>
      </c>
      <c r="E56" s="201">
        <v>30</v>
      </c>
      <c r="F56" s="201">
        <v>111</v>
      </c>
      <c r="G56" s="21">
        <f>SUM(C56:F56)</f>
        <v>268</v>
      </c>
    </row>
    <row r="57" spans="1:15">
      <c r="A57" s="19">
        <v>4</v>
      </c>
      <c r="B57" s="19">
        <v>4</v>
      </c>
      <c r="C57" s="201">
        <v>100</v>
      </c>
      <c r="D57" s="201">
        <v>78</v>
      </c>
      <c r="E57" s="201">
        <v>0</v>
      </c>
      <c r="F57" s="201">
        <v>0</v>
      </c>
      <c r="G57" s="21">
        <f>SUM(C57:F57)</f>
        <v>178</v>
      </c>
    </row>
    <row r="58" spans="1:15" ht="21" thickBot="1">
      <c r="A58" s="45" t="s">
        <v>0</v>
      </c>
      <c r="B58" s="45" t="s">
        <v>6</v>
      </c>
      <c r="C58" s="23">
        <f>SUM(C54:C57)</f>
        <v>227</v>
      </c>
      <c r="D58" s="23">
        <f>SUM(D54:D57)</f>
        <v>78</v>
      </c>
      <c r="E58" s="23">
        <f>SUM(E54:E57)</f>
        <v>30</v>
      </c>
      <c r="F58" s="23">
        <f>SUM(F54:F57)</f>
        <v>111</v>
      </c>
      <c r="G58" s="23">
        <f>SUM(G54:G57)</f>
        <v>446</v>
      </c>
    </row>
    <row r="59" spans="1:15" ht="21" thickTop="1">
      <c r="A59" s="24"/>
      <c r="B59" s="24"/>
      <c r="C59" s="24"/>
      <c r="D59" s="24"/>
      <c r="E59" s="24"/>
      <c r="F59" s="24"/>
    </row>
    <row r="61" spans="1:15" ht="22.5" customHeight="1">
      <c r="A61" s="392"/>
      <c r="B61" s="392"/>
      <c r="C61" s="392"/>
      <c r="D61" s="392"/>
      <c r="E61" s="392"/>
      <c r="F61" s="410" t="s">
        <v>1</v>
      </c>
      <c r="G61" s="410"/>
      <c r="H61" s="410"/>
    </row>
    <row r="62" spans="1:15" ht="31.5">
      <c r="A62" s="43" t="s">
        <v>33</v>
      </c>
      <c r="B62" s="43" t="s">
        <v>36</v>
      </c>
      <c r="C62" s="43" t="s">
        <v>37</v>
      </c>
      <c r="D62" s="43" t="s">
        <v>38</v>
      </c>
      <c r="E62" s="43" t="s">
        <v>39</v>
      </c>
      <c r="F62" s="43" t="s">
        <v>110</v>
      </c>
      <c r="G62" s="43" t="s">
        <v>19</v>
      </c>
      <c r="H62" s="43" t="s">
        <v>6</v>
      </c>
    </row>
    <row r="63" spans="1:15" ht="23.25" customHeight="1">
      <c r="A63" s="27">
        <v>1</v>
      </c>
      <c r="B63" s="43" t="s">
        <v>24</v>
      </c>
      <c r="C63" s="51">
        <v>12500</v>
      </c>
      <c r="D63" s="51">
        <v>335</v>
      </c>
      <c r="E63" s="51">
        <v>1000</v>
      </c>
      <c r="F63" s="51">
        <v>76740</v>
      </c>
      <c r="G63" s="51">
        <v>35000</v>
      </c>
      <c r="H63" s="25">
        <f>SUM(C63:G63)</f>
        <v>125575</v>
      </c>
    </row>
    <row r="64" spans="1:15" ht="23.25" customHeight="1">
      <c r="A64" s="46"/>
      <c r="B64" s="47"/>
      <c r="C64" s="48"/>
      <c r="D64" s="48"/>
      <c r="E64" s="48"/>
      <c r="F64" s="48"/>
      <c r="G64" s="48"/>
      <c r="H64" s="49"/>
    </row>
    <row r="65" spans="1:15">
      <c r="A65" s="397" t="s">
        <v>123</v>
      </c>
      <c r="B65" s="398"/>
      <c r="C65" s="398"/>
      <c r="D65" s="398"/>
      <c r="E65" s="398"/>
      <c r="F65" s="398"/>
      <c r="G65" s="398"/>
      <c r="H65" s="398"/>
      <c r="I65" s="18"/>
      <c r="J65" s="18"/>
      <c r="K65" s="18"/>
      <c r="L65" s="18"/>
      <c r="M65" s="18"/>
      <c r="N65" s="18"/>
      <c r="O65" s="18"/>
    </row>
    <row r="66" spans="1:15">
      <c r="A66" s="397" t="s">
        <v>31</v>
      </c>
      <c r="B66" s="398"/>
      <c r="C66" s="398"/>
      <c r="D66" s="398"/>
      <c r="E66" s="398"/>
      <c r="F66" s="398"/>
      <c r="G66" s="398"/>
      <c r="H66" s="398"/>
      <c r="I66" s="40"/>
      <c r="J66" s="40"/>
      <c r="K66" s="40"/>
      <c r="L66" s="40"/>
      <c r="M66" s="40"/>
      <c r="N66" s="40"/>
      <c r="O66" s="40"/>
    </row>
    <row r="67" spans="1:15">
      <c r="A67" s="41" t="s">
        <v>32</v>
      </c>
      <c r="B67" s="39"/>
      <c r="C67" s="42"/>
      <c r="D67" s="42"/>
      <c r="E67" s="42"/>
      <c r="F67" s="42"/>
      <c r="G67" s="42"/>
      <c r="H67" s="42"/>
    </row>
    <row r="68" spans="1:15">
      <c r="A68" s="399" t="s">
        <v>33</v>
      </c>
      <c r="B68" s="399" t="s">
        <v>8</v>
      </c>
      <c r="C68" s="355" t="s">
        <v>34</v>
      </c>
      <c r="D68" s="357"/>
      <c r="E68" s="355" t="s">
        <v>35</v>
      </c>
      <c r="F68" s="357"/>
      <c r="G68" s="401" t="s">
        <v>6</v>
      </c>
      <c r="H68" s="42"/>
    </row>
    <row r="69" spans="1:15">
      <c r="A69" s="400"/>
      <c r="B69" s="400"/>
      <c r="C69" s="44" t="s">
        <v>4</v>
      </c>
      <c r="D69" s="44" t="s">
        <v>5</v>
      </c>
      <c r="E69" s="44" t="s">
        <v>4</v>
      </c>
      <c r="F69" s="44" t="s">
        <v>5</v>
      </c>
      <c r="G69" s="402"/>
      <c r="H69" s="42"/>
    </row>
    <row r="70" spans="1:15">
      <c r="A70" s="19">
        <v>1</v>
      </c>
      <c r="B70" s="19">
        <v>1</v>
      </c>
      <c r="C70" s="201">
        <v>0</v>
      </c>
      <c r="D70" s="201">
        <v>0</v>
      </c>
      <c r="E70" s="201">
        <v>0</v>
      </c>
      <c r="F70" s="201">
        <v>0</v>
      </c>
      <c r="G70" s="21">
        <f>SUM(C70:F70)</f>
        <v>0</v>
      </c>
    </row>
    <row r="71" spans="1:15">
      <c r="A71" s="19">
        <v>2</v>
      </c>
      <c r="B71" s="19">
        <v>2</v>
      </c>
      <c r="C71" s="201">
        <v>0</v>
      </c>
      <c r="D71" s="201">
        <v>0</v>
      </c>
      <c r="E71" s="201">
        <v>0</v>
      </c>
      <c r="F71" s="201">
        <v>0</v>
      </c>
      <c r="G71" s="21">
        <f>SUM(C71:F71)</f>
        <v>0</v>
      </c>
    </row>
    <row r="72" spans="1:15">
      <c r="A72" s="19">
        <v>3</v>
      </c>
      <c r="B72" s="19">
        <v>3</v>
      </c>
      <c r="C72" s="201">
        <v>219</v>
      </c>
      <c r="D72" s="201">
        <v>40</v>
      </c>
      <c r="E72" s="201">
        <v>177</v>
      </c>
      <c r="F72" s="201">
        <v>72</v>
      </c>
      <c r="G72" s="21">
        <f>SUM(C72:F72)</f>
        <v>508</v>
      </c>
    </row>
    <row r="73" spans="1:15">
      <c r="A73" s="19">
        <v>4</v>
      </c>
      <c r="B73" s="19">
        <v>4</v>
      </c>
      <c r="C73" s="201">
        <v>235</v>
      </c>
      <c r="D73" s="201">
        <v>116</v>
      </c>
      <c r="E73" s="201">
        <v>0</v>
      </c>
      <c r="F73" s="201">
        <v>0</v>
      </c>
      <c r="G73" s="21">
        <f>SUM(C73:F73)</f>
        <v>351</v>
      </c>
    </row>
    <row r="74" spans="1:15" ht="21" thickBot="1">
      <c r="A74" s="45" t="s">
        <v>0</v>
      </c>
      <c r="B74" s="45" t="s">
        <v>6</v>
      </c>
      <c r="C74" s="23">
        <f>SUM(C70:C73)</f>
        <v>454</v>
      </c>
      <c r="D74" s="23">
        <f>SUM(D70:D73)</f>
        <v>156</v>
      </c>
      <c r="E74" s="23">
        <f>SUM(E70:E73)</f>
        <v>177</v>
      </c>
      <c r="F74" s="23">
        <f>SUM(F70:F73)</f>
        <v>72</v>
      </c>
      <c r="G74" s="23">
        <f>SUM(G70:G73)</f>
        <v>859</v>
      </c>
    </row>
    <row r="75" spans="1:15" ht="21" thickTop="1">
      <c r="A75" s="24"/>
      <c r="B75" s="24"/>
      <c r="C75" s="24"/>
      <c r="D75" s="24"/>
      <c r="E75" s="24"/>
      <c r="F75" s="24"/>
    </row>
    <row r="77" spans="1:15" ht="22.5" customHeight="1">
      <c r="A77" s="392"/>
      <c r="B77" s="392"/>
      <c r="C77" s="392"/>
      <c r="D77" s="392"/>
      <c r="E77" s="392"/>
      <c r="F77" s="410" t="s">
        <v>1</v>
      </c>
      <c r="G77" s="410"/>
      <c r="H77" s="410"/>
    </row>
    <row r="78" spans="1:15" ht="31.5">
      <c r="A78" s="43" t="s">
        <v>33</v>
      </c>
      <c r="B78" s="43" t="s">
        <v>36</v>
      </c>
      <c r="C78" s="43" t="s">
        <v>37</v>
      </c>
      <c r="D78" s="43" t="s">
        <v>38</v>
      </c>
      <c r="E78" s="43" t="s">
        <v>39</v>
      </c>
      <c r="F78" s="43" t="s">
        <v>110</v>
      </c>
      <c r="G78" s="43" t="s">
        <v>19</v>
      </c>
      <c r="H78" s="43" t="s">
        <v>6</v>
      </c>
    </row>
    <row r="79" spans="1:15" ht="23.25" customHeight="1">
      <c r="A79" s="27">
        <v>1</v>
      </c>
      <c r="B79" s="43" t="s">
        <v>25</v>
      </c>
      <c r="C79" s="51">
        <v>10000</v>
      </c>
      <c r="D79" s="51">
        <v>6350</v>
      </c>
      <c r="E79" s="51">
        <v>10000</v>
      </c>
      <c r="F79" s="51">
        <v>44750</v>
      </c>
      <c r="G79" s="51">
        <v>8271</v>
      </c>
      <c r="H79" s="25">
        <f>SUM(C79:G79)</f>
        <v>79371</v>
      </c>
    </row>
    <row r="81" spans="1:15">
      <c r="A81" s="397" t="s">
        <v>123</v>
      </c>
      <c r="B81" s="398"/>
      <c r="C81" s="398"/>
      <c r="D81" s="398"/>
      <c r="E81" s="398"/>
      <c r="F81" s="398"/>
      <c r="G81" s="398"/>
      <c r="H81" s="398"/>
      <c r="I81" s="18"/>
      <c r="J81" s="18"/>
      <c r="K81" s="18"/>
      <c r="L81" s="18"/>
      <c r="M81" s="18"/>
      <c r="N81" s="18"/>
      <c r="O81" s="18"/>
    </row>
    <row r="82" spans="1:15">
      <c r="A82" s="397" t="s">
        <v>31</v>
      </c>
      <c r="B82" s="398"/>
      <c r="C82" s="398"/>
      <c r="D82" s="398"/>
      <c r="E82" s="398"/>
      <c r="F82" s="398"/>
      <c r="G82" s="398"/>
      <c r="H82" s="398"/>
      <c r="I82" s="40"/>
      <c r="J82" s="40"/>
      <c r="K82" s="40"/>
      <c r="L82" s="40"/>
      <c r="M82" s="40"/>
      <c r="N82" s="40"/>
      <c r="O82" s="40"/>
    </row>
    <row r="83" spans="1:15">
      <c r="A83" s="41" t="s">
        <v>32</v>
      </c>
      <c r="B83" s="39"/>
      <c r="C83" s="42"/>
      <c r="D83" s="42"/>
      <c r="E83" s="42"/>
      <c r="F83" s="42"/>
      <c r="G83" s="42"/>
      <c r="H83" s="42"/>
    </row>
    <row r="84" spans="1:15">
      <c r="A84" s="399" t="s">
        <v>33</v>
      </c>
      <c r="B84" s="399" t="s">
        <v>8</v>
      </c>
      <c r="C84" s="355" t="s">
        <v>34</v>
      </c>
      <c r="D84" s="357"/>
      <c r="E84" s="355" t="s">
        <v>35</v>
      </c>
      <c r="F84" s="357"/>
      <c r="G84" s="401" t="s">
        <v>6</v>
      </c>
      <c r="H84" s="42"/>
    </row>
    <row r="85" spans="1:15">
      <c r="A85" s="400"/>
      <c r="B85" s="400"/>
      <c r="C85" s="44" t="s">
        <v>4</v>
      </c>
      <c r="D85" s="44" t="s">
        <v>5</v>
      </c>
      <c r="E85" s="44" t="s">
        <v>4</v>
      </c>
      <c r="F85" s="44" t="s">
        <v>5</v>
      </c>
      <c r="G85" s="402"/>
      <c r="H85" s="42"/>
    </row>
    <row r="86" spans="1:15">
      <c r="A86" s="19">
        <v>1</v>
      </c>
      <c r="B86" s="19">
        <v>1</v>
      </c>
      <c r="C86" s="201">
        <v>0</v>
      </c>
      <c r="D86" s="201">
        <v>0</v>
      </c>
      <c r="E86" s="201">
        <v>0</v>
      </c>
      <c r="F86" s="201">
        <v>0</v>
      </c>
      <c r="G86" s="21">
        <f>SUM(C86:F86)</f>
        <v>0</v>
      </c>
    </row>
    <row r="87" spans="1:15">
      <c r="A87" s="19">
        <v>2</v>
      </c>
      <c r="B87" s="19">
        <v>2</v>
      </c>
      <c r="C87" s="201">
        <v>0</v>
      </c>
      <c r="D87" s="201">
        <v>0</v>
      </c>
      <c r="E87" s="201">
        <v>0</v>
      </c>
      <c r="F87" s="201">
        <v>0</v>
      </c>
      <c r="G87" s="21">
        <f>SUM(C87:F87)</f>
        <v>0</v>
      </c>
    </row>
    <row r="88" spans="1:15">
      <c r="A88" s="19">
        <v>3</v>
      </c>
      <c r="B88" s="19">
        <v>3</v>
      </c>
      <c r="C88" s="201">
        <v>249</v>
      </c>
      <c r="D88" s="201">
        <v>58</v>
      </c>
      <c r="E88" s="201">
        <v>153</v>
      </c>
      <c r="F88" s="201">
        <v>41</v>
      </c>
      <c r="G88" s="21">
        <f>SUM(C88:F88)</f>
        <v>501</v>
      </c>
    </row>
    <row r="89" spans="1:15">
      <c r="A89" s="19">
        <v>4</v>
      </c>
      <c r="B89" s="19">
        <v>4</v>
      </c>
      <c r="C89" s="201">
        <v>335</v>
      </c>
      <c r="D89" s="201">
        <v>59</v>
      </c>
      <c r="E89" s="201">
        <v>0</v>
      </c>
      <c r="F89" s="201">
        <v>0</v>
      </c>
      <c r="G89" s="21">
        <f>SUM(C89:F89)</f>
        <v>394</v>
      </c>
    </row>
    <row r="90" spans="1:15" ht="21" thickBot="1">
      <c r="A90" s="45" t="s">
        <v>0</v>
      </c>
      <c r="B90" s="45" t="s">
        <v>6</v>
      </c>
      <c r="C90" s="23">
        <f>SUM(C86:C89)</f>
        <v>584</v>
      </c>
      <c r="D90" s="23">
        <f>SUM(D86:D89)</f>
        <v>117</v>
      </c>
      <c r="E90" s="23">
        <f>SUM(E86:E89)</f>
        <v>153</v>
      </c>
      <c r="F90" s="23">
        <f>SUM(F86:F89)</f>
        <v>41</v>
      </c>
      <c r="G90" s="23">
        <f>SUM(G86:G89)</f>
        <v>895</v>
      </c>
    </row>
    <row r="91" spans="1:15" ht="21" thickTop="1">
      <c r="A91" s="24"/>
      <c r="B91" s="24"/>
      <c r="C91" s="24"/>
      <c r="D91" s="24"/>
      <c r="E91" s="24"/>
      <c r="F91" s="24"/>
    </row>
    <row r="93" spans="1:15" ht="22.5" customHeight="1">
      <c r="A93" s="392"/>
      <c r="B93" s="392"/>
      <c r="C93" s="392"/>
      <c r="D93" s="392"/>
      <c r="E93" s="392"/>
      <c r="F93" s="410" t="s">
        <v>1</v>
      </c>
      <c r="G93" s="410"/>
      <c r="H93" s="410"/>
    </row>
    <row r="94" spans="1:15" ht="31.5">
      <c r="A94" s="43" t="s">
        <v>33</v>
      </c>
      <c r="B94" s="43" t="s">
        <v>36</v>
      </c>
      <c r="C94" s="43" t="s">
        <v>37</v>
      </c>
      <c r="D94" s="43" t="s">
        <v>38</v>
      </c>
      <c r="E94" s="43" t="s">
        <v>39</v>
      </c>
      <c r="F94" s="43" t="s">
        <v>110</v>
      </c>
      <c r="G94" s="43" t="s">
        <v>19</v>
      </c>
      <c r="H94" s="43" t="s">
        <v>6</v>
      </c>
    </row>
    <row r="95" spans="1:15" ht="23.25" customHeight="1">
      <c r="A95" s="27">
        <v>1</v>
      </c>
      <c r="B95" s="43" t="s">
        <v>26</v>
      </c>
      <c r="C95" s="51">
        <v>12525</v>
      </c>
      <c r="D95" s="51">
        <v>11455</v>
      </c>
      <c r="E95" s="51">
        <v>5010</v>
      </c>
      <c r="F95" s="51">
        <v>72145</v>
      </c>
      <c r="G95" s="51">
        <v>77119</v>
      </c>
      <c r="H95" s="25">
        <f>SUM(C95:G95)</f>
        <v>178254</v>
      </c>
    </row>
    <row r="97" spans="1:15">
      <c r="A97" s="397" t="s">
        <v>123</v>
      </c>
      <c r="B97" s="398"/>
      <c r="C97" s="398"/>
      <c r="D97" s="398"/>
      <c r="E97" s="398"/>
      <c r="F97" s="398"/>
      <c r="G97" s="398"/>
      <c r="H97" s="398"/>
      <c r="I97" s="18"/>
      <c r="J97" s="18"/>
      <c r="K97" s="18"/>
      <c r="L97" s="18"/>
      <c r="M97" s="18"/>
      <c r="N97" s="18"/>
      <c r="O97" s="18"/>
    </row>
    <row r="98" spans="1:15">
      <c r="A98" s="397" t="s">
        <v>31</v>
      </c>
      <c r="B98" s="398"/>
      <c r="C98" s="398"/>
      <c r="D98" s="398"/>
      <c r="E98" s="398"/>
      <c r="F98" s="398"/>
      <c r="G98" s="398"/>
      <c r="H98" s="398"/>
      <c r="I98" s="40"/>
      <c r="J98" s="40"/>
      <c r="K98" s="40"/>
      <c r="L98" s="40"/>
      <c r="M98" s="40"/>
      <c r="N98" s="40"/>
      <c r="O98" s="40"/>
    </row>
    <row r="99" spans="1:15">
      <c r="A99" s="41" t="s">
        <v>32</v>
      </c>
      <c r="B99" s="39"/>
      <c r="C99" s="42"/>
      <c r="D99" s="42"/>
      <c r="E99" s="42"/>
      <c r="F99" s="42"/>
      <c r="G99" s="42"/>
      <c r="H99" s="42"/>
    </row>
    <row r="100" spans="1:15">
      <c r="A100" s="399" t="s">
        <v>33</v>
      </c>
      <c r="B100" s="399" t="s">
        <v>8</v>
      </c>
      <c r="C100" s="355" t="s">
        <v>34</v>
      </c>
      <c r="D100" s="357"/>
      <c r="E100" s="355" t="s">
        <v>35</v>
      </c>
      <c r="F100" s="357"/>
      <c r="G100" s="401" t="s">
        <v>6</v>
      </c>
      <c r="H100" s="42"/>
    </row>
    <row r="101" spans="1:15">
      <c r="A101" s="400"/>
      <c r="B101" s="400"/>
      <c r="C101" s="44" t="s">
        <v>4</v>
      </c>
      <c r="D101" s="44" t="s">
        <v>5</v>
      </c>
      <c r="E101" s="44" t="s">
        <v>4</v>
      </c>
      <c r="F101" s="44" t="s">
        <v>5</v>
      </c>
      <c r="G101" s="402"/>
      <c r="H101" s="42"/>
    </row>
    <row r="102" spans="1:15">
      <c r="A102" s="19">
        <v>1</v>
      </c>
      <c r="B102" s="19">
        <v>1</v>
      </c>
      <c r="C102" s="201">
        <v>0</v>
      </c>
      <c r="D102" s="201">
        <v>0</v>
      </c>
      <c r="E102" s="201">
        <v>0</v>
      </c>
      <c r="F102" s="201">
        <v>0</v>
      </c>
      <c r="G102" s="21">
        <f>SUM(C102:F102)</f>
        <v>0</v>
      </c>
    </row>
    <row r="103" spans="1:15">
      <c r="A103" s="19">
        <v>2</v>
      </c>
      <c r="B103" s="19">
        <v>2</v>
      </c>
      <c r="C103" s="201">
        <v>0</v>
      </c>
      <c r="D103" s="201">
        <v>0</v>
      </c>
      <c r="E103" s="201">
        <v>0</v>
      </c>
      <c r="F103" s="201">
        <v>0</v>
      </c>
      <c r="G103" s="21">
        <f>SUM(C103:F103)</f>
        <v>0</v>
      </c>
    </row>
    <row r="104" spans="1:15">
      <c r="A104" s="19">
        <v>3</v>
      </c>
      <c r="B104" s="19">
        <v>3</v>
      </c>
      <c r="C104" s="201">
        <v>128</v>
      </c>
      <c r="D104" s="201">
        <v>38</v>
      </c>
      <c r="E104" s="201">
        <v>126</v>
      </c>
      <c r="F104" s="201">
        <v>52</v>
      </c>
      <c r="G104" s="21">
        <f>SUM(C104:F104)</f>
        <v>344</v>
      </c>
    </row>
    <row r="105" spans="1:15">
      <c r="A105" s="19">
        <v>4</v>
      </c>
      <c r="B105" s="19">
        <v>4</v>
      </c>
      <c r="C105" s="201">
        <v>212</v>
      </c>
      <c r="D105" s="201">
        <v>24</v>
      </c>
      <c r="E105" s="201">
        <v>0</v>
      </c>
      <c r="F105" s="201">
        <v>0</v>
      </c>
      <c r="G105" s="21">
        <f>SUM(C105:F105)</f>
        <v>236</v>
      </c>
    </row>
    <row r="106" spans="1:15" ht="21" thickBot="1">
      <c r="A106" s="45" t="s">
        <v>0</v>
      </c>
      <c r="B106" s="45" t="s">
        <v>6</v>
      </c>
      <c r="C106" s="23">
        <f>SUM(C102:C105)</f>
        <v>340</v>
      </c>
      <c r="D106" s="23">
        <f>SUM(D102:D105)</f>
        <v>62</v>
      </c>
      <c r="E106" s="23">
        <f>SUM(E102:E105)</f>
        <v>126</v>
      </c>
      <c r="F106" s="23">
        <f>SUM(F102:F105)</f>
        <v>52</v>
      </c>
      <c r="G106" s="23">
        <f>SUM(G102:G105)</f>
        <v>580</v>
      </c>
    </row>
    <row r="107" spans="1:15" ht="21" thickTop="1">
      <c r="A107" s="24"/>
      <c r="B107" s="24"/>
      <c r="C107" s="24"/>
      <c r="D107" s="24"/>
      <c r="E107" s="24"/>
      <c r="F107" s="24"/>
    </row>
    <row r="109" spans="1:15" ht="22.5" customHeight="1">
      <c r="A109" s="392"/>
      <c r="B109" s="392"/>
      <c r="C109" s="392"/>
      <c r="D109" s="392"/>
      <c r="E109" s="392"/>
      <c r="F109" s="410" t="s">
        <v>1</v>
      </c>
      <c r="G109" s="410"/>
      <c r="H109" s="410"/>
    </row>
    <row r="110" spans="1:15" ht="31.5">
      <c r="A110" s="43" t="s">
        <v>33</v>
      </c>
      <c r="B110" s="43" t="s">
        <v>36</v>
      </c>
      <c r="C110" s="43" t="s">
        <v>37</v>
      </c>
      <c r="D110" s="43" t="s">
        <v>38</v>
      </c>
      <c r="E110" s="43" t="s">
        <v>39</v>
      </c>
      <c r="F110" s="43" t="s">
        <v>110</v>
      </c>
      <c r="G110" s="43" t="s">
        <v>19</v>
      </c>
      <c r="H110" s="43" t="s">
        <v>6</v>
      </c>
    </row>
    <row r="111" spans="1:15" ht="23.25" customHeight="1">
      <c r="A111" s="27">
        <v>1</v>
      </c>
      <c r="B111" s="43" t="s">
        <v>27</v>
      </c>
      <c r="C111" s="51">
        <v>29000</v>
      </c>
      <c r="D111" s="51">
        <v>4933</v>
      </c>
      <c r="E111" s="51">
        <v>5145</v>
      </c>
      <c r="F111" s="51">
        <v>35989</v>
      </c>
      <c r="G111" s="51">
        <v>0</v>
      </c>
      <c r="H111" s="25">
        <f>SUM(C111:G111)</f>
        <v>75067</v>
      </c>
    </row>
    <row r="113" spans="1:15">
      <c r="A113" s="393" t="s">
        <v>98</v>
      </c>
      <c r="B113" s="394"/>
      <c r="C113" s="394"/>
      <c r="D113" s="394"/>
      <c r="E113" s="394"/>
      <c r="F113" s="394"/>
      <c r="G113" s="394"/>
      <c r="H113" s="394"/>
      <c r="I113" s="18"/>
      <c r="J113" s="18"/>
      <c r="K113" s="18"/>
      <c r="L113" s="18"/>
      <c r="M113" s="18"/>
      <c r="N113" s="18"/>
      <c r="O113" s="18"/>
    </row>
    <row r="114" spans="1:15">
      <c r="A114" s="393" t="s">
        <v>31</v>
      </c>
      <c r="B114" s="394"/>
      <c r="C114" s="394"/>
      <c r="D114" s="394"/>
      <c r="E114" s="394"/>
      <c r="F114" s="394"/>
      <c r="G114" s="394"/>
      <c r="H114" s="394"/>
      <c r="I114" s="40"/>
      <c r="J114" s="40"/>
      <c r="K114" s="40"/>
      <c r="L114" s="40"/>
      <c r="M114" s="40"/>
      <c r="N114" s="40"/>
      <c r="O114" s="40"/>
    </row>
    <row r="115" spans="1:15">
      <c r="A115" s="154" t="s">
        <v>32</v>
      </c>
      <c r="B115" s="155"/>
      <c r="C115" s="156"/>
      <c r="D115" s="156"/>
      <c r="E115" s="156"/>
      <c r="F115" s="156"/>
      <c r="G115" s="156"/>
      <c r="H115" s="156"/>
    </row>
    <row r="116" spans="1:15">
      <c r="A116" s="395" t="s">
        <v>33</v>
      </c>
      <c r="B116" s="395" t="s">
        <v>8</v>
      </c>
      <c r="C116" s="370" t="s">
        <v>34</v>
      </c>
      <c r="D116" s="372"/>
      <c r="E116" s="370" t="s">
        <v>35</v>
      </c>
      <c r="F116" s="372"/>
      <c r="G116" s="389" t="s">
        <v>6</v>
      </c>
      <c r="H116" s="156"/>
    </row>
    <row r="117" spans="1:15">
      <c r="A117" s="396"/>
      <c r="B117" s="396"/>
      <c r="C117" s="157" t="s">
        <v>4</v>
      </c>
      <c r="D117" s="157" t="s">
        <v>5</v>
      </c>
      <c r="E117" s="157" t="s">
        <v>4</v>
      </c>
      <c r="F117" s="157" t="s">
        <v>5</v>
      </c>
      <c r="G117" s="390"/>
      <c r="H117" s="156"/>
    </row>
    <row r="118" spans="1:15">
      <c r="A118" s="158">
        <v>1</v>
      </c>
      <c r="B118" s="158">
        <v>1</v>
      </c>
      <c r="C118" s="159">
        <v>0</v>
      </c>
      <c r="D118" s="159">
        <v>0</v>
      </c>
      <c r="E118" s="159">
        <v>0</v>
      </c>
      <c r="F118" s="159">
        <v>0</v>
      </c>
      <c r="G118" s="160">
        <f>SUM(C118:F118)</f>
        <v>0</v>
      </c>
      <c r="H118" s="132"/>
    </row>
    <row r="119" spans="1:15">
      <c r="A119" s="158">
        <v>2</v>
      </c>
      <c r="B119" s="158">
        <v>2</v>
      </c>
      <c r="C119" s="159">
        <v>0</v>
      </c>
      <c r="D119" s="159">
        <v>0</v>
      </c>
      <c r="E119" s="159">
        <v>0</v>
      </c>
      <c r="F119" s="159">
        <v>0</v>
      </c>
      <c r="G119" s="160">
        <f>SUM(C119:F119)</f>
        <v>0</v>
      </c>
      <c r="H119" s="132"/>
    </row>
    <row r="120" spans="1:15">
      <c r="A120" s="158">
        <v>3</v>
      </c>
      <c r="B120" s="158">
        <v>3</v>
      </c>
      <c r="C120" s="159">
        <v>0</v>
      </c>
      <c r="D120" s="159">
        <v>0</v>
      </c>
      <c r="E120" s="159">
        <v>0</v>
      </c>
      <c r="F120" s="159">
        <v>0</v>
      </c>
      <c r="G120" s="160">
        <f>SUM(C120:F120)</f>
        <v>0</v>
      </c>
      <c r="H120" s="132"/>
    </row>
    <row r="121" spans="1:15">
      <c r="A121" s="158">
        <v>4</v>
      </c>
      <c r="B121" s="158">
        <v>4</v>
      </c>
      <c r="C121" s="159">
        <v>0</v>
      </c>
      <c r="D121" s="159">
        <v>0</v>
      </c>
      <c r="E121" s="159">
        <v>0</v>
      </c>
      <c r="F121" s="159">
        <v>0</v>
      </c>
      <c r="G121" s="160">
        <f>SUM(C121:F121)</f>
        <v>0</v>
      </c>
      <c r="H121" s="132"/>
    </row>
    <row r="122" spans="1:15" ht="21" thickBot="1">
      <c r="A122" s="161" t="s">
        <v>0</v>
      </c>
      <c r="B122" s="161" t="s">
        <v>6</v>
      </c>
      <c r="C122" s="162">
        <f>SUM(C118:C121)</f>
        <v>0</v>
      </c>
      <c r="D122" s="162">
        <f>SUM(D118:D121)</f>
        <v>0</v>
      </c>
      <c r="E122" s="162">
        <f>SUM(E118:E121)</f>
        <v>0</v>
      </c>
      <c r="F122" s="162">
        <f>SUM(F118:F121)</f>
        <v>0</v>
      </c>
      <c r="G122" s="162">
        <f>SUM(G118:G121)</f>
        <v>0</v>
      </c>
      <c r="H122" s="132"/>
    </row>
    <row r="123" spans="1:15" ht="21" thickTop="1">
      <c r="A123" s="163"/>
      <c r="B123" s="163"/>
      <c r="C123" s="163"/>
      <c r="D123" s="163"/>
      <c r="E123" s="163"/>
      <c r="F123" s="163"/>
      <c r="G123" s="132"/>
      <c r="H123" s="132"/>
    </row>
    <row r="124" spans="1:15">
      <c r="A124" s="132"/>
      <c r="B124" s="132"/>
      <c r="C124" s="132"/>
      <c r="D124" s="132"/>
      <c r="E124" s="132"/>
      <c r="F124" s="132"/>
      <c r="G124" s="132"/>
      <c r="H124" s="132"/>
    </row>
    <row r="125" spans="1:15" ht="22.5" customHeight="1">
      <c r="A125" s="391"/>
      <c r="B125" s="391"/>
      <c r="C125" s="391"/>
      <c r="D125" s="391"/>
      <c r="E125" s="391"/>
      <c r="F125" s="413" t="s">
        <v>1</v>
      </c>
      <c r="G125" s="413"/>
      <c r="H125" s="413"/>
    </row>
    <row r="126" spans="1:15" ht="31.5">
      <c r="A126" s="164" t="s">
        <v>33</v>
      </c>
      <c r="B126" s="164" t="s">
        <v>36</v>
      </c>
      <c r="C126" s="164" t="s">
        <v>37</v>
      </c>
      <c r="D126" s="164" t="s">
        <v>38</v>
      </c>
      <c r="E126" s="164" t="s">
        <v>39</v>
      </c>
      <c r="F126" s="164" t="s">
        <v>40</v>
      </c>
      <c r="G126" s="164" t="s">
        <v>19</v>
      </c>
      <c r="H126" s="164" t="s">
        <v>6</v>
      </c>
    </row>
    <row r="127" spans="1:15" ht="23.25" customHeight="1">
      <c r="A127" s="165">
        <v>1</v>
      </c>
      <c r="B127" s="164" t="s">
        <v>28</v>
      </c>
      <c r="C127" s="166">
        <v>0</v>
      </c>
      <c r="D127" s="166">
        <v>0</v>
      </c>
      <c r="E127" s="166">
        <v>0</v>
      </c>
      <c r="F127" s="166">
        <v>0</v>
      </c>
      <c r="G127" s="166">
        <v>0</v>
      </c>
      <c r="H127" s="167">
        <f>SUM(C127:G127)</f>
        <v>0</v>
      </c>
    </row>
    <row r="128" spans="1:15">
      <c r="A128" s="132"/>
      <c r="B128" s="132"/>
      <c r="C128" s="132"/>
      <c r="D128" s="132"/>
      <c r="E128" s="132"/>
      <c r="F128" s="132"/>
      <c r="G128" s="132"/>
      <c r="H128" s="132"/>
    </row>
    <row r="129" spans="1:15">
      <c r="A129" s="397" t="s">
        <v>123</v>
      </c>
      <c r="B129" s="398"/>
      <c r="C129" s="398"/>
      <c r="D129" s="398"/>
      <c r="E129" s="398"/>
      <c r="F129" s="398"/>
      <c r="G129" s="398"/>
      <c r="H129" s="398"/>
      <c r="I129" s="18"/>
      <c r="J129" s="18"/>
      <c r="K129" s="18"/>
      <c r="L129" s="18"/>
      <c r="M129" s="18"/>
      <c r="N129" s="18"/>
      <c r="O129" s="18"/>
    </row>
    <row r="130" spans="1:15">
      <c r="A130" s="397" t="s">
        <v>31</v>
      </c>
      <c r="B130" s="398"/>
      <c r="C130" s="398"/>
      <c r="D130" s="398"/>
      <c r="E130" s="398"/>
      <c r="F130" s="398"/>
      <c r="G130" s="398"/>
      <c r="H130" s="398"/>
      <c r="I130" s="40"/>
      <c r="J130" s="40"/>
      <c r="K130" s="40"/>
      <c r="L130" s="40"/>
      <c r="M130" s="40"/>
      <c r="N130" s="40"/>
      <c r="O130" s="40"/>
    </row>
    <row r="131" spans="1:15">
      <c r="A131" s="41" t="s">
        <v>32</v>
      </c>
      <c r="B131" s="39"/>
      <c r="C131" s="42"/>
      <c r="D131" s="42"/>
      <c r="E131" s="42"/>
      <c r="F131" s="42"/>
      <c r="G131" s="42"/>
      <c r="H131" s="42"/>
    </row>
    <row r="132" spans="1:15">
      <c r="A132" s="399" t="s">
        <v>33</v>
      </c>
      <c r="B132" s="399" t="s">
        <v>8</v>
      </c>
      <c r="C132" s="355" t="s">
        <v>34</v>
      </c>
      <c r="D132" s="357"/>
      <c r="E132" s="355" t="s">
        <v>35</v>
      </c>
      <c r="F132" s="357"/>
      <c r="G132" s="401" t="s">
        <v>6</v>
      </c>
      <c r="H132" s="42"/>
    </row>
    <row r="133" spans="1:15">
      <c r="A133" s="400"/>
      <c r="B133" s="400"/>
      <c r="C133" s="44" t="s">
        <v>4</v>
      </c>
      <c r="D133" s="44" t="s">
        <v>5</v>
      </c>
      <c r="E133" s="44" t="s">
        <v>4</v>
      </c>
      <c r="F133" s="44" t="s">
        <v>5</v>
      </c>
      <c r="G133" s="402"/>
      <c r="H133" s="42"/>
    </row>
    <row r="134" spans="1:15">
      <c r="A134" s="19">
        <v>1</v>
      </c>
      <c r="B134" s="19">
        <v>1</v>
      </c>
      <c r="C134" s="20">
        <f>SUM(C6+C22+C38+C54+C70+C86+C102+C118)</f>
        <v>0</v>
      </c>
      <c r="D134" s="20">
        <f>SUM(D6+D22+D38+D54+D70+D86+D102+D118)</f>
        <v>0</v>
      </c>
      <c r="E134" s="20">
        <f>SUM(E6+E22+E38+E54+E70+E86+E102+E118)</f>
        <v>0</v>
      </c>
      <c r="F134" s="20">
        <f>SUM(F6+F22+F38+F54+F70+F86+F102+F118)</f>
        <v>0</v>
      </c>
      <c r="G134" s="21">
        <f>SUM(C134:F134)</f>
        <v>0</v>
      </c>
    </row>
    <row r="135" spans="1:15">
      <c r="A135" s="19">
        <v>2</v>
      </c>
      <c r="B135" s="19">
        <v>2</v>
      </c>
      <c r="C135" s="20">
        <f t="shared" ref="C135:F137" si="0">SUM(C7+C23+C39+C55+C71+C87+C103+C119)</f>
        <v>0</v>
      </c>
      <c r="D135" s="20">
        <f t="shared" si="0"/>
        <v>0</v>
      </c>
      <c r="E135" s="20">
        <f t="shared" si="0"/>
        <v>0</v>
      </c>
      <c r="F135" s="20">
        <f t="shared" si="0"/>
        <v>0</v>
      </c>
      <c r="G135" s="21">
        <f>SUM(C135:F135)</f>
        <v>0</v>
      </c>
    </row>
    <row r="136" spans="1:15">
      <c r="A136" s="19">
        <v>3</v>
      </c>
      <c r="B136" s="19">
        <v>3</v>
      </c>
      <c r="C136" s="20">
        <f t="shared" si="0"/>
        <v>855</v>
      </c>
      <c r="D136" s="20">
        <f t="shared" si="0"/>
        <v>159</v>
      </c>
      <c r="E136" s="20">
        <f t="shared" si="0"/>
        <v>687</v>
      </c>
      <c r="F136" s="20">
        <f t="shared" si="0"/>
        <v>293</v>
      </c>
      <c r="G136" s="21">
        <f>SUM(C136:F136)</f>
        <v>1994</v>
      </c>
    </row>
    <row r="137" spans="1:15">
      <c r="A137" s="19">
        <v>4</v>
      </c>
      <c r="B137" s="19">
        <v>4</v>
      </c>
      <c r="C137" s="20">
        <f t="shared" si="0"/>
        <v>1068</v>
      </c>
      <c r="D137" s="20">
        <f t="shared" si="0"/>
        <v>287</v>
      </c>
      <c r="E137" s="20">
        <f t="shared" si="0"/>
        <v>0</v>
      </c>
      <c r="F137" s="20">
        <f t="shared" si="0"/>
        <v>0</v>
      </c>
      <c r="G137" s="21">
        <f>SUM(C137:F137)</f>
        <v>1355</v>
      </c>
    </row>
    <row r="138" spans="1:15" ht="21" thickBot="1">
      <c r="A138" s="45" t="s">
        <v>0</v>
      </c>
      <c r="B138" s="45" t="s">
        <v>6</v>
      </c>
      <c r="C138" s="23">
        <f>SUM(C134:C137)</f>
        <v>1923</v>
      </c>
      <c r="D138" s="23">
        <f>SUM(D134:D137)</f>
        <v>446</v>
      </c>
      <c r="E138" s="23">
        <f>SUM(E134:E137)</f>
        <v>687</v>
      </c>
      <c r="F138" s="23">
        <f>SUM(F134:F137)</f>
        <v>293</v>
      </c>
      <c r="G138" s="23">
        <f>SUM(G134:G137)</f>
        <v>3349</v>
      </c>
    </row>
    <row r="139" spans="1:15" ht="21" thickTop="1">
      <c r="A139" s="24"/>
      <c r="B139" s="24"/>
      <c r="C139" s="24"/>
      <c r="D139" s="24"/>
      <c r="E139" s="24"/>
      <c r="F139" s="24"/>
    </row>
    <row r="141" spans="1:15" ht="22.5" customHeight="1">
      <c r="A141" s="392"/>
      <c r="B141" s="392"/>
      <c r="C141" s="392"/>
      <c r="D141" s="392"/>
      <c r="E141" s="392"/>
      <c r="F141" s="410" t="s">
        <v>1</v>
      </c>
      <c r="G141" s="410"/>
      <c r="H141" s="410"/>
    </row>
    <row r="142" spans="1:15" ht="31.5">
      <c r="A142" s="43" t="s">
        <v>33</v>
      </c>
      <c r="B142" s="43" t="s">
        <v>36</v>
      </c>
      <c r="C142" s="43" t="s">
        <v>37</v>
      </c>
      <c r="D142" s="43" t="s">
        <v>38</v>
      </c>
      <c r="E142" s="43" t="s">
        <v>39</v>
      </c>
      <c r="F142" s="43" t="s">
        <v>110</v>
      </c>
      <c r="G142" s="43" t="s">
        <v>19</v>
      </c>
      <c r="H142" s="43" t="s">
        <v>6</v>
      </c>
    </row>
    <row r="143" spans="1:15" ht="30.75" customHeight="1">
      <c r="A143" s="27">
        <v>1</v>
      </c>
      <c r="B143" s="43" t="s">
        <v>30</v>
      </c>
      <c r="C143" s="20">
        <f>SUM(C15+C31+C47+C63+C79+C95+C111+C127)</f>
        <v>70225</v>
      </c>
      <c r="D143" s="20">
        <f>SUM(D15+D31+D47+D63+D79+D95+D111+D127)</f>
        <v>26189</v>
      </c>
      <c r="E143" s="20">
        <f>SUM(E15+E31+E47+E63+E79+E95+E111+E127)</f>
        <v>21975</v>
      </c>
      <c r="F143" s="20">
        <f>SUM(F15+F31+F47+F63+F79+F95+F111+F127)</f>
        <v>236318</v>
      </c>
      <c r="G143" s="20">
        <f>SUM(G15+G31+G47+G63+G79+G95+G111+G127)</f>
        <v>123390</v>
      </c>
      <c r="H143" s="22">
        <f>SUM(C143:G143)</f>
        <v>478097</v>
      </c>
    </row>
    <row r="147" spans="6:10">
      <c r="F147" s="412" t="s">
        <v>107</v>
      </c>
      <c r="G147" s="412"/>
      <c r="H147" s="412"/>
      <c r="I147" s="66"/>
      <c r="J147" s="66"/>
    </row>
  </sheetData>
  <mergeCells count="82">
    <mergeCell ref="F147:H147"/>
    <mergeCell ref="A141:E141"/>
    <mergeCell ref="F141:H141"/>
    <mergeCell ref="F109:H109"/>
    <mergeCell ref="F125:H125"/>
    <mergeCell ref="A129:H129"/>
    <mergeCell ref="A130:H130"/>
    <mergeCell ref="A132:A133"/>
    <mergeCell ref="B132:B133"/>
    <mergeCell ref="C132:D132"/>
    <mergeCell ref="E132:F132"/>
    <mergeCell ref="G132:G133"/>
    <mergeCell ref="F13:H13"/>
    <mergeCell ref="F29:H29"/>
    <mergeCell ref="F45:H45"/>
    <mergeCell ref="F61:H61"/>
    <mergeCell ref="F77:H77"/>
    <mergeCell ref="F93:H93"/>
    <mergeCell ref="E116:F116"/>
    <mergeCell ref="A13:E13"/>
    <mergeCell ref="A17:H17"/>
    <mergeCell ref="A1:H1"/>
    <mergeCell ref="A2:H2"/>
    <mergeCell ref="A4:A5"/>
    <mergeCell ref="B4:B5"/>
    <mergeCell ref="C4:D4"/>
    <mergeCell ref="E4:F4"/>
    <mergeCell ref="G4:G5"/>
    <mergeCell ref="A18:H18"/>
    <mergeCell ref="G20:G21"/>
    <mergeCell ref="A29:E29"/>
    <mergeCell ref="A33:H33"/>
    <mergeCell ref="A20:A21"/>
    <mergeCell ref="B20:B21"/>
    <mergeCell ref="C20:D20"/>
    <mergeCell ref="E20:F20"/>
    <mergeCell ref="A34:H34"/>
    <mergeCell ref="A36:A37"/>
    <mergeCell ref="B36:B37"/>
    <mergeCell ref="C36:D36"/>
    <mergeCell ref="E36:F36"/>
    <mergeCell ref="G36:G37"/>
    <mergeCell ref="A45:E45"/>
    <mergeCell ref="A49:H49"/>
    <mergeCell ref="A50:H50"/>
    <mergeCell ref="G52:G53"/>
    <mergeCell ref="A61:E61"/>
    <mergeCell ref="A65:H65"/>
    <mergeCell ref="A52:A53"/>
    <mergeCell ref="B52:B53"/>
    <mergeCell ref="C52:D52"/>
    <mergeCell ref="E52:F52"/>
    <mergeCell ref="A66:H66"/>
    <mergeCell ref="A68:A69"/>
    <mergeCell ref="B68:B69"/>
    <mergeCell ref="C68:D68"/>
    <mergeCell ref="E68:F68"/>
    <mergeCell ref="G68:G69"/>
    <mergeCell ref="A77:E77"/>
    <mergeCell ref="A81:H81"/>
    <mergeCell ref="A82:H82"/>
    <mergeCell ref="G84:G85"/>
    <mergeCell ref="A93:E93"/>
    <mergeCell ref="A97:H97"/>
    <mergeCell ref="A84:A85"/>
    <mergeCell ref="B84:B85"/>
    <mergeCell ref="C84:D84"/>
    <mergeCell ref="E84:F84"/>
    <mergeCell ref="A98:H98"/>
    <mergeCell ref="A100:A101"/>
    <mergeCell ref="B100:B101"/>
    <mergeCell ref="C100:D100"/>
    <mergeCell ref="E100:F100"/>
    <mergeCell ref="G100:G101"/>
    <mergeCell ref="G116:G117"/>
    <mergeCell ref="A125:E125"/>
    <mergeCell ref="A109:E109"/>
    <mergeCell ref="A113:H113"/>
    <mergeCell ref="A114:H114"/>
    <mergeCell ref="A116:A117"/>
    <mergeCell ref="B116:B117"/>
    <mergeCell ref="C116:D116"/>
  </mergeCells>
  <phoneticPr fontId="0" type="noConversion"/>
  <pageMargins left="0.78740157480314965" right="0.15748031496062992" top="0.39370078740157483" bottom="0.39370078740157483" header="0.15748031496062992" footer="0.15748031496062992"/>
  <pageSetup paperSize="5" scale="123" orientation="landscape" r:id="rId1"/>
  <headerFooter>
    <oddFooter>&amp;Z&amp;F&amp;RPage &amp;P</oddFooter>
  </headerFooter>
  <rowBreaks count="8" manualBreakCount="8">
    <brk id="16" max="16383" man="1"/>
    <brk id="32" max="7" man="1"/>
    <brk id="48" max="7" man="1"/>
    <brk id="64" max="7" man="1"/>
    <brk id="80" max="7" man="1"/>
    <brk id="96" max="7" man="1"/>
    <brk id="112" max="16383" man="1"/>
    <brk id="128"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1"/>
  <sheetViews>
    <sheetView tabSelected="1" view="pageBreakPreview" topLeftCell="A161" zoomScaleNormal="75" zoomScaleSheetLayoutView="100" workbookViewId="0">
      <selection activeCell="G53" sqref="G53"/>
    </sheetView>
  </sheetViews>
  <sheetFormatPr defaultRowHeight="20.25"/>
  <cols>
    <col min="1" max="1" width="5.5703125" style="56" customWidth="1"/>
    <col min="2" max="2" width="33.28515625" style="56" customWidth="1"/>
    <col min="3" max="4" width="11" style="56" customWidth="1"/>
    <col min="5" max="5" width="13.42578125" style="56" customWidth="1"/>
    <col min="6" max="6" width="13.7109375" style="56" customWidth="1"/>
    <col min="7" max="7" width="11.5703125" style="56" customWidth="1"/>
    <col min="8" max="8" width="12.7109375" style="56" customWidth="1"/>
    <col min="9" max="9" width="12.85546875" style="56" customWidth="1"/>
    <col min="10" max="10" width="10.5703125" style="56" customWidth="1"/>
    <col min="11" max="11" width="9.85546875" style="56" customWidth="1"/>
    <col min="12" max="12" width="27.7109375" style="56" customWidth="1"/>
    <col min="13" max="16384" width="9.140625" style="50"/>
  </cols>
  <sheetData>
    <row r="1" spans="1:12" s="2" customFormat="1">
      <c r="A1" s="387" t="s">
        <v>122</v>
      </c>
      <c r="B1" s="388"/>
      <c r="C1" s="388"/>
      <c r="D1" s="388"/>
      <c r="E1" s="388"/>
      <c r="F1" s="388"/>
      <c r="G1" s="388"/>
      <c r="H1" s="388"/>
      <c r="I1" s="388"/>
      <c r="J1" s="388"/>
      <c r="K1" s="388"/>
      <c r="L1" s="388"/>
    </row>
    <row r="2" spans="1:12" s="2" customFormat="1">
      <c r="A2" s="387" t="s">
        <v>31</v>
      </c>
      <c r="B2" s="388"/>
      <c r="C2" s="388"/>
      <c r="D2" s="388"/>
      <c r="E2" s="388"/>
      <c r="F2" s="388"/>
      <c r="G2" s="388"/>
      <c r="H2" s="388"/>
      <c r="I2" s="388"/>
      <c r="J2" s="388"/>
      <c r="K2" s="388"/>
      <c r="L2" s="388"/>
    </row>
    <row r="3" spans="1:12" s="2" customFormat="1" ht="18.75" customHeight="1">
      <c r="A3" s="426" t="s">
        <v>41</v>
      </c>
      <c r="B3" s="427"/>
      <c r="C3" s="427"/>
      <c r="D3" s="290"/>
      <c r="E3" s="290"/>
      <c r="F3" s="290"/>
      <c r="G3" s="290"/>
      <c r="H3" s="290"/>
      <c r="I3" s="290"/>
      <c r="J3" s="290"/>
      <c r="K3" s="290"/>
      <c r="L3" s="291" t="s">
        <v>1</v>
      </c>
    </row>
    <row r="4" spans="1:12" s="132" customFormat="1" ht="37.5" customHeight="1">
      <c r="A4" s="428" t="s">
        <v>42</v>
      </c>
      <c r="B4" s="428" t="s">
        <v>43</v>
      </c>
      <c r="C4" s="418" t="s">
        <v>44</v>
      </c>
      <c r="D4" s="419"/>
      <c r="E4" s="419"/>
      <c r="F4" s="58" t="s">
        <v>45</v>
      </c>
      <c r="G4" s="58" t="s">
        <v>81</v>
      </c>
      <c r="H4" s="401" t="s">
        <v>116</v>
      </c>
      <c r="I4" s="402"/>
      <c r="J4" s="402"/>
      <c r="K4" s="402"/>
      <c r="L4" s="428" t="s">
        <v>91</v>
      </c>
    </row>
    <row r="5" spans="1:12" s="132" customFormat="1" ht="75" customHeight="1">
      <c r="A5" s="429"/>
      <c r="B5" s="429"/>
      <c r="C5" s="58" t="s">
        <v>103</v>
      </c>
      <c r="D5" s="58" t="s">
        <v>104</v>
      </c>
      <c r="E5" s="58" t="s">
        <v>109</v>
      </c>
      <c r="F5" s="58" t="s">
        <v>120</v>
      </c>
      <c r="G5" s="58" t="s">
        <v>120</v>
      </c>
      <c r="H5" s="58" t="s">
        <v>47</v>
      </c>
      <c r="I5" s="58" t="s">
        <v>48</v>
      </c>
      <c r="J5" s="58" t="s">
        <v>49</v>
      </c>
      <c r="K5" s="58" t="s">
        <v>50</v>
      </c>
      <c r="L5" s="429"/>
    </row>
    <row r="6" spans="1:12" s="202" customFormat="1" ht="18" customHeight="1">
      <c r="A6" s="292">
        <v>1</v>
      </c>
      <c r="B6" s="292">
        <v>2</v>
      </c>
      <c r="C6" s="292">
        <v>3</v>
      </c>
      <c r="D6" s="292">
        <v>4</v>
      </c>
      <c r="E6" s="292">
        <v>5</v>
      </c>
      <c r="F6" s="292">
        <v>6</v>
      </c>
      <c r="G6" s="292">
        <v>7</v>
      </c>
      <c r="H6" s="292">
        <v>8</v>
      </c>
      <c r="I6" s="292">
        <v>9</v>
      </c>
      <c r="J6" s="292">
        <v>10</v>
      </c>
      <c r="K6" s="292">
        <v>11</v>
      </c>
      <c r="L6" s="292">
        <v>12</v>
      </c>
    </row>
    <row r="7" spans="1:12">
      <c r="A7" s="65">
        <v>1</v>
      </c>
      <c r="B7" s="64" t="s">
        <v>51</v>
      </c>
      <c r="C7" s="288">
        <v>0</v>
      </c>
      <c r="D7" s="288">
        <v>0</v>
      </c>
      <c r="E7" s="288">
        <v>5802</v>
      </c>
      <c r="F7" s="288">
        <v>12010</v>
      </c>
      <c r="G7" s="288">
        <v>12010</v>
      </c>
      <c r="H7" s="288">
        <v>16709</v>
      </c>
      <c r="I7" s="288">
        <v>0</v>
      </c>
      <c r="J7" s="288">
        <v>0</v>
      </c>
      <c r="K7" s="288">
        <v>0</v>
      </c>
      <c r="L7" s="288"/>
    </row>
    <row r="8" spans="1:12">
      <c r="A8" s="65">
        <v>2</v>
      </c>
      <c r="B8" s="64" t="s">
        <v>52</v>
      </c>
      <c r="C8" s="288">
        <v>0</v>
      </c>
      <c r="D8" s="288">
        <v>0</v>
      </c>
      <c r="E8" s="288">
        <v>0</v>
      </c>
      <c r="F8" s="288">
        <v>0</v>
      </c>
      <c r="G8" s="288">
        <v>0</v>
      </c>
      <c r="H8" s="288">
        <v>0</v>
      </c>
      <c r="I8" s="288">
        <v>0</v>
      </c>
      <c r="J8" s="288">
        <v>0</v>
      </c>
      <c r="K8" s="288">
        <v>0</v>
      </c>
      <c r="L8" s="293"/>
    </row>
    <row r="9" spans="1:12">
      <c r="A9" s="65">
        <v>3</v>
      </c>
      <c r="B9" s="64" t="s">
        <v>57</v>
      </c>
      <c r="C9" s="288">
        <v>0</v>
      </c>
      <c r="D9" s="288">
        <v>0</v>
      </c>
      <c r="E9" s="288">
        <v>9</v>
      </c>
      <c r="F9" s="288">
        <v>95</v>
      </c>
      <c r="G9" s="288">
        <v>95</v>
      </c>
      <c r="H9" s="288">
        <v>600</v>
      </c>
      <c r="I9" s="288">
        <v>0</v>
      </c>
      <c r="J9" s="288">
        <v>0</v>
      </c>
      <c r="K9" s="288">
        <v>0</v>
      </c>
      <c r="L9" s="288"/>
    </row>
    <row r="10" spans="1:12">
      <c r="A10" s="65">
        <v>4</v>
      </c>
      <c r="B10" s="64" t="s">
        <v>87</v>
      </c>
      <c r="C10" s="288">
        <v>0</v>
      </c>
      <c r="D10" s="288">
        <v>0</v>
      </c>
      <c r="E10" s="288">
        <v>0</v>
      </c>
      <c r="F10" s="288">
        <v>0</v>
      </c>
      <c r="G10" s="288">
        <v>0</v>
      </c>
      <c r="H10" s="288">
        <v>0</v>
      </c>
      <c r="I10" s="288">
        <v>0</v>
      </c>
      <c r="J10" s="288">
        <v>0</v>
      </c>
      <c r="K10" s="288">
        <v>0</v>
      </c>
      <c r="L10" s="288"/>
    </row>
    <row r="11" spans="1:12">
      <c r="A11" s="65">
        <v>5</v>
      </c>
      <c r="B11" s="64" t="s">
        <v>58</v>
      </c>
      <c r="C11" s="288">
        <v>0</v>
      </c>
      <c r="D11" s="288">
        <v>0</v>
      </c>
      <c r="E11" s="288">
        <v>0</v>
      </c>
      <c r="F11" s="288">
        <v>80</v>
      </c>
      <c r="G11" s="288">
        <v>80</v>
      </c>
      <c r="H11" s="288">
        <v>100</v>
      </c>
      <c r="I11" s="288">
        <v>0</v>
      </c>
      <c r="J11" s="288">
        <v>0</v>
      </c>
      <c r="K11" s="288">
        <v>0</v>
      </c>
      <c r="L11" s="288"/>
    </row>
    <row r="12" spans="1:12">
      <c r="A12" s="65">
        <v>6</v>
      </c>
      <c r="B12" s="64" t="s">
        <v>53</v>
      </c>
      <c r="C12" s="288">
        <v>0</v>
      </c>
      <c r="D12" s="288">
        <v>0</v>
      </c>
      <c r="E12" s="288">
        <v>28</v>
      </c>
      <c r="F12" s="288">
        <v>41</v>
      </c>
      <c r="G12" s="288">
        <v>41</v>
      </c>
      <c r="H12" s="288">
        <v>300</v>
      </c>
      <c r="I12" s="288">
        <v>0</v>
      </c>
      <c r="J12" s="288">
        <v>0</v>
      </c>
      <c r="K12" s="288">
        <v>0</v>
      </c>
      <c r="L12" s="288"/>
    </row>
    <row r="13" spans="1:12">
      <c r="A13" s="65">
        <v>7</v>
      </c>
      <c r="B13" s="64" t="s">
        <v>59</v>
      </c>
      <c r="C13" s="288">
        <v>0</v>
      </c>
      <c r="D13" s="288">
        <v>0</v>
      </c>
      <c r="E13" s="288">
        <v>0</v>
      </c>
      <c r="F13" s="288">
        <v>0</v>
      </c>
      <c r="G13" s="288">
        <v>0</v>
      </c>
      <c r="H13" s="288">
        <v>0</v>
      </c>
      <c r="I13" s="288">
        <v>0</v>
      </c>
      <c r="J13" s="288">
        <v>0</v>
      </c>
      <c r="K13" s="288">
        <v>0</v>
      </c>
      <c r="L13" s="288"/>
    </row>
    <row r="14" spans="1:12">
      <c r="A14" s="65">
        <v>8</v>
      </c>
      <c r="B14" s="64" t="s">
        <v>88</v>
      </c>
      <c r="C14" s="288">
        <v>0</v>
      </c>
      <c r="D14" s="288">
        <v>0</v>
      </c>
      <c r="E14" s="288">
        <v>0</v>
      </c>
      <c r="F14" s="288">
        <v>0</v>
      </c>
      <c r="G14" s="288">
        <v>0</v>
      </c>
      <c r="H14" s="288">
        <v>0</v>
      </c>
      <c r="I14" s="288">
        <v>0</v>
      </c>
      <c r="J14" s="288">
        <v>0</v>
      </c>
      <c r="K14" s="288">
        <v>0</v>
      </c>
      <c r="L14" s="288"/>
    </row>
    <row r="15" spans="1:12">
      <c r="A15" s="65">
        <v>9</v>
      </c>
      <c r="B15" s="64" t="s">
        <v>54</v>
      </c>
      <c r="C15" s="288">
        <v>0</v>
      </c>
      <c r="D15" s="288">
        <v>0</v>
      </c>
      <c r="E15" s="288">
        <v>0</v>
      </c>
      <c r="F15" s="288">
        <v>0</v>
      </c>
      <c r="G15" s="288">
        <v>0</v>
      </c>
      <c r="H15" s="288">
        <v>200</v>
      </c>
      <c r="I15" s="288">
        <v>0</v>
      </c>
      <c r="J15" s="288">
        <v>0</v>
      </c>
      <c r="K15" s="288">
        <v>0</v>
      </c>
      <c r="L15" s="288"/>
    </row>
    <row r="16" spans="1:12">
      <c r="A16" s="65">
        <v>10</v>
      </c>
      <c r="B16" s="64" t="s">
        <v>89</v>
      </c>
      <c r="C16" s="288">
        <v>0</v>
      </c>
      <c r="D16" s="288">
        <v>0</v>
      </c>
      <c r="E16" s="288">
        <v>0</v>
      </c>
      <c r="F16" s="288">
        <v>0</v>
      </c>
      <c r="G16" s="288">
        <v>0</v>
      </c>
      <c r="H16" s="288">
        <v>0</v>
      </c>
      <c r="I16" s="288">
        <v>0</v>
      </c>
      <c r="J16" s="288">
        <v>0</v>
      </c>
      <c r="K16" s="288">
        <v>0</v>
      </c>
      <c r="L16" s="288"/>
    </row>
    <row r="17" spans="1:12">
      <c r="A17" s="65">
        <v>11</v>
      </c>
      <c r="B17" s="64" t="s">
        <v>55</v>
      </c>
      <c r="C17" s="288">
        <v>0</v>
      </c>
      <c r="D17" s="288">
        <v>0</v>
      </c>
      <c r="E17" s="288">
        <v>0</v>
      </c>
      <c r="F17" s="288">
        <v>0</v>
      </c>
      <c r="G17" s="288">
        <v>0</v>
      </c>
      <c r="H17" s="288">
        <v>0</v>
      </c>
      <c r="I17" s="288">
        <v>0</v>
      </c>
      <c r="J17" s="288">
        <v>0</v>
      </c>
      <c r="K17" s="288">
        <v>0</v>
      </c>
      <c r="L17" s="288"/>
    </row>
    <row r="18" spans="1:12">
      <c r="A18" s="65">
        <v>12</v>
      </c>
      <c r="B18" s="64" t="s">
        <v>60</v>
      </c>
      <c r="C18" s="288">
        <v>0</v>
      </c>
      <c r="D18" s="288">
        <v>0</v>
      </c>
      <c r="E18" s="288">
        <v>0</v>
      </c>
      <c r="F18" s="288">
        <v>0</v>
      </c>
      <c r="G18" s="288">
        <v>0</v>
      </c>
      <c r="H18" s="288">
        <v>0</v>
      </c>
      <c r="I18" s="288">
        <v>0</v>
      </c>
      <c r="J18" s="288">
        <v>0</v>
      </c>
      <c r="K18" s="288">
        <v>0</v>
      </c>
      <c r="L18" s="288"/>
    </row>
    <row r="19" spans="1:12">
      <c r="A19" s="65">
        <v>13</v>
      </c>
      <c r="B19" s="64" t="s">
        <v>56</v>
      </c>
      <c r="C19" s="288">
        <v>0</v>
      </c>
      <c r="D19" s="288">
        <v>0</v>
      </c>
      <c r="E19" s="288">
        <v>0</v>
      </c>
      <c r="F19" s="288">
        <v>0</v>
      </c>
      <c r="G19" s="288">
        <v>0</v>
      </c>
      <c r="H19" s="288">
        <v>0</v>
      </c>
      <c r="I19" s="288">
        <v>0</v>
      </c>
      <c r="J19" s="288">
        <v>0</v>
      </c>
      <c r="K19" s="288">
        <v>0</v>
      </c>
      <c r="L19" s="288"/>
    </row>
    <row r="20" spans="1:12" ht="21" thickBot="1">
      <c r="A20" s="294" t="s">
        <v>61</v>
      </c>
      <c r="B20" s="294" t="s">
        <v>6</v>
      </c>
      <c r="C20" s="262">
        <f>SUM(C7:C19)</f>
        <v>0</v>
      </c>
      <c r="D20" s="262">
        <f t="shared" ref="D20:K20" si="0">SUM(D7:D19)</f>
        <v>0</v>
      </c>
      <c r="E20" s="262">
        <f t="shared" si="0"/>
        <v>5839</v>
      </c>
      <c r="F20" s="262">
        <f t="shared" si="0"/>
        <v>12226</v>
      </c>
      <c r="G20" s="262">
        <f t="shared" si="0"/>
        <v>12226</v>
      </c>
      <c r="H20" s="262">
        <f t="shared" si="0"/>
        <v>17909</v>
      </c>
      <c r="I20" s="262">
        <f t="shared" si="0"/>
        <v>0</v>
      </c>
      <c r="J20" s="262">
        <f t="shared" si="0"/>
        <v>0</v>
      </c>
      <c r="K20" s="262">
        <f t="shared" si="0"/>
        <v>0</v>
      </c>
      <c r="L20" s="262"/>
    </row>
    <row r="21" spans="1:12" ht="21" thickTop="1">
      <c r="A21" s="275"/>
      <c r="B21" s="274"/>
      <c r="C21" s="275"/>
      <c r="D21" s="275"/>
      <c r="E21" s="275"/>
      <c r="F21" s="275"/>
      <c r="G21" s="275"/>
      <c r="H21" s="275"/>
      <c r="I21" s="275"/>
      <c r="J21" s="275"/>
      <c r="K21" s="275"/>
      <c r="L21" s="275"/>
    </row>
    <row r="22" spans="1:12" s="2" customFormat="1">
      <c r="A22" s="358" t="s">
        <v>122</v>
      </c>
      <c r="B22" s="359"/>
      <c r="C22" s="359"/>
      <c r="D22" s="359"/>
      <c r="E22" s="359"/>
      <c r="F22" s="359"/>
      <c r="G22" s="359"/>
      <c r="H22" s="359"/>
      <c r="I22" s="359"/>
      <c r="J22" s="359"/>
      <c r="K22" s="359"/>
      <c r="L22" s="359"/>
    </row>
    <row r="23" spans="1:12" s="2" customFormat="1">
      <c r="A23" s="358" t="s">
        <v>31</v>
      </c>
      <c r="B23" s="359"/>
      <c r="C23" s="359"/>
      <c r="D23" s="359"/>
      <c r="E23" s="359"/>
      <c r="F23" s="359"/>
      <c r="G23" s="359"/>
      <c r="H23" s="359"/>
      <c r="I23" s="359"/>
      <c r="J23" s="359"/>
      <c r="K23" s="359"/>
      <c r="L23" s="359"/>
    </row>
    <row r="24" spans="1:12" s="2" customFormat="1" ht="18.75" customHeight="1">
      <c r="A24" s="414" t="s">
        <v>68</v>
      </c>
      <c r="B24" s="415"/>
      <c r="C24" s="415"/>
      <c r="D24" s="26"/>
      <c r="E24" s="26"/>
      <c r="F24" s="26"/>
      <c r="G24" s="26"/>
      <c r="H24" s="26"/>
      <c r="I24" s="26"/>
      <c r="J24" s="26"/>
      <c r="K24" s="26"/>
      <c r="L24" s="57" t="s">
        <v>1</v>
      </c>
    </row>
    <row r="25" spans="1:12" s="2" customFormat="1" ht="37.5" customHeight="1">
      <c r="A25" s="416" t="s">
        <v>42</v>
      </c>
      <c r="B25" s="416" t="s">
        <v>43</v>
      </c>
      <c r="C25" s="418" t="s">
        <v>44</v>
      </c>
      <c r="D25" s="419"/>
      <c r="E25" s="419"/>
      <c r="F25" s="58" t="s">
        <v>45</v>
      </c>
      <c r="G25" s="58" t="s">
        <v>81</v>
      </c>
      <c r="H25" s="401" t="s">
        <v>116</v>
      </c>
      <c r="I25" s="402"/>
      <c r="J25" s="402"/>
      <c r="K25" s="402"/>
      <c r="L25" s="416" t="s">
        <v>91</v>
      </c>
    </row>
    <row r="26" spans="1:12" s="2" customFormat="1" ht="75" customHeight="1">
      <c r="A26" s="417"/>
      <c r="B26" s="417"/>
      <c r="C26" s="58" t="s">
        <v>103</v>
      </c>
      <c r="D26" s="58" t="s">
        <v>104</v>
      </c>
      <c r="E26" s="58" t="s">
        <v>109</v>
      </c>
      <c r="F26" s="58" t="s">
        <v>120</v>
      </c>
      <c r="G26" s="58" t="s">
        <v>120</v>
      </c>
      <c r="H26" s="58" t="s">
        <v>47</v>
      </c>
      <c r="I26" s="58" t="s">
        <v>48</v>
      </c>
      <c r="J26" s="58" t="s">
        <v>49</v>
      </c>
      <c r="K26" s="58" t="s">
        <v>50</v>
      </c>
      <c r="L26" s="417"/>
    </row>
    <row r="27" spans="1:12" s="63" customFormat="1" ht="18" customHeight="1">
      <c r="A27" s="62">
        <v>1</v>
      </c>
      <c r="B27" s="62">
        <v>2</v>
      </c>
      <c r="C27" s="62">
        <v>3</v>
      </c>
      <c r="D27" s="62">
        <v>4</v>
      </c>
      <c r="E27" s="62">
        <v>5</v>
      </c>
      <c r="F27" s="62">
        <v>6</v>
      </c>
      <c r="G27" s="62">
        <v>7</v>
      </c>
      <c r="H27" s="62">
        <v>8</v>
      </c>
      <c r="I27" s="62">
        <v>9</v>
      </c>
      <c r="J27" s="62">
        <v>10</v>
      </c>
      <c r="K27" s="62">
        <v>11</v>
      </c>
      <c r="L27" s="62">
        <v>12</v>
      </c>
    </row>
    <row r="28" spans="1:12">
      <c r="A28" s="60">
        <v>1</v>
      </c>
      <c r="B28" s="59" t="s">
        <v>51</v>
      </c>
      <c r="C28" s="51">
        <v>38040</v>
      </c>
      <c r="D28" s="51">
        <v>36819</v>
      </c>
      <c r="E28" s="51">
        <v>57985</v>
      </c>
      <c r="F28" s="51">
        <v>81135</v>
      </c>
      <c r="G28" s="51">
        <v>81135</v>
      </c>
      <c r="H28" s="51">
        <v>132777</v>
      </c>
      <c r="I28" s="51">
        <v>0</v>
      </c>
      <c r="J28" s="51">
        <v>0</v>
      </c>
      <c r="K28" s="51">
        <v>0</v>
      </c>
      <c r="L28" s="51"/>
    </row>
    <row r="29" spans="1:12">
      <c r="A29" s="60">
        <v>2</v>
      </c>
      <c r="B29" s="59" t="s">
        <v>52</v>
      </c>
      <c r="C29" s="51">
        <v>0</v>
      </c>
      <c r="D29" s="51">
        <v>0</v>
      </c>
      <c r="E29" s="51">
        <v>0</v>
      </c>
      <c r="F29" s="51">
        <v>0</v>
      </c>
      <c r="G29" s="51">
        <v>0</v>
      </c>
      <c r="H29" s="51">
        <v>0</v>
      </c>
      <c r="I29" s="51">
        <v>0</v>
      </c>
      <c r="J29" s="51">
        <v>0</v>
      </c>
      <c r="K29" s="51">
        <v>0</v>
      </c>
      <c r="L29" s="52"/>
    </row>
    <row r="30" spans="1:12">
      <c r="A30" s="60">
        <v>3</v>
      </c>
      <c r="B30" s="59" t="s">
        <v>57</v>
      </c>
      <c r="C30" s="51">
        <v>9</v>
      </c>
      <c r="D30" s="51">
        <v>0</v>
      </c>
      <c r="E30" s="51">
        <v>16</v>
      </c>
      <c r="F30" s="51">
        <v>40</v>
      </c>
      <c r="G30" s="51">
        <v>40</v>
      </c>
      <c r="H30" s="51">
        <v>40</v>
      </c>
      <c r="I30" s="51">
        <v>0</v>
      </c>
      <c r="J30" s="51">
        <v>0</v>
      </c>
      <c r="K30" s="51">
        <v>0</v>
      </c>
      <c r="L30" s="51"/>
    </row>
    <row r="31" spans="1:12">
      <c r="A31" s="60">
        <v>4</v>
      </c>
      <c r="B31" s="59" t="s">
        <v>87</v>
      </c>
      <c r="C31" s="51">
        <v>0</v>
      </c>
      <c r="D31" s="51">
        <v>0</v>
      </c>
      <c r="E31" s="51">
        <v>0</v>
      </c>
      <c r="F31" s="51">
        <v>0</v>
      </c>
      <c r="G31" s="51">
        <v>0</v>
      </c>
      <c r="H31" s="51">
        <v>0</v>
      </c>
      <c r="I31" s="51">
        <v>0</v>
      </c>
      <c r="J31" s="51">
        <v>0</v>
      </c>
      <c r="K31" s="51">
        <v>0</v>
      </c>
      <c r="L31" s="51"/>
    </row>
    <row r="32" spans="1:12">
      <c r="A32" s="60">
        <v>5</v>
      </c>
      <c r="B32" s="59" t="s">
        <v>58</v>
      </c>
      <c r="C32" s="51">
        <v>0</v>
      </c>
      <c r="D32" s="51">
        <v>0</v>
      </c>
      <c r="E32" s="51">
        <v>0</v>
      </c>
      <c r="F32" s="51">
        <v>60</v>
      </c>
      <c r="G32" s="51">
        <v>60</v>
      </c>
      <c r="H32" s="51">
        <v>60</v>
      </c>
      <c r="I32" s="51">
        <v>0</v>
      </c>
      <c r="J32" s="51">
        <v>0</v>
      </c>
      <c r="K32" s="51">
        <v>0</v>
      </c>
      <c r="L32" s="51"/>
    </row>
    <row r="33" spans="1:12">
      <c r="A33" s="60">
        <v>6</v>
      </c>
      <c r="B33" s="59" t="s">
        <v>53</v>
      </c>
      <c r="C33" s="51">
        <v>118</v>
      </c>
      <c r="D33" s="51">
        <v>99</v>
      </c>
      <c r="E33" s="51">
        <v>0</v>
      </c>
      <c r="F33" s="51">
        <v>374</v>
      </c>
      <c r="G33" s="51">
        <v>374</v>
      </c>
      <c r="H33" s="51">
        <v>375</v>
      </c>
      <c r="I33" s="51">
        <v>0</v>
      </c>
      <c r="J33" s="51">
        <v>0</v>
      </c>
      <c r="K33" s="51">
        <v>0</v>
      </c>
      <c r="L33" s="51"/>
    </row>
    <row r="34" spans="1:12">
      <c r="A34" s="60">
        <v>7</v>
      </c>
      <c r="B34" s="59" t="s">
        <v>59</v>
      </c>
      <c r="C34" s="51">
        <v>0</v>
      </c>
      <c r="D34" s="51">
        <v>0</v>
      </c>
      <c r="E34" s="51">
        <v>0</v>
      </c>
      <c r="F34" s="51">
        <v>48</v>
      </c>
      <c r="G34" s="51">
        <v>0</v>
      </c>
      <c r="H34" s="51">
        <v>0</v>
      </c>
      <c r="I34" s="51">
        <v>0</v>
      </c>
      <c r="J34" s="51">
        <v>0</v>
      </c>
      <c r="K34" s="51">
        <v>0</v>
      </c>
      <c r="L34" s="51"/>
    </row>
    <row r="35" spans="1:12">
      <c r="A35" s="60">
        <v>8</v>
      </c>
      <c r="B35" s="59" t="s">
        <v>88</v>
      </c>
      <c r="C35" s="51">
        <v>0</v>
      </c>
      <c r="D35" s="51">
        <v>0</v>
      </c>
      <c r="E35" s="51">
        <v>0</v>
      </c>
      <c r="F35" s="51">
        <v>1</v>
      </c>
      <c r="G35" s="51">
        <v>1</v>
      </c>
      <c r="H35" s="51">
        <v>0</v>
      </c>
      <c r="I35" s="51">
        <v>0</v>
      </c>
      <c r="J35" s="51">
        <v>0</v>
      </c>
      <c r="K35" s="51">
        <v>0</v>
      </c>
      <c r="L35" s="51"/>
    </row>
    <row r="36" spans="1:12">
      <c r="A36" s="60">
        <v>9</v>
      </c>
      <c r="B36" s="59" t="s">
        <v>54</v>
      </c>
      <c r="C36" s="51">
        <v>16</v>
      </c>
      <c r="D36" s="51">
        <v>18</v>
      </c>
      <c r="E36" s="51">
        <v>22</v>
      </c>
      <c r="F36" s="51">
        <v>70</v>
      </c>
      <c r="G36" s="51">
        <v>70</v>
      </c>
      <c r="H36" s="51">
        <v>70</v>
      </c>
      <c r="I36" s="51">
        <v>0</v>
      </c>
      <c r="J36" s="51">
        <v>0</v>
      </c>
      <c r="K36" s="51">
        <v>0</v>
      </c>
      <c r="L36" s="51"/>
    </row>
    <row r="37" spans="1:12">
      <c r="A37" s="60">
        <v>10</v>
      </c>
      <c r="B37" s="59" t="s">
        <v>89</v>
      </c>
      <c r="C37" s="51">
        <v>0</v>
      </c>
      <c r="D37" s="51">
        <v>0</v>
      </c>
      <c r="E37" s="51">
        <v>0</v>
      </c>
      <c r="F37" s="51">
        <v>0</v>
      </c>
      <c r="G37" s="51">
        <v>0</v>
      </c>
      <c r="H37" s="51">
        <v>0</v>
      </c>
      <c r="I37" s="51">
        <v>0</v>
      </c>
      <c r="J37" s="51">
        <v>0</v>
      </c>
      <c r="K37" s="51">
        <v>0</v>
      </c>
      <c r="L37" s="51"/>
    </row>
    <row r="38" spans="1:12">
      <c r="A38" s="60">
        <v>11</v>
      </c>
      <c r="B38" s="59" t="s">
        <v>55</v>
      </c>
      <c r="C38" s="51">
        <v>0</v>
      </c>
      <c r="D38" s="51">
        <v>0</v>
      </c>
      <c r="E38" s="51">
        <v>0</v>
      </c>
      <c r="F38" s="51">
        <v>0</v>
      </c>
      <c r="G38" s="51">
        <v>0</v>
      </c>
      <c r="H38" s="51">
        <v>0</v>
      </c>
      <c r="I38" s="51">
        <v>0</v>
      </c>
      <c r="J38" s="51">
        <v>0</v>
      </c>
      <c r="K38" s="51">
        <v>0</v>
      </c>
      <c r="L38" s="51"/>
    </row>
    <row r="39" spans="1:12">
      <c r="A39" s="60">
        <v>12</v>
      </c>
      <c r="B39" s="59" t="s">
        <v>60</v>
      </c>
      <c r="C39" s="51">
        <v>0</v>
      </c>
      <c r="D39" s="51">
        <v>0</v>
      </c>
      <c r="E39" s="51">
        <v>0</v>
      </c>
      <c r="F39" s="51">
        <v>0</v>
      </c>
      <c r="G39" s="51">
        <v>0</v>
      </c>
      <c r="H39" s="51">
        <v>0</v>
      </c>
      <c r="I39" s="51">
        <v>0</v>
      </c>
      <c r="J39" s="51">
        <v>0</v>
      </c>
      <c r="K39" s="51">
        <v>0</v>
      </c>
      <c r="L39" s="51"/>
    </row>
    <row r="40" spans="1:12">
      <c r="A40" s="60">
        <v>13</v>
      </c>
      <c r="B40" s="59" t="s">
        <v>56</v>
      </c>
      <c r="C40" s="51">
        <v>0</v>
      </c>
      <c r="D40" s="51">
        <v>0</v>
      </c>
      <c r="E40" s="51">
        <v>0</v>
      </c>
      <c r="F40" s="51">
        <v>0</v>
      </c>
      <c r="G40" s="51">
        <v>0</v>
      </c>
      <c r="H40" s="51">
        <v>0</v>
      </c>
      <c r="I40" s="51">
        <v>0</v>
      </c>
      <c r="J40" s="51">
        <v>0</v>
      </c>
      <c r="K40" s="51">
        <v>0</v>
      </c>
      <c r="L40" s="51"/>
    </row>
    <row r="41" spans="1:12" ht="21" thickBot="1">
      <c r="A41" s="61" t="s">
        <v>61</v>
      </c>
      <c r="B41" s="61" t="s">
        <v>6</v>
      </c>
      <c r="C41" s="53">
        <f>SUM(C28:C40)</f>
        <v>38183</v>
      </c>
      <c r="D41" s="53">
        <f>SUM(D28:D40)</f>
        <v>36936</v>
      </c>
      <c r="E41" s="53">
        <f t="shared" ref="E41:K41" si="1">SUM(E28:E40)</f>
        <v>58023</v>
      </c>
      <c r="F41" s="53">
        <f>SUM(F28:F40)</f>
        <v>81728</v>
      </c>
      <c r="G41" s="53">
        <f>SUM(G28:G40)</f>
        <v>81680</v>
      </c>
      <c r="H41" s="53">
        <f t="shared" si="1"/>
        <v>133322</v>
      </c>
      <c r="I41" s="53">
        <f t="shared" si="1"/>
        <v>0</v>
      </c>
      <c r="J41" s="53">
        <f t="shared" si="1"/>
        <v>0</v>
      </c>
      <c r="K41" s="53">
        <f t="shared" si="1"/>
        <v>0</v>
      </c>
      <c r="L41" s="53"/>
    </row>
    <row r="42" spans="1:12" ht="21" thickTop="1">
      <c r="A42" s="54"/>
      <c r="B42" s="55"/>
      <c r="C42" s="54"/>
      <c r="D42" s="54"/>
      <c r="E42" s="54"/>
      <c r="F42" s="54"/>
      <c r="G42" s="54"/>
      <c r="H42" s="54"/>
      <c r="I42" s="54"/>
      <c r="J42" s="54"/>
      <c r="K42" s="54"/>
      <c r="L42" s="54"/>
    </row>
    <row r="43" spans="1:12" s="2" customFormat="1">
      <c r="A43" s="358" t="s">
        <v>122</v>
      </c>
      <c r="B43" s="359"/>
      <c r="C43" s="359"/>
      <c r="D43" s="359"/>
      <c r="E43" s="359"/>
      <c r="F43" s="359"/>
      <c r="G43" s="359"/>
      <c r="H43" s="359"/>
      <c r="I43" s="359"/>
      <c r="J43" s="359"/>
      <c r="K43" s="359"/>
      <c r="L43" s="359"/>
    </row>
    <row r="44" spans="1:12" s="2" customFormat="1">
      <c r="A44" s="358" t="s">
        <v>31</v>
      </c>
      <c r="B44" s="359"/>
      <c r="C44" s="359"/>
      <c r="D44" s="359"/>
      <c r="E44" s="359"/>
      <c r="F44" s="359"/>
      <c r="G44" s="359"/>
      <c r="H44" s="359"/>
      <c r="I44" s="359"/>
      <c r="J44" s="359"/>
      <c r="K44" s="359"/>
      <c r="L44" s="359"/>
    </row>
    <row r="45" spans="1:12" s="2" customFormat="1" ht="18.75" customHeight="1">
      <c r="A45" s="414" t="s">
        <v>67</v>
      </c>
      <c r="B45" s="415"/>
      <c r="C45" s="415"/>
      <c r="D45" s="26"/>
      <c r="E45" s="26"/>
      <c r="F45" s="26"/>
      <c r="G45" s="26"/>
      <c r="H45" s="26"/>
      <c r="I45" s="26"/>
      <c r="J45" s="26"/>
      <c r="K45" s="26"/>
      <c r="L45" s="57" t="s">
        <v>1</v>
      </c>
    </row>
    <row r="46" spans="1:12" s="2" customFormat="1" ht="37.5" customHeight="1">
      <c r="A46" s="416" t="s">
        <v>42</v>
      </c>
      <c r="B46" s="416" t="s">
        <v>43</v>
      </c>
      <c r="C46" s="418" t="s">
        <v>44</v>
      </c>
      <c r="D46" s="419"/>
      <c r="E46" s="419"/>
      <c r="F46" s="58" t="s">
        <v>45</v>
      </c>
      <c r="G46" s="58" t="s">
        <v>81</v>
      </c>
      <c r="H46" s="401" t="s">
        <v>116</v>
      </c>
      <c r="I46" s="402"/>
      <c r="J46" s="402"/>
      <c r="K46" s="402"/>
      <c r="L46" s="416" t="s">
        <v>91</v>
      </c>
    </row>
    <row r="47" spans="1:12" s="2" customFormat="1" ht="75" customHeight="1">
      <c r="A47" s="417"/>
      <c r="B47" s="417"/>
      <c r="C47" s="58" t="s">
        <v>103</v>
      </c>
      <c r="D47" s="58" t="s">
        <v>104</v>
      </c>
      <c r="E47" s="58" t="s">
        <v>109</v>
      </c>
      <c r="F47" s="58" t="s">
        <v>120</v>
      </c>
      <c r="G47" s="58" t="s">
        <v>120</v>
      </c>
      <c r="H47" s="58" t="s">
        <v>47</v>
      </c>
      <c r="I47" s="58" t="s">
        <v>48</v>
      </c>
      <c r="J47" s="58" t="s">
        <v>49</v>
      </c>
      <c r="K47" s="58" t="s">
        <v>50</v>
      </c>
      <c r="L47" s="417"/>
    </row>
    <row r="48" spans="1:12" s="63" customFormat="1" ht="18" customHeight="1">
      <c r="A48" s="62">
        <v>1</v>
      </c>
      <c r="B48" s="62">
        <v>2</v>
      </c>
      <c r="C48" s="62">
        <v>3</v>
      </c>
      <c r="D48" s="62">
        <v>4</v>
      </c>
      <c r="E48" s="62">
        <v>5</v>
      </c>
      <c r="F48" s="62">
        <v>6</v>
      </c>
      <c r="G48" s="62">
        <v>7</v>
      </c>
      <c r="H48" s="62">
        <v>8</v>
      </c>
      <c r="I48" s="62">
        <v>9</v>
      </c>
      <c r="J48" s="62">
        <v>10</v>
      </c>
      <c r="K48" s="62">
        <v>11</v>
      </c>
      <c r="L48" s="62">
        <v>12</v>
      </c>
    </row>
    <row r="49" spans="1:12">
      <c r="A49" s="60">
        <v>1</v>
      </c>
      <c r="B49" s="59" t="s">
        <v>51</v>
      </c>
      <c r="C49" s="51">
        <v>175278</v>
      </c>
      <c r="D49" s="51">
        <v>169768</v>
      </c>
      <c r="E49" s="51">
        <v>192215</v>
      </c>
      <c r="F49" s="51">
        <v>201805</v>
      </c>
      <c r="G49" s="51">
        <v>265470</v>
      </c>
      <c r="H49" s="51">
        <v>267076</v>
      </c>
      <c r="I49" s="51">
        <v>0</v>
      </c>
      <c r="J49" s="51">
        <v>0</v>
      </c>
      <c r="K49" s="51">
        <v>0</v>
      </c>
      <c r="L49" s="51"/>
    </row>
    <row r="50" spans="1:12">
      <c r="A50" s="60">
        <v>2</v>
      </c>
      <c r="B50" s="59" t="s">
        <v>52</v>
      </c>
      <c r="C50" s="51">
        <v>0</v>
      </c>
      <c r="D50" s="51">
        <v>0</v>
      </c>
      <c r="E50" s="51">
        <v>0</v>
      </c>
      <c r="F50" s="51">
        <v>0</v>
      </c>
      <c r="G50" s="51">
        <v>0</v>
      </c>
      <c r="H50" s="51">
        <v>0</v>
      </c>
      <c r="I50" s="51">
        <v>0</v>
      </c>
      <c r="J50" s="51">
        <v>0</v>
      </c>
      <c r="K50" s="51">
        <v>0</v>
      </c>
      <c r="L50" s="52"/>
    </row>
    <row r="51" spans="1:12">
      <c r="A51" s="60">
        <v>3</v>
      </c>
      <c r="B51" s="59" t="s">
        <v>57</v>
      </c>
      <c r="C51" s="51">
        <v>2</v>
      </c>
      <c r="D51" s="51">
        <v>4</v>
      </c>
      <c r="E51" s="51">
        <v>0</v>
      </c>
      <c r="F51" s="51">
        <v>60</v>
      </c>
      <c r="G51" s="51">
        <v>420</v>
      </c>
      <c r="H51" s="51">
        <v>420</v>
      </c>
      <c r="I51" s="51">
        <v>0</v>
      </c>
      <c r="J51" s="51">
        <v>0</v>
      </c>
      <c r="K51" s="51">
        <v>0</v>
      </c>
      <c r="L51" s="51"/>
    </row>
    <row r="52" spans="1:12">
      <c r="A52" s="60">
        <v>4</v>
      </c>
      <c r="B52" s="59" t="s">
        <v>87</v>
      </c>
      <c r="C52" s="51">
        <v>0</v>
      </c>
      <c r="D52" s="51">
        <v>0</v>
      </c>
      <c r="E52" s="51">
        <v>3221</v>
      </c>
      <c r="F52" s="51">
        <v>0</v>
      </c>
      <c r="G52" s="51">
        <v>0</v>
      </c>
      <c r="H52" s="51">
        <v>11563</v>
      </c>
      <c r="I52" s="51">
        <v>0</v>
      </c>
      <c r="J52" s="51">
        <v>0</v>
      </c>
      <c r="K52" s="51">
        <v>0</v>
      </c>
      <c r="L52" s="51"/>
    </row>
    <row r="53" spans="1:12">
      <c r="A53" s="60">
        <v>5</v>
      </c>
      <c r="B53" s="59" t="s">
        <v>58</v>
      </c>
      <c r="C53" s="51">
        <v>0</v>
      </c>
      <c r="D53" s="51">
        <v>0</v>
      </c>
      <c r="E53" s="51">
        <v>0</v>
      </c>
      <c r="F53" s="51">
        <v>170</v>
      </c>
      <c r="G53" s="51">
        <v>220</v>
      </c>
      <c r="H53" s="51">
        <v>220</v>
      </c>
      <c r="I53" s="51">
        <v>0</v>
      </c>
      <c r="J53" s="51">
        <v>0</v>
      </c>
      <c r="K53" s="51">
        <v>0</v>
      </c>
      <c r="L53" s="51"/>
    </row>
    <row r="54" spans="1:12">
      <c r="A54" s="60">
        <v>6</v>
      </c>
      <c r="B54" s="59" t="s">
        <v>53</v>
      </c>
      <c r="C54" s="51">
        <v>285</v>
      </c>
      <c r="D54" s="51">
        <v>293</v>
      </c>
      <c r="E54" s="51">
        <v>286</v>
      </c>
      <c r="F54" s="51">
        <v>440</v>
      </c>
      <c r="G54" s="51">
        <v>750</v>
      </c>
      <c r="H54" s="51">
        <v>750</v>
      </c>
      <c r="I54" s="51">
        <v>0</v>
      </c>
      <c r="J54" s="51">
        <v>0</v>
      </c>
      <c r="K54" s="51">
        <v>0</v>
      </c>
      <c r="L54" s="51"/>
    </row>
    <row r="55" spans="1:12">
      <c r="A55" s="60">
        <v>7</v>
      </c>
      <c r="B55" s="59" t="s">
        <v>59</v>
      </c>
      <c r="C55" s="51">
        <v>32</v>
      </c>
      <c r="D55" s="51">
        <v>56</v>
      </c>
      <c r="E55" s="51">
        <v>100</v>
      </c>
      <c r="F55" s="51">
        <v>524</v>
      </c>
      <c r="G55" s="51">
        <v>2650</v>
      </c>
      <c r="H55" s="51">
        <v>2650</v>
      </c>
      <c r="I55" s="51">
        <v>0</v>
      </c>
      <c r="J55" s="51">
        <v>0</v>
      </c>
      <c r="K55" s="51">
        <v>0</v>
      </c>
      <c r="L55" s="51"/>
    </row>
    <row r="56" spans="1:12">
      <c r="A56" s="60">
        <v>8</v>
      </c>
      <c r="B56" s="59" t="s">
        <v>88</v>
      </c>
      <c r="C56" s="51">
        <v>0</v>
      </c>
      <c r="D56" s="51">
        <v>0</v>
      </c>
      <c r="E56" s="51">
        <v>0</v>
      </c>
      <c r="F56" s="51">
        <v>0</v>
      </c>
      <c r="G56" s="51">
        <v>0</v>
      </c>
      <c r="H56" s="51">
        <v>0</v>
      </c>
      <c r="I56" s="51">
        <v>0</v>
      </c>
      <c r="J56" s="51">
        <v>0</v>
      </c>
      <c r="K56" s="51">
        <v>0</v>
      </c>
      <c r="L56" s="51"/>
    </row>
    <row r="57" spans="1:12">
      <c r="A57" s="60">
        <v>9</v>
      </c>
      <c r="B57" s="59" t="s">
        <v>54</v>
      </c>
      <c r="C57" s="51">
        <v>29</v>
      </c>
      <c r="D57" s="51">
        <v>330</v>
      </c>
      <c r="E57" s="51">
        <v>164</v>
      </c>
      <c r="F57" s="51">
        <v>588</v>
      </c>
      <c r="G57" s="51">
        <v>5000</v>
      </c>
      <c r="H57" s="51">
        <v>5000</v>
      </c>
      <c r="I57" s="51">
        <v>0</v>
      </c>
      <c r="J57" s="51">
        <v>0</v>
      </c>
      <c r="K57" s="51">
        <v>0</v>
      </c>
      <c r="L57" s="51"/>
    </row>
    <row r="58" spans="1:12">
      <c r="A58" s="60">
        <v>10</v>
      </c>
      <c r="B58" s="59" t="s">
        <v>89</v>
      </c>
      <c r="C58" s="51">
        <v>0</v>
      </c>
      <c r="D58" s="51">
        <v>0</v>
      </c>
      <c r="E58" s="51">
        <v>0</v>
      </c>
      <c r="F58" s="51">
        <v>0</v>
      </c>
      <c r="G58" s="51">
        <v>0</v>
      </c>
      <c r="H58" s="51">
        <v>0</v>
      </c>
      <c r="I58" s="51">
        <v>0</v>
      </c>
      <c r="J58" s="51">
        <v>0</v>
      </c>
      <c r="K58" s="51">
        <v>0</v>
      </c>
      <c r="L58" s="51"/>
    </row>
    <row r="59" spans="1:12">
      <c r="A59" s="60">
        <v>11</v>
      </c>
      <c r="B59" s="59" t="s">
        <v>55</v>
      </c>
      <c r="C59" s="51">
        <v>0</v>
      </c>
      <c r="D59" s="51">
        <v>0</v>
      </c>
      <c r="E59" s="51">
        <v>0</v>
      </c>
      <c r="F59" s="51">
        <v>0</v>
      </c>
      <c r="G59" s="51">
        <v>0</v>
      </c>
      <c r="H59" s="51">
        <v>0</v>
      </c>
      <c r="I59" s="51">
        <v>0</v>
      </c>
      <c r="J59" s="51">
        <v>0</v>
      </c>
      <c r="K59" s="51">
        <v>0</v>
      </c>
      <c r="L59" s="51"/>
    </row>
    <row r="60" spans="1:12">
      <c r="A60" s="60">
        <v>12</v>
      </c>
      <c r="B60" s="59" t="s">
        <v>60</v>
      </c>
      <c r="C60" s="51">
        <v>0</v>
      </c>
      <c r="D60" s="51">
        <v>0</v>
      </c>
      <c r="E60" s="51">
        <v>0</v>
      </c>
      <c r="F60" s="51">
        <v>0</v>
      </c>
      <c r="G60" s="51">
        <v>0</v>
      </c>
      <c r="H60" s="51">
        <v>0</v>
      </c>
      <c r="I60" s="51">
        <v>0</v>
      </c>
      <c r="J60" s="51">
        <v>0</v>
      </c>
      <c r="K60" s="51">
        <v>0</v>
      </c>
      <c r="L60" s="51"/>
    </row>
    <row r="61" spans="1:12">
      <c r="A61" s="60">
        <v>13</v>
      </c>
      <c r="B61" s="59" t="s">
        <v>56</v>
      </c>
      <c r="C61" s="51">
        <v>0</v>
      </c>
      <c r="D61" s="51">
        <v>0</v>
      </c>
      <c r="E61" s="51">
        <v>0</v>
      </c>
      <c r="F61" s="51">
        <v>0</v>
      </c>
      <c r="G61" s="51">
        <v>0</v>
      </c>
      <c r="H61" s="51">
        <v>0</v>
      </c>
      <c r="I61" s="51">
        <v>0</v>
      </c>
      <c r="J61" s="51">
        <v>0</v>
      </c>
      <c r="K61" s="51">
        <v>0</v>
      </c>
      <c r="L61" s="51"/>
    </row>
    <row r="62" spans="1:12" ht="21" thickBot="1">
      <c r="A62" s="61" t="s">
        <v>61</v>
      </c>
      <c r="B62" s="61" t="s">
        <v>6</v>
      </c>
      <c r="C62" s="53">
        <f>SUM(C49:C61)</f>
        <v>175626</v>
      </c>
      <c r="D62" s="53">
        <f>SUM(D49:D61)</f>
        <v>170451</v>
      </c>
      <c r="E62" s="53">
        <f t="shared" ref="E62:K62" si="2">SUM(E49:E61)</f>
        <v>195986</v>
      </c>
      <c r="F62" s="53">
        <f>SUM(F49:F61)</f>
        <v>203587</v>
      </c>
      <c r="G62" s="53">
        <f>SUM(G49:G61)</f>
        <v>274510</v>
      </c>
      <c r="H62" s="53">
        <f t="shared" si="2"/>
        <v>287679</v>
      </c>
      <c r="I62" s="53">
        <f t="shared" si="2"/>
        <v>0</v>
      </c>
      <c r="J62" s="53">
        <f t="shared" si="2"/>
        <v>0</v>
      </c>
      <c r="K62" s="53">
        <f t="shared" si="2"/>
        <v>0</v>
      </c>
      <c r="L62" s="53"/>
    </row>
    <row r="63" spans="1:12" ht="21" thickTop="1">
      <c r="A63" s="54"/>
      <c r="B63" s="55"/>
      <c r="C63" s="54"/>
      <c r="D63" s="54"/>
      <c r="E63" s="54"/>
      <c r="F63" s="54"/>
      <c r="G63" s="54"/>
      <c r="H63" s="54"/>
      <c r="I63" s="54"/>
      <c r="J63" s="54"/>
      <c r="K63" s="54"/>
      <c r="L63" s="54"/>
    </row>
    <row r="64" spans="1:12" s="2" customFormat="1">
      <c r="A64" s="358" t="s">
        <v>122</v>
      </c>
      <c r="B64" s="359"/>
      <c r="C64" s="359"/>
      <c r="D64" s="359"/>
      <c r="E64" s="359"/>
      <c r="F64" s="359"/>
      <c r="G64" s="359"/>
      <c r="H64" s="359"/>
      <c r="I64" s="359"/>
      <c r="J64" s="359"/>
      <c r="K64" s="359"/>
      <c r="L64" s="359"/>
    </row>
    <row r="65" spans="1:12" s="2" customFormat="1">
      <c r="A65" s="358" t="s">
        <v>31</v>
      </c>
      <c r="B65" s="359"/>
      <c r="C65" s="359"/>
      <c r="D65" s="359"/>
      <c r="E65" s="359"/>
      <c r="F65" s="359"/>
      <c r="G65" s="359"/>
      <c r="H65" s="359"/>
      <c r="I65" s="359"/>
      <c r="J65" s="359"/>
      <c r="K65" s="359"/>
      <c r="L65" s="359"/>
    </row>
    <row r="66" spans="1:12" s="2" customFormat="1" ht="18.75" customHeight="1">
      <c r="A66" s="414" t="s">
        <v>66</v>
      </c>
      <c r="B66" s="415"/>
      <c r="C66" s="415"/>
      <c r="D66" s="26"/>
      <c r="E66" s="26"/>
      <c r="F66" s="26"/>
      <c r="G66" s="26"/>
      <c r="H66" s="26"/>
      <c r="I66" s="26"/>
      <c r="J66" s="26"/>
      <c r="K66" s="26"/>
      <c r="L66" s="57" t="s">
        <v>1</v>
      </c>
    </row>
    <row r="67" spans="1:12" s="2" customFormat="1" ht="37.5" customHeight="1">
      <c r="A67" s="416" t="s">
        <v>42</v>
      </c>
      <c r="B67" s="416" t="s">
        <v>43</v>
      </c>
      <c r="C67" s="418" t="s">
        <v>44</v>
      </c>
      <c r="D67" s="419"/>
      <c r="E67" s="419"/>
      <c r="F67" s="58" t="s">
        <v>45</v>
      </c>
      <c r="G67" s="58" t="s">
        <v>81</v>
      </c>
      <c r="H67" s="401" t="s">
        <v>116</v>
      </c>
      <c r="I67" s="402"/>
      <c r="J67" s="402"/>
      <c r="K67" s="402"/>
      <c r="L67" s="416" t="s">
        <v>91</v>
      </c>
    </row>
    <row r="68" spans="1:12" s="2" customFormat="1" ht="75" customHeight="1">
      <c r="A68" s="417"/>
      <c r="B68" s="417"/>
      <c r="C68" s="58" t="s">
        <v>103</v>
      </c>
      <c r="D68" s="58" t="s">
        <v>104</v>
      </c>
      <c r="E68" s="58" t="s">
        <v>109</v>
      </c>
      <c r="F68" s="58" t="s">
        <v>120</v>
      </c>
      <c r="G68" s="58" t="s">
        <v>120</v>
      </c>
      <c r="H68" s="58" t="s">
        <v>47</v>
      </c>
      <c r="I68" s="58" t="s">
        <v>48</v>
      </c>
      <c r="J68" s="58" t="s">
        <v>49</v>
      </c>
      <c r="K68" s="58" t="s">
        <v>50</v>
      </c>
      <c r="L68" s="417"/>
    </row>
    <row r="69" spans="1:12" s="63" customFormat="1" ht="18" customHeight="1">
      <c r="A69" s="62">
        <v>1</v>
      </c>
      <c r="B69" s="62">
        <v>2</v>
      </c>
      <c r="C69" s="62">
        <v>3</v>
      </c>
      <c r="D69" s="62">
        <v>4</v>
      </c>
      <c r="E69" s="62">
        <v>5</v>
      </c>
      <c r="F69" s="62">
        <v>6</v>
      </c>
      <c r="G69" s="62">
        <v>7</v>
      </c>
      <c r="H69" s="62">
        <v>8</v>
      </c>
      <c r="I69" s="62">
        <v>9</v>
      </c>
      <c r="J69" s="62">
        <v>10</v>
      </c>
      <c r="K69" s="62">
        <v>11</v>
      </c>
      <c r="L69" s="62">
        <v>12</v>
      </c>
    </row>
    <row r="70" spans="1:12">
      <c r="A70" s="60">
        <v>1</v>
      </c>
      <c r="B70" s="59" t="s">
        <v>51</v>
      </c>
      <c r="C70" s="51">
        <v>99477</v>
      </c>
      <c r="D70" s="51">
        <v>96193</v>
      </c>
      <c r="E70" s="51">
        <v>94130</v>
      </c>
      <c r="F70" s="51">
        <v>327880</v>
      </c>
      <c r="G70" s="51">
        <v>327880</v>
      </c>
      <c r="H70" s="51">
        <v>475929</v>
      </c>
      <c r="I70" s="51">
        <v>0</v>
      </c>
      <c r="J70" s="51">
        <v>0</v>
      </c>
      <c r="K70" s="51">
        <v>0</v>
      </c>
      <c r="L70" s="51"/>
    </row>
    <row r="71" spans="1:12">
      <c r="A71" s="60">
        <v>2</v>
      </c>
      <c r="B71" s="59" t="s">
        <v>52</v>
      </c>
      <c r="C71" s="51">
        <v>0</v>
      </c>
      <c r="D71" s="51">
        <v>0</v>
      </c>
      <c r="E71" s="51">
        <v>0</v>
      </c>
      <c r="F71" s="51">
        <v>0</v>
      </c>
      <c r="G71" s="51">
        <v>0</v>
      </c>
      <c r="H71" s="51">
        <v>0</v>
      </c>
      <c r="I71" s="51">
        <v>0</v>
      </c>
      <c r="J71" s="51">
        <v>0</v>
      </c>
      <c r="K71" s="51">
        <v>0</v>
      </c>
      <c r="L71" s="52"/>
    </row>
    <row r="72" spans="1:12">
      <c r="A72" s="60">
        <v>3</v>
      </c>
      <c r="B72" s="59" t="s">
        <v>57</v>
      </c>
      <c r="C72" s="51">
        <v>122</v>
      </c>
      <c r="D72" s="51">
        <v>98</v>
      </c>
      <c r="E72" s="51">
        <v>117</v>
      </c>
      <c r="F72" s="51">
        <v>160</v>
      </c>
      <c r="G72" s="51">
        <v>300</v>
      </c>
      <c r="H72" s="51">
        <v>1000</v>
      </c>
      <c r="I72" s="51">
        <v>0</v>
      </c>
      <c r="J72" s="51">
        <v>0</v>
      </c>
      <c r="K72" s="51">
        <v>0</v>
      </c>
      <c r="L72" s="51"/>
    </row>
    <row r="73" spans="1:12">
      <c r="A73" s="60">
        <v>4</v>
      </c>
      <c r="B73" s="59" t="s">
        <v>87</v>
      </c>
      <c r="C73" s="51">
        <v>0</v>
      </c>
      <c r="D73" s="51">
        <v>0</v>
      </c>
      <c r="E73" s="51">
        <v>13141</v>
      </c>
      <c r="F73" s="51">
        <v>0</v>
      </c>
      <c r="G73" s="51">
        <v>0</v>
      </c>
      <c r="H73" s="51">
        <v>51039</v>
      </c>
      <c r="I73" s="51">
        <v>0</v>
      </c>
      <c r="J73" s="51">
        <v>0</v>
      </c>
      <c r="K73" s="51">
        <v>0</v>
      </c>
      <c r="L73" s="51"/>
    </row>
    <row r="74" spans="1:12">
      <c r="A74" s="60">
        <v>5</v>
      </c>
      <c r="B74" s="59" t="s">
        <v>58</v>
      </c>
      <c r="C74" s="51">
        <v>0</v>
      </c>
      <c r="D74" s="51">
        <v>154</v>
      </c>
      <c r="E74" s="51">
        <v>248</v>
      </c>
      <c r="F74" s="51">
        <v>780</v>
      </c>
      <c r="G74" s="51">
        <v>1250</v>
      </c>
      <c r="H74" s="51">
        <v>1500</v>
      </c>
      <c r="I74" s="51">
        <v>0</v>
      </c>
      <c r="J74" s="51">
        <v>0</v>
      </c>
      <c r="K74" s="51">
        <v>0</v>
      </c>
      <c r="L74" s="51"/>
    </row>
    <row r="75" spans="1:12">
      <c r="A75" s="60">
        <v>6</v>
      </c>
      <c r="B75" s="59" t="s">
        <v>53</v>
      </c>
      <c r="C75" s="51">
        <v>638</v>
      </c>
      <c r="D75" s="51">
        <v>626</v>
      </c>
      <c r="E75" s="51">
        <v>569</v>
      </c>
      <c r="F75" s="51">
        <v>679</v>
      </c>
      <c r="G75" s="51">
        <v>1000</v>
      </c>
      <c r="H75" s="51">
        <v>1500</v>
      </c>
      <c r="I75" s="51">
        <v>0</v>
      </c>
      <c r="J75" s="51">
        <v>0</v>
      </c>
      <c r="K75" s="51">
        <v>0</v>
      </c>
      <c r="L75" s="51"/>
    </row>
    <row r="76" spans="1:12">
      <c r="A76" s="60">
        <v>7</v>
      </c>
      <c r="B76" s="59" t="s">
        <v>59</v>
      </c>
      <c r="C76" s="51">
        <v>654</v>
      </c>
      <c r="D76" s="51">
        <v>211</v>
      </c>
      <c r="E76" s="51">
        <v>254</v>
      </c>
      <c r="F76" s="51">
        <v>560</v>
      </c>
      <c r="G76" s="51">
        <v>1500</v>
      </c>
      <c r="H76" s="51">
        <v>3500</v>
      </c>
      <c r="I76" s="51">
        <v>0</v>
      </c>
      <c r="J76" s="51">
        <v>0</v>
      </c>
      <c r="K76" s="51">
        <v>0</v>
      </c>
      <c r="L76" s="51"/>
    </row>
    <row r="77" spans="1:12">
      <c r="A77" s="60">
        <v>8</v>
      </c>
      <c r="B77" s="59" t="s">
        <v>88</v>
      </c>
      <c r="C77" s="51">
        <v>0</v>
      </c>
      <c r="D77" s="51">
        <v>0</v>
      </c>
      <c r="E77" s="51">
        <v>0</v>
      </c>
      <c r="F77" s="51">
        <v>0</v>
      </c>
      <c r="G77" s="51">
        <v>0</v>
      </c>
      <c r="H77" s="51">
        <v>0</v>
      </c>
      <c r="I77" s="51">
        <v>0</v>
      </c>
      <c r="J77" s="51">
        <v>0</v>
      </c>
      <c r="K77" s="51">
        <v>0</v>
      </c>
      <c r="L77" s="51"/>
    </row>
    <row r="78" spans="1:12">
      <c r="A78" s="60">
        <v>9</v>
      </c>
      <c r="B78" s="59" t="s">
        <v>54</v>
      </c>
      <c r="C78" s="51">
        <v>177</v>
      </c>
      <c r="D78" s="51">
        <v>44</v>
      </c>
      <c r="E78" s="51">
        <v>37</v>
      </c>
      <c r="F78" s="51">
        <v>118</v>
      </c>
      <c r="G78" s="51">
        <v>500</v>
      </c>
      <c r="H78" s="51">
        <v>1000</v>
      </c>
      <c r="I78" s="51">
        <v>0</v>
      </c>
      <c r="J78" s="51">
        <v>0</v>
      </c>
      <c r="K78" s="51">
        <v>0</v>
      </c>
      <c r="L78" s="51"/>
    </row>
    <row r="79" spans="1:12">
      <c r="A79" s="60">
        <v>10</v>
      </c>
      <c r="B79" s="59" t="s">
        <v>89</v>
      </c>
      <c r="C79" s="51">
        <v>0</v>
      </c>
      <c r="D79" s="51">
        <v>0</v>
      </c>
      <c r="E79" s="51">
        <v>0</v>
      </c>
      <c r="F79" s="51">
        <v>0</v>
      </c>
      <c r="G79" s="51">
        <v>0</v>
      </c>
      <c r="H79" s="51">
        <v>0</v>
      </c>
      <c r="I79" s="51">
        <v>0</v>
      </c>
      <c r="J79" s="51">
        <v>0</v>
      </c>
      <c r="K79" s="51">
        <v>0</v>
      </c>
      <c r="L79" s="51"/>
    </row>
    <row r="80" spans="1:12">
      <c r="A80" s="60">
        <v>11</v>
      </c>
      <c r="B80" s="59" t="s">
        <v>55</v>
      </c>
      <c r="C80" s="51">
        <v>0</v>
      </c>
      <c r="D80" s="51">
        <v>0</v>
      </c>
      <c r="E80" s="51">
        <v>0</v>
      </c>
      <c r="F80" s="51">
        <v>0</v>
      </c>
      <c r="G80" s="51">
        <v>0</v>
      </c>
      <c r="H80" s="51">
        <v>0</v>
      </c>
      <c r="I80" s="51">
        <v>0</v>
      </c>
      <c r="J80" s="51">
        <v>0</v>
      </c>
      <c r="K80" s="51">
        <v>0</v>
      </c>
      <c r="L80" s="51"/>
    </row>
    <row r="81" spans="1:12">
      <c r="A81" s="60">
        <v>12</v>
      </c>
      <c r="B81" s="59" t="s">
        <v>60</v>
      </c>
      <c r="C81" s="51">
        <v>0</v>
      </c>
      <c r="D81" s="51">
        <v>0</v>
      </c>
      <c r="E81" s="51">
        <v>0</v>
      </c>
      <c r="F81" s="51">
        <v>1</v>
      </c>
      <c r="G81" s="51">
        <v>0</v>
      </c>
      <c r="H81" s="51">
        <v>0</v>
      </c>
      <c r="I81" s="51">
        <v>0</v>
      </c>
      <c r="J81" s="51">
        <v>0</v>
      </c>
      <c r="K81" s="51">
        <v>0</v>
      </c>
      <c r="L81" s="51"/>
    </row>
    <row r="82" spans="1:12">
      <c r="A82" s="60">
        <v>13</v>
      </c>
      <c r="B82" s="59" t="s">
        <v>56</v>
      </c>
      <c r="C82" s="51">
        <v>0</v>
      </c>
      <c r="D82" s="51">
        <v>0</v>
      </c>
      <c r="E82" s="51">
        <v>0</v>
      </c>
      <c r="F82" s="51">
        <v>0</v>
      </c>
      <c r="G82" s="51">
        <v>0</v>
      </c>
      <c r="H82" s="51">
        <v>0</v>
      </c>
      <c r="I82" s="51">
        <v>0</v>
      </c>
      <c r="J82" s="51">
        <v>0</v>
      </c>
      <c r="K82" s="51">
        <v>0</v>
      </c>
      <c r="L82" s="51"/>
    </row>
    <row r="83" spans="1:12" ht="21" thickBot="1">
      <c r="A83" s="61" t="s">
        <v>61</v>
      </c>
      <c r="B83" s="61" t="s">
        <v>6</v>
      </c>
      <c r="C83" s="53">
        <f>SUM(C70:C82)</f>
        <v>101068</v>
      </c>
      <c r="D83" s="53">
        <f t="shared" ref="D83:K83" si="3">SUM(D70:D82)</f>
        <v>97326</v>
      </c>
      <c r="E83" s="53">
        <f t="shared" si="3"/>
        <v>108496</v>
      </c>
      <c r="F83" s="53">
        <f>SUM(F70:F82)</f>
        <v>330178</v>
      </c>
      <c r="G83" s="53">
        <f>SUM(G70:G82)</f>
        <v>332430</v>
      </c>
      <c r="H83" s="53">
        <f t="shared" si="3"/>
        <v>535468</v>
      </c>
      <c r="I83" s="53">
        <f t="shared" si="3"/>
        <v>0</v>
      </c>
      <c r="J83" s="53">
        <f t="shared" si="3"/>
        <v>0</v>
      </c>
      <c r="K83" s="53">
        <f t="shared" si="3"/>
        <v>0</v>
      </c>
      <c r="L83" s="53"/>
    </row>
    <row r="84" spans="1:12" ht="21" thickTop="1">
      <c r="A84" s="54"/>
      <c r="B84" s="55"/>
      <c r="C84" s="54"/>
      <c r="D84" s="54"/>
      <c r="E84" s="54"/>
      <c r="F84" s="54"/>
      <c r="G84" s="54"/>
      <c r="H84" s="54"/>
      <c r="I84" s="54"/>
      <c r="J84" s="54"/>
      <c r="K84" s="54"/>
      <c r="L84" s="54"/>
    </row>
    <row r="85" spans="1:12" s="2" customFormat="1">
      <c r="A85" s="358" t="s">
        <v>122</v>
      </c>
      <c r="B85" s="359"/>
      <c r="C85" s="359"/>
      <c r="D85" s="359"/>
      <c r="E85" s="359"/>
      <c r="F85" s="359"/>
      <c r="G85" s="359"/>
      <c r="H85" s="359"/>
      <c r="I85" s="359"/>
      <c r="J85" s="359"/>
      <c r="K85" s="359"/>
      <c r="L85" s="359"/>
    </row>
    <row r="86" spans="1:12" s="2" customFormat="1">
      <c r="A86" s="358" t="s">
        <v>31</v>
      </c>
      <c r="B86" s="359"/>
      <c r="C86" s="359"/>
      <c r="D86" s="359"/>
      <c r="E86" s="359"/>
      <c r="F86" s="359"/>
      <c r="G86" s="359"/>
      <c r="H86" s="359"/>
      <c r="I86" s="359"/>
      <c r="J86" s="359"/>
      <c r="K86" s="359"/>
      <c r="L86" s="359"/>
    </row>
    <row r="87" spans="1:12" s="2" customFormat="1" ht="18.75" customHeight="1">
      <c r="A87" s="414" t="s">
        <v>65</v>
      </c>
      <c r="B87" s="415"/>
      <c r="C87" s="415"/>
      <c r="D87" s="26"/>
      <c r="E87" s="26"/>
      <c r="F87" s="26"/>
      <c r="G87" s="26"/>
      <c r="H87" s="26"/>
      <c r="I87" s="26"/>
      <c r="J87" s="26"/>
      <c r="K87" s="26"/>
      <c r="L87" s="57" t="s">
        <v>1</v>
      </c>
    </row>
    <row r="88" spans="1:12" s="2" customFormat="1" ht="37.5" customHeight="1">
      <c r="A88" s="416" t="s">
        <v>42</v>
      </c>
      <c r="B88" s="416" t="s">
        <v>43</v>
      </c>
      <c r="C88" s="418" t="s">
        <v>44</v>
      </c>
      <c r="D88" s="419"/>
      <c r="E88" s="419"/>
      <c r="F88" s="58" t="s">
        <v>45</v>
      </c>
      <c r="G88" s="58" t="s">
        <v>81</v>
      </c>
      <c r="H88" s="401" t="s">
        <v>116</v>
      </c>
      <c r="I88" s="402"/>
      <c r="J88" s="402"/>
      <c r="K88" s="402"/>
      <c r="L88" s="416" t="s">
        <v>91</v>
      </c>
    </row>
    <row r="89" spans="1:12" s="2" customFormat="1" ht="75" customHeight="1">
      <c r="A89" s="417"/>
      <c r="B89" s="417"/>
      <c r="C89" s="58" t="s">
        <v>103</v>
      </c>
      <c r="D89" s="58" t="s">
        <v>104</v>
      </c>
      <c r="E89" s="58" t="s">
        <v>109</v>
      </c>
      <c r="F89" s="58" t="s">
        <v>120</v>
      </c>
      <c r="G89" s="58" t="s">
        <v>120</v>
      </c>
      <c r="H89" s="58" t="s">
        <v>47</v>
      </c>
      <c r="I89" s="58" t="s">
        <v>48</v>
      </c>
      <c r="J89" s="58" t="s">
        <v>49</v>
      </c>
      <c r="K89" s="58" t="s">
        <v>50</v>
      </c>
      <c r="L89" s="417"/>
    </row>
    <row r="90" spans="1:12" s="63" customFormat="1" ht="18" customHeight="1">
      <c r="A90" s="62">
        <v>1</v>
      </c>
      <c r="B90" s="62">
        <v>2</v>
      </c>
      <c r="C90" s="62">
        <v>3</v>
      </c>
      <c r="D90" s="62">
        <v>4</v>
      </c>
      <c r="E90" s="62">
        <v>5</v>
      </c>
      <c r="F90" s="62">
        <v>6</v>
      </c>
      <c r="G90" s="62">
        <v>7</v>
      </c>
      <c r="H90" s="62">
        <v>8</v>
      </c>
      <c r="I90" s="62">
        <v>9</v>
      </c>
      <c r="J90" s="62">
        <v>10</v>
      </c>
      <c r="K90" s="62">
        <v>11</v>
      </c>
      <c r="L90" s="62">
        <v>12</v>
      </c>
    </row>
    <row r="91" spans="1:12">
      <c r="A91" s="60">
        <v>1</v>
      </c>
      <c r="B91" s="59" t="s">
        <v>51</v>
      </c>
      <c r="C91" s="51">
        <v>258367</v>
      </c>
      <c r="D91" s="51">
        <v>242795</v>
      </c>
      <c r="E91" s="51">
        <v>348404</v>
      </c>
      <c r="F91" s="51">
        <v>361950</v>
      </c>
      <c r="G91" s="51">
        <v>361950</v>
      </c>
      <c r="H91" s="51">
        <v>515590</v>
      </c>
      <c r="I91" s="51">
        <v>0</v>
      </c>
      <c r="J91" s="51">
        <v>0</v>
      </c>
      <c r="K91" s="51">
        <v>0</v>
      </c>
      <c r="L91" s="51"/>
    </row>
    <row r="92" spans="1:12">
      <c r="A92" s="60">
        <v>2</v>
      </c>
      <c r="B92" s="59" t="s">
        <v>52</v>
      </c>
      <c r="C92" s="51">
        <v>0</v>
      </c>
      <c r="D92" s="51">
        <v>0</v>
      </c>
      <c r="E92" s="51">
        <v>0</v>
      </c>
      <c r="F92" s="51">
        <v>0</v>
      </c>
      <c r="G92" s="51">
        <v>0</v>
      </c>
      <c r="H92" s="51">
        <v>0</v>
      </c>
      <c r="I92" s="51">
        <v>0</v>
      </c>
      <c r="J92" s="51">
        <v>0</v>
      </c>
      <c r="K92" s="51">
        <v>0</v>
      </c>
      <c r="L92" s="52"/>
    </row>
    <row r="93" spans="1:12">
      <c r="A93" s="60">
        <v>3</v>
      </c>
      <c r="B93" s="59" t="s">
        <v>57</v>
      </c>
      <c r="C93" s="51">
        <v>187</v>
      </c>
      <c r="D93" s="51">
        <v>75</v>
      </c>
      <c r="E93" s="51">
        <v>85</v>
      </c>
      <c r="F93" s="51">
        <v>270</v>
      </c>
      <c r="G93" s="51">
        <v>270</v>
      </c>
      <c r="H93" s="51">
        <v>1690</v>
      </c>
      <c r="I93" s="51">
        <v>0</v>
      </c>
      <c r="J93" s="51">
        <v>0</v>
      </c>
      <c r="K93" s="51">
        <v>0</v>
      </c>
      <c r="L93" s="51"/>
    </row>
    <row r="94" spans="1:12">
      <c r="A94" s="60">
        <v>4</v>
      </c>
      <c r="B94" s="59" t="s">
        <v>87</v>
      </c>
      <c r="C94" s="51">
        <v>0</v>
      </c>
      <c r="D94" s="51">
        <v>0</v>
      </c>
      <c r="E94" s="51">
        <v>0</v>
      </c>
      <c r="F94" s="51">
        <v>0</v>
      </c>
      <c r="G94" s="51">
        <v>0</v>
      </c>
      <c r="H94" s="51">
        <v>0</v>
      </c>
      <c r="I94" s="51">
        <v>0</v>
      </c>
      <c r="J94" s="51">
        <v>0</v>
      </c>
      <c r="K94" s="51">
        <v>0</v>
      </c>
      <c r="L94" s="51"/>
    </row>
    <row r="95" spans="1:12">
      <c r="A95" s="60">
        <v>5</v>
      </c>
      <c r="B95" s="59" t="s">
        <v>58</v>
      </c>
      <c r="C95" s="51">
        <v>310</v>
      </c>
      <c r="D95" s="51">
        <v>386</v>
      </c>
      <c r="E95" s="51">
        <v>492</v>
      </c>
      <c r="F95" s="51">
        <v>1770</v>
      </c>
      <c r="G95" s="51">
        <v>1770</v>
      </c>
      <c r="H95" s="51">
        <v>2275</v>
      </c>
      <c r="I95" s="51">
        <v>0</v>
      </c>
      <c r="J95" s="51">
        <v>0</v>
      </c>
      <c r="K95" s="51">
        <v>0</v>
      </c>
      <c r="L95" s="51"/>
    </row>
    <row r="96" spans="1:12">
      <c r="A96" s="60">
        <v>6</v>
      </c>
      <c r="B96" s="59" t="s">
        <v>53</v>
      </c>
      <c r="C96" s="51">
        <v>1299</v>
      </c>
      <c r="D96" s="51">
        <v>1273</v>
      </c>
      <c r="E96" s="51">
        <v>1142</v>
      </c>
      <c r="F96" s="51">
        <v>1360</v>
      </c>
      <c r="G96" s="51">
        <v>1360</v>
      </c>
      <c r="H96" s="51">
        <v>3003</v>
      </c>
      <c r="I96" s="51">
        <v>0</v>
      </c>
      <c r="J96" s="51">
        <v>0</v>
      </c>
      <c r="K96" s="51">
        <v>0</v>
      </c>
      <c r="L96" s="51"/>
    </row>
    <row r="97" spans="1:12">
      <c r="A97" s="60">
        <v>7</v>
      </c>
      <c r="B97" s="59" t="s">
        <v>59</v>
      </c>
      <c r="C97" s="51">
        <v>876</v>
      </c>
      <c r="D97" s="51">
        <v>955</v>
      </c>
      <c r="E97" s="51">
        <v>864</v>
      </c>
      <c r="F97" s="51">
        <v>1074</v>
      </c>
      <c r="G97" s="51">
        <v>1074</v>
      </c>
      <c r="H97" s="51">
        <v>6710</v>
      </c>
      <c r="I97" s="51">
        <v>0</v>
      </c>
      <c r="J97" s="51">
        <v>0</v>
      </c>
      <c r="K97" s="51">
        <v>0</v>
      </c>
      <c r="L97" s="51"/>
    </row>
    <row r="98" spans="1:12">
      <c r="A98" s="60">
        <v>8</v>
      </c>
      <c r="B98" s="59" t="s">
        <v>88</v>
      </c>
      <c r="C98" s="51">
        <v>0</v>
      </c>
      <c r="D98" s="51">
        <v>0</v>
      </c>
      <c r="E98" s="51">
        <v>0</v>
      </c>
      <c r="F98" s="51">
        <v>0</v>
      </c>
      <c r="G98" s="51">
        <v>0</v>
      </c>
      <c r="H98" s="51">
        <v>0</v>
      </c>
      <c r="I98" s="51">
        <v>0</v>
      </c>
      <c r="J98" s="51">
        <v>0</v>
      </c>
      <c r="K98" s="51">
        <v>0</v>
      </c>
      <c r="L98" s="51"/>
    </row>
    <row r="99" spans="1:12">
      <c r="A99" s="60">
        <v>9</v>
      </c>
      <c r="B99" s="59" t="s">
        <v>54</v>
      </c>
      <c r="C99" s="51">
        <v>172</v>
      </c>
      <c r="D99" s="51">
        <v>128</v>
      </c>
      <c r="E99" s="51">
        <v>56</v>
      </c>
      <c r="F99" s="51">
        <v>220</v>
      </c>
      <c r="G99" s="51">
        <v>220</v>
      </c>
      <c r="H99" s="51">
        <v>1950</v>
      </c>
      <c r="I99" s="51">
        <v>0</v>
      </c>
      <c r="J99" s="51">
        <v>0</v>
      </c>
      <c r="K99" s="51">
        <v>0</v>
      </c>
      <c r="L99" s="51"/>
    </row>
    <row r="100" spans="1:12">
      <c r="A100" s="60">
        <v>10</v>
      </c>
      <c r="B100" s="59" t="s">
        <v>89</v>
      </c>
      <c r="C100" s="51">
        <v>0</v>
      </c>
      <c r="D100" s="51">
        <v>0</v>
      </c>
      <c r="E100" s="51">
        <v>0</v>
      </c>
      <c r="F100" s="51">
        <v>0</v>
      </c>
      <c r="G100" s="51">
        <v>0</v>
      </c>
      <c r="H100" s="51">
        <v>0</v>
      </c>
      <c r="I100" s="51">
        <v>0</v>
      </c>
      <c r="J100" s="51">
        <v>0</v>
      </c>
      <c r="K100" s="51">
        <v>0</v>
      </c>
      <c r="L100" s="51"/>
    </row>
    <row r="101" spans="1:12">
      <c r="A101" s="60">
        <v>11</v>
      </c>
      <c r="B101" s="59" t="s">
        <v>55</v>
      </c>
      <c r="C101" s="51">
        <v>0</v>
      </c>
      <c r="D101" s="51">
        <v>0</v>
      </c>
      <c r="E101" s="51">
        <v>0</v>
      </c>
      <c r="F101" s="51">
        <v>0</v>
      </c>
      <c r="G101" s="51">
        <v>0</v>
      </c>
      <c r="H101" s="51">
        <v>195</v>
      </c>
      <c r="I101" s="51">
        <v>0</v>
      </c>
      <c r="J101" s="51">
        <v>0</v>
      </c>
      <c r="K101" s="51">
        <v>0</v>
      </c>
      <c r="L101" s="51"/>
    </row>
    <row r="102" spans="1:12">
      <c r="A102" s="60">
        <v>12</v>
      </c>
      <c r="B102" s="59" t="s">
        <v>60</v>
      </c>
      <c r="C102" s="51">
        <v>0</v>
      </c>
      <c r="D102" s="51">
        <v>0</v>
      </c>
      <c r="E102" s="51">
        <v>0</v>
      </c>
      <c r="F102" s="51">
        <v>0</v>
      </c>
      <c r="G102" s="51">
        <v>0</v>
      </c>
      <c r="H102" s="51">
        <v>0</v>
      </c>
      <c r="I102" s="51">
        <v>0</v>
      </c>
      <c r="J102" s="51">
        <v>0</v>
      </c>
      <c r="K102" s="51">
        <v>0</v>
      </c>
      <c r="L102" s="51"/>
    </row>
    <row r="103" spans="1:12">
      <c r="A103" s="60">
        <v>13</v>
      </c>
      <c r="B103" s="59" t="s">
        <v>56</v>
      </c>
      <c r="C103" s="51">
        <v>0</v>
      </c>
      <c r="D103" s="51">
        <v>0</v>
      </c>
      <c r="E103" s="51">
        <v>0</v>
      </c>
      <c r="F103" s="51">
        <v>0</v>
      </c>
      <c r="G103" s="51">
        <v>0</v>
      </c>
      <c r="H103" s="51">
        <v>0</v>
      </c>
      <c r="I103" s="51">
        <v>0</v>
      </c>
      <c r="J103" s="51">
        <v>0</v>
      </c>
      <c r="K103" s="51">
        <v>0</v>
      </c>
      <c r="L103" s="51"/>
    </row>
    <row r="104" spans="1:12" ht="21" thickBot="1">
      <c r="A104" s="61" t="s">
        <v>61</v>
      </c>
      <c r="B104" s="61" t="s">
        <v>6</v>
      </c>
      <c r="C104" s="53">
        <f>SUM(C91:C103)</f>
        <v>261211</v>
      </c>
      <c r="D104" s="53">
        <f t="shared" ref="D104:K104" si="4">SUM(D91:D103)</f>
        <v>245612</v>
      </c>
      <c r="E104" s="53">
        <f t="shared" si="4"/>
        <v>351043</v>
      </c>
      <c r="F104" s="53">
        <f t="shared" si="4"/>
        <v>366644</v>
      </c>
      <c r="G104" s="53">
        <f t="shared" si="4"/>
        <v>366644</v>
      </c>
      <c r="H104" s="53">
        <f t="shared" si="4"/>
        <v>531413</v>
      </c>
      <c r="I104" s="53">
        <f t="shared" si="4"/>
        <v>0</v>
      </c>
      <c r="J104" s="53">
        <f t="shared" si="4"/>
        <v>0</v>
      </c>
      <c r="K104" s="53">
        <f t="shared" si="4"/>
        <v>0</v>
      </c>
      <c r="L104" s="53"/>
    </row>
    <row r="105" spans="1:12" ht="21" thickTop="1">
      <c r="A105" s="54"/>
      <c r="B105" s="55"/>
      <c r="C105" s="54"/>
      <c r="D105" s="54"/>
      <c r="E105" s="54"/>
      <c r="F105" s="54"/>
      <c r="G105" s="54"/>
      <c r="H105" s="54"/>
      <c r="I105" s="54"/>
      <c r="J105" s="54"/>
      <c r="K105" s="54"/>
      <c r="L105" s="54"/>
    </row>
    <row r="106" spans="1:12" s="2" customFormat="1">
      <c r="A106" s="358" t="s">
        <v>122</v>
      </c>
      <c r="B106" s="359"/>
      <c r="C106" s="359"/>
      <c r="D106" s="359"/>
      <c r="E106" s="359"/>
      <c r="F106" s="359"/>
      <c r="G106" s="359"/>
      <c r="H106" s="359"/>
      <c r="I106" s="359"/>
      <c r="J106" s="359"/>
      <c r="K106" s="359"/>
      <c r="L106" s="359"/>
    </row>
    <row r="107" spans="1:12" s="2" customFormat="1">
      <c r="A107" s="358" t="s">
        <v>31</v>
      </c>
      <c r="B107" s="359"/>
      <c r="C107" s="359"/>
      <c r="D107" s="359"/>
      <c r="E107" s="359"/>
      <c r="F107" s="359"/>
      <c r="G107" s="359"/>
      <c r="H107" s="359"/>
      <c r="I107" s="359"/>
      <c r="J107" s="359"/>
      <c r="K107" s="359"/>
      <c r="L107" s="359"/>
    </row>
    <row r="108" spans="1:12" s="2" customFormat="1" ht="18.75" customHeight="1">
      <c r="A108" s="414" t="s">
        <v>64</v>
      </c>
      <c r="B108" s="415"/>
      <c r="C108" s="415"/>
      <c r="D108" s="26"/>
      <c r="E108" s="26"/>
      <c r="F108" s="26"/>
      <c r="G108" s="26"/>
      <c r="H108" s="26"/>
      <c r="I108" s="26"/>
      <c r="J108" s="26"/>
      <c r="K108" s="26"/>
      <c r="L108" s="57" t="s">
        <v>1</v>
      </c>
    </row>
    <row r="109" spans="1:12" s="2" customFormat="1" ht="37.5" customHeight="1">
      <c r="A109" s="416" t="s">
        <v>42</v>
      </c>
      <c r="B109" s="416" t="s">
        <v>43</v>
      </c>
      <c r="C109" s="418" t="s">
        <v>44</v>
      </c>
      <c r="D109" s="419"/>
      <c r="E109" s="419"/>
      <c r="F109" s="58" t="s">
        <v>45</v>
      </c>
      <c r="G109" s="58" t="s">
        <v>81</v>
      </c>
      <c r="H109" s="401" t="s">
        <v>116</v>
      </c>
      <c r="I109" s="402"/>
      <c r="J109" s="402"/>
      <c r="K109" s="402"/>
      <c r="L109" s="416" t="s">
        <v>91</v>
      </c>
    </row>
    <row r="110" spans="1:12" s="2" customFormat="1" ht="75" customHeight="1">
      <c r="A110" s="417"/>
      <c r="B110" s="417"/>
      <c r="C110" s="58" t="s">
        <v>103</v>
      </c>
      <c r="D110" s="58" t="s">
        <v>104</v>
      </c>
      <c r="E110" s="58" t="s">
        <v>109</v>
      </c>
      <c r="F110" s="58" t="s">
        <v>120</v>
      </c>
      <c r="G110" s="58" t="s">
        <v>120</v>
      </c>
      <c r="H110" s="58" t="s">
        <v>47</v>
      </c>
      <c r="I110" s="58" t="s">
        <v>48</v>
      </c>
      <c r="J110" s="58" t="s">
        <v>49</v>
      </c>
      <c r="K110" s="58" t="s">
        <v>50</v>
      </c>
      <c r="L110" s="417"/>
    </row>
    <row r="111" spans="1:12" s="63" customFormat="1" ht="18" customHeight="1">
      <c r="A111" s="62">
        <v>1</v>
      </c>
      <c r="B111" s="62">
        <v>2</v>
      </c>
      <c r="C111" s="62">
        <v>3</v>
      </c>
      <c r="D111" s="62">
        <v>4</v>
      </c>
      <c r="E111" s="62">
        <v>5</v>
      </c>
      <c r="F111" s="62">
        <v>6</v>
      </c>
      <c r="G111" s="62">
        <v>7</v>
      </c>
      <c r="H111" s="62">
        <v>8</v>
      </c>
      <c r="I111" s="62">
        <v>9</v>
      </c>
      <c r="J111" s="62">
        <v>10</v>
      </c>
      <c r="K111" s="62">
        <v>11</v>
      </c>
      <c r="L111" s="62">
        <v>12</v>
      </c>
    </row>
    <row r="112" spans="1:12">
      <c r="A112" s="60">
        <v>1</v>
      </c>
      <c r="B112" s="59" t="s">
        <v>51</v>
      </c>
      <c r="C112" s="51">
        <v>257122</v>
      </c>
      <c r="D112" s="51">
        <v>260703</v>
      </c>
      <c r="E112" s="51">
        <v>294389</v>
      </c>
      <c r="F112" s="51">
        <v>484955</v>
      </c>
      <c r="G112" s="51">
        <v>663570</v>
      </c>
      <c r="H112" s="51">
        <v>692381</v>
      </c>
      <c r="I112" s="51">
        <v>0</v>
      </c>
      <c r="J112" s="51">
        <v>0</v>
      </c>
      <c r="K112" s="51">
        <v>0</v>
      </c>
      <c r="L112" s="51"/>
    </row>
    <row r="113" spans="1:12">
      <c r="A113" s="60">
        <v>2</v>
      </c>
      <c r="B113" s="59" t="s">
        <v>52</v>
      </c>
      <c r="C113" s="51">
        <v>0</v>
      </c>
      <c r="D113" s="51">
        <v>0</v>
      </c>
      <c r="E113" s="51">
        <v>0</v>
      </c>
      <c r="F113" s="51">
        <v>0</v>
      </c>
      <c r="G113" s="51">
        <v>0</v>
      </c>
      <c r="H113" s="51">
        <v>0</v>
      </c>
      <c r="I113" s="51">
        <v>0</v>
      </c>
      <c r="J113" s="51">
        <v>0</v>
      </c>
      <c r="K113" s="51">
        <v>0</v>
      </c>
      <c r="L113" s="52"/>
    </row>
    <row r="114" spans="1:12">
      <c r="A114" s="60">
        <v>3</v>
      </c>
      <c r="B114" s="59" t="s">
        <v>57</v>
      </c>
      <c r="C114" s="51">
        <v>80</v>
      </c>
      <c r="D114" s="51">
        <v>144</v>
      </c>
      <c r="E114" s="51">
        <v>181</v>
      </c>
      <c r="F114" s="51">
        <v>245</v>
      </c>
      <c r="G114" s="51">
        <v>1600</v>
      </c>
      <c r="H114" s="51">
        <v>2100</v>
      </c>
      <c r="I114" s="51">
        <v>0</v>
      </c>
      <c r="J114" s="51">
        <v>0</v>
      </c>
      <c r="K114" s="51">
        <v>0</v>
      </c>
      <c r="L114" s="51"/>
    </row>
    <row r="115" spans="1:12">
      <c r="A115" s="60">
        <v>4</v>
      </c>
      <c r="B115" s="59" t="s">
        <v>87</v>
      </c>
      <c r="C115" s="51">
        <v>0</v>
      </c>
      <c r="D115" s="51">
        <v>0</v>
      </c>
      <c r="E115" s="51">
        <v>0</v>
      </c>
      <c r="F115" s="51">
        <v>0</v>
      </c>
      <c r="G115" s="51">
        <v>0</v>
      </c>
      <c r="H115" s="51">
        <v>0</v>
      </c>
      <c r="I115" s="51">
        <v>0</v>
      </c>
      <c r="J115" s="51">
        <v>0</v>
      </c>
      <c r="K115" s="51">
        <v>0</v>
      </c>
      <c r="L115" s="51"/>
    </row>
    <row r="116" spans="1:12">
      <c r="A116" s="60">
        <v>5</v>
      </c>
      <c r="B116" s="59" t="s">
        <v>58</v>
      </c>
      <c r="C116" s="51">
        <v>21</v>
      </c>
      <c r="D116" s="51">
        <v>208</v>
      </c>
      <c r="E116" s="51">
        <v>100</v>
      </c>
      <c r="F116" s="51">
        <v>700</v>
      </c>
      <c r="G116" s="51">
        <v>600</v>
      </c>
      <c r="H116" s="51">
        <v>800</v>
      </c>
      <c r="I116" s="51">
        <v>0</v>
      </c>
      <c r="J116" s="51">
        <v>0</v>
      </c>
      <c r="K116" s="51">
        <v>0</v>
      </c>
      <c r="L116" s="51"/>
    </row>
    <row r="117" spans="1:12">
      <c r="A117" s="60">
        <v>6</v>
      </c>
      <c r="B117" s="59" t="s">
        <v>53</v>
      </c>
      <c r="C117" s="51">
        <v>305</v>
      </c>
      <c r="D117" s="51">
        <v>824</v>
      </c>
      <c r="E117" s="51">
        <v>856</v>
      </c>
      <c r="F117" s="51">
        <v>1017</v>
      </c>
      <c r="G117" s="51">
        <v>2700</v>
      </c>
      <c r="H117" s="51">
        <v>3000</v>
      </c>
      <c r="I117" s="51">
        <v>0</v>
      </c>
      <c r="J117" s="51">
        <v>0</v>
      </c>
      <c r="K117" s="51">
        <v>0</v>
      </c>
      <c r="L117" s="51"/>
    </row>
    <row r="118" spans="1:12">
      <c r="A118" s="60">
        <v>7</v>
      </c>
      <c r="B118" s="59" t="s">
        <v>59</v>
      </c>
      <c r="C118" s="51">
        <v>768</v>
      </c>
      <c r="D118" s="51">
        <v>1107</v>
      </c>
      <c r="E118" s="51">
        <v>1115</v>
      </c>
      <c r="F118" s="51">
        <v>1441</v>
      </c>
      <c r="G118" s="51">
        <v>11000</v>
      </c>
      <c r="H118" s="51">
        <v>12500</v>
      </c>
      <c r="I118" s="51">
        <v>0</v>
      </c>
      <c r="J118" s="51">
        <v>0</v>
      </c>
      <c r="K118" s="51">
        <v>0</v>
      </c>
      <c r="L118" s="51"/>
    </row>
    <row r="119" spans="1:12">
      <c r="A119" s="60">
        <v>8</v>
      </c>
      <c r="B119" s="59" t="s">
        <v>88</v>
      </c>
      <c r="C119" s="51">
        <v>0</v>
      </c>
      <c r="D119" s="51">
        <v>0</v>
      </c>
      <c r="E119" s="51">
        <v>0</v>
      </c>
      <c r="F119" s="51">
        <v>0</v>
      </c>
      <c r="G119" s="51">
        <v>50</v>
      </c>
      <c r="H119" s="51">
        <v>50</v>
      </c>
      <c r="I119" s="51">
        <v>0</v>
      </c>
      <c r="J119" s="51">
        <v>0</v>
      </c>
      <c r="K119" s="51">
        <v>0</v>
      </c>
      <c r="L119" s="51"/>
    </row>
    <row r="120" spans="1:12">
      <c r="A120" s="60">
        <v>9</v>
      </c>
      <c r="B120" s="59" t="s">
        <v>54</v>
      </c>
      <c r="C120" s="51">
        <v>58</v>
      </c>
      <c r="D120" s="51">
        <v>90</v>
      </c>
      <c r="E120" s="51">
        <v>59</v>
      </c>
      <c r="F120" s="51">
        <v>200</v>
      </c>
      <c r="G120" s="51">
        <v>1900</v>
      </c>
      <c r="H120" s="51">
        <v>2000</v>
      </c>
      <c r="I120" s="51">
        <v>0</v>
      </c>
      <c r="J120" s="51">
        <v>0</v>
      </c>
      <c r="K120" s="51">
        <v>0</v>
      </c>
      <c r="L120" s="51"/>
    </row>
    <row r="121" spans="1:12">
      <c r="A121" s="60">
        <v>10</v>
      </c>
      <c r="B121" s="59" t="s">
        <v>89</v>
      </c>
      <c r="C121" s="51">
        <v>0</v>
      </c>
      <c r="D121" s="51">
        <v>0</v>
      </c>
      <c r="E121" s="51">
        <v>0</v>
      </c>
      <c r="F121" s="51">
        <v>0</v>
      </c>
      <c r="G121" s="51">
        <v>0</v>
      </c>
      <c r="H121" s="51">
        <v>0</v>
      </c>
      <c r="I121" s="51">
        <v>0</v>
      </c>
      <c r="J121" s="51">
        <v>0</v>
      </c>
      <c r="K121" s="51">
        <v>0</v>
      </c>
      <c r="L121" s="51"/>
    </row>
    <row r="122" spans="1:12">
      <c r="A122" s="60">
        <v>11</v>
      </c>
      <c r="B122" s="59" t="s">
        <v>55</v>
      </c>
      <c r="C122" s="51">
        <v>0</v>
      </c>
      <c r="D122" s="51">
        <v>0</v>
      </c>
      <c r="E122" s="51">
        <v>0</v>
      </c>
      <c r="F122" s="51">
        <v>1</v>
      </c>
      <c r="G122" s="51">
        <v>50</v>
      </c>
      <c r="H122" s="51">
        <v>70</v>
      </c>
      <c r="I122" s="51">
        <v>0</v>
      </c>
      <c r="J122" s="51">
        <v>0</v>
      </c>
      <c r="K122" s="51">
        <v>0</v>
      </c>
      <c r="L122" s="51"/>
    </row>
    <row r="123" spans="1:12">
      <c r="A123" s="60">
        <v>12</v>
      </c>
      <c r="B123" s="59" t="s">
        <v>60</v>
      </c>
      <c r="C123" s="51">
        <v>0</v>
      </c>
      <c r="D123" s="51">
        <v>0</v>
      </c>
      <c r="E123" s="51">
        <v>0</v>
      </c>
      <c r="F123" s="51">
        <v>0</v>
      </c>
      <c r="G123" s="51">
        <v>100</v>
      </c>
      <c r="H123" s="51">
        <v>200</v>
      </c>
      <c r="I123" s="51">
        <v>0</v>
      </c>
      <c r="J123" s="51">
        <v>0</v>
      </c>
      <c r="K123" s="51">
        <v>0</v>
      </c>
      <c r="L123" s="51"/>
    </row>
    <row r="124" spans="1:12">
      <c r="A124" s="60">
        <v>13</v>
      </c>
      <c r="B124" s="59" t="s">
        <v>56</v>
      </c>
      <c r="C124" s="51"/>
      <c r="D124" s="51"/>
      <c r="E124" s="51"/>
      <c r="F124" s="51">
        <v>0</v>
      </c>
      <c r="G124" s="51">
        <v>0</v>
      </c>
      <c r="H124" s="51">
        <v>0</v>
      </c>
      <c r="I124" s="51">
        <v>0</v>
      </c>
      <c r="J124" s="51">
        <v>0</v>
      </c>
      <c r="K124" s="51">
        <v>0</v>
      </c>
      <c r="L124" s="51"/>
    </row>
    <row r="125" spans="1:12" ht="21" thickBot="1">
      <c r="A125" s="61" t="s">
        <v>61</v>
      </c>
      <c r="B125" s="61" t="s">
        <v>6</v>
      </c>
      <c r="C125" s="53">
        <f>SUM(C112:C124)</f>
        <v>258354</v>
      </c>
      <c r="D125" s="53">
        <f t="shared" ref="D125:K125" si="5">SUM(D112:D124)</f>
        <v>263076</v>
      </c>
      <c r="E125" s="53">
        <f t="shared" si="5"/>
        <v>296700</v>
      </c>
      <c r="F125" s="53">
        <f t="shared" si="5"/>
        <v>488559</v>
      </c>
      <c r="G125" s="53">
        <f t="shared" si="5"/>
        <v>681570</v>
      </c>
      <c r="H125" s="53">
        <f t="shared" si="5"/>
        <v>713101</v>
      </c>
      <c r="I125" s="53">
        <f t="shared" si="5"/>
        <v>0</v>
      </c>
      <c r="J125" s="53">
        <f t="shared" si="5"/>
        <v>0</v>
      </c>
      <c r="K125" s="53">
        <f t="shared" si="5"/>
        <v>0</v>
      </c>
      <c r="L125" s="53"/>
    </row>
    <row r="126" spans="1:12" ht="21" thickTop="1">
      <c r="A126" s="54"/>
      <c r="B126" s="55"/>
      <c r="C126" s="54"/>
      <c r="D126" s="54"/>
      <c r="E126" s="54"/>
      <c r="F126" s="54"/>
      <c r="G126" s="54"/>
      <c r="H126" s="54"/>
      <c r="I126" s="54"/>
      <c r="J126" s="54"/>
      <c r="K126" s="54"/>
      <c r="L126" s="54"/>
    </row>
    <row r="127" spans="1:12" s="2" customFormat="1">
      <c r="A127" s="358" t="s">
        <v>122</v>
      </c>
      <c r="B127" s="359"/>
      <c r="C127" s="359"/>
      <c r="D127" s="359"/>
      <c r="E127" s="359"/>
      <c r="F127" s="359"/>
      <c r="G127" s="359"/>
      <c r="H127" s="359"/>
      <c r="I127" s="359"/>
      <c r="J127" s="359"/>
      <c r="K127" s="359"/>
      <c r="L127" s="359"/>
    </row>
    <row r="128" spans="1:12" s="2" customFormat="1">
      <c r="A128" s="358" t="s">
        <v>31</v>
      </c>
      <c r="B128" s="359"/>
      <c r="C128" s="359"/>
      <c r="D128" s="359"/>
      <c r="E128" s="359"/>
      <c r="F128" s="359"/>
      <c r="G128" s="359"/>
      <c r="H128" s="359"/>
      <c r="I128" s="359"/>
      <c r="J128" s="359"/>
      <c r="K128" s="359"/>
      <c r="L128" s="359"/>
    </row>
    <row r="129" spans="1:12" s="2" customFormat="1" ht="21.75" customHeight="1">
      <c r="A129" s="414" t="s">
        <v>63</v>
      </c>
      <c r="B129" s="415"/>
      <c r="C129" s="415"/>
      <c r="D129" s="26"/>
      <c r="E129" s="26"/>
      <c r="F129" s="26"/>
      <c r="G129" s="26"/>
      <c r="H129" s="26"/>
      <c r="I129" s="26"/>
      <c r="J129" s="26"/>
      <c r="K129" s="26"/>
      <c r="L129" s="57" t="s">
        <v>1</v>
      </c>
    </row>
    <row r="130" spans="1:12" s="2" customFormat="1" ht="37.5" customHeight="1">
      <c r="A130" s="416" t="s">
        <v>42</v>
      </c>
      <c r="B130" s="416" t="s">
        <v>43</v>
      </c>
      <c r="C130" s="418" t="s">
        <v>44</v>
      </c>
      <c r="D130" s="419"/>
      <c r="E130" s="419"/>
      <c r="F130" s="58" t="s">
        <v>45</v>
      </c>
      <c r="G130" s="58" t="s">
        <v>81</v>
      </c>
      <c r="H130" s="401" t="s">
        <v>116</v>
      </c>
      <c r="I130" s="402"/>
      <c r="J130" s="402"/>
      <c r="K130" s="402"/>
      <c r="L130" s="416" t="s">
        <v>91</v>
      </c>
    </row>
    <row r="131" spans="1:12" s="2" customFormat="1" ht="75" customHeight="1">
      <c r="A131" s="417"/>
      <c r="B131" s="417"/>
      <c r="C131" s="58" t="s">
        <v>103</v>
      </c>
      <c r="D131" s="58" t="s">
        <v>104</v>
      </c>
      <c r="E131" s="58" t="s">
        <v>109</v>
      </c>
      <c r="F131" s="58" t="s">
        <v>120</v>
      </c>
      <c r="G131" s="58" t="s">
        <v>120</v>
      </c>
      <c r="H131" s="58" t="s">
        <v>47</v>
      </c>
      <c r="I131" s="58" t="s">
        <v>48</v>
      </c>
      <c r="J131" s="58" t="s">
        <v>49</v>
      </c>
      <c r="K131" s="58" t="s">
        <v>50</v>
      </c>
      <c r="L131" s="417"/>
    </row>
    <row r="132" spans="1:12" s="63" customFormat="1" ht="18" customHeight="1">
      <c r="A132" s="62">
        <v>1</v>
      </c>
      <c r="B132" s="62">
        <v>2</v>
      </c>
      <c r="C132" s="62">
        <v>3</v>
      </c>
      <c r="D132" s="62">
        <v>4</v>
      </c>
      <c r="E132" s="62">
        <v>5</v>
      </c>
      <c r="F132" s="62">
        <v>6</v>
      </c>
      <c r="G132" s="62">
        <v>7</v>
      </c>
      <c r="H132" s="62">
        <v>8</v>
      </c>
      <c r="I132" s="62">
        <v>9</v>
      </c>
      <c r="J132" s="62">
        <v>10</v>
      </c>
      <c r="K132" s="62">
        <v>11</v>
      </c>
      <c r="L132" s="62">
        <v>12</v>
      </c>
    </row>
    <row r="133" spans="1:12">
      <c r="A133" s="60">
        <v>1</v>
      </c>
      <c r="B133" s="59" t="s">
        <v>51</v>
      </c>
      <c r="C133" s="51">
        <v>167096</v>
      </c>
      <c r="D133" s="51">
        <v>169266</v>
      </c>
      <c r="E133" s="51">
        <v>199417</v>
      </c>
      <c r="F133" s="51">
        <v>284065</v>
      </c>
      <c r="G133" s="51">
        <v>300000</v>
      </c>
      <c r="H133" s="51">
        <v>399778</v>
      </c>
      <c r="I133" s="51">
        <v>0</v>
      </c>
      <c r="J133" s="51">
        <v>0</v>
      </c>
      <c r="K133" s="51">
        <v>0</v>
      </c>
      <c r="L133" s="51"/>
    </row>
    <row r="134" spans="1:12">
      <c r="A134" s="60">
        <v>2</v>
      </c>
      <c r="B134" s="59" t="s">
        <v>52</v>
      </c>
      <c r="C134" s="51">
        <v>0</v>
      </c>
      <c r="D134" s="51">
        <v>0</v>
      </c>
      <c r="E134" s="51">
        <v>0</v>
      </c>
      <c r="F134" s="51">
        <v>0</v>
      </c>
      <c r="G134" s="51">
        <v>0</v>
      </c>
      <c r="H134" s="51">
        <v>0</v>
      </c>
      <c r="I134" s="51">
        <v>0</v>
      </c>
      <c r="J134" s="51">
        <v>0</v>
      </c>
      <c r="K134" s="51">
        <v>0</v>
      </c>
      <c r="L134" s="52"/>
    </row>
    <row r="135" spans="1:12">
      <c r="A135" s="60">
        <v>3</v>
      </c>
      <c r="B135" s="59" t="s">
        <v>57</v>
      </c>
      <c r="C135" s="51">
        <v>104</v>
      </c>
      <c r="D135" s="51">
        <v>71</v>
      </c>
      <c r="E135" s="51">
        <v>67</v>
      </c>
      <c r="F135" s="51">
        <v>30</v>
      </c>
      <c r="G135" s="51">
        <v>100</v>
      </c>
      <c r="H135" s="51">
        <v>130</v>
      </c>
      <c r="I135" s="51">
        <v>0</v>
      </c>
      <c r="J135" s="51">
        <v>0</v>
      </c>
      <c r="K135" s="51">
        <v>0</v>
      </c>
      <c r="L135" s="51"/>
    </row>
    <row r="136" spans="1:12">
      <c r="A136" s="60">
        <v>4</v>
      </c>
      <c r="B136" s="59" t="s">
        <v>87</v>
      </c>
      <c r="C136" s="51">
        <v>0</v>
      </c>
      <c r="D136" s="51">
        <v>0</v>
      </c>
      <c r="E136" s="51">
        <v>0</v>
      </c>
      <c r="F136" s="51">
        <v>0</v>
      </c>
      <c r="G136" s="51">
        <v>0</v>
      </c>
      <c r="H136" s="51">
        <v>0</v>
      </c>
      <c r="I136" s="51">
        <v>0</v>
      </c>
      <c r="J136" s="51">
        <v>0</v>
      </c>
      <c r="K136" s="51">
        <v>0</v>
      </c>
      <c r="L136" s="51"/>
    </row>
    <row r="137" spans="1:12">
      <c r="A137" s="60">
        <v>5</v>
      </c>
      <c r="B137" s="59" t="s">
        <v>58</v>
      </c>
      <c r="C137" s="51">
        <v>423</v>
      </c>
      <c r="D137" s="51">
        <v>309</v>
      </c>
      <c r="E137" s="51">
        <v>353</v>
      </c>
      <c r="F137" s="51">
        <v>940</v>
      </c>
      <c r="G137" s="51">
        <v>1000</v>
      </c>
      <c r="H137" s="51">
        <v>1100</v>
      </c>
      <c r="I137" s="51">
        <v>0</v>
      </c>
      <c r="J137" s="51">
        <v>0</v>
      </c>
      <c r="K137" s="51">
        <v>0</v>
      </c>
      <c r="L137" s="51"/>
    </row>
    <row r="138" spans="1:12">
      <c r="A138" s="60">
        <v>6</v>
      </c>
      <c r="B138" s="59" t="s">
        <v>53</v>
      </c>
      <c r="C138" s="51">
        <v>384</v>
      </c>
      <c r="D138" s="51">
        <v>512</v>
      </c>
      <c r="E138" s="51">
        <v>472</v>
      </c>
      <c r="F138" s="51">
        <v>589</v>
      </c>
      <c r="G138" s="51">
        <v>700</v>
      </c>
      <c r="H138" s="51">
        <v>770</v>
      </c>
      <c r="I138" s="51">
        <v>0</v>
      </c>
      <c r="J138" s="51">
        <v>0</v>
      </c>
      <c r="K138" s="51">
        <v>0</v>
      </c>
      <c r="L138" s="51"/>
    </row>
    <row r="139" spans="1:12">
      <c r="A139" s="60">
        <v>7</v>
      </c>
      <c r="B139" s="59" t="s">
        <v>59</v>
      </c>
      <c r="C139" s="51">
        <v>765</v>
      </c>
      <c r="D139" s="51">
        <v>1493</v>
      </c>
      <c r="E139" s="51">
        <v>1192</v>
      </c>
      <c r="F139" s="51">
        <v>1553</v>
      </c>
      <c r="G139" s="51">
        <v>2000</v>
      </c>
      <c r="H139" s="51">
        <v>2100</v>
      </c>
      <c r="I139" s="51">
        <v>0</v>
      </c>
      <c r="J139" s="51">
        <v>0</v>
      </c>
      <c r="K139" s="51">
        <v>0</v>
      </c>
      <c r="L139" s="51"/>
    </row>
    <row r="140" spans="1:12">
      <c r="A140" s="60" t="s">
        <v>101</v>
      </c>
      <c r="B140" s="59" t="s">
        <v>88</v>
      </c>
      <c r="C140" s="51">
        <v>0</v>
      </c>
      <c r="D140" s="51">
        <v>0</v>
      </c>
      <c r="E140" s="51">
        <v>0</v>
      </c>
      <c r="F140" s="51">
        <v>0</v>
      </c>
      <c r="G140" s="51">
        <v>0</v>
      </c>
      <c r="H140" s="51">
        <v>0</v>
      </c>
      <c r="I140" s="51">
        <v>0</v>
      </c>
      <c r="J140" s="51">
        <v>0</v>
      </c>
      <c r="K140" s="51">
        <v>0</v>
      </c>
      <c r="L140" s="51"/>
    </row>
    <row r="141" spans="1:12">
      <c r="A141" s="60">
        <v>9</v>
      </c>
      <c r="B141" s="59" t="s">
        <v>54</v>
      </c>
      <c r="C141" s="51">
        <v>59</v>
      </c>
      <c r="D141" s="51">
        <v>16</v>
      </c>
      <c r="E141" s="51">
        <v>8</v>
      </c>
      <c r="F141" s="51">
        <v>51</v>
      </c>
      <c r="G141" s="51">
        <v>70</v>
      </c>
      <c r="H141" s="51">
        <v>100</v>
      </c>
      <c r="I141" s="51">
        <v>0</v>
      </c>
      <c r="J141" s="51">
        <v>0</v>
      </c>
      <c r="K141" s="51">
        <v>0</v>
      </c>
      <c r="L141" s="51"/>
    </row>
    <row r="142" spans="1:12">
      <c r="A142" s="60">
        <v>10</v>
      </c>
      <c r="B142" s="59" t="s">
        <v>89</v>
      </c>
      <c r="C142" s="51">
        <v>0</v>
      </c>
      <c r="D142" s="51">
        <v>0</v>
      </c>
      <c r="E142" s="51">
        <v>0</v>
      </c>
      <c r="F142" s="51">
        <v>0</v>
      </c>
      <c r="G142" s="51">
        <v>0</v>
      </c>
      <c r="H142" s="51">
        <v>0</v>
      </c>
      <c r="I142" s="51">
        <v>0</v>
      </c>
      <c r="J142" s="51">
        <v>0</v>
      </c>
      <c r="K142" s="51">
        <v>0</v>
      </c>
      <c r="L142" s="51"/>
    </row>
    <row r="143" spans="1:12">
      <c r="A143" s="60">
        <v>11</v>
      </c>
      <c r="B143" s="59" t="s">
        <v>55</v>
      </c>
      <c r="C143" s="51">
        <v>0</v>
      </c>
      <c r="D143" s="51">
        <v>0</v>
      </c>
      <c r="E143" s="51">
        <v>0</v>
      </c>
      <c r="F143" s="51">
        <v>0</v>
      </c>
      <c r="G143" s="51">
        <v>0</v>
      </c>
      <c r="H143" s="51">
        <v>0</v>
      </c>
      <c r="I143" s="51">
        <v>0</v>
      </c>
      <c r="J143" s="51">
        <v>0</v>
      </c>
      <c r="K143" s="51">
        <v>0</v>
      </c>
      <c r="L143" s="51"/>
    </row>
    <row r="144" spans="1:12">
      <c r="A144" s="60">
        <v>12</v>
      </c>
      <c r="B144" s="59" t="s">
        <v>60</v>
      </c>
      <c r="C144" s="51">
        <v>0</v>
      </c>
      <c r="D144" s="51">
        <v>0</v>
      </c>
      <c r="E144" s="51">
        <v>0</v>
      </c>
      <c r="F144" s="51">
        <v>0</v>
      </c>
      <c r="G144" s="51">
        <v>0</v>
      </c>
      <c r="H144" s="51">
        <v>0</v>
      </c>
      <c r="I144" s="51">
        <v>0</v>
      </c>
      <c r="J144" s="51">
        <v>0</v>
      </c>
      <c r="K144" s="51">
        <v>0</v>
      </c>
      <c r="L144" s="51"/>
    </row>
    <row r="145" spans="1:12">
      <c r="A145" s="60">
        <v>13</v>
      </c>
      <c r="B145" s="59" t="s">
        <v>56</v>
      </c>
      <c r="C145" s="51">
        <v>0</v>
      </c>
      <c r="D145" s="51">
        <v>0</v>
      </c>
      <c r="E145" s="51">
        <v>0</v>
      </c>
      <c r="F145" s="51">
        <v>0</v>
      </c>
      <c r="G145" s="51">
        <v>0</v>
      </c>
      <c r="H145" s="51">
        <v>0</v>
      </c>
      <c r="I145" s="51">
        <v>0</v>
      </c>
      <c r="J145" s="51">
        <v>0</v>
      </c>
      <c r="K145" s="51">
        <v>0</v>
      </c>
      <c r="L145" s="51"/>
    </row>
    <row r="146" spans="1:12" ht="21" thickBot="1">
      <c r="A146" s="61" t="s">
        <v>61</v>
      </c>
      <c r="B146" s="61" t="s">
        <v>6</v>
      </c>
      <c r="C146" s="53">
        <f>SUM(C133:C145)</f>
        <v>168831</v>
      </c>
      <c r="D146" s="53">
        <f>SUM(D133:D145)</f>
        <v>171667</v>
      </c>
      <c r="E146" s="53">
        <f t="shared" ref="E146:K146" si="6">SUM(E133:E145)</f>
        <v>201509</v>
      </c>
      <c r="F146" s="53">
        <f>SUM(F133:F145)</f>
        <v>287228</v>
      </c>
      <c r="G146" s="53">
        <f>SUM(G133:G145)</f>
        <v>303870</v>
      </c>
      <c r="H146" s="53">
        <f t="shared" si="6"/>
        <v>403978</v>
      </c>
      <c r="I146" s="53">
        <f t="shared" si="6"/>
        <v>0</v>
      </c>
      <c r="J146" s="53">
        <f>SUM(J133:J145)</f>
        <v>0</v>
      </c>
      <c r="K146" s="53">
        <f t="shared" si="6"/>
        <v>0</v>
      </c>
      <c r="L146" s="53"/>
    </row>
    <row r="147" spans="1:12" ht="21" thickTop="1">
      <c r="A147" s="54"/>
      <c r="B147" s="55"/>
      <c r="C147" s="54"/>
      <c r="D147" s="54"/>
      <c r="E147" s="54"/>
      <c r="F147" s="54"/>
      <c r="G147" s="54"/>
      <c r="H147" s="54"/>
      <c r="I147" s="54"/>
      <c r="J147" s="54"/>
      <c r="K147" s="54"/>
      <c r="L147" s="54"/>
    </row>
    <row r="148" spans="1:12" s="2" customFormat="1">
      <c r="A148" s="373" t="s">
        <v>98</v>
      </c>
      <c r="B148" s="373"/>
      <c r="C148" s="373"/>
      <c r="D148" s="373"/>
      <c r="E148" s="373"/>
      <c r="F148" s="373"/>
      <c r="G148" s="373"/>
      <c r="H148" s="373"/>
      <c r="I148" s="373"/>
      <c r="J148" s="373"/>
      <c r="K148" s="373"/>
      <c r="L148" s="373"/>
    </row>
    <row r="149" spans="1:12" s="2" customFormat="1">
      <c r="A149" s="373" t="s">
        <v>31</v>
      </c>
      <c r="B149" s="374"/>
      <c r="C149" s="374"/>
      <c r="D149" s="374"/>
      <c r="E149" s="374"/>
      <c r="F149" s="374"/>
      <c r="G149" s="374"/>
      <c r="H149" s="374"/>
      <c r="I149" s="374"/>
      <c r="J149" s="374"/>
      <c r="K149" s="374"/>
      <c r="L149" s="374"/>
    </row>
    <row r="150" spans="1:12" s="2" customFormat="1" ht="22.5" customHeight="1">
      <c r="A150" s="420" t="s">
        <v>62</v>
      </c>
      <c r="B150" s="421"/>
      <c r="C150" s="421"/>
      <c r="D150" s="168"/>
      <c r="E150" s="168"/>
      <c r="F150" s="168"/>
      <c r="G150" s="168"/>
      <c r="H150" s="168"/>
      <c r="I150" s="168"/>
      <c r="J150" s="168"/>
      <c r="K150" s="168"/>
      <c r="L150" s="169" t="s">
        <v>1</v>
      </c>
    </row>
    <row r="151" spans="1:12" s="132" customFormat="1" ht="37.5" customHeight="1">
      <c r="A151" s="422" t="s">
        <v>42</v>
      </c>
      <c r="B151" s="422" t="s">
        <v>43</v>
      </c>
      <c r="C151" s="424" t="s">
        <v>44</v>
      </c>
      <c r="D151" s="425"/>
      <c r="E151" s="425"/>
      <c r="F151" s="199" t="s">
        <v>45</v>
      </c>
      <c r="G151" s="199" t="s">
        <v>81</v>
      </c>
      <c r="H151" s="389" t="s">
        <v>99</v>
      </c>
      <c r="I151" s="390"/>
      <c r="J151" s="390"/>
      <c r="K151" s="390"/>
      <c r="L151" s="422" t="s">
        <v>91</v>
      </c>
    </row>
    <row r="152" spans="1:12" s="132" customFormat="1" ht="75" customHeight="1">
      <c r="A152" s="423"/>
      <c r="B152" s="423"/>
      <c r="C152" s="220" t="s">
        <v>100</v>
      </c>
      <c r="D152" s="220" t="s">
        <v>102</v>
      </c>
      <c r="E152" s="220" t="s">
        <v>103</v>
      </c>
      <c r="F152" s="220" t="s">
        <v>104</v>
      </c>
      <c r="G152" s="220" t="s">
        <v>104</v>
      </c>
      <c r="H152" s="199" t="s">
        <v>47</v>
      </c>
      <c r="I152" s="199" t="s">
        <v>48</v>
      </c>
      <c r="J152" s="199" t="s">
        <v>49</v>
      </c>
      <c r="K152" s="199" t="s">
        <v>50</v>
      </c>
      <c r="L152" s="423"/>
    </row>
    <row r="153" spans="1:12" s="202" customFormat="1" ht="18" customHeight="1">
      <c r="A153" s="170">
        <v>1</v>
      </c>
      <c r="B153" s="170">
        <v>2</v>
      </c>
      <c r="C153" s="170">
        <v>3</v>
      </c>
      <c r="D153" s="170">
        <v>4</v>
      </c>
      <c r="E153" s="170">
        <v>5</v>
      </c>
      <c r="F153" s="170">
        <v>6</v>
      </c>
      <c r="G153" s="170">
        <v>7</v>
      </c>
      <c r="H153" s="170">
        <v>8</v>
      </c>
      <c r="I153" s="170">
        <v>9</v>
      </c>
      <c r="J153" s="170">
        <v>10</v>
      </c>
      <c r="K153" s="170">
        <v>11</v>
      </c>
      <c r="L153" s="170">
        <v>12</v>
      </c>
    </row>
    <row r="154" spans="1:12">
      <c r="A154" s="197">
        <v>1</v>
      </c>
      <c r="B154" s="171" t="s">
        <v>51</v>
      </c>
      <c r="C154" s="166">
        <v>0</v>
      </c>
      <c r="D154" s="166">
        <v>0</v>
      </c>
      <c r="E154" s="166">
        <v>0</v>
      </c>
      <c r="F154" s="166">
        <v>0</v>
      </c>
      <c r="G154" s="166">
        <v>0</v>
      </c>
      <c r="H154" s="166">
        <v>0</v>
      </c>
      <c r="I154" s="166">
        <v>0</v>
      </c>
      <c r="J154" s="166">
        <v>0</v>
      </c>
      <c r="K154" s="166">
        <v>0</v>
      </c>
      <c r="L154" s="166"/>
    </row>
    <row r="155" spans="1:12">
      <c r="A155" s="197">
        <v>2</v>
      </c>
      <c r="B155" s="171" t="s">
        <v>52</v>
      </c>
      <c r="C155" s="166">
        <v>0</v>
      </c>
      <c r="D155" s="166">
        <v>0</v>
      </c>
      <c r="E155" s="166">
        <v>0</v>
      </c>
      <c r="F155" s="166">
        <v>0</v>
      </c>
      <c r="G155" s="166">
        <v>0</v>
      </c>
      <c r="H155" s="166">
        <v>0</v>
      </c>
      <c r="I155" s="166">
        <v>0</v>
      </c>
      <c r="J155" s="166">
        <v>0</v>
      </c>
      <c r="K155" s="166">
        <v>0</v>
      </c>
      <c r="L155" s="172"/>
    </row>
    <row r="156" spans="1:12">
      <c r="A156" s="197">
        <v>3</v>
      </c>
      <c r="B156" s="171" t="s">
        <v>57</v>
      </c>
      <c r="C156" s="166">
        <v>0</v>
      </c>
      <c r="D156" s="166">
        <v>0</v>
      </c>
      <c r="E156" s="166">
        <v>0</v>
      </c>
      <c r="F156" s="166">
        <v>0</v>
      </c>
      <c r="G156" s="166">
        <v>0</v>
      </c>
      <c r="H156" s="166">
        <v>0</v>
      </c>
      <c r="I156" s="166">
        <v>0</v>
      </c>
      <c r="J156" s="166">
        <v>0</v>
      </c>
      <c r="K156" s="166">
        <v>0</v>
      </c>
      <c r="L156" s="166"/>
    </row>
    <row r="157" spans="1:12">
      <c r="A157" s="197">
        <v>4</v>
      </c>
      <c r="B157" s="171" t="s">
        <v>87</v>
      </c>
      <c r="C157" s="166">
        <v>0</v>
      </c>
      <c r="D157" s="166">
        <v>0</v>
      </c>
      <c r="E157" s="166">
        <v>0</v>
      </c>
      <c r="F157" s="166">
        <v>0</v>
      </c>
      <c r="G157" s="166">
        <v>0</v>
      </c>
      <c r="H157" s="166">
        <v>0</v>
      </c>
      <c r="I157" s="166">
        <v>0</v>
      </c>
      <c r="J157" s="166">
        <v>0</v>
      </c>
      <c r="K157" s="166">
        <v>0</v>
      </c>
      <c r="L157" s="166"/>
    </row>
    <row r="158" spans="1:12">
      <c r="A158" s="197">
        <v>5</v>
      </c>
      <c r="B158" s="171" t="s">
        <v>58</v>
      </c>
      <c r="C158" s="166">
        <v>0</v>
      </c>
      <c r="D158" s="166">
        <v>0</v>
      </c>
      <c r="E158" s="166">
        <v>0</v>
      </c>
      <c r="F158" s="166">
        <v>0</v>
      </c>
      <c r="G158" s="166">
        <v>0</v>
      </c>
      <c r="H158" s="166">
        <v>0</v>
      </c>
      <c r="I158" s="166">
        <v>0</v>
      </c>
      <c r="J158" s="166">
        <v>0</v>
      </c>
      <c r="K158" s="166">
        <v>0</v>
      </c>
      <c r="L158" s="166"/>
    </row>
    <row r="159" spans="1:12">
      <c r="A159" s="197">
        <v>6</v>
      </c>
      <c r="B159" s="171" t="s">
        <v>53</v>
      </c>
      <c r="C159" s="166">
        <v>0</v>
      </c>
      <c r="D159" s="166">
        <v>0</v>
      </c>
      <c r="E159" s="166">
        <v>0</v>
      </c>
      <c r="F159" s="166">
        <v>0</v>
      </c>
      <c r="G159" s="166">
        <v>0</v>
      </c>
      <c r="H159" s="166">
        <v>0</v>
      </c>
      <c r="I159" s="166">
        <v>0</v>
      </c>
      <c r="J159" s="166">
        <v>0</v>
      </c>
      <c r="K159" s="166">
        <v>0</v>
      </c>
      <c r="L159" s="166"/>
    </row>
    <row r="160" spans="1:12">
      <c r="A160" s="197">
        <v>7</v>
      </c>
      <c r="B160" s="171" t="s">
        <v>59</v>
      </c>
      <c r="C160" s="166">
        <v>0</v>
      </c>
      <c r="D160" s="166">
        <v>0</v>
      </c>
      <c r="E160" s="166">
        <v>0</v>
      </c>
      <c r="F160" s="166">
        <v>0</v>
      </c>
      <c r="G160" s="166">
        <v>0</v>
      </c>
      <c r="H160" s="166">
        <v>0</v>
      </c>
      <c r="I160" s="166">
        <v>0</v>
      </c>
      <c r="J160" s="166">
        <v>0</v>
      </c>
      <c r="K160" s="166">
        <v>0</v>
      </c>
      <c r="L160" s="166"/>
    </row>
    <row r="161" spans="1:12">
      <c r="A161" s="197">
        <v>8</v>
      </c>
      <c r="B161" s="171" t="s">
        <v>88</v>
      </c>
      <c r="C161" s="166">
        <v>0</v>
      </c>
      <c r="D161" s="166">
        <v>0</v>
      </c>
      <c r="E161" s="166">
        <v>0</v>
      </c>
      <c r="F161" s="166">
        <v>0</v>
      </c>
      <c r="G161" s="166">
        <v>0</v>
      </c>
      <c r="H161" s="166">
        <v>0</v>
      </c>
      <c r="I161" s="166">
        <v>0</v>
      </c>
      <c r="J161" s="166">
        <v>0</v>
      </c>
      <c r="K161" s="166">
        <v>0</v>
      </c>
      <c r="L161" s="166"/>
    </row>
    <row r="162" spans="1:12">
      <c r="A162" s="197">
        <v>9</v>
      </c>
      <c r="B162" s="171" t="s">
        <v>54</v>
      </c>
      <c r="C162" s="166">
        <v>0</v>
      </c>
      <c r="D162" s="166">
        <v>0</v>
      </c>
      <c r="E162" s="166">
        <v>0</v>
      </c>
      <c r="F162" s="166">
        <v>0</v>
      </c>
      <c r="G162" s="166">
        <v>0</v>
      </c>
      <c r="H162" s="166">
        <v>0</v>
      </c>
      <c r="I162" s="166">
        <v>0</v>
      </c>
      <c r="J162" s="166">
        <v>0</v>
      </c>
      <c r="K162" s="166">
        <v>0</v>
      </c>
      <c r="L162" s="166"/>
    </row>
    <row r="163" spans="1:12">
      <c r="A163" s="197">
        <v>10</v>
      </c>
      <c r="B163" s="171" t="s">
        <v>89</v>
      </c>
      <c r="C163" s="166">
        <v>0</v>
      </c>
      <c r="D163" s="166">
        <v>0</v>
      </c>
      <c r="E163" s="166">
        <v>0</v>
      </c>
      <c r="F163" s="166">
        <v>0</v>
      </c>
      <c r="G163" s="166">
        <v>0</v>
      </c>
      <c r="H163" s="166">
        <v>0</v>
      </c>
      <c r="I163" s="166">
        <v>0</v>
      </c>
      <c r="J163" s="166">
        <v>0</v>
      </c>
      <c r="K163" s="166">
        <v>0</v>
      </c>
      <c r="L163" s="166"/>
    </row>
    <row r="164" spans="1:12">
      <c r="A164" s="197">
        <v>11</v>
      </c>
      <c r="B164" s="171" t="s">
        <v>55</v>
      </c>
      <c r="C164" s="166">
        <v>0</v>
      </c>
      <c r="D164" s="166">
        <v>0</v>
      </c>
      <c r="E164" s="166">
        <v>0</v>
      </c>
      <c r="F164" s="166">
        <v>0</v>
      </c>
      <c r="G164" s="166">
        <v>0</v>
      </c>
      <c r="H164" s="166">
        <v>0</v>
      </c>
      <c r="I164" s="166">
        <v>0</v>
      </c>
      <c r="J164" s="166">
        <v>0</v>
      </c>
      <c r="K164" s="166">
        <v>0</v>
      </c>
      <c r="L164" s="166"/>
    </row>
    <row r="165" spans="1:12">
      <c r="A165" s="197">
        <v>12</v>
      </c>
      <c r="B165" s="171" t="s">
        <v>60</v>
      </c>
      <c r="C165" s="166">
        <v>0</v>
      </c>
      <c r="D165" s="166">
        <v>0</v>
      </c>
      <c r="E165" s="166">
        <v>0</v>
      </c>
      <c r="F165" s="166">
        <v>0</v>
      </c>
      <c r="G165" s="166">
        <v>0</v>
      </c>
      <c r="H165" s="166">
        <v>0</v>
      </c>
      <c r="I165" s="166">
        <v>0</v>
      </c>
      <c r="J165" s="166">
        <v>0</v>
      </c>
      <c r="K165" s="166">
        <v>0</v>
      </c>
      <c r="L165" s="166"/>
    </row>
    <row r="166" spans="1:12">
      <c r="A166" s="197">
        <v>13</v>
      </c>
      <c r="B166" s="171" t="s">
        <v>56</v>
      </c>
      <c r="C166" s="166">
        <v>0</v>
      </c>
      <c r="D166" s="166">
        <v>0</v>
      </c>
      <c r="E166" s="166">
        <v>0</v>
      </c>
      <c r="F166" s="166">
        <v>0</v>
      </c>
      <c r="G166" s="166">
        <v>0</v>
      </c>
      <c r="H166" s="166">
        <v>0</v>
      </c>
      <c r="I166" s="166">
        <v>0</v>
      </c>
      <c r="J166" s="166">
        <v>0</v>
      </c>
      <c r="K166" s="166">
        <v>0</v>
      </c>
      <c r="L166" s="166"/>
    </row>
    <row r="167" spans="1:12" ht="21" thickBot="1">
      <c r="A167" s="173" t="s">
        <v>61</v>
      </c>
      <c r="B167" s="173" t="s">
        <v>6</v>
      </c>
      <c r="C167" s="141">
        <f>SUM(C154:C166)</f>
        <v>0</v>
      </c>
      <c r="D167" s="141">
        <f t="shared" ref="D167:K167" si="7">SUM(D154:D166)</f>
        <v>0</v>
      </c>
      <c r="E167" s="141">
        <f t="shared" si="7"/>
        <v>0</v>
      </c>
      <c r="F167" s="141">
        <f t="shared" si="7"/>
        <v>0</v>
      </c>
      <c r="G167" s="141">
        <f t="shared" si="7"/>
        <v>0</v>
      </c>
      <c r="H167" s="141">
        <f t="shared" si="7"/>
        <v>0</v>
      </c>
      <c r="I167" s="141">
        <f t="shared" si="7"/>
        <v>0</v>
      </c>
      <c r="J167" s="141">
        <f t="shared" si="7"/>
        <v>0</v>
      </c>
      <c r="K167" s="141">
        <f t="shared" si="7"/>
        <v>0</v>
      </c>
      <c r="L167" s="141"/>
    </row>
    <row r="168" spans="1:12" ht="21" thickTop="1">
      <c r="A168" s="153"/>
      <c r="B168" s="152"/>
      <c r="C168" s="153"/>
      <c r="D168" s="153"/>
      <c r="E168" s="153"/>
      <c r="F168" s="153"/>
      <c r="G168" s="153"/>
      <c r="H168" s="153"/>
      <c r="I168" s="153"/>
      <c r="J168" s="153"/>
      <c r="K168" s="153"/>
      <c r="L168" s="153"/>
    </row>
    <row r="169" spans="1:12" s="2" customFormat="1">
      <c r="A169" s="358" t="s">
        <v>122</v>
      </c>
      <c r="B169" s="359"/>
      <c r="C169" s="359"/>
      <c r="D169" s="359"/>
      <c r="E169" s="359"/>
      <c r="F169" s="359"/>
      <c r="G169" s="359"/>
      <c r="H169" s="359"/>
      <c r="I169" s="359"/>
      <c r="J169" s="359"/>
      <c r="K169" s="359"/>
      <c r="L169" s="359"/>
    </row>
    <row r="170" spans="1:12" s="2" customFormat="1">
      <c r="A170" s="358" t="s">
        <v>31</v>
      </c>
      <c r="B170" s="359"/>
      <c r="C170" s="359"/>
      <c r="D170" s="359"/>
      <c r="E170" s="359"/>
      <c r="F170" s="359"/>
      <c r="G170" s="359"/>
      <c r="H170" s="359"/>
      <c r="I170" s="359"/>
      <c r="J170" s="359"/>
      <c r="K170" s="359"/>
      <c r="L170" s="359"/>
    </row>
    <row r="171" spans="1:12" s="2" customFormat="1" ht="18.75" customHeight="1">
      <c r="A171" s="414" t="s">
        <v>30</v>
      </c>
      <c r="B171" s="415"/>
      <c r="C171" s="415"/>
      <c r="D171" s="26"/>
      <c r="E171" s="26"/>
      <c r="F171" s="26"/>
      <c r="G171" s="26"/>
      <c r="H171" s="26"/>
      <c r="I171" s="26"/>
      <c r="J171" s="26"/>
      <c r="K171" s="26"/>
      <c r="L171" s="57" t="s">
        <v>1</v>
      </c>
    </row>
    <row r="172" spans="1:12" s="2" customFormat="1" ht="37.5" customHeight="1">
      <c r="A172" s="416" t="s">
        <v>42</v>
      </c>
      <c r="B172" s="416" t="s">
        <v>43</v>
      </c>
      <c r="C172" s="418" t="s">
        <v>44</v>
      </c>
      <c r="D172" s="419"/>
      <c r="E172" s="419"/>
      <c r="F172" s="58" t="s">
        <v>45</v>
      </c>
      <c r="G172" s="58" t="s">
        <v>81</v>
      </c>
      <c r="H172" s="401" t="s">
        <v>116</v>
      </c>
      <c r="I172" s="402"/>
      <c r="J172" s="402"/>
      <c r="K172" s="402"/>
      <c r="L172" s="416" t="s">
        <v>91</v>
      </c>
    </row>
    <row r="173" spans="1:12" s="2" customFormat="1" ht="75" customHeight="1">
      <c r="A173" s="417"/>
      <c r="B173" s="417"/>
      <c r="C173" s="58" t="s">
        <v>103</v>
      </c>
      <c r="D173" s="58" t="s">
        <v>104</v>
      </c>
      <c r="E173" s="58" t="s">
        <v>109</v>
      </c>
      <c r="F173" s="58" t="s">
        <v>120</v>
      </c>
      <c r="G173" s="58" t="s">
        <v>120</v>
      </c>
      <c r="H173" s="58" t="s">
        <v>47</v>
      </c>
      <c r="I173" s="58" t="s">
        <v>48</v>
      </c>
      <c r="J173" s="58" t="s">
        <v>49</v>
      </c>
      <c r="K173" s="58" t="s">
        <v>50</v>
      </c>
      <c r="L173" s="417"/>
    </row>
    <row r="174" spans="1:12" s="63" customFormat="1" ht="18" customHeight="1">
      <c r="A174" s="62">
        <v>1</v>
      </c>
      <c r="B174" s="62">
        <v>2</v>
      </c>
      <c r="C174" s="62">
        <v>3</v>
      </c>
      <c r="D174" s="62">
        <v>4</v>
      </c>
      <c r="E174" s="62">
        <v>5</v>
      </c>
      <c r="F174" s="62">
        <v>6</v>
      </c>
      <c r="G174" s="62">
        <v>7</v>
      </c>
      <c r="H174" s="62">
        <v>8</v>
      </c>
      <c r="I174" s="62">
        <v>9</v>
      </c>
      <c r="J174" s="62">
        <v>10</v>
      </c>
      <c r="K174" s="62">
        <v>11</v>
      </c>
      <c r="L174" s="62">
        <v>12</v>
      </c>
    </row>
    <row r="175" spans="1:12">
      <c r="A175" s="60">
        <v>1</v>
      </c>
      <c r="B175" s="59" t="s">
        <v>51</v>
      </c>
      <c r="C175" s="51">
        <f t="shared" ref="C175:C187" si="8">SUM(C7+C28+C49+C70+C91+C112+C133+C154)</f>
        <v>995380</v>
      </c>
      <c r="D175" s="51">
        <f t="shared" ref="D175:K175" si="9">SUM(D7+D28+D49+D70+D91+D112+D133+D154)</f>
        <v>975544</v>
      </c>
      <c r="E175" s="51">
        <f t="shared" si="9"/>
        <v>1192342</v>
      </c>
      <c r="F175" s="51">
        <f t="shared" ref="F175:H187" si="10">SUM(F7+F28+F49+F70+F91+F112+F133+F154)</f>
        <v>1753800</v>
      </c>
      <c r="G175" s="51">
        <f t="shared" si="10"/>
        <v>2012015</v>
      </c>
      <c r="H175" s="51">
        <f t="shared" si="10"/>
        <v>2500240</v>
      </c>
      <c r="I175" s="51">
        <f t="shared" si="9"/>
        <v>0</v>
      </c>
      <c r="J175" s="51">
        <v>0</v>
      </c>
      <c r="K175" s="51">
        <f t="shared" si="9"/>
        <v>0</v>
      </c>
      <c r="L175" s="51"/>
    </row>
    <row r="176" spans="1:12">
      <c r="A176" s="60">
        <v>2</v>
      </c>
      <c r="B176" s="59" t="s">
        <v>52</v>
      </c>
      <c r="C176" s="51">
        <f t="shared" si="8"/>
        <v>0</v>
      </c>
      <c r="D176" s="51">
        <f t="shared" ref="D176:E187" si="11">SUM(D8+D29+D50+D71+D92+D113+D134+D155)</f>
        <v>0</v>
      </c>
      <c r="E176" s="51">
        <f t="shared" si="11"/>
        <v>0</v>
      </c>
      <c r="F176" s="51">
        <f t="shared" si="10"/>
        <v>0</v>
      </c>
      <c r="G176" s="51">
        <f t="shared" si="10"/>
        <v>0</v>
      </c>
      <c r="H176" s="51">
        <f t="shared" si="10"/>
        <v>0</v>
      </c>
      <c r="I176" s="51">
        <f t="shared" ref="I176:K187" si="12">SUM(I8+I29+I50+I71+I92+I113+I134+I155)</f>
        <v>0</v>
      </c>
      <c r="J176" s="51">
        <f t="shared" si="12"/>
        <v>0</v>
      </c>
      <c r="K176" s="51">
        <f t="shared" si="12"/>
        <v>0</v>
      </c>
      <c r="L176" s="52"/>
    </row>
    <row r="177" spans="1:12">
      <c r="A177" s="60">
        <v>3</v>
      </c>
      <c r="B177" s="59" t="s">
        <v>57</v>
      </c>
      <c r="C177" s="51">
        <f t="shared" si="8"/>
        <v>504</v>
      </c>
      <c r="D177" s="51">
        <f t="shared" si="11"/>
        <v>392</v>
      </c>
      <c r="E177" s="51">
        <f t="shared" si="11"/>
        <v>475</v>
      </c>
      <c r="F177" s="51">
        <f t="shared" si="10"/>
        <v>900</v>
      </c>
      <c r="G177" s="51">
        <f t="shared" si="10"/>
        <v>2825</v>
      </c>
      <c r="H177" s="51">
        <f t="shared" si="10"/>
        <v>5980</v>
      </c>
      <c r="I177" s="51">
        <f t="shared" si="12"/>
        <v>0</v>
      </c>
      <c r="J177" s="51">
        <f t="shared" si="12"/>
        <v>0</v>
      </c>
      <c r="K177" s="51">
        <f t="shared" si="12"/>
        <v>0</v>
      </c>
      <c r="L177" s="51"/>
    </row>
    <row r="178" spans="1:12">
      <c r="A178" s="60">
        <v>4</v>
      </c>
      <c r="B178" s="59" t="s">
        <v>87</v>
      </c>
      <c r="C178" s="51">
        <f t="shared" si="8"/>
        <v>0</v>
      </c>
      <c r="D178" s="51">
        <f t="shared" si="11"/>
        <v>0</v>
      </c>
      <c r="E178" s="51">
        <f t="shared" si="11"/>
        <v>16362</v>
      </c>
      <c r="F178" s="51">
        <f t="shared" si="10"/>
        <v>0</v>
      </c>
      <c r="G178" s="51">
        <f t="shared" si="10"/>
        <v>0</v>
      </c>
      <c r="H178" s="51">
        <f t="shared" ref="H178:H187" si="13">SUM(H10+H31+H52+H73+H94+H115+H136+H157)</f>
        <v>62602</v>
      </c>
      <c r="I178" s="51">
        <f t="shared" si="12"/>
        <v>0</v>
      </c>
      <c r="J178" s="51">
        <f t="shared" si="12"/>
        <v>0</v>
      </c>
      <c r="K178" s="51">
        <f t="shared" si="12"/>
        <v>0</v>
      </c>
      <c r="L178" s="51"/>
    </row>
    <row r="179" spans="1:12">
      <c r="A179" s="60">
        <v>5</v>
      </c>
      <c r="B179" s="59" t="s">
        <v>58</v>
      </c>
      <c r="C179" s="51">
        <f t="shared" si="8"/>
        <v>754</v>
      </c>
      <c r="D179" s="51">
        <f t="shared" si="11"/>
        <v>1057</v>
      </c>
      <c r="E179" s="51">
        <f t="shared" si="11"/>
        <v>1193</v>
      </c>
      <c r="F179" s="51">
        <f t="shared" si="10"/>
        <v>4500</v>
      </c>
      <c r="G179" s="51">
        <f t="shared" si="10"/>
        <v>4980</v>
      </c>
      <c r="H179" s="51">
        <f t="shared" si="13"/>
        <v>6055</v>
      </c>
      <c r="I179" s="51">
        <f t="shared" si="12"/>
        <v>0</v>
      </c>
      <c r="J179" s="51">
        <f t="shared" si="12"/>
        <v>0</v>
      </c>
      <c r="K179" s="51">
        <f t="shared" si="12"/>
        <v>0</v>
      </c>
      <c r="L179" s="51"/>
    </row>
    <row r="180" spans="1:12">
      <c r="A180" s="60">
        <v>6</v>
      </c>
      <c r="B180" s="59" t="s">
        <v>53</v>
      </c>
      <c r="C180" s="51">
        <f t="shared" si="8"/>
        <v>3029</v>
      </c>
      <c r="D180" s="51">
        <f t="shared" si="11"/>
        <v>3627</v>
      </c>
      <c r="E180" s="51">
        <f t="shared" si="11"/>
        <v>3353</v>
      </c>
      <c r="F180" s="51">
        <f t="shared" si="10"/>
        <v>4500</v>
      </c>
      <c r="G180" s="51">
        <f t="shared" si="10"/>
        <v>6925</v>
      </c>
      <c r="H180" s="51">
        <f t="shared" si="13"/>
        <v>9698</v>
      </c>
      <c r="I180" s="51">
        <f t="shared" si="12"/>
        <v>0</v>
      </c>
      <c r="J180" s="51">
        <f t="shared" si="12"/>
        <v>0</v>
      </c>
      <c r="K180" s="51">
        <f t="shared" si="12"/>
        <v>0</v>
      </c>
      <c r="L180" s="51"/>
    </row>
    <row r="181" spans="1:12">
      <c r="A181" s="60">
        <v>7</v>
      </c>
      <c r="B181" s="59" t="s">
        <v>59</v>
      </c>
      <c r="C181" s="51">
        <f t="shared" si="8"/>
        <v>3095</v>
      </c>
      <c r="D181" s="51">
        <f t="shared" si="11"/>
        <v>3822</v>
      </c>
      <c r="E181" s="51">
        <f t="shared" si="11"/>
        <v>3525</v>
      </c>
      <c r="F181" s="51">
        <f t="shared" si="10"/>
        <v>5200</v>
      </c>
      <c r="G181" s="51">
        <f t="shared" si="10"/>
        <v>18224</v>
      </c>
      <c r="H181" s="51">
        <f t="shared" si="13"/>
        <v>27460</v>
      </c>
      <c r="I181" s="51">
        <f t="shared" si="12"/>
        <v>0</v>
      </c>
      <c r="J181" s="51">
        <f t="shared" si="12"/>
        <v>0</v>
      </c>
      <c r="K181" s="51">
        <f t="shared" si="12"/>
        <v>0</v>
      </c>
      <c r="L181" s="51"/>
    </row>
    <row r="182" spans="1:12">
      <c r="A182" s="60">
        <v>8</v>
      </c>
      <c r="B182" s="59" t="s">
        <v>88</v>
      </c>
      <c r="C182" s="51">
        <f t="shared" si="8"/>
        <v>0</v>
      </c>
      <c r="D182" s="51">
        <f t="shared" si="11"/>
        <v>0</v>
      </c>
      <c r="E182" s="51">
        <f t="shared" si="11"/>
        <v>0</v>
      </c>
      <c r="F182" s="51">
        <f t="shared" si="10"/>
        <v>1</v>
      </c>
      <c r="G182" s="51">
        <f t="shared" si="10"/>
        <v>51</v>
      </c>
      <c r="H182" s="51">
        <f t="shared" si="13"/>
        <v>50</v>
      </c>
      <c r="I182" s="51">
        <f t="shared" si="12"/>
        <v>0</v>
      </c>
      <c r="J182" s="51">
        <f t="shared" si="12"/>
        <v>0</v>
      </c>
      <c r="K182" s="51">
        <f t="shared" si="12"/>
        <v>0</v>
      </c>
      <c r="L182" s="51"/>
    </row>
    <row r="183" spans="1:12">
      <c r="A183" s="60">
        <v>9</v>
      </c>
      <c r="B183" s="59" t="s">
        <v>54</v>
      </c>
      <c r="C183" s="51">
        <f t="shared" si="8"/>
        <v>511</v>
      </c>
      <c r="D183" s="51">
        <f t="shared" si="11"/>
        <v>626</v>
      </c>
      <c r="E183" s="51">
        <f t="shared" si="11"/>
        <v>346</v>
      </c>
      <c r="F183" s="51">
        <f t="shared" si="10"/>
        <v>1247</v>
      </c>
      <c r="G183" s="51">
        <f t="shared" si="10"/>
        <v>7760</v>
      </c>
      <c r="H183" s="51">
        <f t="shared" si="13"/>
        <v>10320</v>
      </c>
      <c r="I183" s="51">
        <f t="shared" si="12"/>
        <v>0</v>
      </c>
      <c r="J183" s="51">
        <f t="shared" si="12"/>
        <v>0</v>
      </c>
      <c r="K183" s="51">
        <f t="shared" si="12"/>
        <v>0</v>
      </c>
      <c r="L183" s="51"/>
    </row>
    <row r="184" spans="1:12">
      <c r="A184" s="60">
        <v>10</v>
      </c>
      <c r="B184" s="59" t="s">
        <v>89</v>
      </c>
      <c r="C184" s="51">
        <f t="shared" si="8"/>
        <v>0</v>
      </c>
      <c r="D184" s="51">
        <f t="shared" si="11"/>
        <v>0</v>
      </c>
      <c r="E184" s="51">
        <f t="shared" si="11"/>
        <v>0</v>
      </c>
      <c r="F184" s="51">
        <f t="shared" si="10"/>
        <v>0</v>
      </c>
      <c r="G184" s="51">
        <f t="shared" si="10"/>
        <v>0</v>
      </c>
      <c r="H184" s="51">
        <f t="shared" si="13"/>
        <v>0</v>
      </c>
      <c r="I184" s="51">
        <f t="shared" si="12"/>
        <v>0</v>
      </c>
      <c r="J184" s="51">
        <f t="shared" si="12"/>
        <v>0</v>
      </c>
      <c r="K184" s="51">
        <f t="shared" si="12"/>
        <v>0</v>
      </c>
      <c r="L184" s="51"/>
    </row>
    <row r="185" spans="1:12">
      <c r="A185" s="60">
        <v>11</v>
      </c>
      <c r="B185" s="59" t="s">
        <v>55</v>
      </c>
      <c r="C185" s="51">
        <f t="shared" si="8"/>
        <v>0</v>
      </c>
      <c r="D185" s="51">
        <f t="shared" si="11"/>
        <v>0</v>
      </c>
      <c r="E185" s="51">
        <f t="shared" si="11"/>
        <v>0</v>
      </c>
      <c r="F185" s="51">
        <f t="shared" si="10"/>
        <v>1</v>
      </c>
      <c r="G185" s="51">
        <f t="shared" si="10"/>
        <v>50</v>
      </c>
      <c r="H185" s="51">
        <f t="shared" si="13"/>
        <v>265</v>
      </c>
      <c r="I185" s="51">
        <f t="shared" si="12"/>
        <v>0</v>
      </c>
      <c r="J185" s="51">
        <f t="shared" si="12"/>
        <v>0</v>
      </c>
      <c r="K185" s="51">
        <f t="shared" si="12"/>
        <v>0</v>
      </c>
      <c r="L185" s="51"/>
    </row>
    <row r="186" spans="1:12">
      <c r="A186" s="60">
        <v>12</v>
      </c>
      <c r="B186" s="59" t="s">
        <v>60</v>
      </c>
      <c r="C186" s="51">
        <f t="shared" si="8"/>
        <v>0</v>
      </c>
      <c r="D186" s="51">
        <f t="shared" si="11"/>
        <v>0</v>
      </c>
      <c r="E186" s="51">
        <f t="shared" si="11"/>
        <v>0</v>
      </c>
      <c r="F186" s="51">
        <f t="shared" si="10"/>
        <v>1</v>
      </c>
      <c r="G186" s="51">
        <f t="shared" si="10"/>
        <v>100</v>
      </c>
      <c r="H186" s="51">
        <f t="shared" si="13"/>
        <v>200</v>
      </c>
      <c r="I186" s="51">
        <f t="shared" si="12"/>
        <v>0</v>
      </c>
      <c r="J186" s="51">
        <f t="shared" si="12"/>
        <v>0</v>
      </c>
      <c r="K186" s="51">
        <f t="shared" si="12"/>
        <v>0</v>
      </c>
      <c r="L186" s="51"/>
    </row>
    <row r="187" spans="1:12">
      <c r="A187" s="60">
        <v>13</v>
      </c>
      <c r="B187" s="59" t="s">
        <v>56</v>
      </c>
      <c r="C187" s="51">
        <f t="shared" si="8"/>
        <v>0</v>
      </c>
      <c r="D187" s="51">
        <f t="shared" si="11"/>
        <v>0</v>
      </c>
      <c r="E187" s="51">
        <f t="shared" si="11"/>
        <v>0</v>
      </c>
      <c r="F187" s="51">
        <f t="shared" si="10"/>
        <v>0</v>
      </c>
      <c r="G187" s="51">
        <f t="shared" si="10"/>
        <v>0</v>
      </c>
      <c r="H187" s="51">
        <f t="shared" si="13"/>
        <v>0</v>
      </c>
      <c r="I187" s="51">
        <f t="shared" si="12"/>
        <v>0</v>
      </c>
      <c r="J187" s="51">
        <f t="shared" si="12"/>
        <v>0</v>
      </c>
      <c r="K187" s="51">
        <f t="shared" si="12"/>
        <v>0</v>
      </c>
      <c r="L187" s="51"/>
    </row>
    <row r="188" spans="1:12" ht="21" thickBot="1">
      <c r="A188" s="61" t="s">
        <v>61</v>
      </c>
      <c r="B188" s="61" t="s">
        <v>6</v>
      </c>
      <c r="C188" s="53">
        <f t="shared" ref="C188:K188" si="14">SUM(C175:C187)</f>
        <v>1003273</v>
      </c>
      <c r="D188" s="53">
        <f t="shared" si="14"/>
        <v>985068</v>
      </c>
      <c r="E188" s="53">
        <f t="shared" si="14"/>
        <v>1217596</v>
      </c>
      <c r="F188" s="53">
        <f t="shared" si="14"/>
        <v>1770150</v>
      </c>
      <c r="G188" s="53">
        <f t="shared" si="14"/>
        <v>2052930</v>
      </c>
      <c r="H188" s="53">
        <f t="shared" si="14"/>
        <v>2622870</v>
      </c>
      <c r="I188" s="53">
        <f t="shared" si="14"/>
        <v>0</v>
      </c>
      <c r="J188" s="53">
        <f t="shared" si="14"/>
        <v>0</v>
      </c>
      <c r="K188" s="53">
        <f t="shared" si="14"/>
        <v>0</v>
      </c>
      <c r="L188" s="53"/>
    </row>
    <row r="189" spans="1:12" ht="21" thickTop="1"/>
    <row r="191" spans="1:12">
      <c r="J191" s="56" t="s">
        <v>107</v>
      </c>
    </row>
  </sheetData>
  <mergeCells count="72">
    <mergeCell ref="A1:L1"/>
    <mergeCell ref="A3:C3"/>
    <mergeCell ref="C4:E4"/>
    <mergeCell ref="H4:K4"/>
    <mergeCell ref="A2:L2"/>
    <mergeCell ref="A4:A5"/>
    <mergeCell ref="B4:B5"/>
    <mergeCell ref="L4:L5"/>
    <mergeCell ref="A22:L22"/>
    <mergeCell ref="A23:L23"/>
    <mergeCell ref="A24:C24"/>
    <mergeCell ref="A25:A26"/>
    <mergeCell ref="B25:B26"/>
    <mergeCell ref="C25:E25"/>
    <mergeCell ref="H25:K25"/>
    <mergeCell ref="L25:L26"/>
    <mergeCell ref="A43:L43"/>
    <mergeCell ref="A44:L44"/>
    <mergeCell ref="A45:C45"/>
    <mergeCell ref="A46:A47"/>
    <mergeCell ref="B46:B47"/>
    <mergeCell ref="C46:E46"/>
    <mergeCell ref="H46:K46"/>
    <mergeCell ref="L46:L47"/>
    <mergeCell ref="A85:L85"/>
    <mergeCell ref="A86:L86"/>
    <mergeCell ref="A87:C87"/>
    <mergeCell ref="A88:A89"/>
    <mergeCell ref="B88:B89"/>
    <mergeCell ref="C88:E88"/>
    <mergeCell ref="H88:K88"/>
    <mergeCell ref="L88:L89"/>
    <mergeCell ref="A106:L106"/>
    <mergeCell ref="A107:L107"/>
    <mergeCell ref="A108:C108"/>
    <mergeCell ref="A109:A110"/>
    <mergeCell ref="B109:B110"/>
    <mergeCell ref="C109:E109"/>
    <mergeCell ref="H109:K109"/>
    <mergeCell ref="L109:L110"/>
    <mergeCell ref="A127:L127"/>
    <mergeCell ref="A128:L128"/>
    <mergeCell ref="A129:C129"/>
    <mergeCell ref="A130:A131"/>
    <mergeCell ref="B130:B131"/>
    <mergeCell ref="C130:E130"/>
    <mergeCell ref="H130:K130"/>
    <mergeCell ref="L130:L131"/>
    <mergeCell ref="A148:L148"/>
    <mergeCell ref="A149:L149"/>
    <mergeCell ref="A150:C150"/>
    <mergeCell ref="A151:A152"/>
    <mergeCell ref="B151:B152"/>
    <mergeCell ref="C151:E151"/>
    <mergeCell ref="H151:K151"/>
    <mergeCell ref="L151:L152"/>
    <mergeCell ref="A169:L169"/>
    <mergeCell ref="A170:L170"/>
    <mergeCell ref="A171:C171"/>
    <mergeCell ref="A172:A173"/>
    <mergeCell ref="B172:B173"/>
    <mergeCell ref="C172:E172"/>
    <mergeCell ref="H172:K172"/>
    <mergeCell ref="L172:L173"/>
    <mergeCell ref="A64:L64"/>
    <mergeCell ref="A65:L65"/>
    <mergeCell ref="A66:C66"/>
    <mergeCell ref="A67:A68"/>
    <mergeCell ref="B67:B68"/>
    <mergeCell ref="C67:E67"/>
    <mergeCell ref="H67:K67"/>
    <mergeCell ref="L67:L68"/>
  </mergeCells>
  <phoneticPr fontId="0" type="noConversion"/>
  <pageMargins left="0.78740157480314965" right="0.19685039370078741" top="0.39370078740157483" bottom="0.39370078740157483" header="0.31496062992125984" footer="0.15748031496062992"/>
  <pageSetup paperSize="5" scale="95" orientation="landscape" r:id="rId1"/>
  <headerFooter>
    <oddFooter>&amp;Z&amp;F&amp;RPage &amp;P</oddFooter>
  </headerFooter>
  <rowBreaks count="8" manualBreakCount="8">
    <brk id="21" max="16383" man="1"/>
    <brk id="42" max="16383" man="1"/>
    <brk id="63" max="16383" man="1"/>
    <brk id="84" max="16383" man="1"/>
    <brk id="105" max="16383" man="1"/>
    <brk id="126" max="16383" man="1"/>
    <brk id="147" max="16383" man="1"/>
    <brk id="1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view="pageBreakPreview" topLeftCell="A4" zoomScaleNormal="75" zoomScaleSheetLayoutView="100" workbookViewId="0">
      <selection activeCell="O10" sqref="O10"/>
    </sheetView>
  </sheetViews>
  <sheetFormatPr defaultRowHeight="20.25"/>
  <cols>
    <col min="1" max="1" width="4.28515625" style="29" customWidth="1"/>
    <col min="2" max="2" width="29" style="29" customWidth="1"/>
    <col min="3" max="4" width="11" style="29" customWidth="1"/>
    <col min="5" max="5" width="14.42578125" style="29" customWidth="1"/>
    <col min="6" max="6" width="12.5703125" style="29" customWidth="1"/>
    <col min="7" max="7" width="11.5703125" style="29" customWidth="1"/>
    <col min="8" max="8" width="12.7109375" style="29" customWidth="1"/>
    <col min="9" max="9" width="12.85546875" style="29" customWidth="1"/>
    <col min="10" max="10" width="10.5703125" style="29" customWidth="1"/>
    <col min="11" max="11" width="9.85546875" style="29" customWidth="1"/>
    <col min="12" max="12" width="55.85546875" style="29" customWidth="1"/>
    <col min="13" max="16384" width="9.140625" style="29"/>
  </cols>
  <sheetData>
    <row r="1" spans="1:12" s="2" customFormat="1">
      <c r="A1" s="358" t="s">
        <v>115</v>
      </c>
      <c r="B1" s="359"/>
      <c r="C1" s="359"/>
      <c r="D1" s="359"/>
      <c r="E1" s="359"/>
      <c r="F1" s="359"/>
      <c r="G1" s="359"/>
      <c r="H1" s="359"/>
      <c r="I1" s="359"/>
      <c r="J1" s="359"/>
      <c r="K1" s="359"/>
      <c r="L1" s="359"/>
    </row>
    <row r="2" spans="1:12" s="2" customFormat="1">
      <c r="A2" s="358" t="s">
        <v>31</v>
      </c>
      <c r="B2" s="359"/>
      <c r="C2" s="359"/>
      <c r="D2" s="359"/>
      <c r="E2" s="359"/>
      <c r="F2" s="359"/>
      <c r="G2" s="359"/>
      <c r="H2" s="359"/>
      <c r="I2" s="359"/>
      <c r="J2" s="359"/>
      <c r="K2" s="359"/>
      <c r="L2" s="359"/>
    </row>
    <row r="3" spans="1:12" s="2" customFormat="1" ht="18.75" customHeight="1">
      <c r="A3" s="414" t="s">
        <v>30</v>
      </c>
      <c r="B3" s="415"/>
      <c r="C3" s="415"/>
      <c r="D3" s="26"/>
      <c r="E3" s="26"/>
      <c r="F3" s="26"/>
      <c r="G3" s="26"/>
      <c r="H3" s="26"/>
      <c r="I3" s="26"/>
      <c r="J3" s="26"/>
      <c r="K3" s="26"/>
      <c r="L3" s="57" t="s">
        <v>1</v>
      </c>
    </row>
    <row r="4" spans="1:12" s="2" customFormat="1" ht="37.5" customHeight="1">
      <c r="A4" s="416" t="s">
        <v>42</v>
      </c>
      <c r="B4" s="416" t="s">
        <v>43</v>
      </c>
      <c r="C4" s="418" t="s">
        <v>44</v>
      </c>
      <c r="D4" s="419"/>
      <c r="E4" s="419"/>
      <c r="F4" s="58" t="s">
        <v>45</v>
      </c>
      <c r="G4" s="58" t="s">
        <v>81</v>
      </c>
      <c r="H4" s="401" t="s">
        <v>116</v>
      </c>
      <c r="I4" s="402"/>
      <c r="J4" s="402"/>
      <c r="K4" s="402"/>
      <c r="L4" s="416" t="s">
        <v>46</v>
      </c>
    </row>
    <row r="5" spans="1:12" s="2" customFormat="1" ht="55.5" customHeight="1">
      <c r="A5" s="417"/>
      <c r="B5" s="417"/>
      <c r="C5" s="58" t="s">
        <v>103</v>
      </c>
      <c r="D5" s="58" t="s">
        <v>104</v>
      </c>
      <c r="E5" s="58" t="s">
        <v>109</v>
      </c>
      <c r="F5" s="58" t="s">
        <v>120</v>
      </c>
      <c r="G5" s="58" t="s">
        <v>120</v>
      </c>
      <c r="H5" s="58" t="s">
        <v>47</v>
      </c>
      <c r="I5" s="58" t="s">
        <v>48</v>
      </c>
      <c r="J5" s="58" t="s">
        <v>49</v>
      </c>
      <c r="K5" s="58" t="s">
        <v>50</v>
      </c>
      <c r="L5" s="417"/>
    </row>
    <row r="6" spans="1:12" s="63" customFormat="1" ht="18" customHeight="1">
      <c r="A6" s="62">
        <v>1</v>
      </c>
      <c r="B6" s="62">
        <v>2</v>
      </c>
      <c r="C6" s="62">
        <v>3</v>
      </c>
      <c r="D6" s="62">
        <v>4</v>
      </c>
      <c r="E6" s="62">
        <v>5</v>
      </c>
      <c r="F6" s="62">
        <v>6</v>
      </c>
      <c r="G6" s="62">
        <v>7</v>
      </c>
      <c r="H6" s="62">
        <v>8</v>
      </c>
      <c r="I6" s="62">
        <v>9</v>
      </c>
      <c r="J6" s="62">
        <v>10</v>
      </c>
      <c r="K6" s="62">
        <v>11</v>
      </c>
      <c r="L6" s="62">
        <v>12</v>
      </c>
    </row>
    <row r="7" spans="1:12" ht="53.25" customHeight="1">
      <c r="A7" s="65">
        <v>1</v>
      </c>
      <c r="B7" s="64" t="s">
        <v>51</v>
      </c>
      <c r="C7" s="28">
        <f>'Page 4'!C175</f>
        <v>995380</v>
      </c>
      <c r="D7" s="28">
        <f>'Page 4'!D175</f>
        <v>975544</v>
      </c>
      <c r="E7" s="28">
        <f>'Page 4'!E175</f>
        <v>1192342</v>
      </c>
      <c r="F7" s="28">
        <f>'Page 4'!F175</f>
        <v>1753800</v>
      </c>
      <c r="G7" s="28">
        <f>'Page 4'!G175</f>
        <v>2012015</v>
      </c>
      <c r="H7" s="28">
        <v>0</v>
      </c>
      <c r="I7" s="25">
        <f>'Page 4'!H175</f>
        <v>2500240</v>
      </c>
      <c r="J7" s="28">
        <v>0</v>
      </c>
      <c r="K7" s="28">
        <v>0</v>
      </c>
      <c r="L7" s="174" t="s">
        <v>119</v>
      </c>
    </row>
    <row r="8" spans="1:12">
      <c r="A8" s="65">
        <v>2</v>
      </c>
      <c r="B8" s="64" t="s">
        <v>69</v>
      </c>
      <c r="C8" s="28">
        <f>'Page 4'!C176</f>
        <v>0</v>
      </c>
      <c r="D8" s="28">
        <f>'Page 4'!D176</f>
        <v>0</v>
      </c>
      <c r="E8" s="28">
        <f>'Page 4'!E176</f>
        <v>0</v>
      </c>
      <c r="F8" s="28">
        <v>0</v>
      </c>
      <c r="G8" s="28">
        <v>0</v>
      </c>
      <c r="H8" s="28">
        <v>0</v>
      </c>
      <c r="I8" s="25">
        <f>'Page 4'!H176</f>
        <v>0</v>
      </c>
      <c r="J8" s="28">
        <v>0</v>
      </c>
      <c r="K8" s="28">
        <v>0</v>
      </c>
      <c r="L8" s="175" t="s">
        <v>61</v>
      </c>
    </row>
    <row r="9" spans="1:12" ht="93" customHeight="1">
      <c r="A9" s="65">
        <v>3</v>
      </c>
      <c r="B9" s="64" t="s">
        <v>57</v>
      </c>
      <c r="C9" s="28">
        <f>'Page 4'!C177</f>
        <v>504</v>
      </c>
      <c r="D9" s="28">
        <f>'Page 4'!D177</f>
        <v>392</v>
      </c>
      <c r="E9" s="28">
        <f>'Page 4'!E177</f>
        <v>475</v>
      </c>
      <c r="F9" s="28">
        <f>'Page 4'!F177</f>
        <v>900</v>
      </c>
      <c r="G9" s="28">
        <f>'Page 4'!G177</f>
        <v>2825</v>
      </c>
      <c r="H9" s="28">
        <v>0</v>
      </c>
      <c r="I9" s="25">
        <f>'Page 4'!H177</f>
        <v>5980</v>
      </c>
      <c r="J9" s="28">
        <v>0</v>
      </c>
      <c r="K9" s="28">
        <v>0</v>
      </c>
      <c r="L9" s="174" t="s">
        <v>80</v>
      </c>
    </row>
    <row r="10" spans="1:12" ht="72" customHeight="1">
      <c r="A10" s="65">
        <v>4</v>
      </c>
      <c r="B10" s="59" t="s">
        <v>87</v>
      </c>
      <c r="C10" s="28">
        <f>'Page 4'!C178</f>
        <v>0</v>
      </c>
      <c r="D10" s="28">
        <f>'Page 4'!D178</f>
        <v>0</v>
      </c>
      <c r="E10" s="28">
        <f>'Page 4'!E178</f>
        <v>16362</v>
      </c>
      <c r="F10" s="28">
        <f>'Page 4'!F178</f>
        <v>0</v>
      </c>
      <c r="G10" s="28">
        <f>'Page 4'!G178</f>
        <v>0</v>
      </c>
      <c r="H10" s="28"/>
      <c r="I10" s="25">
        <f>'Page 4'!H178</f>
        <v>62602</v>
      </c>
      <c r="J10" s="28"/>
      <c r="K10" s="28"/>
      <c r="L10" s="174" t="s">
        <v>126</v>
      </c>
    </row>
    <row r="11" spans="1:12" ht="92.25" customHeight="1">
      <c r="A11" s="65">
        <v>5</v>
      </c>
      <c r="B11" s="64" t="s">
        <v>58</v>
      </c>
      <c r="C11" s="28">
        <f>'Page 4'!C179</f>
        <v>754</v>
      </c>
      <c r="D11" s="28">
        <f>'Page 4'!D179</f>
        <v>1057</v>
      </c>
      <c r="E11" s="28">
        <f>'Page 4'!E179</f>
        <v>1193</v>
      </c>
      <c r="F11" s="28">
        <f>'Page 4'!F179</f>
        <v>4500</v>
      </c>
      <c r="G11" s="28">
        <f>'Page 4'!G179</f>
        <v>4980</v>
      </c>
      <c r="H11" s="28">
        <v>0</v>
      </c>
      <c r="I11" s="25">
        <f>'Page 4'!H179</f>
        <v>6055</v>
      </c>
      <c r="J11" s="28">
        <v>0</v>
      </c>
      <c r="K11" s="28">
        <v>0</v>
      </c>
      <c r="L11" s="174" t="s">
        <v>92</v>
      </c>
    </row>
    <row r="12" spans="1:12" ht="51.75" customHeight="1">
      <c r="A12" s="65">
        <v>6</v>
      </c>
      <c r="B12" s="64" t="s">
        <v>53</v>
      </c>
      <c r="C12" s="28">
        <f>'Page 4'!C180</f>
        <v>3029</v>
      </c>
      <c r="D12" s="28">
        <f>'Page 4'!D180</f>
        <v>3627</v>
      </c>
      <c r="E12" s="28">
        <f>'Page 4'!E180</f>
        <v>3353</v>
      </c>
      <c r="F12" s="28">
        <f>'Page 4'!F180</f>
        <v>4500</v>
      </c>
      <c r="G12" s="28">
        <f>'Page 4'!G180</f>
        <v>6925</v>
      </c>
      <c r="H12" s="28">
        <v>0</v>
      </c>
      <c r="I12" s="25">
        <f>'Page 4'!H180</f>
        <v>9698</v>
      </c>
      <c r="J12" s="28">
        <v>0</v>
      </c>
      <c r="K12" s="28">
        <v>0</v>
      </c>
      <c r="L12" s="174" t="s">
        <v>84</v>
      </c>
    </row>
    <row r="13" spans="1:12" ht="127.5">
      <c r="A13" s="65">
        <v>7</v>
      </c>
      <c r="B13" s="64" t="s">
        <v>59</v>
      </c>
      <c r="C13" s="28">
        <f>'Page 4'!C181</f>
        <v>3095</v>
      </c>
      <c r="D13" s="28">
        <f>'Page 4'!D181</f>
        <v>3822</v>
      </c>
      <c r="E13" s="28">
        <f>'Page 4'!E181</f>
        <v>3525</v>
      </c>
      <c r="F13" s="28">
        <f>'Page 4'!F181</f>
        <v>5200</v>
      </c>
      <c r="G13" s="28">
        <f>'Page 4'!G181</f>
        <v>18224</v>
      </c>
      <c r="H13" s="28">
        <v>0</v>
      </c>
      <c r="I13" s="25">
        <f>'Page 4'!H181</f>
        <v>27460</v>
      </c>
      <c r="J13" s="28">
        <v>0</v>
      </c>
      <c r="K13" s="28">
        <v>0</v>
      </c>
      <c r="L13" s="203" t="s">
        <v>111</v>
      </c>
    </row>
    <row r="14" spans="1:12" ht="43.5">
      <c r="A14" s="65">
        <v>8</v>
      </c>
      <c r="B14" s="59" t="s">
        <v>88</v>
      </c>
      <c r="C14" s="28">
        <f>'Page 4'!C182</f>
        <v>0</v>
      </c>
      <c r="D14" s="28">
        <f>'Page 4'!D182</f>
        <v>0</v>
      </c>
      <c r="E14" s="28">
        <f>'Page 4'!E182</f>
        <v>0</v>
      </c>
      <c r="F14" s="28">
        <f>'Page 4'!F182</f>
        <v>1</v>
      </c>
      <c r="G14" s="28">
        <f>'Page 4'!G182</f>
        <v>51</v>
      </c>
      <c r="H14" s="28"/>
      <c r="I14" s="25">
        <f>'Page 4'!H182</f>
        <v>50</v>
      </c>
      <c r="J14" s="28"/>
      <c r="K14" s="28"/>
      <c r="L14" s="174" t="s">
        <v>127</v>
      </c>
    </row>
    <row r="15" spans="1:12" ht="86.25">
      <c r="A15" s="65">
        <v>9</v>
      </c>
      <c r="B15" s="64" t="s">
        <v>54</v>
      </c>
      <c r="C15" s="28">
        <f>'Page 4'!C183</f>
        <v>511</v>
      </c>
      <c r="D15" s="28">
        <f>'Page 4'!D183</f>
        <v>626</v>
      </c>
      <c r="E15" s="28">
        <f>'Page 4'!E183</f>
        <v>346</v>
      </c>
      <c r="F15" s="28">
        <f>'Page 4'!F183</f>
        <v>1247</v>
      </c>
      <c r="G15" s="28">
        <f>'Page 4'!G183</f>
        <v>7760</v>
      </c>
      <c r="H15" s="28">
        <v>0</v>
      </c>
      <c r="I15" s="25">
        <f>'Page 4'!H183</f>
        <v>10320</v>
      </c>
      <c r="J15" s="28">
        <v>0</v>
      </c>
      <c r="K15" s="28">
        <v>0</v>
      </c>
      <c r="L15" s="174" t="s">
        <v>112</v>
      </c>
    </row>
    <row r="16" spans="1:12">
      <c r="A16" s="65">
        <v>10</v>
      </c>
      <c r="B16" s="59" t="s">
        <v>89</v>
      </c>
      <c r="C16" s="28">
        <f>'Page 4'!C184</f>
        <v>0</v>
      </c>
      <c r="D16" s="28">
        <f>'Page 4'!D184</f>
        <v>0</v>
      </c>
      <c r="E16" s="28">
        <f>'Page 4'!E184</f>
        <v>0</v>
      </c>
      <c r="F16" s="28">
        <f>'Page 4'!F184</f>
        <v>0</v>
      </c>
      <c r="G16" s="28">
        <f>'Page 4'!G184</f>
        <v>0</v>
      </c>
      <c r="H16" s="28"/>
      <c r="I16" s="25">
        <f>'Page 4'!H184</f>
        <v>0</v>
      </c>
      <c r="J16" s="28"/>
      <c r="K16" s="28"/>
      <c r="L16" s="174"/>
    </row>
    <row r="17" spans="1:12" ht="35.25" customHeight="1">
      <c r="A17" s="65">
        <v>11</v>
      </c>
      <c r="B17" s="59" t="s">
        <v>55</v>
      </c>
      <c r="C17" s="28">
        <f>'Page 4'!C185</f>
        <v>0</v>
      </c>
      <c r="D17" s="28">
        <f>'Page 4'!D185</f>
        <v>0</v>
      </c>
      <c r="E17" s="28">
        <f>'Page 4'!E185</f>
        <v>0</v>
      </c>
      <c r="F17" s="28">
        <f>'Page 4'!F185</f>
        <v>1</v>
      </c>
      <c r="G17" s="28">
        <f>'Page 4'!G185</f>
        <v>50</v>
      </c>
      <c r="H17" s="28">
        <v>0</v>
      </c>
      <c r="I17" s="25">
        <f>'Page 4'!H185</f>
        <v>265</v>
      </c>
      <c r="J17" s="28">
        <v>0</v>
      </c>
      <c r="K17" s="28">
        <v>0</v>
      </c>
      <c r="L17" s="174" t="s">
        <v>90</v>
      </c>
    </row>
    <row r="18" spans="1:12" ht="57.75">
      <c r="A18" s="65">
        <v>12</v>
      </c>
      <c r="B18" s="64" t="s">
        <v>60</v>
      </c>
      <c r="C18" s="28">
        <f>'Page 4'!C186</f>
        <v>0</v>
      </c>
      <c r="D18" s="28">
        <f>'Page 4'!D186</f>
        <v>0</v>
      </c>
      <c r="E18" s="28">
        <f>'Page 4'!E186</f>
        <v>0</v>
      </c>
      <c r="F18" s="28">
        <f>'Page 4'!F186</f>
        <v>1</v>
      </c>
      <c r="G18" s="28">
        <f>'Page 4'!G186</f>
        <v>100</v>
      </c>
      <c r="H18" s="28">
        <v>0</v>
      </c>
      <c r="I18" s="25">
        <f>'Page 4'!H186</f>
        <v>200</v>
      </c>
      <c r="J18" s="28">
        <v>0</v>
      </c>
      <c r="K18" s="28">
        <v>0</v>
      </c>
      <c r="L18" s="174" t="s">
        <v>128</v>
      </c>
    </row>
    <row r="19" spans="1:12" ht="23.25" customHeight="1">
      <c r="A19" s="65">
        <v>13</v>
      </c>
      <c r="B19" s="64" t="s">
        <v>56</v>
      </c>
      <c r="C19" s="28">
        <f>'Page 4'!C187</f>
        <v>0</v>
      </c>
      <c r="D19" s="28">
        <f>'Page 4'!D187</f>
        <v>0</v>
      </c>
      <c r="E19" s="28">
        <f>'Page 4'!E187</f>
        <v>0</v>
      </c>
      <c r="F19" s="28">
        <v>0</v>
      </c>
      <c r="G19" s="28">
        <f>'Page 4'!G187</f>
        <v>0</v>
      </c>
      <c r="H19" s="28">
        <v>0</v>
      </c>
      <c r="I19" s="25">
        <f>'Page 4'!H187</f>
        <v>0</v>
      </c>
      <c r="J19" s="28">
        <v>0</v>
      </c>
      <c r="K19" s="28">
        <v>0</v>
      </c>
      <c r="L19" s="175" t="s">
        <v>61</v>
      </c>
    </row>
    <row r="20" spans="1:12" ht="24" thickBot="1">
      <c r="A20" s="178" t="s">
        <v>61</v>
      </c>
      <c r="B20" s="178" t="s">
        <v>6</v>
      </c>
      <c r="C20" s="179">
        <f t="shared" ref="C20:K20" si="0">SUM(C7:C19)</f>
        <v>1003273</v>
      </c>
      <c r="D20" s="179">
        <f t="shared" si="0"/>
        <v>985068</v>
      </c>
      <c r="E20" s="179">
        <f t="shared" si="0"/>
        <v>1217596</v>
      </c>
      <c r="F20" s="179">
        <f t="shared" si="0"/>
        <v>1770150</v>
      </c>
      <c r="G20" s="179">
        <f t="shared" si="0"/>
        <v>2052930</v>
      </c>
      <c r="H20" s="179">
        <f t="shared" si="0"/>
        <v>0</v>
      </c>
      <c r="I20" s="179">
        <f t="shared" si="0"/>
        <v>2622870</v>
      </c>
      <c r="J20" s="179">
        <f t="shared" si="0"/>
        <v>0</v>
      </c>
      <c r="K20" s="179">
        <f t="shared" si="0"/>
        <v>0</v>
      </c>
      <c r="L20" s="180" t="s">
        <v>61</v>
      </c>
    </row>
    <row r="21" spans="1:12" ht="29.25" customHeight="1" thickTop="1"/>
    <row r="22" spans="1:12" ht="24" customHeight="1"/>
    <row r="23" spans="1:12" ht="21.75" customHeight="1"/>
    <row r="24" spans="1:12">
      <c r="J24" s="430" t="s">
        <v>107</v>
      </c>
      <c r="K24" s="430"/>
      <c r="L24" s="430"/>
    </row>
  </sheetData>
  <mergeCells count="9">
    <mergeCell ref="J24:L24"/>
    <mergeCell ref="A1:L1"/>
    <mergeCell ref="A2:L2"/>
    <mergeCell ref="A3:C3"/>
    <mergeCell ref="A4:A5"/>
    <mergeCell ref="B4:B5"/>
    <mergeCell ref="C4:E4"/>
    <mergeCell ref="H4:K4"/>
    <mergeCell ref="L4:L5"/>
  </mergeCells>
  <phoneticPr fontId="15" type="noConversion"/>
  <pageMargins left="0.78740157480314965" right="0.15748031496062992" top="0.51181102362204722" bottom="0.51181102362204722" header="0.23622047244094491" footer="0.15748031496062992"/>
  <pageSetup paperSize="5" scale="75" orientation="landscape" r:id="rId1"/>
  <headerFooter alignWithMargins="0">
    <oddFooter>&amp;Z&amp;F&amp;RPage &amp;P</oddFooter>
  </headerFooter>
  <rowBreaks count="1" manualBreakCount="1">
    <brk id="12" max="1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view="pageBreakPreview" zoomScaleNormal="100" zoomScaleSheetLayoutView="100" workbookViewId="0">
      <selection activeCell="K21" sqref="K21"/>
    </sheetView>
  </sheetViews>
  <sheetFormatPr defaultRowHeight="14.25"/>
  <cols>
    <col min="1" max="1" width="5.7109375" style="184" customWidth="1"/>
    <col min="2" max="2" width="29.28515625" style="184" customWidth="1"/>
    <col min="3" max="3" width="16.42578125" style="184" customWidth="1"/>
    <col min="4" max="4" width="13" style="184" customWidth="1"/>
    <col min="5" max="5" width="13.42578125" style="184" customWidth="1"/>
    <col min="6" max="6" width="14.140625" style="184" customWidth="1"/>
    <col min="7" max="7" width="13.140625" style="184" customWidth="1"/>
    <col min="8" max="8" width="13.42578125" style="184" customWidth="1"/>
    <col min="9" max="9" width="12.7109375" style="184" customWidth="1"/>
    <col min="10" max="10" width="16" style="184" customWidth="1"/>
    <col min="11" max="16384" width="9.140625" style="184"/>
  </cols>
  <sheetData>
    <row r="1" spans="1:10" ht="18" customHeight="1">
      <c r="A1" s="433" t="s">
        <v>117</v>
      </c>
      <c r="B1" s="433"/>
      <c r="C1" s="433"/>
      <c r="D1" s="433"/>
      <c r="E1" s="433"/>
      <c r="F1" s="433"/>
      <c r="G1" s="433"/>
      <c r="H1" s="433"/>
      <c r="I1" s="433"/>
      <c r="J1" s="433"/>
    </row>
    <row r="2" spans="1:10" ht="18" customHeight="1">
      <c r="A2" s="433" t="s">
        <v>83</v>
      </c>
      <c r="B2" s="433"/>
      <c r="C2" s="433"/>
      <c r="D2" s="433"/>
      <c r="E2" s="433"/>
      <c r="F2" s="433"/>
      <c r="G2" s="433"/>
      <c r="H2" s="433"/>
      <c r="I2" s="433"/>
      <c r="J2" s="433"/>
    </row>
    <row r="3" spans="1:10" ht="18.75" customHeight="1">
      <c r="A3" s="434" t="s">
        <v>1</v>
      </c>
      <c r="B3" s="434"/>
      <c r="C3" s="434"/>
      <c r="D3" s="434"/>
      <c r="E3" s="434"/>
      <c r="F3" s="434"/>
      <c r="G3" s="434"/>
      <c r="H3" s="434"/>
      <c r="I3" s="434"/>
      <c r="J3" s="434"/>
    </row>
    <row r="4" spans="1:10" ht="33.75" customHeight="1">
      <c r="A4" s="185" t="s">
        <v>42</v>
      </c>
      <c r="B4" s="185" t="s">
        <v>82</v>
      </c>
      <c r="C4" s="185" t="s">
        <v>7</v>
      </c>
      <c r="D4" s="186" t="s">
        <v>22</v>
      </c>
      <c r="E4" s="186" t="s">
        <v>23</v>
      </c>
      <c r="F4" s="186" t="s">
        <v>24</v>
      </c>
      <c r="G4" s="186" t="s">
        <v>25</v>
      </c>
      <c r="H4" s="186" t="s">
        <v>26</v>
      </c>
      <c r="I4" s="186" t="s">
        <v>27</v>
      </c>
      <c r="J4" s="186" t="s">
        <v>6</v>
      </c>
    </row>
    <row r="5" spans="1:10" ht="15">
      <c r="A5" s="175">
        <v>1</v>
      </c>
      <c r="B5" s="187" t="s">
        <v>51</v>
      </c>
      <c r="C5" s="187">
        <f>'Page 4'!H7</f>
        <v>16709</v>
      </c>
      <c r="D5" s="187">
        <f>'Page 4'!H28</f>
        <v>132777</v>
      </c>
      <c r="E5" s="187">
        <f>'Page 4'!H49</f>
        <v>267076</v>
      </c>
      <c r="F5" s="187">
        <f>'Page 4'!H70</f>
        <v>475929</v>
      </c>
      <c r="G5" s="187">
        <f>'Page 4'!H91</f>
        <v>515590</v>
      </c>
      <c r="H5" s="187">
        <f>'Page 4'!H112</f>
        <v>692381</v>
      </c>
      <c r="I5" s="187">
        <f>'Page 4'!H133</f>
        <v>399778</v>
      </c>
      <c r="J5" s="188">
        <f>C5+D5+E5+F5+G5+H5+I5</f>
        <v>2500240</v>
      </c>
    </row>
    <row r="6" spans="1:10" ht="15">
      <c r="A6" s="175">
        <v>2</v>
      </c>
      <c r="B6" s="187" t="s">
        <v>52</v>
      </c>
      <c r="C6" s="187">
        <f>'Page 4'!H8</f>
        <v>0</v>
      </c>
      <c r="D6" s="187">
        <f>'Page 4'!H29</f>
        <v>0</v>
      </c>
      <c r="E6" s="187">
        <f>'Page 4'!H50</f>
        <v>0</v>
      </c>
      <c r="F6" s="187">
        <f>'Page 4'!H71</f>
        <v>0</v>
      </c>
      <c r="G6" s="187">
        <f>'Page 4'!H92</f>
        <v>0</v>
      </c>
      <c r="H6" s="187">
        <f>'Page 4'!H113</f>
        <v>0</v>
      </c>
      <c r="I6" s="187">
        <f>'Page 4'!H134</f>
        <v>0</v>
      </c>
      <c r="J6" s="188">
        <f t="shared" ref="J6:J17" si="0">C6+D6+E6+F6+G6+H6+I6</f>
        <v>0</v>
      </c>
    </row>
    <row r="7" spans="1:10" ht="20.25" customHeight="1">
      <c r="A7" s="175">
        <v>3</v>
      </c>
      <c r="B7" s="187" t="s">
        <v>57</v>
      </c>
      <c r="C7" s="187">
        <f>'Page 4'!H9</f>
        <v>600</v>
      </c>
      <c r="D7" s="187">
        <f>'Page 4'!H30</f>
        <v>40</v>
      </c>
      <c r="E7" s="187">
        <f>'Page 4'!H51</f>
        <v>420</v>
      </c>
      <c r="F7" s="187">
        <f>'Page 4'!H72</f>
        <v>1000</v>
      </c>
      <c r="G7" s="187">
        <f>'Page 4'!H93</f>
        <v>1690</v>
      </c>
      <c r="H7" s="187">
        <f>'Page 4'!H114</f>
        <v>2100</v>
      </c>
      <c r="I7" s="187">
        <f>'Page 4'!H135</f>
        <v>130</v>
      </c>
      <c r="J7" s="188">
        <f t="shared" si="0"/>
        <v>5980</v>
      </c>
    </row>
    <row r="8" spans="1:10" ht="20.25" customHeight="1">
      <c r="A8" s="175">
        <v>4</v>
      </c>
      <c r="B8" s="198" t="s">
        <v>87</v>
      </c>
      <c r="C8" s="187">
        <f>'Page 4'!H10</f>
        <v>0</v>
      </c>
      <c r="D8" s="187">
        <f>'Page 4'!H31</f>
        <v>0</v>
      </c>
      <c r="E8" s="187">
        <f>'Page 4'!H52</f>
        <v>11563</v>
      </c>
      <c r="F8" s="187">
        <f>'Page 4'!H73</f>
        <v>51039</v>
      </c>
      <c r="G8" s="187">
        <f>'Page 4'!H94</f>
        <v>0</v>
      </c>
      <c r="H8" s="187">
        <f>'Page 4'!H115</f>
        <v>0</v>
      </c>
      <c r="I8" s="187">
        <f>'Page 4'!H136</f>
        <v>0</v>
      </c>
      <c r="J8" s="188">
        <f t="shared" si="0"/>
        <v>62602</v>
      </c>
    </row>
    <row r="9" spans="1:10" ht="15">
      <c r="A9" s="175">
        <v>5</v>
      </c>
      <c r="B9" s="187" t="s">
        <v>58</v>
      </c>
      <c r="C9" s="187">
        <f>'Page 4'!H11</f>
        <v>100</v>
      </c>
      <c r="D9" s="187">
        <f>'Page 4'!H32</f>
        <v>60</v>
      </c>
      <c r="E9" s="187">
        <f>'Page 4'!H53</f>
        <v>220</v>
      </c>
      <c r="F9" s="187">
        <f>'Page 4'!H74</f>
        <v>1500</v>
      </c>
      <c r="G9" s="187">
        <f>'Page 4'!H95</f>
        <v>2275</v>
      </c>
      <c r="H9" s="187">
        <f>'Page 4'!H116</f>
        <v>800</v>
      </c>
      <c r="I9" s="187">
        <f>'Page 4'!H137</f>
        <v>1100</v>
      </c>
      <c r="J9" s="188">
        <f t="shared" si="0"/>
        <v>6055</v>
      </c>
    </row>
    <row r="10" spans="1:10" ht="15">
      <c r="A10" s="175">
        <v>6</v>
      </c>
      <c r="B10" s="187" t="s">
        <v>53</v>
      </c>
      <c r="C10" s="187">
        <f>'Page 4'!H12</f>
        <v>300</v>
      </c>
      <c r="D10" s="187">
        <f>'Page 4'!H33</f>
        <v>375</v>
      </c>
      <c r="E10" s="187">
        <f>'Page 4'!H54</f>
        <v>750</v>
      </c>
      <c r="F10" s="187">
        <f>'Page 4'!H75</f>
        <v>1500</v>
      </c>
      <c r="G10" s="187">
        <f>'Page 4'!H96</f>
        <v>3003</v>
      </c>
      <c r="H10" s="187">
        <f>'Page 4'!H117</f>
        <v>3000</v>
      </c>
      <c r="I10" s="187">
        <f>'Page 4'!H138</f>
        <v>770</v>
      </c>
      <c r="J10" s="188">
        <f t="shared" si="0"/>
        <v>9698</v>
      </c>
    </row>
    <row r="11" spans="1:10" ht="15">
      <c r="A11" s="175">
        <v>7</v>
      </c>
      <c r="B11" s="187" t="s">
        <v>59</v>
      </c>
      <c r="C11" s="187">
        <f>'Page 4'!H13</f>
        <v>0</v>
      </c>
      <c r="D11" s="187">
        <f>'Page 4'!H34</f>
        <v>0</v>
      </c>
      <c r="E11" s="187">
        <f>'Page 4'!H55</f>
        <v>2650</v>
      </c>
      <c r="F11" s="187">
        <f>'Page 4'!H76</f>
        <v>3500</v>
      </c>
      <c r="G11" s="187">
        <f>'Page 4'!H97</f>
        <v>6710</v>
      </c>
      <c r="H11" s="187">
        <f>'Page 4'!H118</f>
        <v>12500</v>
      </c>
      <c r="I11" s="187">
        <f>'Page 4'!H139</f>
        <v>2100</v>
      </c>
      <c r="J11" s="188">
        <f t="shared" si="0"/>
        <v>27460</v>
      </c>
    </row>
    <row r="12" spans="1:10" ht="15">
      <c r="A12" s="175">
        <v>8</v>
      </c>
      <c r="B12" s="198" t="s">
        <v>88</v>
      </c>
      <c r="C12" s="187">
        <f>'Page 4'!H14</f>
        <v>0</v>
      </c>
      <c r="D12" s="187">
        <f>'Page 4'!H35</f>
        <v>0</v>
      </c>
      <c r="E12" s="187">
        <f>'Page 4'!H56</f>
        <v>0</v>
      </c>
      <c r="F12" s="187">
        <f>'Page 4'!H77</f>
        <v>0</v>
      </c>
      <c r="G12" s="187">
        <f>'Page 4'!H98</f>
        <v>0</v>
      </c>
      <c r="H12" s="187">
        <f>'Page 4'!H119</f>
        <v>50</v>
      </c>
      <c r="I12" s="187">
        <f>'Page 4'!H140</f>
        <v>0</v>
      </c>
      <c r="J12" s="188">
        <f t="shared" si="0"/>
        <v>50</v>
      </c>
    </row>
    <row r="13" spans="1:10" ht="15">
      <c r="A13" s="175">
        <v>9</v>
      </c>
      <c r="B13" s="187" t="s">
        <v>54</v>
      </c>
      <c r="C13" s="187">
        <f>'Page 4'!H15</f>
        <v>200</v>
      </c>
      <c r="D13" s="187">
        <f>'Page 4'!H36</f>
        <v>70</v>
      </c>
      <c r="E13" s="187">
        <f>'Page 4'!H57</f>
        <v>5000</v>
      </c>
      <c r="F13" s="187">
        <f>'Page 4'!H78</f>
        <v>1000</v>
      </c>
      <c r="G13" s="187">
        <f>'Page 4'!H99</f>
        <v>1950</v>
      </c>
      <c r="H13" s="187">
        <f>'Page 4'!H120</f>
        <v>2000</v>
      </c>
      <c r="I13" s="187">
        <f>'Page 4'!H141</f>
        <v>100</v>
      </c>
      <c r="J13" s="188">
        <f t="shared" si="0"/>
        <v>10320</v>
      </c>
    </row>
    <row r="14" spans="1:10" ht="15">
      <c r="A14" s="175">
        <v>10</v>
      </c>
      <c r="B14" s="198" t="s">
        <v>89</v>
      </c>
      <c r="C14" s="187">
        <f>'Page 4'!H16</f>
        <v>0</v>
      </c>
      <c r="D14" s="187">
        <f>'Page 4'!H37</f>
        <v>0</v>
      </c>
      <c r="E14" s="187">
        <f>'Page 4'!H58</f>
        <v>0</v>
      </c>
      <c r="F14" s="187">
        <f>'Page 4'!H79</f>
        <v>0</v>
      </c>
      <c r="G14" s="187">
        <f>'Page 4'!H100</f>
        <v>0</v>
      </c>
      <c r="H14" s="187">
        <f>'Page 4'!H121</f>
        <v>0</v>
      </c>
      <c r="I14" s="187">
        <f>'Page 4'!H142</f>
        <v>0</v>
      </c>
      <c r="J14" s="188">
        <f t="shared" si="0"/>
        <v>0</v>
      </c>
    </row>
    <row r="15" spans="1:10" ht="15">
      <c r="A15" s="175">
        <v>11</v>
      </c>
      <c r="B15" s="187" t="s">
        <v>55</v>
      </c>
      <c r="C15" s="187">
        <f>'Page 4'!H17</f>
        <v>0</v>
      </c>
      <c r="D15" s="187">
        <f>'Page 4'!H38</f>
        <v>0</v>
      </c>
      <c r="E15" s="187">
        <f>'Page 4'!H59</f>
        <v>0</v>
      </c>
      <c r="F15" s="187">
        <f>'Page 4'!H80</f>
        <v>0</v>
      </c>
      <c r="G15" s="187">
        <f>'Page 4'!H101</f>
        <v>195</v>
      </c>
      <c r="H15" s="187">
        <f>'Page 4'!H122</f>
        <v>70</v>
      </c>
      <c r="I15" s="187">
        <f>'Page 4'!H143</f>
        <v>0</v>
      </c>
      <c r="J15" s="188">
        <f t="shared" si="0"/>
        <v>265</v>
      </c>
    </row>
    <row r="16" spans="1:10" ht="15">
      <c r="A16" s="175">
        <v>12</v>
      </c>
      <c r="B16" s="187" t="s">
        <v>60</v>
      </c>
      <c r="C16" s="187">
        <f>'Page 4'!H18</f>
        <v>0</v>
      </c>
      <c r="D16" s="187">
        <f>'Page 4'!H39</f>
        <v>0</v>
      </c>
      <c r="E16" s="187">
        <f>'Page 4'!H60</f>
        <v>0</v>
      </c>
      <c r="F16" s="187">
        <f>'Page 4'!H81</f>
        <v>0</v>
      </c>
      <c r="G16" s="187">
        <f>'Page 4'!H102</f>
        <v>0</v>
      </c>
      <c r="H16" s="187">
        <f>'Page 4'!H123</f>
        <v>200</v>
      </c>
      <c r="I16" s="187">
        <f>'Page 4'!H144</f>
        <v>0</v>
      </c>
      <c r="J16" s="188">
        <f t="shared" si="0"/>
        <v>200</v>
      </c>
    </row>
    <row r="17" spans="1:10" ht="15">
      <c r="A17" s="175">
        <v>13</v>
      </c>
      <c r="B17" s="187" t="s">
        <v>56</v>
      </c>
      <c r="C17" s="187">
        <f>'Page 4'!H19</f>
        <v>0</v>
      </c>
      <c r="D17" s="187">
        <f>'Page 4'!H40</f>
        <v>0</v>
      </c>
      <c r="E17" s="187">
        <f>'Page 4'!H61</f>
        <v>0</v>
      </c>
      <c r="F17" s="187">
        <f>'Page 4'!H82</f>
        <v>0</v>
      </c>
      <c r="G17" s="187">
        <f>'Page 4'!H103</f>
        <v>0</v>
      </c>
      <c r="H17" s="187">
        <f>'Page 4'!H124</f>
        <v>0</v>
      </c>
      <c r="I17" s="187">
        <f>'Page 4'!H145</f>
        <v>0</v>
      </c>
      <c r="J17" s="188">
        <f t="shared" si="0"/>
        <v>0</v>
      </c>
    </row>
    <row r="18" spans="1:10" ht="15.75" thickBot="1">
      <c r="A18" s="431" t="s">
        <v>6</v>
      </c>
      <c r="B18" s="432"/>
      <c r="C18" s="295">
        <f t="shared" ref="C18:I18" si="1">C5+C6+C7+C9+C10+C11+C13+C15+C16+C17</f>
        <v>17909</v>
      </c>
      <c r="D18" s="189">
        <f t="shared" si="1"/>
        <v>133322</v>
      </c>
      <c r="E18" s="189">
        <f t="shared" si="1"/>
        <v>276116</v>
      </c>
      <c r="F18" s="189">
        <f t="shared" si="1"/>
        <v>484429</v>
      </c>
      <c r="G18" s="189">
        <f t="shared" si="1"/>
        <v>531413</v>
      </c>
      <c r="H18" s="189">
        <f t="shared" si="1"/>
        <v>713051</v>
      </c>
      <c r="I18" s="189">
        <f t="shared" si="1"/>
        <v>403978</v>
      </c>
      <c r="J18" s="189">
        <f>J5+J6+J7+J9+J10+J11+J12+J13+J15+J16+J17</f>
        <v>2560268</v>
      </c>
    </row>
    <row r="19" spans="1:10" ht="23.25" customHeight="1" thickTop="1">
      <c r="A19" s="190"/>
      <c r="B19" s="191"/>
      <c r="C19" s="191"/>
      <c r="D19" s="190"/>
      <c r="E19" s="190"/>
    </row>
  </sheetData>
  <mergeCells count="4">
    <mergeCell ref="A18:B18"/>
    <mergeCell ref="A1:J1"/>
    <mergeCell ref="A2:J2"/>
    <mergeCell ref="A3:J3"/>
  </mergeCells>
  <pageMargins left="0.78740157480314965" right="0.39370078740157483" top="0.59055118110236227" bottom="0.59055118110236227" header="0.19685039370078741" footer="0.19685039370078741"/>
  <pageSetup paperSize="5" scale="10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0"/>
  <sheetViews>
    <sheetView view="pageBreakPreview" topLeftCell="B4" zoomScaleNormal="100" zoomScaleSheetLayoutView="100" workbookViewId="0">
      <selection activeCell="L20" sqref="L20"/>
    </sheetView>
  </sheetViews>
  <sheetFormatPr defaultRowHeight="15.75"/>
  <cols>
    <col min="1" max="1" width="6.7109375" style="204" customWidth="1"/>
    <col min="2" max="2" width="14" style="218" customWidth="1"/>
    <col min="3" max="3" width="12.28515625" style="219" customWidth="1"/>
    <col min="4" max="5" width="10.85546875" style="204" customWidth="1"/>
    <col min="6" max="6" width="10.28515625" style="204" customWidth="1"/>
    <col min="7" max="7" width="10.5703125" style="204" customWidth="1"/>
    <col min="8" max="8" width="11.5703125" style="204" customWidth="1"/>
    <col min="9" max="16384" width="9.140625" style="204"/>
  </cols>
  <sheetData>
    <row r="2" spans="1:15" ht="26.25" customHeight="1">
      <c r="A2" s="436" t="s">
        <v>93</v>
      </c>
      <c r="B2" s="436"/>
      <c r="C2" s="436"/>
      <c r="D2" s="436"/>
      <c r="E2" s="436"/>
      <c r="F2" s="436"/>
      <c r="G2" s="436"/>
      <c r="H2" s="436"/>
    </row>
    <row r="3" spans="1:15" ht="3" customHeight="1">
      <c r="A3" s="205"/>
      <c r="B3" s="205"/>
      <c r="C3" s="205"/>
      <c r="D3" s="205"/>
      <c r="E3" s="205"/>
      <c r="F3" s="205"/>
      <c r="G3" s="205"/>
      <c r="H3" s="205"/>
    </row>
    <row r="4" spans="1:15" ht="3.75" customHeight="1">
      <c r="A4" s="205"/>
      <c r="B4" s="205"/>
      <c r="C4" s="205"/>
      <c r="D4" s="205"/>
      <c r="E4" s="205"/>
      <c r="F4" s="205"/>
      <c r="G4" s="205"/>
      <c r="H4" s="205"/>
    </row>
    <row r="5" spans="1:15" s="207" customFormat="1" ht="29.25" customHeight="1">
      <c r="A5" s="436" t="s">
        <v>115</v>
      </c>
      <c r="B5" s="436"/>
      <c r="C5" s="436"/>
      <c r="D5" s="436"/>
      <c r="E5" s="436"/>
      <c r="F5" s="436"/>
      <c r="G5" s="436"/>
      <c r="H5" s="436"/>
      <c r="I5" s="206"/>
      <c r="J5" s="206"/>
      <c r="K5" s="206"/>
      <c r="L5" s="206"/>
      <c r="M5" s="206"/>
      <c r="N5" s="206"/>
      <c r="O5" s="206"/>
    </row>
    <row r="6" spans="1:15" s="207" customFormat="1" ht="26.25" customHeight="1">
      <c r="A6" s="437" t="s">
        <v>31</v>
      </c>
      <c r="B6" s="437"/>
      <c r="C6" s="437"/>
      <c r="D6" s="437"/>
      <c r="E6" s="437"/>
      <c r="F6" s="437"/>
      <c r="G6" s="437"/>
      <c r="H6" s="437"/>
      <c r="I6" s="208"/>
      <c r="J6" s="208"/>
      <c r="K6" s="208"/>
      <c r="L6" s="208"/>
      <c r="M6" s="208"/>
      <c r="N6" s="208"/>
      <c r="O6" s="208"/>
    </row>
    <row r="7" spans="1:15" s="207" customFormat="1" ht="9.75" customHeight="1">
      <c r="A7" s="209"/>
      <c r="B7" s="209"/>
      <c r="C7" s="209"/>
      <c r="D7" s="209"/>
      <c r="E7" s="209"/>
      <c r="F7" s="209"/>
      <c r="G7" s="209"/>
      <c r="H7" s="209"/>
      <c r="I7" s="208"/>
      <c r="J7" s="208"/>
      <c r="K7" s="208"/>
      <c r="L7" s="208"/>
      <c r="M7" s="208"/>
      <c r="N7" s="208"/>
      <c r="O7" s="208"/>
    </row>
    <row r="8" spans="1:15" ht="27" customHeight="1">
      <c r="A8" s="436" t="s">
        <v>94</v>
      </c>
      <c r="B8" s="436"/>
      <c r="C8" s="436"/>
      <c r="D8" s="436"/>
      <c r="E8" s="436"/>
      <c r="F8" s="436"/>
      <c r="G8" s="436"/>
      <c r="H8" s="436"/>
    </row>
    <row r="9" spans="1:15" s="210" customFormat="1" ht="15">
      <c r="B9" s="211"/>
      <c r="C9" s="211"/>
    </row>
    <row r="10" spans="1:15" s="210" customFormat="1" ht="33" customHeight="1">
      <c r="A10" s="347" t="s">
        <v>33</v>
      </c>
      <c r="B10" s="347" t="s">
        <v>95</v>
      </c>
      <c r="C10" s="439" t="s">
        <v>32</v>
      </c>
      <c r="D10" s="440"/>
      <c r="E10" s="439" t="s">
        <v>4</v>
      </c>
      <c r="F10" s="440"/>
      <c r="G10" s="439" t="s">
        <v>5</v>
      </c>
      <c r="H10" s="440"/>
    </row>
    <row r="11" spans="1:15" s="210" customFormat="1" ht="33.75" customHeight="1">
      <c r="A11" s="438"/>
      <c r="B11" s="438"/>
      <c r="C11" s="212" t="s">
        <v>34</v>
      </c>
      <c r="D11" s="212" t="s">
        <v>35</v>
      </c>
      <c r="E11" s="212" t="s">
        <v>34</v>
      </c>
      <c r="F11" s="212" t="s">
        <v>35</v>
      </c>
      <c r="G11" s="212" t="s">
        <v>34</v>
      </c>
      <c r="H11" s="212" t="s">
        <v>35</v>
      </c>
    </row>
    <row r="12" spans="1:15" s="210" customFormat="1" ht="33" customHeight="1">
      <c r="A12" s="213">
        <v>1</v>
      </c>
      <c r="B12" s="213" t="s">
        <v>96</v>
      </c>
      <c r="C12" s="212">
        <f t="shared" ref="C12:D15" si="0">E12+G12</f>
        <v>0</v>
      </c>
      <c r="D12" s="212">
        <f t="shared" si="0"/>
        <v>0</v>
      </c>
      <c r="E12" s="212">
        <v>0</v>
      </c>
      <c r="F12" s="212">
        <v>0</v>
      </c>
      <c r="G12" s="212">
        <v>0</v>
      </c>
      <c r="H12" s="212">
        <v>0</v>
      </c>
    </row>
    <row r="13" spans="1:15" s="210" customFormat="1" ht="32.25" customHeight="1">
      <c r="A13" s="213">
        <v>2</v>
      </c>
      <c r="B13" s="213" t="s">
        <v>97</v>
      </c>
      <c r="C13" s="212">
        <f t="shared" si="0"/>
        <v>0</v>
      </c>
      <c r="D13" s="212">
        <f t="shared" si="0"/>
        <v>0</v>
      </c>
      <c r="E13" s="212">
        <v>0</v>
      </c>
      <c r="F13" s="212">
        <v>0</v>
      </c>
      <c r="G13" s="212">
        <v>0</v>
      </c>
      <c r="H13" s="212">
        <v>0</v>
      </c>
    </row>
    <row r="14" spans="1:15" s="210" customFormat="1" ht="35.25" customHeight="1">
      <c r="A14" s="214">
        <v>3</v>
      </c>
      <c r="B14" s="213" t="s">
        <v>10</v>
      </c>
      <c r="C14" s="212">
        <f t="shared" si="0"/>
        <v>1014</v>
      </c>
      <c r="D14" s="212">
        <f t="shared" si="0"/>
        <v>980</v>
      </c>
      <c r="E14" s="212">
        <v>855</v>
      </c>
      <c r="F14" s="212">
        <v>687</v>
      </c>
      <c r="G14" s="212">
        <v>159</v>
      </c>
      <c r="H14" s="212">
        <v>293</v>
      </c>
    </row>
    <row r="15" spans="1:15" s="210" customFormat="1" ht="33" customHeight="1">
      <c r="A15" s="213">
        <v>4</v>
      </c>
      <c r="B15" s="213" t="s">
        <v>11</v>
      </c>
      <c r="C15" s="212">
        <f t="shared" si="0"/>
        <v>1355</v>
      </c>
      <c r="D15" s="212">
        <f t="shared" si="0"/>
        <v>0</v>
      </c>
      <c r="E15" s="212">
        <v>1068</v>
      </c>
      <c r="F15" s="212">
        <v>0</v>
      </c>
      <c r="G15" s="212">
        <v>287</v>
      </c>
      <c r="H15" s="212">
        <v>0</v>
      </c>
    </row>
    <row r="16" spans="1:15" s="210" customFormat="1" ht="29.25" customHeight="1">
      <c r="A16" s="45" t="s">
        <v>0</v>
      </c>
      <c r="B16" s="45" t="s">
        <v>6</v>
      </c>
      <c r="C16" s="215">
        <f t="shared" ref="C16:H16" si="1">C12+C13+C14+C15</f>
        <v>2369</v>
      </c>
      <c r="D16" s="215">
        <f t="shared" si="1"/>
        <v>980</v>
      </c>
      <c r="E16" s="215">
        <f t="shared" si="1"/>
        <v>1923</v>
      </c>
      <c r="F16" s="215">
        <f t="shared" si="1"/>
        <v>687</v>
      </c>
      <c r="G16" s="215">
        <f t="shared" si="1"/>
        <v>446</v>
      </c>
      <c r="H16" s="215">
        <f t="shared" si="1"/>
        <v>293</v>
      </c>
    </row>
    <row r="17" spans="2:8" s="216" customFormat="1" ht="25.5" customHeight="1"/>
    <row r="18" spans="2:8" s="216" customFormat="1" ht="25.5" customHeight="1"/>
    <row r="19" spans="2:8" s="216" customFormat="1" ht="21" customHeight="1"/>
    <row r="20" spans="2:8" ht="23.25" customHeight="1">
      <c r="B20" s="217"/>
      <c r="C20" s="217"/>
      <c r="D20" s="217"/>
      <c r="E20" s="435" t="s">
        <v>107</v>
      </c>
      <c r="F20" s="435"/>
      <c r="G20" s="435"/>
      <c r="H20" s="435"/>
    </row>
  </sheetData>
  <mergeCells count="10">
    <mergeCell ref="E20:H20"/>
    <mergeCell ref="A2:H2"/>
    <mergeCell ref="A5:H5"/>
    <mergeCell ref="A6:H6"/>
    <mergeCell ref="A8:H8"/>
    <mergeCell ref="A10:A11"/>
    <mergeCell ref="B10:B11"/>
    <mergeCell ref="C10:D10"/>
    <mergeCell ref="E10:F10"/>
    <mergeCell ref="G10:H10"/>
  </mergeCells>
  <pageMargins left="0.78740157480314965" right="0.39370078740157483" top="0.74803149606299213" bottom="0.74803149606299213" header="0.31496062992125984" footer="0.31496062992125984"/>
  <pageSetup paperSize="5" scale="9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Page 1</vt:lpstr>
      <vt:lpstr>Page 2</vt:lpstr>
      <vt:lpstr>Page 3</vt:lpstr>
      <vt:lpstr>Page 4</vt:lpstr>
      <vt:lpstr>Page 5</vt:lpstr>
      <vt:lpstr>Distrs.wise Abstract</vt:lpstr>
      <vt:lpstr>Table-D</vt:lpstr>
      <vt:lpstr>'Distrs.wise Abstract'!Print_Area</vt:lpstr>
      <vt:lpstr>'Page 1'!Print_Area</vt:lpstr>
      <vt:lpstr>'Page 2'!Print_Area</vt:lpstr>
      <vt:lpstr>'Page 3'!Print_Area</vt:lpstr>
      <vt:lpstr>'Page 4'!Print_Area</vt:lpstr>
      <vt:lpstr>'Page 5'!Print_Area</vt:lpstr>
      <vt:lpstr>'Table-D'!Print_Area</vt:lpstr>
      <vt:lpstr>'Page 5'!Print_Titles</vt:lpstr>
    </vt:vector>
  </TitlesOfParts>
  <Company>KOKAN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REVENUE</dc:creator>
  <cp:lastModifiedBy>cloudconvert_15</cp:lastModifiedBy>
  <cp:lastPrinted>2025-10-13T07:27:52Z</cp:lastPrinted>
  <dcterms:created xsi:type="dcterms:W3CDTF">2012-06-14T05:07:46Z</dcterms:created>
  <dcterms:modified xsi:type="dcterms:W3CDTF">2026-01-19T06:21:36Z</dcterms:modified>
</cp:coreProperties>
</file>