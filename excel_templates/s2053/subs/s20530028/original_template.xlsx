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Internship\Agenthix AI\GOM PROJECTS\BudgetMakingSystem\MAIN_PROJECT\excel_templates\"/>
    </mc:Choice>
  </mc:AlternateContent>
  <xr:revisionPtr revIDLastSave="0" documentId="13_ncr:1_{DF8E0710-4756-4732-B85C-312A21EF292B}" xr6:coauthVersionLast="47" xr6:coauthVersionMax="47" xr10:uidLastSave="{00000000-0000-0000-0000-000000000000}"/>
  <bookViews>
    <workbookView xWindow="-108" yWindow="-108" windowWidth="23256" windowHeight="12456" activeTab="4" xr2:uid="{00000000-000D-0000-FFFF-FFFF00000000}"/>
  </bookViews>
  <sheets>
    <sheet name="Page-1" sheetId="4" r:id="rId1"/>
    <sheet name="Page-2" sheetId="6" r:id="rId2"/>
    <sheet name="Page-3" sheetId="2" r:id="rId3"/>
    <sheet name="Page-4" sheetId="1" r:id="rId4"/>
    <sheet name="Page-5" sheetId="5" r:id="rId5"/>
    <sheet name="Distrs.wise Abstract" sheetId="8" r:id="rId6"/>
    <sheet name="Table-D" sheetId="9" r:id="rId7"/>
  </sheets>
  <externalReferences>
    <externalReference r:id="rId8"/>
  </externalReferences>
  <definedNames>
    <definedName name="_xlnm.Print_Area" localSheetId="5">'Distrs.wise Abstract'!$A$1:$J$21</definedName>
    <definedName name="_xlnm.Print_Area" localSheetId="0">'Page-1'!$A$1:$Q$451</definedName>
    <definedName name="_xlnm.Print_Area" localSheetId="1">'Page-2'!$A$1:$P$315</definedName>
    <definedName name="_xlnm.Print_Area" localSheetId="2">'Page-3'!$A$1:$H$147</definedName>
    <definedName name="_xlnm.Print_Area" localSheetId="3">'Page-4'!$A$1:$L$208</definedName>
    <definedName name="_xlnm.Print_Area" localSheetId="4">'Page-5'!$A$1:$L$27</definedName>
    <definedName name="_xlnm.Print_Area" localSheetId="6">'Table-D'!$A$1:$H$20</definedName>
    <definedName name="_xlnm.Print_Titles" localSheetId="4">'Page-5'!$1:$6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3" i="2" l="1"/>
  <c r="F229" i="6"/>
  <c r="C12" i="9"/>
  <c r="D12" i="9"/>
  <c r="M12" i="9"/>
  <c r="C13" i="9"/>
  <c r="D13" i="9"/>
  <c r="M13" i="9"/>
  <c r="C14" i="9"/>
  <c r="D14" i="9"/>
  <c r="M14" i="9"/>
  <c r="C15" i="9"/>
  <c r="D15" i="9"/>
  <c r="M15" i="9"/>
  <c r="E16" i="9"/>
  <c r="F16" i="9"/>
  <c r="G16" i="9"/>
  <c r="H16" i="9"/>
  <c r="K16" i="9"/>
  <c r="M16" i="9" s="1"/>
  <c r="L16" i="9"/>
  <c r="C5" i="8"/>
  <c r="C20" i="8" s="1"/>
  <c r="D5" i="8"/>
  <c r="E5" i="8"/>
  <c r="E20" i="8" s="1"/>
  <c r="F5" i="8"/>
  <c r="G5" i="8"/>
  <c r="G20" i="8" s="1"/>
  <c r="H5" i="8"/>
  <c r="I5" i="8"/>
  <c r="C6" i="8"/>
  <c r="D6" i="8"/>
  <c r="D20" i="8" s="1"/>
  <c r="E6" i="8"/>
  <c r="F6" i="8"/>
  <c r="G6" i="8"/>
  <c r="H6" i="8"/>
  <c r="I6" i="8"/>
  <c r="C7" i="8"/>
  <c r="J7" i="8" s="1"/>
  <c r="D7" i="8"/>
  <c r="E7" i="8"/>
  <c r="F7" i="8"/>
  <c r="G7" i="8"/>
  <c r="H7" i="8"/>
  <c r="I7" i="8"/>
  <c r="C8" i="8"/>
  <c r="J8" i="8" s="1"/>
  <c r="D8" i="8"/>
  <c r="E8" i="8"/>
  <c r="F8" i="8"/>
  <c r="G8" i="8"/>
  <c r="H8" i="8"/>
  <c r="I8" i="8"/>
  <c r="C9" i="8"/>
  <c r="J9" i="8"/>
  <c r="D9" i="8"/>
  <c r="E9" i="8"/>
  <c r="F9" i="8"/>
  <c r="G9" i="8"/>
  <c r="H9" i="8"/>
  <c r="I9" i="8"/>
  <c r="C10" i="8"/>
  <c r="D10" i="8"/>
  <c r="E10" i="8"/>
  <c r="F10" i="8"/>
  <c r="G10" i="8"/>
  <c r="H10" i="8"/>
  <c r="I10" i="8"/>
  <c r="C11" i="8"/>
  <c r="D11" i="8"/>
  <c r="E11" i="8"/>
  <c r="F11" i="8"/>
  <c r="G11" i="8"/>
  <c r="H11" i="8"/>
  <c r="I11" i="8"/>
  <c r="C12" i="8"/>
  <c r="J12" i="8" s="1"/>
  <c r="D12" i="8"/>
  <c r="E12" i="8"/>
  <c r="F12" i="8"/>
  <c r="G12" i="8"/>
  <c r="H12" i="8"/>
  <c r="I12" i="8"/>
  <c r="C13" i="8"/>
  <c r="D13" i="8"/>
  <c r="J13" i="8" s="1"/>
  <c r="E13" i="8"/>
  <c r="F13" i="8"/>
  <c r="G13" i="8"/>
  <c r="H13" i="8"/>
  <c r="I13" i="8"/>
  <c r="C14" i="8"/>
  <c r="D14" i="8"/>
  <c r="E14" i="8"/>
  <c r="F14" i="8"/>
  <c r="G14" i="8"/>
  <c r="H14" i="8"/>
  <c r="I14" i="8"/>
  <c r="C15" i="8"/>
  <c r="D15" i="8"/>
  <c r="E15" i="8"/>
  <c r="F15" i="8"/>
  <c r="G15" i="8"/>
  <c r="H15" i="8"/>
  <c r="I15" i="8"/>
  <c r="C16" i="8"/>
  <c r="D16" i="8"/>
  <c r="E16" i="8"/>
  <c r="F16" i="8"/>
  <c r="G16" i="8"/>
  <c r="H16" i="8"/>
  <c r="I16" i="8"/>
  <c r="J16" i="8" s="1"/>
  <c r="C17" i="8"/>
  <c r="J17" i="8"/>
  <c r="D17" i="8"/>
  <c r="E17" i="8"/>
  <c r="F17" i="8"/>
  <c r="G17" i="8"/>
  <c r="H17" i="8"/>
  <c r="I17" i="8"/>
  <c r="C18" i="8"/>
  <c r="D18" i="8"/>
  <c r="E18" i="8"/>
  <c r="F18" i="8"/>
  <c r="G18" i="8"/>
  <c r="H18" i="8"/>
  <c r="I18" i="8"/>
  <c r="C19" i="8"/>
  <c r="D19" i="8"/>
  <c r="E19" i="8"/>
  <c r="J19" i="8" s="1"/>
  <c r="F19" i="8"/>
  <c r="G19" i="8"/>
  <c r="H19" i="8"/>
  <c r="I19" i="8"/>
  <c r="F20" i="8"/>
  <c r="I7" i="5"/>
  <c r="J10" i="5"/>
  <c r="J22" i="5" s="1"/>
  <c r="K10" i="5"/>
  <c r="K22" i="5" s="1"/>
  <c r="F14" i="5"/>
  <c r="J14" i="5"/>
  <c r="K14" i="5"/>
  <c r="J16" i="5"/>
  <c r="K16" i="5"/>
  <c r="F20" i="5"/>
  <c r="H22" i="5"/>
  <c r="C22" i="1"/>
  <c r="D22" i="1"/>
  <c r="E22" i="1"/>
  <c r="F22" i="1"/>
  <c r="G22" i="1"/>
  <c r="H22" i="1"/>
  <c r="I22" i="1"/>
  <c r="J22" i="1"/>
  <c r="K22" i="1"/>
  <c r="C45" i="1"/>
  <c r="D45" i="1"/>
  <c r="E45" i="1"/>
  <c r="F45" i="1"/>
  <c r="G45" i="1"/>
  <c r="H45" i="1"/>
  <c r="I45" i="1"/>
  <c r="J45" i="1"/>
  <c r="K45" i="1"/>
  <c r="C68" i="1"/>
  <c r="D68" i="1"/>
  <c r="E68" i="1"/>
  <c r="F68" i="1"/>
  <c r="G68" i="1"/>
  <c r="H68" i="1"/>
  <c r="I68" i="1"/>
  <c r="J68" i="1"/>
  <c r="K68" i="1"/>
  <c r="C91" i="1"/>
  <c r="D91" i="1"/>
  <c r="E91" i="1"/>
  <c r="F91" i="1"/>
  <c r="G91" i="1"/>
  <c r="H91" i="1"/>
  <c r="I91" i="1"/>
  <c r="J91" i="1"/>
  <c r="K91" i="1"/>
  <c r="C114" i="1"/>
  <c r="D114" i="1"/>
  <c r="E114" i="1"/>
  <c r="F114" i="1"/>
  <c r="G114" i="1"/>
  <c r="H114" i="1"/>
  <c r="I114" i="1"/>
  <c r="J114" i="1"/>
  <c r="K114" i="1"/>
  <c r="C137" i="1"/>
  <c r="D137" i="1"/>
  <c r="E137" i="1"/>
  <c r="F137" i="1"/>
  <c r="G137" i="1"/>
  <c r="H137" i="1"/>
  <c r="I137" i="1"/>
  <c r="J137" i="1"/>
  <c r="K137" i="1"/>
  <c r="C160" i="1"/>
  <c r="D160" i="1"/>
  <c r="E160" i="1"/>
  <c r="F160" i="1"/>
  <c r="G160" i="1"/>
  <c r="H160" i="1"/>
  <c r="I160" i="1"/>
  <c r="J160" i="1"/>
  <c r="K160" i="1"/>
  <c r="C183" i="1"/>
  <c r="D183" i="1"/>
  <c r="E183" i="1"/>
  <c r="F183" i="1"/>
  <c r="G183" i="1"/>
  <c r="H183" i="1"/>
  <c r="I183" i="1"/>
  <c r="J183" i="1"/>
  <c r="K183" i="1"/>
  <c r="C191" i="1"/>
  <c r="C7" i="5" s="1"/>
  <c r="D191" i="1"/>
  <c r="D7" i="5"/>
  <c r="E191" i="1"/>
  <c r="E7" i="5" s="1"/>
  <c r="F191" i="1"/>
  <c r="F7" i="5" s="1"/>
  <c r="G191" i="1"/>
  <c r="H191" i="1"/>
  <c r="I191" i="1"/>
  <c r="J191" i="1"/>
  <c r="K191" i="1"/>
  <c r="C192" i="1"/>
  <c r="C8" i="5"/>
  <c r="D192" i="1"/>
  <c r="D8" i="5"/>
  <c r="E192" i="1"/>
  <c r="E8" i="5" s="1"/>
  <c r="F192" i="1"/>
  <c r="F8" i="5" s="1"/>
  <c r="G192" i="1"/>
  <c r="G8" i="5"/>
  <c r="H192" i="1"/>
  <c r="I192" i="1"/>
  <c r="J192" i="1"/>
  <c r="J206" i="1" s="1"/>
  <c r="K192" i="1"/>
  <c r="C193" i="1"/>
  <c r="C9" i="5"/>
  <c r="D193" i="1"/>
  <c r="D9" i="5"/>
  <c r="E193" i="1"/>
  <c r="E9" i="5" s="1"/>
  <c r="F193" i="1"/>
  <c r="F9" i="5"/>
  <c r="G193" i="1"/>
  <c r="G9" i="5" s="1"/>
  <c r="H193" i="1"/>
  <c r="I9" i="5" s="1"/>
  <c r="I193" i="1"/>
  <c r="J193" i="1"/>
  <c r="K193" i="1"/>
  <c r="C194" i="1"/>
  <c r="C10" i="5" s="1"/>
  <c r="D194" i="1"/>
  <c r="D10" i="5" s="1"/>
  <c r="E194" i="1"/>
  <c r="E10" i="5"/>
  <c r="F194" i="1"/>
  <c r="F10" i="5" s="1"/>
  <c r="G194" i="1"/>
  <c r="G10" i="5" s="1"/>
  <c r="H194" i="1"/>
  <c r="I10" i="5"/>
  <c r="I194" i="1"/>
  <c r="J194" i="1"/>
  <c r="K194" i="1"/>
  <c r="K206" i="1" s="1"/>
  <c r="C195" i="1"/>
  <c r="C11" i="5"/>
  <c r="D195" i="1"/>
  <c r="D11" i="5"/>
  <c r="E195" i="1"/>
  <c r="F195" i="1"/>
  <c r="F11" i="5" s="1"/>
  <c r="G195" i="1"/>
  <c r="G11" i="5"/>
  <c r="H195" i="1"/>
  <c r="I11" i="5"/>
  <c r="I195" i="1"/>
  <c r="J195" i="1"/>
  <c r="K195" i="1"/>
  <c r="C196" i="1"/>
  <c r="C12" i="5" s="1"/>
  <c r="D196" i="1"/>
  <c r="D12" i="5" s="1"/>
  <c r="E196" i="1"/>
  <c r="E12" i="5" s="1"/>
  <c r="F196" i="1"/>
  <c r="G196" i="1"/>
  <c r="H196" i="1"/>
  <c r="I12" i="5"/>
  <c r="I196" i="1"/>
  <c r="J196" i="1"/>
  <c r="K196" i="1"/>
  <c r="C197" i="1"/>
  <c r="C13" i="5" s="1"/>
  <c r="D197" i="1"/>
  <c r="D13" i="5" s="1"/>
  <c r="E197" i="1"/>
  <c r="E13" i="5" s="1"/>
  <c r="F197" i="1"/>
  <c r="F13" i="5"/>
  <c r="G197" i="1"/>
  <c r="G13" i="5"/>
  <c r="H197" i="1"/>
  <c r="I13" i="5"/>
  <c r="I197" i="1"/>
  <c r="J197" i="1"/>
  <c r="K197" i="1"/>
  <c r="C198" i="1"/>
  <c r="C14" i="5"/>
  <c r="D198" i="1"/>
  <c r="D14" i="5" s="1"/>
  <c r="E198" i="1"/>
  <c r="E14" i="5"/>
  <c r="F198" i="1"/>
  <c r="G198" i="1"/>
  <c r="G14" i="5" s="1"/>
  <c r="H198" i="1"/>
  <c r="I14" i="5" s="1"/>
  <c r="I198" i="1"/>
  <c r="J198" i="1"/>
  <c r="K198" i="1"/>
  <c r="C199" i="1"/>
  <c r="C15" i="5" s="1"/>
  <c r="D199" i="1"/>
  <c r="D15" i="5"/>
  <c r="E199" i="1"/>
  <c r="E15" i="5" s="1"/>
  <c r="F199" i="1"/>
  <c r="F15" i="5" s="1"/>
  <c r="G199" i="1"/>
  <c r="G15" i="5" s="1"/>
  <c r="H199" i="1"/>
  <c r="I15" i="5"/>
  <c r="I199" i="1"/>
  <c r="J199" i="1"/>
  <c r="K199" i="1"/>
  <c r="C200" i="1"/>
  <c r="C16" i="5" s="1"/>
  <c r="D200" i="1"/>
  <c r="D16" i="5"/>
  <c r="E200" i="1"/>
  <c r="E16" i="5"/>
  <c r="F200" i="1"/>
  <c r="F16" i="5" s="1"/>
  <c r="G200" i="1"/>
  <c r="G16" i="5" s="1"/>
  <c r="H200" i="1"/>
  <c r="I16" i="5"/>
  <c r="I200" i="1"/>
  <c r="J200" i="1"/>
  <c r="K200" i="1"/>
  <c r="C201" i="1"/>
  <c r="C17" i="5" s="1"/>
  <c r="D201" i="1"/>
  <c r="D17" i="5" s="1"/>
  <c r="E201" i="1"/>
  <c r="E17" i="5"/>
  <c r="F201" i="1"/>
  <c r="F17" i="5"/>
  <c r="G201" i="1"/>
  <c r="G17" i="5" s="1"/>
  <c r="H201" i="1"/>
  <c r="I17" i="5" s="1"/>
  <c r="I201" i="1"/>
  <c r="J201" i="1"/>
  <c r="K201" i="1"/>
  <c r="C202" i="1"/>
  <c r="C18" i="5" s="1"/>
  <c r="D202" i="1"/>
  <c r="D18" i="5"/>
  <c r="E202" i="1"/>
  <c r="E18" i="5"/>
  <c r="F202" i="1"/>
  <c r="F18" i="5" s="1"/>
  <c r="G202" i="1"/>
  <c r="G18" i="5" s="1"/>
  <c r="H202" i="1"/>
  <c r="I18" i="5" s="1"/>
  <c r="I202" i="1"/>
  <c r="J202" i="1"/>
  <c r="K202" i="1"/>
  <c r="C203" i="1"/>
  <c r="C19" i="5" s="1"/>
  <c r="D203" i="1"/>
  <c r="D19" i="5" s="1"/>
  <c r="E203" i="1"/>
  <c r="E19" i="5"/>
  <c r="F203" i="1"/>
  <c r="F19" i="5"/>
  <c r="G203" i="1"/>
  <c r="G19" i="5"/>
  <c r="H203" i="1"/>
  <c r="I19" i="5"/>
  <c r="I203" i="1"/>
  <c r="J203" i="1"/>
  <c r="K203" i="1"/>
  <c r="C204" i="1"/>
  <c r="C20" i="5"/>
  <c r="D204" i="1"/>
  <c r="D20" i="5" s="1"/>
  <c r="E204" i="1"/>
  <c r="E20" i="5"/>
  <c r="F204" i="1"/>
  <c r="G204" i="1"/>
  <c r="G20" i="5" s="1"/>
  <c r="H204" i="1"/>
  <c r="I20" i="5" s="1"/>
  <c r="I204" i="1"/>
  <c r="J204" i="1"/>
  <c r="K204" i="1"/>
  <c r="C205" i="1"/>
  <c r="C21" i="5"/>
  <c r="D205" i="1"/>
  <c r="D21" i="5"/>
  <c r="E205" i="1"/>
  <c r="E21" i="5" s="1"/>
  <c r="F205" i="1"/>
  <c r="F21" i="5" s="1"/>
  <c r="G205" i="1"/>
  <c r="G21" i="5" s="1"/>
  <c r="H205" i="1"/>
  <c r="I21" i="5"/>
  <c r="I205" i="1"/>
  <c r="J205" i="1"/>
  <c r="K205" i="1"/>
  <c r="G6" i="2"/>
  <c r="G10" i="2" s="1"/>
  <c r="G7" i="2"/>
  <c r="G8" i="2"/>
  <c r="G9" i="2"/>
  <c r="C10" i="2"/>
  <c r="D10" i="2"/>
  <c r="E10" i="2"/>
  <c r="F10" i="2"/>
  <c r="H15" i="2"/>
  <c r="G22" i="2"/>
  <c r="G26" i="2" s="1"/>
  <c r="G23" i="2"/>
  <c r="G24" i="2"/>
  <c r="G25" i="2"/>
  <c r="C26" i="2"/>
  <c r="D26" i="2"/>
  <c r="E26" i="2"/>
  <c r="F26" i="2"/>
  <c r="H31" i="2"/>
  <c r="G38" i="2"/>
  <c r="G42" i="2" s="1"/>
  <c r="G39" i="2"/>
  <c r="G40" i="2"/>
  <c r="G41" i="2"/>
  <c r="C42" i="2"/>
  <c r="D42" i="2"/>
  <c r="E42" i="2"/>
  <c r="F42" i="2"/>
  <c r="H47" i="2"/>
  <c r="G54" i="2"/>
  <c r="G55" i="2"/>
  <c r="G56" i="2"/>
  <c r="G57" i="2"/>
  <c r="C58" i="2"/>
  <c r="D58" i="2"/>
  <c r="E58" i="2"/>
  <c r="F58" i="2"/>
  <c r="H63" i="2"/>
  <c r="G70" i="2"/>
  <c r="G71" i="2"/>
  <c r="G72" i="2"/>
  <c r="G73" i="2"/>
  <c r="C74" i="2"/>
  <c r="D74" i="2"/>
  <c r="E74" i="2"/>
  <c r="F74" i="2"/>
  <c r="G74" i="2" s="1"/>
  <c r="H79" i="2"/>
  <c r="G86" i="2"/>
  <c r="G90" i="2" s="1"/>
  <c r="G87" i="2"/>
  <c r="G88" i="2"/>
  <c r="G89" i="2"/>
  <c r="C90" i="2"/>
  <c r="D90" i="2"/>
  <c r="E90" i="2"/>
  <c r="F90" i="2"/>
  <c r="H95" i="2"/>
  <c r="G102" i="2"/>
  <c r="G106" i="2" s="1"/>
  <c r="G103" i="2"/>
  <c r="G104" i="2"/>
  <c r="G105" i="2"/>
  <c r="C106" i="2"/>
  <c r="D106" i="2"/>
  <c r="E106" i="2"/>
  <c r="F106" i="2"/>
  <c r="H111" i="2"/>
  <c r="G118" i="2"/>
  <c r="G119" i="2"/>
  <c r="G122" i="2" s="1"/>
  <c r="G120" i="2"/>
  <c r="G121" i="2"/>
  <c r="C122" i="2"/>
  <c r="D122" i="2"/>
  <c r="E122" i="2"/>
  <c r="F122" i="2"/>
  <c r="H127" i="2"/>
  <c r="C134" i="2"/>
  <c r="D134" i="2"/>
  <c r="D138" i="2" s="1"/>
  <c r="E134" i="2"/>
  <c r="F134" i="2"/>
  <c r="C135" i="2"/>
  <c r="D135" i="2"/>
  <c r="E135" i="2"/>
  <c r="F135" i="2"/>
  <c r="C136" i="2"/>
  <c r="D136" i="2"/>
  <c r="E136" i="2"/>
  <c r="F136" i="2"/>
  <c r="G136" i="2" s="1"/>
  <c r="L136" i="2"/>
  <c r="C137" i="2"/>
  <c r="D137" i="2"/>
  <c r="E137" i="2"/>
  <c r="F137" i="2"/>
  <c r="L137" i="2"/>
  <c r="L138" i="2"/>
  <c r="L139" i="2"/>
  <c r="J140" i="2"/>
  <c r="L140" i="2" s="1"/>
  <c r="K140" i="2"/>
  <c r="C143" i="2"/>
  <c r="H143" i="2" s="1"/>
  <c r="E143" i="2"/>
  <c r="F143" i="2"/>
  <c r="G143" i="2"/>
  <c r="F7" i="6"/>
  <c r="K7" i="6"/>
  <c r="N21" i="6" s="1"/>
  <c r="J7" i="6"/>
  <c r="F8" i="6"/>
  <c r="K8" i="6" s="1"/>
  <c r="J8" i="6"/>
  <c r="F9" i="6"/>
  <c r="J9" i="6"/>
  <c r="J10" i="6"/>
  <c r="C10" i="6"/>
  <c r="F10" i="6"/>
  <c r="F17" i="6" s="1"/>
  <c r="D10" i="6"/>
  <c r="E10" i="6"/>
  <c r="E17" i="6" s="1"/>
  <c r="G10" i="6"/>
  <c r="G17" i="6" s="1"/>
  <c r="H10" i="6"/>
  <c r="H17" i="6"/>
  <c r="I10" i="6"/>
  <c r="I17" i="6"/>
  <c r="F11" i="6"/>
  <c r="K11" i="6" s="1"/>
  <c r="N25" i="6" s="1"/>
  <c r="J11" i="6"/>
  <c r="F12" i="6"/>
  <c r="J12" i="6"/>
  <c r="K12" i="6" s="1"/>
  <c r="N26" i="6" s="1"/>
  <c r="F13" i="6"/>
  <c r="J13" i="6"/>
  <c r="K13" i="6" s="1"/>
  <c r="N27" i="6" s="1"/>
  <c r="P27" i="6" s="1"/>
  <c r="F14" i="6"/>
  <c r="K14" i="6"/>
  <c r="N28" i="6" s="1"/>
  <c r="J14" i="6"/>
  <c r="F15" i="6"/>
  <c r="J15" i="6"/>
  <c r="K15" i="6" s="1"/>
  <c r="N29" i="6" s="1"/>
  <c r="F16" i="6"/>
  <c r="K16" i="6"/>
  <c r="N30" i="6"/>
  <c r="J16" i="6"/>
  <c r="D17" i="6"/>
  <c r="F22" i="6"/>
  <c r="J22" i="6"/>
  <c r="K22" i="6" s="1"/>
  <c r="O21" i="6" s="1"/>
  <c r="F23" i="6"/>
  <c r="J23" i="6"/>
  <c r="J25" i="6"/>
  <c r="J32" i="6"/>
  <c r="F24" i="6"/>
  <c r="K24" i="6"/>
  <c r="O23" i="6" s="1"/>
  <c r="J24" i="6"/>
  <c r="C25" i="6"/>
  <c r="F25" i="6" s="1"/>
  <c r="F32" i="6" s="1"/>
  <c r="D25" i="6"/>
  <c r="D32" i="6" s="1"/>
  <c r="E25" i="6"/>
  <c r="G25" i="6"/>
  <c r="G32" i="6" s="1"/>
  <c r="H25" i="6"/>
  <c r="I25" i="6"/>
  <c r="I32" i="6" s="1"/>
  <c r="F26" i="6"/>
  <c r="K26" i="6" s="1"/>
  <c r="O25" i="6" s="1"/>
  <c r="J26" i="6"/>
  <c r="F27" i="6"/>
  <c r="J27" i="6"/>
  <c r="K27" i="6"/>
  <c r="O26" i="6" s="1"/>
  <c r="F28" i="6"/>
  <c r="J28" i="6"/>
  <c r="K28" i="6" s="1"/>
  <c r="O27" i="6" s="1"/>
  <c r="F29" i="6"/>
  <c r="K29" i="6" s="1"/>
  <c r="O28" i="6" s="1"/>
  <c r="J29" i="6"/>
  <c r="F30" i="6"/>
  <c r="J30" i="6"/>
  <c r="K30" i="6"/>
  <c r="O29" i="6" s="1"/>
  <c r="F31" i="6"/>
  <c r="J31" i="6"/>
  <c r="K31" i="6" s="1"/>
  <c r="O30" i="6" s="1"/>
  <c r="C32" i="6"/>
  <c r="E32" i="6"/>
  <c r="H32" i="6"/>
  <c r="F40" i="6"/>
  <c r="K40" i="6"/>
  <c r="N54" i="6"/>
  <c r="J40" i="6"/>
  <c r="F41" i="6"/>
  <c r="J41" i="6"/>
  <c r="J43" i="6" s="1"/>
  <c r="J50" i="6" s="1"/>
  <c r="F42" i="6"/>
  <c r="J42" i="6"/>
  <c r="K42" i="6" s="1"/>
  <c r="N56" i="6" s="1"/>
  <c r="C43" i="6"/>
  <c r="D43" i="6"/>
  <c r="D50" i="6"/>
  <c r="E43" i="6"/>
  <c r="E50" i="6"/>
  <c r="F43" i="6"/>
  <c r="F50" i="6" s="1"/>
  <c r="G43" i="6"/>
  <c r="G50" i="6" s="1"/>
  <c r="H43" i="6"/>
  <c r="H50" i="6"/>
  <c r="I43" i="6"/>
  <c r="F44" i="6"/>
  <c r="K44" i="6"/>
  <c r="N58" i="6" s="1"/>
  <c r="P58" i="6" s="1"/>
  <c r="J44" i="6"/>
  <c r="F45" i="6"/>
  <c r="K45" i="6" s="1"/>
  <c r="N59" i="6" s="1"/>
  <c r="P59" i="6" s="1"/>
  <c r="J45" i="6"/>
  <c r="F46" i="6"/>
  <c r="K46" i="6"/>
  <c r="N60" i="6" s="1"/>
  <c r="P60" i="6" s="1"/>
  <c r="J46" i="6"/>
  <c r="F47" i="6"/>
  <c r="J47" i="6"/>
  <c r="K47" i="6" s="1"/>
  <c r="N61" i="6" s="1"/>
  <c r="F48" i="6"/>
  <c r="K48" i="6" s="1"/>
  <c r="N62" i="6" s="1"/>
  <c r="P62" i="6" s="1"/>
  <c r="J48" i="6"/>
  <c r="F49" i="6"/>
  <c r="K49" i="6" s="1"/>
  <c r="N63" i="6" s="1"/>
  <c r="J49" i="6"/>
  <c r="C50" i="6"/>
  <c r="I50" i="6"/>
  <c r="F55" i="6"/>
  <c r="K55" i="6"/>
  <c r="O54" i="6"/>
  <c r="J55" i="6"/>
  <c r="F56" i="6"/>
  <c r="J56" i="6"/>
  <c r="K56" i="6" s="1"/>
  <c r="F57" i="6"/>
  <c r="K57" i="6"/>
  <c r="O56" i="6" s="1"/>
  <c r="J57" i="6"/>
  <c r="C58" i="6"/>
  <c r="C65" i="6" s="1"/>
  <c r="D58" i="6"/>
  <c r="E58" i="6"/>
  <c r="E65" i="6" s="1"/>
  <c r="G58" i="6"/>
  <c r="H58" i="6"/>
  <c r="I58" i="6"/>
  <c r="J58" i="6"/>
  <c r="F59" i="6"/>
  <c r="K59" i="6"/>
  <c r="O58" i="6" s="1"/>
  <c r="J59" i="6"/>
  <c r="F60" i="6"/>
  <c r="J60" i="6"/>
  <c r="K60" i="6" s="1"/>
  <c r="O59" i="6" s="1"/>
  <c r="F61" i="6"/>
  <c r="J61" i="6"/>
  <c r="K61" i="6" s="1"/>
  <c r="O60" i="6" s="1"/>
  <c r="F62" i="6"/>
  <c r="K62" i="6"/>
  <c r="O61" i="6"/>
  <c r="J62" i="6"/>
  <c r="F63" i="6"/>
  <c r="K63" i="6"/>
  <c r="O62" i="6" s="1"/>
  <c r="J63" i="6"/>
  <c r="F64" i="6"/>
  <c r="J64" i="6"/>
  <c r="K64" i="6" s="1"/>
  <c r="O63" i="6" s="1"/>
  <c r="D65" i="6"/>
  <c r="G65" i="6"/>
  <c r="H65" i="6"/>
  <c r="I65" i="6"/>
  <c r="J65" i="6"/>
  <c r="F73" i="6"/>
  <c r="J73" i="6"/>
  <c r="K73" i="6" s="1"/>
  <c r="N87" i="6" s="1"/>
  <c r="F74" i="6"/>
  <c r="K74" i="6"/>
  <c r="J74" i="6"/>
  <c r="F75" i="6"/>
  <c r="J75" i="6"/>
  <c r="K75" i="6" s="1"/>
  <c r="C76" i="6"/>
  <c r="D76" i="6"/>
  <c r="E76" i="6"/>
  <c r="E83" i="6" s="1"/>
  <c r="G76" i="6"/>
  <c r="G83" i="6"/>
  <c r="H76" i="6"/>
  <c r="I76" i="6"/>
  <c r="I83" i="6"/>
  <c r="F77" i="6"/>
  <c r="J77" i="6"/>
  <c r="K77" i="6" s="1"/>
  <c r="N91" i="6" s="1"/>
  <c r="F78" i="6"/>
  <c r="J78" i="6"/>
  <c r="K78" i="6" s="1"/>
  <c r="N92" i="6" s="1"/>
  <c r="F79" i="6"/>
  <c r="J79" i="6"/>
  <c r="K79" i="6"/>
  <c r="N93" i="6" s="1"/>
  <c r="F80" i="6"/>
  <c r="J80" i="6"/>
  <c r="K80" i="6" s="1"/>
  <c r="N94" i="6" s="1"/>
  <c r="F81" i="6"/>
  <c r="J81" i="6"/>
  <c r="K81" i="6" s="1"/>
  <c r="N95" i="6" s="1"/>
  <c r="F82" i="6"/>
  <c r="J82" i="6"/>
  <c r="K82" i="6" s="1"/>
  <c r="N96" i="6" s="1"/>
  <c r="D83" i="6"/>
  <c r="H83" i="6"/>
  <c r="F88" i="6"/>
  <c r="J88" i="6"/>
  <c r="K88" i="6" s="1"/>
  <c r="O87" i="6" s="1"/>
  <c r="F89" i="6"/>
  <c r="J89" i="6"/>
  <c r="K89" i="6" s="1"/>
  <c r="F90" i="6"/>
  <c r="J90" i="6"/>
  <c r="K90" i="6"/>
  <c r="O89" i="6" s="1"/>
  <c r="C91" i="6"/>
  <c r="F91" i="6" s="1"/>
  <c r="F98" i="6" s="1"/>
  <c r="D91" i="6"/>
  <c r="E91" i="6"/>
  <c r="E98" i="6" s="1"/>
  <c r="G91" i="6"/>
  <c r="G98" i="6" s="1"/>
  <c r="H91" i="6"/>
  <c r="I91" i="6"/>
  <c r="F92" i="6"/>
  <c r="K92" i="6" s="1"/>
  <c r="O91" i="6" s="1"/>
  <c r="J92" i="6"/>
  <c r="F93" i="6"/>
  <c r="J93" i="6"/>
  <c r="K93" i="6" s="1"/>
  <c r="O92" i="6" s="1"/>
  <c r="F94" i="6"/>
  <c r="J94" i="6"/>
  <c r="K94" i="6" s="1"/>
  <c r="O93" i="6" s="1"/>
  <c r="F95" i="6"/>
  <c r="J95" i="6"/>
  <c r="K95" i="6" s="1"/>
  <c r="O94" i="6" s="1"/>
  <c r="F96" i="6"/>
  <c r="J96" i="6"/>
  <c r="K96" i="6"/>
  <c r="O95" i="6" s="1"/>
  <c r="F97" i="6"/>
  <c r="J97" i="6"/>
  <c r="K97" i="6" s="1"/>
  <c r="O96" i="6" s="1"/>
  <c r="D98" i="6"/>
  <c r="H98" i="6"/>
  <c r="I98" i="6"/>
  <c r="F106" i="6"/>
  <c r="J106" i="6"/>
  <c r="K106" i="6" s="1"/>
  <c r="N120" i="6" s="1"/>
  <c r="F107" i="6"/>
  <c r="J107" i="6"/>
  <c r="K107" i="6" s="1"/>
  <c r="F108" i="6"/>
  <c r="J108" i="6"/>
  <c r="K108" i="6" s="1"/>
  <c r="N122" i="6" s="1"/>
  <c r="C109" i="6"/>
  <c r="D109" i="6"/>
  <c r="D116" i="6"/>
  <c r="E109" i="6"/>
  <c r="E116" i="6" s="1"/>
  <c r="F109" i="6"/>
  <c r="G109" i="6"/>
  <c r="H109" i="6"/>
  <c r="H116" i="6" s="1"/>
  <c r="I109" i="6"/>
  <c r="F110" i="6"/>
  <c r="J110" i="6"/>
  <c r="K110" i="6" s="1"/>
  <c r="N124" i="6" s="1"/>
  <c r="F111" i="6"/>
  <c r="J111" i="6"/>
  <c r="K111" i="6"/>
  <c r="N125" i="6" s="1"/>
  <c r="F112" i="6"/>
  <c r="J112" i="6"/>
  <c r="K112" i="6" s="1"/>
  <c r="N126" i="6" s="1"/>
  <c r="P126" i="6" s="1"/>
  <c r="F113" i="6"/>
  <c r="J113" i="6"/>
  <c r="K113" i="6"/>
  <c r="N127" i="6" s="1"/>
  <c r="P127" i="6" s="1"/>
  <c r="F114" i="6"/>
  <c r="K114" i="6"/>
  <c r="N128" i="6" s="1"/>
  <c r="J114" i="6"/>
  <c r="F115" i="6"/>
  <c r="K115" i="6" s="1"/>
  <c r="N129" i="6" s="1"/>
  <c r="J115" i="6"/>
  <c r="C116" i="6"/>
  <c r="G116" i="6"/>
  <c r="I116" i="6"/>
  <c r="F121" i="6"/>
  <c r="J121" i="6"/>
  <c r="F122" i="6"/>
  <c r="J122" i="6"/>
  <c r="K122" i="6"/>
  <c r="F123" i="6"/>
  <c r="J123" i="6"/>
  <c r="J124" i="6" s="1"/>
  <c r="J131" i="6" s="1"/>
  <c r="K123" i="6"/>
  <c r="O122" i="6" s="1"/>
  <c r="C124" i="6"/>
  <c r="F124" i="6" s="1"/>
  <c r="F131" i="6" s="1"/>
  <c r="D124" i="6"/>
  <c r="E124" i="6"/>
  <c r="E131" i="6" s="1"/>
  <c r="G124" i="6"/>
  <c r="G131" i="6" s="1"/>
  <c r="H124" i="6"/>
  <c r="I124" i="6"/>
  <c r="I131" i="6" s="1"/>
  <c r="F125" i="6"/>
  <c r="J125" i="6"/>
  <c r="K125" i="6"/>
  <c r="O124" i="6" s="1"/>
  <c r="F126" i="6"/>
  <c r="K126" i="6" s="1"/>
  <c r="O125" i="6" s="1"/>
  <c r="J126" i="6"/>
  <c r="F127" i="6"/>
  <c r="K127" i="6" s="1"/>
  <c r="O126" i="6" s="1"/>
  <c r="J127" i="6"/>
  <c r="F128" i="6"/>
  <c r="J128" i="6"/>
  <c r="K128" i="6" s="1"/>
  <c r="O127" i="6" s="1"/>
  <c r="F129" i="6"/>
  <c r="J129" i="6"/>
  <c r="K129" i="6" s="1"/>
  <c r="O128" i="6" s="1"/>
  <c r="F130" i="6"/>
  <c r="K130" i="6" s="1"/>
  <c r="O129" i="6" s="1"/>
  <c r="J130" i="6"/>
  <c r="D131" i="6"/>
  <c r="H131" i="6"/>
  <c r="F139" i="6"/>
  <c r="K139" i="6" s="1"/>
  <c r="N153" i="6" s="1"/>
  <c r="J139" i="6"/>
  <c r="F140" i="6"/>
  <c r="J140" i="6"/>
  <c r="K140" i="6" s="1"/>
  <c r="F141" i="6"/>
  <c r="J141" i="6"/>
  <c r="K141" i="6" s="1"/>
  <c r="N155" i="6" s="1"/>
  <c r="C142" i="6"/>
  <c r="D142" i="6"/>
  <c r="D149" i="6"/>
  <c r="E142" i="6"/>
  <c r="E149" i="6" s="1"/>
  <c r="F142" i="6"/>
  <c r="G142" i="6"/>
  <c r="H142" i="6"/>
  <c r="I142" i="6"/>
  <c r="F143" i="6"/>
  <c r="J143" i="6"/>
  <c r="K143" i="6" s="1"/>
  <c r="N157" i="6" s="1"/>
  <c r="F144" i="6"/>
  <c r="J144" i="6"/>
  <c r="K144" i="6" s="1"/>
  <c r="N158" i="6" s="1"/>
  <c r="F145" i="6"/>
  <c r="J145" i="6"/>
  <c r="K145" i="6" s="1"/>
  <c r="N159" i="6" s="1"/>
  <c r="F146" i="6"/>
  <c r="K146" i="6" s="1"/>
  <c r="N160" i="6" s="1"/>
  <c r="J146" i="6"/>
  <c r="F147" i="6"/>
  <c r="K147" i="6"/>
  <c r="N161" i="6" s="1"/>
  <c r="J147" i="6"/>
  <c r="F148" i="6"/>
  <c r="J148" i="6"/>
  <c r="K148" i="6" s="1"/>
  <c r="N162" i="6" s="1"/>
  <c r="C149" i="6"/>
  <c r="G149" i="6"/>
  <c r="H149" i="6"/>
  <c r="I149" i="6"/>
  <c r="F154" i="6"/>
  <c r="K154" i="6" s="1"/>
  <c r="O153" i="6" s="1"/>
  <c r="J154" i="6"/>
  <c r="F155" i="6"/>
  <c r="J155" i="6"/>
  <c r="K155" i="6" s="1"/>
  <c r="F156" i="6"/>
  <c r="K156" i="6" s="1"/>
  <c r="O155" i="6" s="1"/>
  <c r="J156" i="6"/>
  <c r="C157" i="6"/>
  <c r="F157" i="6" s="1"/>
  <c r="D157" i="6"/>
  <c r="E157" i="6"/>
  <c r="G157" i="6"/>
  <c r="H157" i="6"/>
  <c r="H164" i="6" s="1"/>
  <c r="I157" i="6"/>
  <c r="F158" i="6"/>
  <c r="K158" i="6" s="1"/>
  <c r="O157" i="6" s="1"/>
  <c r="J158" i="6"/>
  <c r="F159" i="6"/>
  <c r="J159" i="6"/>
  <c r="K159" i="6"/>
  <c r="O158" i="6" s="1"/>
  <c r="F160" i="6"/>
  <c r="J160" i="6"/>
  <c r="K160" i="6" s="1"/>
  <c r="O159" i="6" s="1"/>
  <c r="F161" i="6"/>
  <c r="J161" i="6"/>
  <c r="K161" i="6" s="1"/>
  <c r="O160" i="6" s="1"/>
  <c r="F162" i="6"/>
  <c r="J162" i="6"/>
  <c r="K162" i="6" s="1"/>
  <c r="O161" i="6" s="1"/>
  <c r="F163" i="6"/>
  <c r="J163" i="6"/>
  <c r="K163" i="6"/>
  <c r="O162" i="6" s="1"/>
  <c r="D164" i="6"/>
  <c r="E164" i="6"/>
  <c r="G164" i="6"/>
  <c r="I164" i="6"/>
  <c r="F172" i="6"/>
  <c r="J172" i="6"/>
  <c r="K172" i="6"/>
  <c r="N186" i="6" s="1"/>
  <c r="F173" i="6"/>
  <c r="J173" i="6"/>
  <c r="K173" i="6" s="1"/>
  <c r="F174" i="6"/>
  <c r="J174" i="6"/>
  <c r="K174" i="6" s="1"/>
  <c r="N188" i="6" s="1"/>
  <c r="P188" i="6" s="1"/>
  <c r="C175" i="6"/>
  <c r="D175" i="6"/>
  <c r="D182" i="6"/>
  <c r="E175" i="6"/>
  <c r="E182" i="6" s="1"/>
  <c r="G175" i="6"/>
  <c r="G182" i="6"/>
  <c r="H175" i="6"/>
  <c r="H182" i="6" s="1"/>
  <c r="I175" i="6"/>
  <c r="I182" i="6" s="1"/>
  <c r="F176" i="6"/>
  <c r="J176" i="6"/>
  <c r="K176" i="6"/>
  <c r="N190" i="6" s="1"/>
  <c r="P190" i="6" s="1"/>
  <c r="F177" i="6"/>
  <c r="K177" i="6"/>
  <c r="J177" i="6"/>
  <c r="F178" i="6"/>
  <c r="J178" i="6"/>
  <c r="F179" i="6"/>
  <c r="J179" i="6"/>
  <c r="K179" i="6" s="1"/>
  <c r="N193" i="6" s="1"/>
  <c r="P193" i="6" s="1"/>
  <c r="F180" i="6"/>
  <c r="J180" i="6"/>
  <c r="K180" i="6" s="1"/>
  <c r="N194" i="6" s="1"/>
  <c r="F181" i="6"/>
  <c r="J181" i="6"/>
  <c r="F187" i="6"/>
  <c r="J187" i="6"/>
  <c r="K187" i="6" s="1"/>
  <c r="O186" i="6" s="1"/>
  <c r="F188" i="6"/>
  <c r="J188" i="6"/>
  <c r="K188" i="6" s="1"/>
  <c r="F189" i="6"/>
  <c r="J189" i="6"/>
  <c r="K189" i="6"/>
  <c r="O188" i="6" s="1"/>
  <c r="C190" i="6"/>
  <c r="F190" i="6" s="1"/>
  <c r="F197" i="6" s="1"/>
  <c r="D190" i="6"/>
  <c r="E190" i="6"/>
  <c r="E197" i="6" s="1"/>
  <c r="G190" i="6"/>
  <c r="H190" i="6"/>
  <c r="H197" i="6" s="1"/>
  <c r="I190" i="6"/>
  <c r="F191" i="6"/>
  <c r="J191" i="6"/>
  <c r="K191" i="6"/>
  <c r="O190" i="6" s="1"/>
  <c r="F192" i="6"/>
  <c r="J192" i="6"/>
  <c r="K192" i="6" s="1"/>
  <c r="O191" i="6" s="1"/>
  <c r="F193" i="6"/>
  <c r="K193" i="6" s="1"/>
  <c r="O192" i="6" s="1"/>
  <c r="J193" i="6"/>
  <c r="F194" i="6"/>
  <c r="J194" i="6"/>
  <c r="K194" i="6" s="1"/>
  <c r="O193" i="6" s="1"/>
  <c r="F195" i="6"/>
  <c r="J195" i="6"/>
  <c r="J196" i="6"/>
  <c r="K196" i="6"/>
  <c r="O195" i="6"/>
  <c r="D197" i="6"/>
  <c r="G197" i="6"/>
  <c r="I197" i="6"/>
  <c r="F205" i="6"/>
  <c r="J205" i="6"/>
  <c r="K205" i="6" s="1"/>
  <c r="N219" i="6" s="1"/>
  <c r="F206" i="6"/>
  <c r="J206" i="6"/>
  <c r="K206" i="6" s="1"/>
  <c r="F207" i="6"/>
  <c r="J207" i="6"/>
  <c r="K207" i="6"/>
  <c r="N221" i="6" s="1"/>
  <c r="C208" i="6"/>
  <c r="D208" i="6"/>
  <c r="D215" i="6" s="1"/>
  <c r="E208" i="6"/>
  <c r="E215" i="6" s="1"/>
  <c r="G208" i="6"/>
  <c r="G215" i="6"/>
  <c r="H208" i="6"/>
  <c r="H215" i="6"/>
  <c r="I208" i="6"/>
  <c r="F209" i="6"/>
  <c r="J209" i="6"/>
  <c r="K209" i="6" s="1"/>
  <c r="N223" i="6" s="1"/>
  <c r="F210" i="6"/>
  <c r="J210" i="6"/>
  <c r="F211" i="6"/>
  <c r="J211" i="6"/>
  <c r="K211" i="6" s="1"/>
  <c r="N225" i="6" s="1"/>
  <c r="P225" i="6" s="1"/>
  <c r="F212" i="6"/>
  <c r="J212" i="6"/>
  <c r="K212" i="6"/>
  <c r="N226" i="6" s="1"/>
  <c r="P226" i="6" s="1"/>
  <c r="F213" i="6"/>
  <c r="J213" i="6"/>
  <c r="K213" i="6" s="1"/>
  <c r="N227" i="6" s="1"/>
  <c r="F214" i="6"/>
  <c r="J214" i="6"/>
  <c r="K214" i="6" s="1"/>
  <c r="N228" i="6" s="1"/>
  <c r="I215" i="6"/>
  <c r="F220" i="6"/>
  <c r="J220" i="6"/>
  <c r="K220" i="6" s="1"/>
  <c r="O219" i="6" s="1"/>
  <c r="F221" i="6"/>
  <c r="J221" i="6"/>
  <c r="F222" i="6"/>
  <c r="J222" i="6"/>
  <c r="K222" i="6" s="1"/>
  <c r="O221" i="6" s="1"/>
  <c r="C223" i="6"/>
  <c r="F223" i="6" s="1"/>
  <c r="F230" i="6" s="1"/>
  <c r="D223" i="6"/>
  <c r="D230" i="6" s="1"/>
  <c r="E223" i="6"/>
  <c r="G223" i="6"/>
  <c r="H223" i="6"/>
  <c r="I223" i="6"/>
  <c r="I230" i="6" s="1"/>
  <c r="F224" i="6"/>
  <c r="J224" i="6"/>
  <c r="K224" i="6" s="1"/>
  <c r="O223" i="6" s="1"/>
  <c r="F225" i="6"/>
  <c r="K225" i="6" s="1"/>
  <c r="O224" i="6" s="1"/>
  <c r="J225" i="6"/>
  <c r="F226" i="6"/>
  <c r="J226" i="6"/>
  <c r="K226" i="6"/>
  <c r="O225" i="6" s="1"/>
  <c r="F227" i="6"/>
  <c r="J227" i="6"/>
  <c r="F228" i="6"/>
  <c r="J228" i="6"/>
  <c r="J229" i="6"/>
  <c r="K229" i="6"/>
  <c r="O228" i="6" s="1"/>
  <c r="E230" i="6"/>
  <c r="G230" i="6"/>
  <c r="H230" i="6"/>
  <c r="F238" i="6"/>
  <c r="J238" i="6"/>
  <c r="K238" i="6" s="1"/>
  <c r="N252" i="6" s="1"/>
  <c r="P252" i="6" s="1"/>
  <c r="F239" i="6"/>
  <c r="K239" i="6"/>
  <c r="N253" i="6" s="1"/>
  <c r="J239" i="6"/>
  <c r="F240" i="6"/>
  <c r="J240" i="6"/>
  <c r="J241" i="6"/>
  <c r="J248" i="6" s="1"/>
  <c r="C241" i="6"/>
  <c r="D241" i="6"/>
  <c r="D248" i="6" s="1"/>
  <c r="E241" i="6"/>
  <c r="G241" i="6"/>
  <c r="G248" i="6"/>
  <c r="H241" i="6"/>
  <c r="H248" i="6" s="1"/>
  <c r="I241" i="6"/>
  <c r="I248" i="6" s="1"/>
  <c r="F242" i="6"/>
  <c r="J242" i="6"/>
  <c r="K242" i="6"/>
  <c r="F243" i="6"/>
  <c r="J243" i="6"/>
  <c r="K243" i="6"/>
  <c r="N257" i="6" s="1"/>
  <c r="F244" i="6"/>
  <c r="J244" i="6"/>
  <c r="K244" i="6" s="1"/>
  <c r="N258" i="6" s="1"/>
  <c r="F245" i="6"/>
  <c r="K245" i="6" s="1"/>
  <c r="N259" i="6" s="1"/>
  <c r="J245" i="6"/>
  <c r="F246" i="6"/>
  <c r="K246" i="6" s="1"/>
  <c r="N260" i="6" s="1"/>
  <c r="P260" i="6" s="1"/>
  <c r="J246" i="6"/>
  <c r="F247" i="6"/>
  <c r="K247" i="6" s="1"/>
  <c r="N261" i="6" s="1"/>
  <c r="P261" i="6" s="1"/>
  <c r="J247" i="6"/>
  <c r="E248" i="6"/>
  <c r="F253" i="6"/>
  <c r="K253" i="6" s="1"/>
  <c r="O252" i="6" s="1"/>
  <c r="J253" i="6"/>
  <c r="F254" i="6"/>
  <c r="J254" i="6"/>
  <c r="K254" i="6" s="1"/>
  <c r="F255" i="6"/>
  <c r="J255" i="6"/>
  <c r="C256" i="6"/>
  <c r="F256" i="6" s="1"/>
  <c r="F263" i="6" s="1"/>
  <c r="D256" i="6"/>
  <c r="E256" i="6"/>
  <c r="E263" i="6" s="1"/>
  <c r="G256" i="6"/>
  <c r="G263" i="6"/>
  <c r="H256" i="6"/>
  <c r="H263" i="6" s="1"/>
  <c r="I256" i="6"/>
  <c r="I263" i="6" s="1"/>
  <c r="N256" i="6"/>
  <c r="F257" i="6"/>
  <c r="K257" i="6" s="1"/>
  <c r="O256" i="6" s="1"/>
  <c r="J257" i="6"/>
  <c r="F258" i="6"/>
  <c r="K258" i="6" s="1"/>
  <c r="O257" i="6" s="1"/>
  <c r="J258" i="6"/>
  <c r="F259" i="6"/>
  <c r="J259" i="6"/>
  <c r="K259" i="6" s="1"/>
  <c r="O258" i="6" s="1"/>
  <c r="P258" i="6" s="1"/>
  <c r="F260" i="6"/>
  <c r="J260" i="6"/>
  <c r="K260" i="6" s="1"/>
  <c r="O259" i="6" s="1"/>
  <c r="F261" i="6"/>
  <c r="J261" i="6"/>
  <c r="K261" i="6" s="1"/>
  <c r="O260" i="6" s="1"/>
  <c r="F262" i="6"/>
  <c r="J262" i="6"/>
  <c r="K262" i="6" s="1"/>
  <c r="O261" i="6" s="1"/>
  <c r="D263" i="6"/>
  <c r="C271" i="6"/>
  <c r="D271" i="6"/>
  <c r="E271" i="6"/>
  <c r="G271" i="6"/>
  <c r="H304" i="6" s="1"/>
  <c r="H271" i="6"/>
  <c r="I271" i="6"/>
  <c r="C272" i="6"/>
  <c r="D272" i="6"/>
  <c r="F272" i="6" s="1"/>
  <c r="E272" i="6"/>
  <c r="G272" i="6"/>
  <c r="H272" i="6"/>
  <c r="H274" i="6"/>
  <c r="I272" i="6"/>
  <c r="C273" i="6"/>
  <c r="D273" i="6"/>
  <c r="D274" i="6" s="1"/>
  <c r="D281" i="6" s="1"/>
  <c r="G305" i="6" s="1"/>
  <c r="E273" i="6"/>
  <c r="G273" i="6"/>
  <c r="G274" i="6" s="1"/>
  <c r="G281" i="6" s="1"/>
  <c r="H273" i="6"/>
  <c r="I273" i="6"/>
  <c r="I274" i="6" s="1"/>
  <c r="C275" i="6"/>
  <c r="D275" i="6"/>
  <c r="F275" i="6" s="1"/>
  <c r="E275" i="6"/>
  <c r="G275" i="6"/>
  <c r="J275" i="6" s="1"/>
  <c r="K275" i="6" s="1"/>
  <c r="H275" i="6"/>
  <c r="I275" i="6"/>
  <c r="C276" i="6"/>
  <c r="D276" i="6"/>
  <c r="E276" i="6"/>
  <c r="G276" i="6"/>
  <c r="H276" i="6"/>
  <c r="I276" i="6"/>
  <c r="C277" i="6"/>
  <c r="D277" i="6"/>
  <c r="E277" i="6"/>
  <c r="G277" i="6"/>
  <c r="H277" i="6"/>
  <c r="I277" i="6"/>
  <c r="C278" i="6"/>
  <c r="D278" i="6"/>
  <c r="E278" i="6"/>
  <c r="G278" i="6"/>
  <c r="J278" i="6" s="1"/>
  <c r="K278" i="6" s="1"/>
  <c r="H278" i="6"/>
  <c r="I278" i="6"/>
  <c r="C279" i="6"/>
  <c r="D279" i="6"/>
  <c r="F279" i="6" s="1"/>
  <c r="E279" i="6"/>
  <c r="G279" i="6"/>
  <c r="J279" i="6" s="1"/>
  <c r="K279" i="6" s="1"/>
  <c r="H279" i="6"/>
  <c r="I279" i="6"/>
  <c r="C280" i="6"/>
  <c r="D280" i="6"/>
  <c r="E280" i="6"/>
  <c r="F280" i="6" s="1"/>
  <c r="G280" i="6"/>
  <c r="H280" i="6"/>
  <c r="J280" i="6"/>
  <c r="K280" i="6" s="1"/>
  <c r="I280" i="6"/>
  <c r="C286" i="6"/>
  <c r="F286" i="6" s="1"/>
  <c r="K286" i="6" s="1"/>
  <c r="D286" i="6"/>
  <c r="E286" i="6"/>
  <c r="G286" i="6"/>
  <c r="H286" i="6"/>
  <c r="H310" i="6"/>
  <c r="I286" i="6"/>
  <c r="C287" i="6"/>
  <c r="C289" i="6"/>
  <c r="D287" i="6"/>
  <c r="F287" i="6"/>
  <c r="E287" i="6"/>
  <c r="G287" i="6"/>
  <c r="H287" i="6"/>
  <c r="J287" i="6" s="1"/>
  <c r="I287" i="6"/>
  <c r="C288" i="6"/>
  <c r="D288" i="6"/>
  <c r="E288" i="6"/>
  <c r="E289" i="6" s="1"/>
  <c r="E296" i="6" s="1"/>
  <c r="G311" i="6" s="1"/>
  <c r="G288" i="6"/>
  <c r="J288" i="6" s="1"/>
  <c r="H288" i="6"/>
  <c r="H289" i="6" s="1"/>
  <c r="H296" i="6" s="1"/>
  <c r="I288" i="6"/>
  <c r="I289" i="6"/>
  <c r="C290" i="6"/>
  <c r="D290" i="6"/>
  <c r="E290" i="6"/>
  <c r="G290" i="6"/>
  <c r="J290" i="6" s="1"/>
  <c r="H290" i="6"/>
  <c r="I290" i="6"/>
  <c r="I296" i="6" s="1"/>
  <c r="C291" i="6"/>
  <c r="D291" i="6"/>
  <c r="E291" i="6"/>
  <c r="G291" i="6"/>
  <c r="H291" i="6"/>
  <c r="I291" i="6"/>
  <c r="C292" i="6"/>
  <c r="D292" i="6"/>
  <c r="F292" i="6" s="1"/>
  <c r="E292" i="6"/>
  <c r="G292" i="6"/>
  <c r="J292" i="6" s="1"/>
  <c r="H292" i="6"/>
  <c r="I292" i="6"/>
  <c r="C293" i="6"/>
  <c r="D293" i="6"/>
  <c r="E293" i="6"/>
  <c r="G293" i="6"/>
  <c r="H293" i="6"/>
  <c r="J293" i="6" s="1"/>
  <c r="K293" i="6" s="1"/>
  <c r="I293" i="6"/>
  <c r="C294" i="6"/>
  <c r="D294" i="6"/>
  <c r="F294" i="6" s="1"/>
  <c r="E294" i="6"/>
  <c r="G294" i="6"/>
  <c r="H294" i="6"/>
  <c r="J294" i="6" s="1"/>
  <c r="I294" i="6"/>
  <c r="C295" i="6"/>
  <c r="D295" i="6"/>
  <c r="F295" i="6" s="1"/>
  <c r="K295" i="6" s="1"/>
  <c r="E295" i="6"/>
  <c r="G295" i="6"/>
  <c r="H295" i="6"/>
  <c r="I295" i="6"/>
  <c r="I7" i="4"/>
  <c r="J7" i="4" s="1"/>
  <c r="I8" i="4"/>
  <c r="J8" i="4" s="1"/>
  <c r="L8" i="4"/>
  <c r="I9" i="4"/>
  <c r="J9" i="4"/>
  <c r="I10" i="4"/>
  <c r="J10" i="4"/>
  <c r="Q10" i="4"/>
  <c r="L10" i="4"/>
  <c r="I11" i="4"/>
  <c r="J11" i="4" s="1"/>
  <c r="I12" i="4"/>
  <c r="J12" i="4" s="1"/>
  <c r="J389" i="4" s="1"/>
  <c r="I13" i="4"/>
  <c r="Q13" i="4" s="1"/>
  <c r="J13" i="4"/>
  <c r="L13" i="4"/>
  <c r="I14" i="4"/>
  <c r="L14" i="4" s="1"/>
  <c r="L391" i="4" s="1"/>
  <c r="I15" i="4"/>
  <c r="J15" i="4" s="1"/>
  <c r="I16" i="4"/>
  <c r="J16" i="4" s="1"/>
  <c r="I17" i="4"/>
  <c r="J17" i="4" s="1"/>
  <c r="I18" i="4"/>
  <c r="I19" i="4"/>
  <c r="J19" i="4" s="1"/>
  <c r="J396" i="4" s="1"/>
  <c r="I20" i="4"/>
  <c r="J20" i="4" s="1"/>
  <c r="D21" i="4"/>
  <c r="E21" i="4"/>
  <c r="F21" i="4"/>
  <c r="G21" i="4"/>
  <c r="H21" i="4"/>
  <c r="K21" i="4"/>
  <c r="M21" i="4"/>
  <c r="N21" i="4"/>
  <c r="O21" i="4"/>
  <c r="P21" i="4"/>
  <c r="D22" i="4"/>
  <c r="E22" i="4"/>
  <c r="I29" i="4"/>
  <c r="L29" i="4" s="1"/>
  <c r="L409" i="4" s="1"/>
  <c r="J29" i="4"/>
  <c r="Q29" i="4" s="1"/>
  <c r="I30" i="4"/>
  <c r="L30" i="4" s="1"/>
  <c r="L410" i="4" s="1"/>
  <c r="I31" i="4"/>
  <c r="J31" i="4" s="1"/>
  <c r="I32" i="4"/>
  <c r="Q32" i="4" s="1"/>
  <c r="J32" i="4"/>
  <c r="I33" i="4"/>
  <c r="J33" i="4"/>
  <c r="I34" i="4"/>
  <c r="L34" i="4"/>
  <c r="L414" i="4"/>
  <c r="Q34" i="4"/>
  <c r="I35" i="4"/>
  <c r="J35" i="4" s="1"/>
  <c r="Q35" i="4" s="1"/>
  <c r="I36" i="4"/>
  <c r="J36" i="4" s="1"/>
  <c r="I37" i="4"/>
  <c r="Q37" i="4" s="1"/>
  <c r="L37" i="4"/>
  <c r="I38" i="4"/>
  <c r="I39" i="4"/>
  <c r="L39" i="4" s="1"/>
  <c r="L419" i="4" s="1"/>
  <c r="I40" i="4"/>
  <c r="J40" i="4" s="1"/>
  <c r="I41" i="4"/>
  <c r="J41" i="4" s="1"/>
  <c r="I42" i="4"/>
  <c r="J42" i="4" s="1"/>
  <c r="I43" i="4"/>
  <c r="J43" i="4" s="1"/>
  <c r="I44" i="4"/>
  <c r="Q44" i="4" s="1"/>
  <c r="I45" i="4"/>
  <c r="D46" i="4"/>
  <c r="E46" i="4"/>
  <c r="F46" i="4"/>
  <c r="G46" i="4"/>
  <c r="H46" i="4"/>
  <c r="K46" i="4"/>
  <c r="M46" i="4"/>
  <c r="N46" i="4"/>
  <c r="O46" i="4"/>
  <c r="P46" i="4"/>
  <c r="D47" i="4"/>
  <c r="E47" i="4"/>
  <c r="I54" i="4"/>
  <c r="J54" i="4"/>
  <c r="I55" i="4"/>
  <c r="L55" i="4" s="1"/>
  <c r="L385" i="4" s="1"/>
  <c r="J55" i="4"/>
  <c r="Q55" i="4" s="1"/>
  <c r="I56" i="4"/>
  <c r="J56" i="4"/>
  <c r="Q56" i="4" s="1"/>
  <c r="L56" i="4"/>
  <c r="I57" i="4"/>
  <c r="J57" i="4"/>
  <c r="Q57" i="4" s="1"/>
  <c r="I58" i="4"/>
  <c r="J58" i="4" s="1"/>
  <c r="I59" i="4"/>
  <c r="J59" i="4"/>
  <c r="I60" i="4"/>
  <c r="I61" i="4"/>
  <c r="J61" i="4" s="1"/>
  <c r="L61" i="4"/>
  <c r="I62" i="4"/>
  <c r="J62" i="4"/>
  <c r="I63" i="4"/>
  <c r="J63" i="4"/>
  <c r="Q63" i="4"/>
  <c r="L63" i="4"/>
  <c r="I64" i="4"/>
  <c r="J64" i="4" s="1"/>
  <c r="I65" i="4"/>
  <c r="J65" i="4" s="1"/>
  <c r="J395" i="4" s="1"/>
  <c r="I66" i="4"/>
  <c r="Q66" i="4" s="1"/>
  <c r="J66" i="4"/>
  <c r="L66" i="4"/>
  <c r="I67" i="4"/>
  <c r="L67" i="4" s="1"/>
  <c r="D68" i="4"/>
  <c r="E68" i="4"/>
  <c r="F68" i="4"/>
  <c r="G68" i="4"/>
  <c r="H68" i="4"/>
  <c r="K68" i="4"/>
  <c r="M68" i="4"/>
  <c r="N68" i="4"/>
  <c r="O68" i="4"/>
  <c r="P68" i="4"/>
  <c r="D69" i="4"/>
  <c r="E69" i="4"/>
  <c r="I76" i="4"/>
  <c r="J76" i="4" s="1"/>
  <c r="I77" i="4"/>
  <c r="J77" i="4" s="1"/>
  <c r="L77" i="4"/>
  <c r="I78" i="4"/>
  <c r="J78" i="4"/>
  <c r="L78" i="4"/>
  <c r="Q78" i="4" s="1"/>
  <c r="I79" i="4"/>
  <c r="I93" i="4" s="1"/>
  <c r="I80" i="4"/>
  <c r="J80" i="4"/>
  <c r="Q80" i="4" s="1"/>
  <c r="L80" i="4"/>
  <c r="I81" i="4"/>
  <c r="Q81" i="4" s="1"/>
  <c r="J81" i="4"/>
  <c r="L81" i="4"/>
  <c r="I82" i="4"/>
  <c r="I83" i="4"/>
  <c r="L83" i="4" s="1"/>
  <c r="I84" i="4"/>
  <c r="L84" i="4" s="1"/>
  <c r="J84" i="4"/>
  <c r="I85" i="4"/>
  <c r="I86" i="4"/>
  <c r="Q86" i="4" s="1"/>
  <c r="J86" i="4"/>
  <c r="L86" i="4"/>
  <c r="I87" i="4"/>
  <c r="L87" i="4" s="1"/>
  <c r="I88" i="4"/>
  <c r="I89" i="4"/>
  <c r="J89" i="4"/>
  <c r="L89" i="4"/>
  <c r="I90" i="4"/>
  <c r="L90" i="4" s="1"/>
  <c r="L423" i="4" s="1"/>
  <c r="J90" i="4"/>
  <c r="I91" i="4"/>
  <c r="L91" i="4" s="1"/>
  <c r="I92" i="4"/>
  <c r="J92" i="4"/>
  <c r="D93" i="4"/>
  <c r="E93" i="4"/>
  <c r="F93" i="4"/>
  <c r="G93" i="4"/>
  <c r="H93" i="4"/>
  <c r="K93" i="4"/>
  <c r="M93" i="4"/>
  <c r="N93" i="4"/>
  <c r="O93" i="4"/>
  <c r="P93" i="4"/>
  <c r="D94" i="4"/>
  <c r="E94" i="4"/>
  <c r="I101" i="4"/>
  <c r="I102" i="4"/>
  <c r="J102" i="4" s="1"/>
  <c r="I103" i="4"/>
  <c r="J103" i="4" s="1"/>
  <c r="I104" i="4"/>
  <c r="J104" i="4"/>
  <c r="Q104" i="4" s="1"/>
  <c r="I105" i="4"/>
  <c r="I115" i="4" s="1"/>
  <c r="I106" i="4"/>
  <c r="J106" i="4"/>
  <c r="Q106" i="4" s="1"/>
  <c r="I107" i="4"/>
  <c r="J107" i="4" s="1"/>
  <c r="Q107" i="4" s="1"/>
  <c r="I108" i="4"/>
  <c r="Q108" i="4" s="1"/>
  <c r="J108" i="4"/>
  <c r="I109" i="4"/>
  <c r="I110" i="4"/>
  <c r="I111" i="4"/>
  <c r="J111" i="4"/>
  <c r="I112" i="4"/>
  <c r="J112" i="4"/>
  <c r="Q112" i="4" s="1"/>
  <c r="I113" i="4"/>
  <c r="I114" i="4"/>
  <c r="J114" i="4" s="1"/>
  <c r="D115" i="4"/>
  <c r="E115" i="4"/>
  <c r="F115" i="4"/>
  <c r="G115" i="4"/>
  <c r="H115" i="4"/>
  <c r="K115" i="4"/>
  <c r="L115" i="4"/>
  <c r="M115" i="4"/>
  <c r="N115" i="4"/>
  <c r="O115" i="4"/>
  <c r="P115" i="4"/>
  <c r="D116" i="4"/>
  <c r="E116" i="4"/>
  <c r="I123" i="4"/>
  <c r="I124" i="4"/>
  <c r="J124" i="4" s="1"/>
  <c r="Q124" i="4" s="1"/>
  <c r="I125" i="4"/>
  <c r="J125" i="4" s="1"/>
  <c r="Q125" i="4" s="1"/>
  <c r="I126" i="4"/>
  <c r="J126" i="4"/>
  <c r="I127" i="4"/>
  <c r="J127" i="4" s="1"/>
  <c r="I128" i="4"/>
  <c r="J128" i="4" s="1"/>
  <c r="I129" i="4"/>
  <c r="J129" i="4" s="1"/>
  <c r="I130" i="4"/>
  <c r="J130" i="4"/>
  <c r="I131" i="4"/>
  <c r="J131" i="4"/>
  <c r="Q131" i="4"/>
  <c r="I132" i="4"/>
  <c r="J132" i="4"/>
  <c r="I133" i="4"/>
  <c r="I134" i="4"/>
  <c r="J134" i="4"/>
  <c r="I135" i="4"/>
  <c r="J135" i="4"/>
  <c r="Q135" i="4" s="1"/>
  <c r="I136" i="4"/>
  <c r="J136" i="4"/>
  <c r="S136" i="4"/>
  <c r="I137" i="4"/>
  <c r="J137" i="4"/>
  <c r="Q137" i="4" s="1"/>
  <c r="S137" i="4"/>
  <c r="I138" i="4"/>
  <c r="Q138" i="4" s="1"/>
  <c r="J138" i="4"/>
  <c r="I139" i="4"/>
  <c r="D140" i="4"/>
  <c r="E140" i="4"/>
  <c r="F140" i="4"/>
  <c r="G140" i="4"/>
  <c r="H140" i="4"/>
  <c r="K140" i="4"/>
  <c r="L140" i="4"/>
  <c r="M140" i="4"/>
  <c r="N140" i="4"/>
  <c r="O140" i="4"/>
  <c r="P140" i="4"/>
  <c r="D141" i="4"/>
  <c r="E141" i="4"/>
  <c r="I148" i="4"/>
  <c r="I149" i="4"/>
  <c r="J149" i="4"/>
  <c r="Q149" i="4"/>
  <c r="I150" i="4"/>
  <c r="J150" i="4"/>
  <c r="I151" i="4"/>
  <c r="Q151" i="4"/>
  <c r="I152" i="4"/>
  <c r="J152" i="4"/>
  <c r="I153" i="4"/>
  <c r="J153" i="4"/>
  <c r="Q153" i="4"/>
  <c r="I154" i="4"/>
  <c r="I155" i="4"/>
  <c r="J155" i="4"/>
  <c r="Q155" i="4" s="1"/>
  <c r="I156" i="4"/>
  <c r="J156" i="4" s="1"/>
  <c r="Q156" i="4" s="1"/>
  <c r="I157" i="4"/>
  <c r="J157" i="4" s="1"/>
  <c r="Q157" i="4" s="1"/>
  <c r="I158" i="4"/>
  <c r="I159" i="4"/>
  <c r="Q159" i="4" s="1"/>
  <c r="J159" i="4"/>
  <c r="I160" i="4"/>
  <c r="J160" i="4"/>
  <c r="I161" i="4"/>
  <c r="Q161" i="4" s="1"/>
  <c r="J161" i="4"/>
  <c r="D162" i="4"/>
  <c r="E162" i="4"/>
  <c r="F162" i="4"/>
  <c r="G162" i="4"/>
  <c r="H162" i="4"/>
  <c r="K162" i="4"/>
  <c r="L162" i="4"/>
  <c r="M162" i="4"/>
  <c r="N162" i="4"/>
  <c r="O162" i="4"/>
  <c r="P162" i="4"/>
  <c r="D163" i="4"/>
  <c r="E163" i="4"/>
  <c r="I170" i="4"/>
  <c r="J170" i="4"/>
  <c r="Q170" i="4" s="1"/>
  <c r="I171" i="4"/>
  <c r="J171" i="4"/>
  <c r="I172" i="4"/>
  <c r="J172" i="4"/>
  <c r="Q172" i="4"/>
  <c r="I173" i="4"/>
  <c r="I187" i="4" s="1"/>
  <c r="J173" i="4"/>
  <c r="I174" i="4"/>
  <c r="Q174" i="4" s="1"/>
  <c r="J174" i="4"/>
  <c r="I175" i="4"/>
  <c r="J175" i="4" s="1"/>
  <c r="I176" i="4"/>
  <c r="Q176" i="4" s="1"/>
  <c r="J176" i="4"/>
  <c r="I177" i="4"/>
  <c r="J177" i="4"/>
  <c r="Q177" i="4" s="1"/>
  <c r="I178" i="4"/>
  <c r="Q178" i="4" s="1"/>
  <c r="J178" i="4"/>
  <c r="I179" i="4"/>
  <c r="Q179" i="4" s="1"/>
  <c r="I180" i="4"/>
  <c r="J180" i="4" s="1"/>
  <c r="I181" i="4"/>
  <c r="I182" i="4"/>
  <c r="J182" i="4"/>
  <c r="Q182" i="4"/>
  <c r="I183" i="4"/>
  <c r="J183" i="4"/>
  <c r="M183" i="4"/>
  <c r="M187" i="4"/>
  <c r="I184" i="4"/>
  <c r="J184" i="4"/>
  <c r="I185" i="4"/>
  <c r="J185" i="4"/>
  <c r="I186" i="4"/>
  <c r="J186" i="4"/>
  <c r="Q186" i="4"/>
  <c r="D187" i="4"/>
  <c r="E187" i="4"/>
  <c r="F187" i="4"/>
  <c r="G187" i="4"/>
  <c r="H187" i="4"/>
  <c r="K187" i="4"/>
  <c r="L187" i="4"/>
  <c r="N187" i="4"/>
  <c r="O187" i="4"/>
  <c r="P187" i="4"/>
  <c r="D188" i="4"/>
  <c r="E188" i="4"/>
  <c r="I195" i="4"/>
  <c r="J195" i="4" s="1"/>
  <c r="J209" i="4" s="1"/>
  <c r="I196" i="4"/>
  <c r="J196" i="4" s="1"/>
  <c r="I197" i="4"/>
  <c r="J197" i="4"/>
  <c r="Q197" i="4"/>
  <c r="I198" i="4"/>
  <c r="J198" i="4"/>
  <c r="Q198" i="4"/>
  <c r="I199" i="4"/>
  <c r="Q199" i="4" s="1"/>
  <c r="J199" i="4"/>
  <c r="I200" i="4"/>
  <c r="J200" i="4" s="1"/>
  <c r="Q200" i="4" s="1"/>
  <c r="I201" i="4"/>
  <c r="J201" i="4"/>
  <c r="Q201" i="4"/>
  <c r="I202" i="4"/>
  <c r="J202" i="4"/>
  <c r="Q202" i="4"/>
  <c r="I203" i="4"/>
  <c r="Q203" i="4" s="1"/>
  <c r="J203" i="4"/>
  <c r="I204" i="4"/>
  <c r="J204" i="4" s="1"/>
  <c r="Q204" i="4" s="1"/>
  <c r="I205" i="4"/>
  <c r="J205" i="4"/>
  <c r="Q205" i="4"/>
  <c r="I206" i="4"/>
  <c r="J206" i="4"/>
  <c r="Q206" i="4"/>
  <c r="I207" i="4"/>
  <c r="Q207" i="4" s="1"/>
  <c r="J207" i="4"/>
  <c r="I208" i="4"/>
  <c r="J208" i="4" s="1"/>
  <c r="Q208" i="4" s="1"/>
  <c r="D209" i="4"/>
  <c r="E209" i="4"/>
  <c r="F209" i="4"/>
  <c r="G209" i="4"/>
  <c r="H209" i="4"/>
  <c r="I209" i="4"/>
  <c r="K209" i="4"/>
  <c r="L209" i="4"/>
  <c r="M209" i="4"/>
  <c r="N209" i="4"/>
  <c r="O209" i="4"/>
  <c r="P209" i="4"/>
  <c r="D210" i="4"/>
  <c r="E210" i="4"/>
  <c r="I217" i="4"/>
  <c r="J217" i="4" s="1"/>
  <c r="I218" i="4"/>
  <c r="I219" i="4"/>
  <c r="I220" i="4"/>
  <c r="J220" i="4"/>
  <c r="I221" i="4"/>
  <c r="J221" i="4"/>
  <c r="Q221" i="4" s="1"/>
  <c r="I222" i="4"/>
  <c r="I223" i="4"/>
  <c r="J223" i="4" s="1"/>
  <c r="I224" i="4"/>
  <c r="J224" i="4" s="1"/>
  <c r="Q224" i="4" s="1"/>
  <c r="I225" i="4"/>
  <c r="J225" i="4" s="1"/>
  <c r="I226" i="4"/>
  <c r="J227" i="4"/>
  <c r="Q227" i="4" s="1"/>
  <c r="I228" i="4"/>
  <c r="Q228" i="4" s="1"/>
  <c r="J228" i="4"/>
  <c r="I229" i="4"/>
  <c r="J229" i="4"/>
  <c r="Q229" i="4" s="1"/>
  <c r="I230" i="4"/>
  <c r="J230" i="4" s="1"/>
  <c r="I231" i="4"/>
  <c r="Q231" i="4" s="1"/>
  <c r="J231" i="4"/>
  <c r="I232" i="4"/>
  <c r="Q232" i="4" s="1"/>
  <c r="J232" i="4"/>
  <c r="I233" i="4"/>
  <c r="J233" i="4"/>
  <c r="Q233" i="4" s="1"/>
  <c r="D234" i="4"/>
  <c r="E234" i="4"/>
  <c r="F234" i="4"/>
  <c r="G234" i="4"/>
  <c r="H234" i="4"/>
  <c r="K234" i="4"/>
  <c r="L234" i="4"/>
  <c r="M234" i="4"/>
  <c r="N234" i="4"/>
  <c r="O234" i="4"/>
  <c r="P234" i="4"/>
  <c r="D235" i="4"/>
  <c r="E235" i="4"/>
  <c r="I242" i="4"/>
  <c r="Q242" i="4" s="1"/>
  <c r="J242" i="4"/>
  <c r="I243" i="4"/>
  <c r="J243" i="4" s="1"/>
  <c r="I244" i="4"/>
  <c r="J244" i="4"/>
  <c r="I245" i="4"/>
  <c r="J245" i="4"/>
  <c r="I246" i="4"/>
  <c r="Q246" i="4" s="1"/>
  <c r="J246" i="4"/>
  <c r="I247" i="4"/>
  <c r="J247" i="4" s="1"/>
  <c r="Q247" i="4" s="1"/>
  <c r="I248" i="4"/>
  <c r="J248" i="4"/>
  <c r="Q248" i="4"/>
  <c r="I249" i="4"/>
  <c r="J249" i="4"/>
  <c r="Q249" i="4"/>
  <c r="I250" i="4"/>
  <c r="Q250" i="4" s="1"/>
  <c r="J250" i="4"/>
  <c r="I251" i="4"/>
  <c r="J251" i="4" s="1"/>
  <c r="Q251" i="4" s="1"/>
  <c r="I252" i="4"/>
  <c r="J252" i="4"/>
  <c r="Q252" i="4"/>
  <c r="I253" i="4"/>
  <c r="J253" i="4"/>
  <c r="Q253" i="4"/>
  <c r="I254" i="4"/>
  <c r="Q254" i="4" s="1"/>
  <c r="J254" i="4"/>
  <c r="I255" i="4"/>
  <c r="J255" i="4" s="1"/>
  <c r="Q255" i="4" s="1"/>
  <c r="D256" i="4"/>
  <c r="E256" i="4"/>
  <c r="F256" i="4"/>
  <c r="G256" i="4"/>
  <c r="H256" i="4"/>
  <c r="K256" i="4"/>
  <c r="L256" i="4"/>
  <c r="M256" i="4"/>
  <c r="N256" i="4"/>
  <c r="O256" i="4"/>
  <c r="P256" i="4"/>
  <c r="D257" i="4"/>
  <c r="E257" i="4"/>
  <c r="I264" i="4"/>
  <c r="Q264" i="4" s="1"/>
  <c r="J264" i="4"/>
  <c r="I265" i="4"/>
  <c r="J265" i="4"/>
  <c r="Q265" i="4" s="1"/>
  <c r="I266" i="4"/>
  <c r="J266" i="4" s="1"/>
  <c r="I267" i="4"/>
  <c r="I268" i="4"/>
  <c r="I269" i="4"/>
  <c r="J269" i="4" s="1"/>
  <c r="I270" i="4"/>
  <c r="J270" i="4" s="1"/>
  <c r="Q270" i="4" s="1"/>
  <c r="I271" i="4"/>
  <c r="J271" i="4"/>
  <c r="Q271" i="4" s="1"/>
  <c r="I272" i="4"/>
  <c r="J272" i="4" s="1"/>
  <c r="Q272" i="4" s="1"/>
  <c r="I273" i="4"/>
  <c r="J273" i="4" s="1"/>
  <c r="Q273" i="4" s="1"/>
  <c r="I274" i="4"/>
  <c r="I275" i="4"/>
  <c r="J275" i="4"/>
  <c r="Q275" i="4"/>
  <c r="I276" i="4"/>
  <c r="I277" i="4"/>
  <c r="J277" i="4"/>
  <c r="I278" i="4"/>
  <c r="I279" i="4"/>
  <c r="J279" i="4" s="1"/>
  <c r="Q279" i="4" s="1"/>
  <c r="I280" i="4"/>
  <c r="D281" i="4"/>
  <c r="E281" i="4"/>
  <c r="F281" i="4"/>
  <c r="G281" i="4"/>
  <c r="H281" i="4"/>
  <c r="K281" i="4"/>
  <c r="L281" i="4"/>
  <c r="M281" i="4"/>
  <c r="N281" i="4"/>
  <c r="O281" i="4"/>
  <c r="P281" i="4"/>
  <c r="D282" i="4"/>
  <c r="E282" i="4"/>
  <c r="I289" i="4"/>
  <c r="I290" i="4"/>
  <c r="J290" i="4"/>
  <c r="I291" i="4"/>
  <c r="J291" i="4" s="1"/>
  <c r="I292" i="4"/>
  <c r="Q292" i="4" s="1"/>
  <c r="I293" i="4"/>
  <c r="J293" i="4" s="1"/>
  <c r="I294" i="4"/>
  <c r="J294" i="4" s="1"/>
  <c r="Q294" i="4" s="1"/>
  <c r="I295" i="4"/>
  <c r="J295" i="4" s="1"/>
  <c r="I296" i="4"/>
  <c r="J296" i="4" s="1"/>
  <c r="Q296" i="4" s="1"/>
  <c r="I297" i="4"/>
  <c r="J297" i="4"/>
  <c r="Q297" i="4" s="1"/>
  <c r="I298" i="4"/>
  <c r="J298" i="4"/>
  <c r="Q298" i="4" s="1"/>
  <c r="I299" i="4"/>
  <c r="Q299" i="4"/>
  <c r="I300" i="4"/>
  <c r="Q300" i="4"/>
  <c r="I301" i="4"/>
  <c r="J301" i="4"/>
  <c r="Q301" i="4"/>
  <c r="I302" i="4"/>
  <c r="Q302" i="4"/>
  <c r="D303" i="4"/>
  <c r="E303" i="4"/>
  <c r="F303" i="4"/>
  <c r="G303" i="4"/>
  <c r="H303" i="4"/>
  <c r="K303" i="4"/>
  <c r="L303" i="4"/>
  <c r="M303" i="4"/>
  <c r="N303" i="4"/>
  <c r="O303" i="4"/>
  <c r="P303" i="4"/>
  <c r="D304" i="4"/>
  <c r="E304" i="4"/>
  <c r="I311" i="4"/>
  <c r="Q311" i="4" s="1"/>
  <c r="J311" i="4"/>
  <c r="I312" i="4"/>
  <c r="J312" i="4" s="1"/>
  <c r="I313" i="4"/>
  <c r="Q313" i="4" s="1"/>
  <c r="I314" i="4"/>
  <c r="Q314" i="4" s="1"/>
  <c r="J314" i="4"/>
  <c r="I315" i="4"/>
  <c r="Q315" i="4"/>
  <c r="I316" i="4"/>
  <c r="Q316" i="4"/>
  <c r="I317" i="4"/>
  <c r="Q317" i="4" s="1"/>
  <c r="J317" i="4"/>
  <c r="I318" i="4"/>
  <c r="I319" i="4"/>
  <c r="J319" i="4"/>
  <c r="Q319" i="4"/>
  <c r="I320" i="4"/>
  <c r="J320" i="4"/>
  <c r="I321" i="4"/>
  <c r="I322" i="4"/>
  <c r="Q322" i="4"/>
  <c r="I323" i="4"/>
  <c r="J323" i="4"/>
  <c r="I324" i="4"/>
  <c r="J324" i="4"/>
  <c r="Q324" i="4"/>
  <c r="I325" i="4"/>
  <c r="J325" i="4"/>
  <c r="Q325" i="4"/>
  <c r="K325" i="4"/>
  <c r="I326" i="4"/>
  <c r="I327" i="4"/>
  <c r="Q327" i="4"/>
  <c r="D328" i="4"/>
  <c r="E328" i="4"/>
  <c r="F328" i="4"/>
  <c r="G328" i="4"/>
  <c r="H328" i="4"/>
  <c r="K328" i="4"/>
  <c r="L328" i="4"/>
  <c r="M328" i="4"/>
  <c r="N328" i="4"/>
  <c r="O328" i="4"/>
  <c r="P328" i="4"/>
  <c r="D329" i="4"/>
  <c r="E329" i="4"/>
  <c r="I337" i="4"/>
  <c r="I338" i="4"/>
  <c r="J338" i="4" s="1"/>
  <c r="I339" i="4"/>
  <c r="Q339" i="4" s="1"/>
  <c r="I340" i="4"/>
  <c r="Q340" i="4" s="1"/>
  <c r="J340" i="4"/>
  <c r="I341" i="4"/>
  <c r="J341" i="4" s="1"/>
  <c r="Q341" i="4" s="1"/>
  <c r="I342" i="4"/>
  <c r="J342" i="4" s="1"/>
  <c r="I343" i="4"/>
  <c r="I344" i="4"/>
  <c r="J344" i="4"/>
  <c r="Q344" i="4"/>
  <c r="I345" i="4"/>
  <c r="J345" i="4"/>
  <c r="I346" i="4"/>
  <c r="Q346" i="4" s="1"/>
  <c r="J346" i="4"/>
  <c r="I347" i="4"/>
  <c r="I348" i="4"/>
  <c r="J348" i="4"/>
  <c r="Q348" i="4"/>
  <c r="I349" i="4"/>
  <c r="J349" i="4"/>
  <c r="I350" i="4"/>
  <c r="D351" i="4"/>
  <c r="E351" i="4"/>
  <c r="F351" i="4"/>
  <c r="G351" i="4"/>
  <c r="H351" i="4"/>
  <c r="K351" i="4"/>
  <c r="L351" i="4"/>
  <c r="M351" i="4"/>
  <c r="N351" i="4"/>
  <c r="O351" i="4"/>
  <c r="P351" i="4"/>
  <c r="I359" i="4"/>
  <c r="J359" i="4" s="1"/>
  <c r="I360" i="4"/>
  <c r="Q360" i="4" s="1"/>
  <c r="J360" i="4"/>
  <c r="I361" i="4"/>
  <c r="Q361" i="4" s="1"/>
  <c r="J361" i="4"/>
  <c r="I362" i="4"/>
  <c r="J362" i="4"/>
  <c r="Q362" i="4" s="1"/>
  <c r="I363" i="4"/>
  <c r="J363" i="4" s="1"/>
  <c r="I364" i="4"/>
  <c r="Q364" i="4" s="1"/>
  <c r="J364" i="4"/>
  <c r="I365" i="4"/>
  <c r="Q365" i="4" s="1"/>
  <c r="J365" i="4"/>
  <c r="I366" i="4"/>
  <c r="J366" i="4"/>
  <c r="Q366" i="4" s="1"/>
  <c r="I367" i="4"/>
  <c r="J367" i="4" s="1"/>
  <c r="I368" i="4"/>
  <c r="J368" i="4"/>
  <c r="Q368" i="4" s="1"/>
  <c r="I369" i="4"/>
  <c r="Q369" i="4" s="1"/>
  <c r="J369" i="4"/>
  <c r="I370" i="4"/>
  <c r="J370" i="4"/>
  <c r="Q370" i="4" s="1"/>
  <c r="I371" i="4"/>
  <c r="J371" i="4"/>
  <c r="I372" i="4"/>
  <c r="Q372" i="4" s="1"/>
  <c r="J372" i="4"/>
  <c r="I373" i="4"/>
  <c r="Q373" i="4" s="1"/>
  <c r="J373" i="4"/>
  <c r="I374" i="4"/>
  <c r="J374" i="4"/>
  <c r="Q374" i="4" s="1"/>
  <c r="I375" i="4"/>
  <c r="Q375" i="4" s="1"/>
  <c r="J375" i="4"/>
  <c r="D376" i="4"/>
  <c r="E376" i="4"/>
  <c r="F376" i="4"/>
  <c r="G376" i="4"/>
  <c r="H376" i="4"/>
  <c r="K376" i="4"/>
  <c r="L376" i="4"/>
  <c r="M376" i="4"/>
  <c r="N376" i="4"/>
  <c r="O376" i="4"/>
  <c r="P376" i="4"/>
  <c r="D384" i="4"/>
  <c r="E384" i="4"/>
  <c r="F384" i="4"/>
  <c r="F398" i="4" s="1"/>
  <c r="G384" i="4"/>
  <c r="H384" i="4"/>
  <c r="K384" i="4"/>
  <c r="M384" i="4"/>
  <c r="N384" i="4"/>
  <c r="O384" i="4"/>
  <c r="O398" i="4" s="1"/>
  <c r="P384" i="4"/>
  <c r="D385" i="4"/>
  <c r="E385" i="4"/>
  <c r="F385" i="4"/>
  <c r="G385" i="4"/>
  <c r="I385" i="4"/>
  <c r="H385" i="4"/>
  <c r="K385" i="4"/>
  <c r="M385" i="4"/>
  <c r="N385" i="4"/>
  <c r="O385" i="4"/>
  <c r="P385" i="4"/>
  <c r="D386" i="4"/>
  <c r="E386" i="4"/>
  <c r="F386" i="4"/>
  <c r="G386" i="4"/>
  <c r="I386" i="4" s="1"/>
  <c r="H386" i="4"/>
  <c r="K386" i="4"/>
  <c r="M386" i="4"/>
  <c r="N386" i="4"/>
  <c r="O386" i="4"/>
  <c r="P386" i="4"/>
  <c r="D387" i="4"/>
  <c r="D437" i="4" s="1"/>
  <c r="E387" i="4"/>
  <c r="F387" i="4"/>
  <c r="G387" i="4"/>
  <c r="I387" i="4" s="1"/>
  <c r="H387" i="4"/>
  <c r="K387" i="4"/>
  <c r="M387" i="4"/>
  <c r="N387" i="4"/>
  <c r="O387" i="4"/>
  <c r="P387" i="4"/>
  <c r="D388" i="4"/>
  <c r="E388" i="4"/>
  <c r="F388" i="4"/>
  <c r="G388" i="4"/>
  <c r="I388" i="4" s="1"/>
  <c r="H388" i="4"/>
  <c r="K388" i="4"/>
  <c r="M388" i="4"/>
  <c r="N388" i="4"/>
  <c r="O388" i="4"/>
  <c r="P388" i="4"/>
  <c r="D389" i="4"/>
  <c r="E389" i="4"/>
  <c r="F389" i="4"/>
  <c r="G389" i="4"/>
  <c r="I389" i="4" s="1"/>
  <c r="H389" i="4"/>
  <c r="K389" i="4"/>
  <c r="M389" i="4"/>
  <c r="M437" i="4" s="1"/>
  <c r="N389" i="4"/>
  <c r="N398" i="4" s="1"/>
  <c r="O389" i="4"/>
  <c r="P389" i="4"/>
  <c r="D390" i="4"/>
  <c r="D398" i="4" s="1"/>
  <c r="E390" i="4"/>
  <c r="F390" i="4"/>
  <c r="G390" i="4"/>
  <c r="I390" i="4" s="1"/>
  <c r="H390" i="4"/>
  <c r="K390" i="4"/>
  <c r="M390" i="4"/>
  <c r="N390" i="4"/>
  <c r="O390" i="4"/>
  <c r="P390" i="4"/>
  <c r="D391" i="4"/>
  <c r="D438" i="4" s="1"/>
  <c r="E391" i="4"/>
  <c r="F391" i="4"/>
  <c r="G391" i="4"/>
  <c r="I391" i="4" s="1"/>
  <c r="H391" i="4"/>
  <c r="K391" i="4"/>
  <c r="M391" i="4"/>
  <c r="M438" i="4" s="1"/>
  <c r="N391" i="4"/>
  <c r="N438" i="4" s="1"/>
  <c r="O391" i="4"/>
  <c r="P391" i="4"/>
  <c r="D392" i="4"/>
  <c r="E392" i="4"/>
  <c r="E438" i="4" s="1"/>
  <c r="E440" i="4" s="1"/>
  <c r="F392" i="4"/>
  <c r="G392" i="4"/>
  <c r="H392" i="4"/>
  <c r="H438" i="4" s="1"/>
  <c r="K392" i="4"/>
  <c r="M392" i="4"/>
  <c r="N392" i="4"/>
  <c r="O392" i="4"/>
  <c r="O438" i="4" s="1"/>
  <c r="P392" i="4"/>
  <c r="D393" i="4"/>
  <c r="E393" i="4"/>
  <c r="F393" i="4"/>
  <c r="F438" i="4" s="1"/>
  <c r="G393" i="4"/>
  <c r="H393" i="4"/>
  <c r="I393" i="4" s="1"/>
  <c r="K393" i="4"/>
  <c r="M393" i="4"/>
  <c r="N393" i="4"/>
  <c r="O393" i="4"/>
  <c r="P393" i="4"/>
  <c r="D394" i="4"/>
  <c r="E394" i="4"/>
  <c r="F394" i="4"/>
  <c r="G394" i="4"/>
  <c r="I394" i="4"/>
  <c r="H394" i="4"/>
  <c r="K394" i="4"/>
  <c r="M394" i="4"/>
  <c r="N394" i="4"/>
  <c r="O394" i="4"/>
  <c r="P394" i="4"/>
  <c r="D395" i="4"/>
  <c r="E395" i="4"/>
  <c r="F395" i="4"/>
  <c r="G395" i="4"/>
  <c r="I395" i="4" s="1"/>
  <c r="Q395" i="4" s="1"/>
  <c r="H395" i="4"/>
  <c r="K395" i="4"/>
  <c r="K398" i="4" s="1"/>
  <c r="M395" i="4"/>
  <c r="N395" i="4"/>
  <c r="O395" i="4"/>
  <c r="P395" i="4"/>
  <c r="D396" i="4"/>
  <c r="E396" i="4"/>
  <c r="F396" i="4"/>
  <c r="G396" i="4"/>
  <c r="G438" i="4"/>
  <c r="H396" i="4"/>
  <c r="I396" i="4"/>
  <c r="K396" i="4"/>
  <c r="M396" i="4"/>
  <c r="N396" i="4"/>
  <c r="O396" i="4"/>
  <c r="P396" i="4"/>
  <c r="D397" i="4"/>
  <c r="E397" i="4"/>
  <c r="F397" i="4"/>
  <c r="G397" i="4"/>
  <c r="G439" i="4" s="1"/>
  <c r="H397" i="4"/>
  <c r="H439" i="4" s="1"/>
  <c r="K397" i="4"/>
  <c r="K439" i="4" s="1"/>
  <c r="M397" i="4"/>
  <c r="M439" i="4" s="1"/>
  <c r="N397" i="4"/>
  <c r="O397" i="4"/>
  <c r="P397" i="4"/>
  <c r="E398" i="4"/>
  <c r="D409" i="4"/>
  <c r="E409" i="4"/>
  <c r="F409" i="4"/>
  <c r="F426" i="4" s="1"/>
  <c r="G409" i="4"/>
  <c r="H409" i="4"/>
  <c r="H426" i="4" s="1"/>
  <c r="K409" i="4"/>
  <c r="K442" i="4" s="1"/>
  <c r="M409" i="4"/>
  <c r="N409" i="4"/>
  <c r="O409" i="4"/>
  <c r="P409" i="4"/>
  <c r="P442" i="4" s="1"/>
  <c r="D410" i="4"/>
  <c r="D442" i="4" s="1"/>
  <c r="D445" i="4" s="1"/>
  <c r="E410" i="4"/>
  <c r="F410" i="4"/>
  <c r="G410" i="4"/>
  <c r="G442" i="4" s="1"/>
  <c r="H410" i="4"/>
  <c r="K410" i="4"/>
  <c r="M410" i="4"/>
  <c r="N410" i="4"/>
  <c r="O410" i="4"/>
  <c r="P410" i="4"/>
  <c r="D411" i="4"/>
  <c r="E411" i="4"/>
  <c r="F411" i="4"/>
  <c r="G411" i="4"/>
  <c r="I411" i="4" s="1"/>
  <c r="H411" i="4"/>
  <c r="K411" i="4"/>
  <c r="M411" i="4"/>
  <c r="N411" i="4"/>
  <c r="N442" i="4" s="1"/>
  <c r="O411" i="4"/>
  <c r="P411" i="4"/>
  <c r="D412" i="4"/>
  <c r="E412" i="4"/>
  <c r="E442" i="4" s="1"/>
  <c r="F412" i="4"/>
  <c r="G412" i="4"/>
  <c r="I412" i="4"/>
  <c r="H412" i="4"/>
  <c r="K412" i="4"/>
  <c r="M412" i="4"/>
  <c r="N412" i="4"/>
  <c r="O412" i="4"/>
  <c r="O442" i="4" s="1"/>
  <c r="P412" i="4"/>
  <c r="D413" i="4"/>
  <c r="E413" i="4"/>
  <c r="F413" i="4"/>
  <c r="G413" i="4"/>
  <c r="I413" i="4" s="1"/>
  <c r="H413" i="4"/>
  <c r="K413" i="4"/>
  <c r="M413" i="4"/>
  <c r="N413" i="4"/>
  <c r="O413" i="4"/>
  <c r="O426" i="4" s="1"/>
  <c r="P413" i="4"/>
  <c r="P426" i="4" s="1"/>
  <c r="D414" i="4"/>
  <c r="E414" i="4"/>
  <c r="F414" i="4"/>
  <c r="G414" i="4"/>
  <c r="H414" i="4"/>
  <c r="I414" i="4"/>
  <c r="K414" i="4"/>
  <c r="M414" i="4"/>
  <c r="N414" i="4"/>
  <c r="O414" i="4"/>
  <c r="P414" i="4"/>
  <c r="D415" i="4"/>
  <c r="E415" i="4"/>
  <c r="F415" i="4"/>
  <c r="G415" i="4"/>
  <c r="I415" i="4" s="1"/>
  <c r="H415" i="4"/>
  <c r="K415" i="4"/>
  <c r="M415" i="4"/>
  <c r="N415" i="4"/>
  <c r="O415" i="4"/>
  <c r="P415" i="4"/>
  <c r="D416" i="4"/>
  <c r="E416" i="4"/>
  <c r="F416" i="4"/>
  <c r="G416" i="4"/>
  <c r="I416" i="4" s="1"/>
  <c r="H416" i="4"/>
  <c r="K416" i="4"/>
  <c r="M416" i="4"/>
  <c r="N416" i="4"/>
  <c r="O416" i="4"/>
  <c r="P416" i="4"/>
  <c r="D417" i="4"/>
  <c r="E417" i="4"/>
  <c r="E443" i="4" s="1"/>
  <c r="F417" i="4"/>
  <c r="G417" i="4"/>
  <c r="I417" i="4" s="1"/>
  <c r="I443" i="4" s="1"/>
  <c r="H417" i="4"/>
  <c r="K417" i="4"/>
  <c r="M417" i="4"/>
  <c r="N417" i="4"/>
  <c r="N443" i="4" s="1"/>
  <c r="O417" i="4"/>
  <c r="P417" i="4"/>
  <c r="D418" i="4"/>
  <c r="E418" i="4"/>
  <c r="F418" i="4"/>
  <c r="G418" i="4"/>
  <c r="I418" i="4" s="1"/>
  <c r="H418" i="4"/>
  <c r="K418" i="4"/>
  <c r="M418" i="4"/>
  <c r="N418" i="4"/>
  <c r="O418" i="4"/>
  <c r="P418" i="4"/>
  <c r="D419" i="4"/>
  <c r="E419" i="4"/>
  <c r="F419" i="4"/>
  <c r="G419" i="4"/>
  <c r="I419" i="4" s="1"/>
  <c r="H419" i="4"/>
  <c r="K419" i="4"/>
  <c r="M419" i="4"/>
  <c r="N419" i="4"/>
  <c r="O419" i="4"/>
  <c r="P419" i="4"/>
  <c r="D420" i="4"/>
  <c r="E420" i="4"/>
  <c r="F420" i="4"/>
  <c r="G420" i="4"/>
  <c r="H420" i="4"/>
  <c r="I420" i="4"/>
  <c r="K420" i="4"/>
  <c r="M420" i="4"/>
  <c r="N420" i="4"/>
  <c r="O420" i="4"/>
  <c r="P420" i="4"/>
  <c r="D421" i="4"/>
  <c r="D443" i="4" s="1"/>
  <c r="E421" i="4"/>
  <c r="F421" i="4"/>
  <c r="G421" i="4"/>
  <c r="I421" i="4" s="1"/>
  <c r="H421" i="4"/>
  <c r="K421" i="4"/>
  <c r="M421" i="4"/>
  <c r="N421" i="4"/>
  <c r="O421" i="4"/>
  <c r="O443" i="4" s="1"/>
  <c r="P421" i="4"/>
  <c r="D422" i="4"/>
  <c r="E422" i="4"/>
  <c r="F422" i="4"/>
  <c r="G422" i="4"/>
  <c r="I422" i="4" s="1"/>
  <c r="H422" i="4"/>
  <c r="K422" i="4"/>
  <c r="L422" i="4"/>
  <c r="M422" i="4"/>
  <c r="N422" i="4"/>
  <c r="O422" i="4"/>
  <c r="P422" i="4"/>
  <c r="D423" i="4"/>
  <c r="E423" i="4"/>
  <c r="F423" i="4"/>
  <c r="G423" i="4"/>
  <c r="H423" i="4"/>
  <c r="I423" i="4"/>
  <c r="K423" i="4"/>
  <c r="M423" i="4"/>
  <c r="N423" i="4"/>
  <c r="O423" i="4"/>
  <c r="P423" i="4"/>
  <c r="D424" i="4"/>
  <c r="E424" i="4"/>
  <c r="F424" i="4"/>
  <c r="G424" i="4"/>
  <c r="I424" i="4"/>
  <c r="H424" i="4"/>
  <c r="K424" i="4"/>
  <c r="M424" i="4"/>
  <c r="N424" i="4"/>
  <c r="O424" i="4"/>
  <c r="P424" i="4"/>
  <c r="D425" i="4"/>
  <c r="D444" i="4" s="1"/>
  <c r="E425" i="4"/>
  <c r="E444" i="4" s="1"/>
  <c r="F425" i="4"/>
  <c r="F444" i="4" s="1"/>
  <c r="G425" i="4"/>
  <c r="G444" i="4" s="1"/>
  <c r="H425" i="4"/>
  <c r="I425" i="4"/>
  <c r="I444" i="4" s="1"/>
  <c r="K425" i="4"/>
  <c r="K444" i="4"/>
  <c r="M425" i="4"/>
  <c r="M444" i="4" s="1"/>
  <c r="N425" i="4"/>
  <c r="O425" i="4"/>
  <c r="P425" i="4"/>
  <c r="F437" i="4"/>
  <c r="K437" i="4"/>
  <c r="N437" i="4"/>
  <c r="N440" i="4" s="1"/>
  <c r="N447" i="4" s="1"/>
  <c r="P438" i="4"/>
  <c r="D439" i="4"/>
  <c r="E439" i="4"/>
  <c r="N439" i="4"/>
  <c r="O439" i="4"/>
  <c r="P439" i="4"/>
  <c r="F442" i="4"/>
  <c r="N445" i="4"/>
  <c r="N444" i="4"/>
  <c r="O444" i="4"/>
  <c r="P444" i="4"/>
  <c r="L57" i="4"/>
  <c r="L387" i="4" s="1"/>
  <c r="J387" i="4"/>
  <c r="J11" i="8"/>
  <c r="J10" i="8"/>
  <c r="I20" i="8"/>
  <c r="J5" i="8"/>
  <c r="J295" i="6"/>
  <c r="K227" i="6"/>
  <c r="O226" i="6"/>
  <c r="K228" i="6"/>
  <c r="O227" i="6" s="1"/>
  <c r="D289" i="6"/>
  <c r="D296" i="6" s="1"/>
  <c r="G310" i="6" s="1"/>
  <c r="I281" i="6"/>
  <c r="G306" i="6" s="1"/>
  <c r="P443" i="4"/>
  <c r="H206" i="1"/>
  <c r="I8" i="5"/>
  <c r="I22" i="5" s="1"/>
  <c r="H20" i="8"/>
  <c r="G12" i="5"/>
  <c r="F138" i="2"/>
  <c r="G137" i="2"/>
  <c r="G134" i="2"/>
  <c r="H311" i="6"/>
  <c r="J286" i="6"/>
  <c r="K195" i="6"/>
  <c r="O194" i="6" s="1"/>
  <c r="F293" i="6"/>
  <c r="F291" i="6"/>
  <c r="K181" i="6"/>
  <c r="N195" i="6" s="1"/>
  <c r="P195" i="6" s="1"/>
  <c r="J276" i="6"/>
  <c r="H281" i="6"/>
  <c r="J272" i="6"/>
  <c r="H305" i="6"/>
  <c r="F278" i="6"/>
  <c r="F276" i="6"/>
  <c r="K276" i="6"/>
  <c r="F271" i="6"/>
  <c r="N191" i="6"/>
  <c r="P191" i="6" s="1"/>
  <c r="J278" i="4"/>
  <c r="M443" i="4"/>
  <c r="M445" i="4" s="1"/>
  <c r="M426" i="4"/>
  <c r="M442" i="4"/>
  <c r="Q266" i="4"/>
  <c r="M398" i="4"/>
  <c r="I410" i="4"/>
  <c r="Q277" i="4"/>
  <c r="J20" i="8"/>
  <c r="Q278" i="4"/>
  <c r="G58" i="2"/>
  <c r="K121" i="6"/>
  <c r="O120" i="6" s="1"/>
  <c r="P120" i="6" s="1"/>
  <c r="O285" i="6"/>
  <c r="G135" i="2"/>
  <c r="G138" i="2" s="1"/>
  <c r="E138" i="2"/>
  <c r="N15" i="9"/>
  <c r="D16" i="9"/>
  <c r="N13" i="9"/>
  <c r="N12" i="9"/>
  <c r="N14" i="9"/>
  <c r="N16" i="9"/>
  <c r="C16" i="9"/>
  <c r="E437" i="4"/>
  <c r="Q244" i="4"/>
  <c r="Q184" i="4"/>
  <c r="C296" i="6"/>
  <c r="G309" i="6" s="1"/>
  <c r="G312" i="6" s="1"/>
  <c r="I351" i="4"/>
  <c r="J222" i="4"/>
  <c r="Q222" i="4" s="1"/>
  <c r="J109" i="4"/>
  <c r="J101" i="4"/>
  <c r="L38" i="4"/>
  <c r="L418" i="4"/>
  <c r="H442" i="4"/>
  <c r="H445" i="4" s="1"/>
  <c r="H447" i="4" s="1"/>
  <c r="J268" i="4"/>
  <c r="Q268" i="4" s="1"/>
  <c r="J139" i="4"/>
  <c r="J425" i="4" s="1"/>
  <c r="J271" i="6"/>
  <c r="K271" i="6" s="1"/>
  <c r="I256" i="4"/>
  <c r="I409" i="4"/>
  <c r="I392" i="4"/>
  <c r="J343" i="4"/>
  <c r="Q343" i="4" s="1"/>
  <c r="J154" i="4"/>
  <c r="Q154" i="4"/>
  <c r="J18" i="4"/>
  <c r="K221" i="6"/>
  <c r="J223" i="6"/>
  <c r="J230" i="6"/>
  <c r="I397" i="4"/>
  <c r="Q312" i="4"/>
  <c r="J181" i="4"/>
  <c r="Q181" i="4" s="1"/>
  <c r="L424" i="4"/>
  <c r="L85" i="4"/>
  <c r="J85" i="4"/>
  <c r="J418" i="4" s="1"/>
  <c r="L79" i="4"/>
  <c r="L412" i="4" s="1"/>
  <c r="J79" i="4"/>
  <c r="F273" i="6"/>
  <c r="J274" i="4"/>
  <c r="Q274" i="4"/>
  <c r="P25" i="6"/>
  <c r="H444" i="4"/>
  <c r="Q218" i="4"/>
  <c r="J218" i="4"/>
  <c r="C182" i="6"/>
  <c r="F175" i="6"/>
  <c r="F182" i="6"/>
  <c r="L45" i="4"/>
  <c r="F439" i="4"/>
  <c r="P437" i="4"/>
  <c r="P440" i="4" s="1"/>
  <c r="P398" i="4"/>
  <c r="Q318" i="4"/>
  <c r="J318" i="4"/>
  <c r="I303" i="4"/>
  <c r="J289" i="4"/>
  <c r="J113" i="4"/>
  <c r="Q113" i="4" s="1"/>
  <c r="J105" i="4"/>
  <c r="Q105" i="4" s="1"/>
  <c r="K443" i="4"/>
  <c r="H398" i="4"/>
  <c r="J347" i="4"/>
  <c r="Q347" i="4"/>
  <c r="Q226" i="4"/>
  <c r="J226" i="4"/>
  <c r="I234" i="4"/>
  <c r="J158" i="4"/>
  <c r="Q158" i="4" s="1"/>
  <c r="F241" i="6"/>
  <c r="F248" i="6"/>
  <c r="C248" i="6"/>
  <c r="P63" i="6"/>
  <c r="O289" i="6"/>
  <c r="I384" i="4"/>
  <c r="G398" i="4"/>
  <c r="Q89" i="4"/>
  <c r="H443" i="4"/>
  <c r="N426" i="4"/>
  <c r="J339" i="4"/>
  <c r="L88" i="4"/>
  <c r="J88" i="4"/>
  <c r="L82" i="4"/>
  <c r="J82" i="4"/>
  <c r="N285" i="6"/>
  <c r="J276" i="4"/>
  <c r="Q276" i="4"/>
  <c r="H437" i="4"/>
  <c r="H440" i="4" s="1"/>
  <c r="J376" i="4"/>
  <c r="J123" i="4"/>
  <c r="Q123" i="4" s="1"/>
  <c r="F277" i="6"/>
  <c r="K255" i="6"/>
  <c r="O254" i="6" s="1"/>
  <c r="K240" i="6"/>
  <c r="K241" i="6" s="1"/>
  <c r="P26" i="6"/>
  <c r="F290" i="6"/>
  <c r="P160" i="6"/>
  <c r="E206" i="1"/>
  <c r="E11" i="5"/>
  <c r="G206" i="1"/>
  <c r="G7" i="5"/>
  <c r="G22" i="5" s="1"/>
  <c r="J14" i="8"/>
  <c r="J267" i="4"/>
  <c r="Q267" i="4" s="1"/>
  <c r="Q243" i="4"/>
  <c r="Q183" i="4"/>
  <c r="Q171" i="4"/>
  <c r="Q134" i="4"/>
  <c r="Q130" i="4"/>
  <c r="Q126" i="4"/>
  <c r="L54" i="4"/>
  <c r="L40" i="4"/>
  <c r="L420" i="4"/>
  <c r="Q33" i="4"/>
  <c r="L20" i="4"/>
  <c r="L397" i="4" s="1"/>
  <c r="L439" i="4" s="1"/>
  <c r="J291" i="6"/>
  <c r="K291" i="6" s="1"/>
  <c r="F288" i="6"/>
  <c r="F289" i="6" s="1"/>
  <c r="F296" i="6" s="1"/>
  <c r="H306" i="6"/>
  <c r="C138" i="2"/>
  <c r="F12" i="5"/>
  <c r="F206" i="1"/>
  <c r="F22" i="5"/>
  <c r="Q349" i="4"/>
  <c r="Q345" i="4"/>
  <c r="Q320" i="4"/>
  <c r="J280" i="4"/>
  <c r="Q280" i="4" s="1"/>
  <c r="Q220" i="4"/>
  <c r="Q160" i="4"/>
  <c r="Q152" i="4"/>
  <c r="J148" i="4"/>
  <c r="Q111" i="4"/>
  <c r="Q103" i="4"/>
  <c r="L43" i="4"/>
  <c r="L33" i="4"/>
  <c r="L413" i="4"/>
  <c r="J175" i="6"/>
  <c r="J182" i="6" s="1"/>
  <c r="C164" i="6"/>
  <c r="K124" i="6"/>
  <c r="K131" i="6" s="1"/>
  <c r="P94" i="6"/>
  <c r="J337" i="4"/>
  <c r="Q337" i="4" s="1"/>
  <c r="F149" i="6"/>
  <c r="P30" i="6"/>
  <c r="F164" i="6"/>
  <c r="F208" i="6"/>
  <c r="F215" i="6" s="1"/>
  <c r="J190" i="6"/>
  <c r="J197" i="6"/>
  <c r="N88" i="6"/>
  <c r="J15" i="8"/>
  <c r="Q62" i="4"/>
  <c r="I21" i="4"/>
  <c r="Q12" i="4"/>
  <c r="E274" i="6"/>
  <c r="E281" i="6"/>
  <c r="P158" i="6"/>
  <c r="F76" i="6"/>
  <c r="F83" i="6" s="1"/>
  <c r="C83" i="6"/>
  <c r="P54" i="6"/>
  <c r="Q323" i="4"/>
  <c r="Q290" i="4"/>
  <c r="Q245" i="4"/>
  <c r="Q185" i="4"/>
  <c r="Q173" i="4"/>
  <c r="Q150" i="4"/>
  <c r="Q136" i="4"/>
  <c r="Q132" i="4"/>
  <c r="L65" i="4"/>
  <c r="L395" i="4"/>
  <c r="L62" i="4"/>
  <c r="L392" i="4"/>
  <c r="L59" i="4"/>
  <c r="L35" i="4"/>
  <c r="L415" i="4"/>
  <c r="Q15" i="4"/>
  <c r="L12" i="4"/>
  <c r="L9" i="4"/>
  <c r="Q9" i="4" s="1"/>
  <c r="F116" i="6"/>
  <c r="P28" i="6"/>
  <c r="C206" i="1"/>
  <c r="I206" i="1"/>
  <c r="G289" i="6"/>
  <c r="G296" i="6"/>
  <c r="J277" i="6"/>
  <c r="K277" i="6" s="1"/>
  <c r="C274" i="6"/>
  <c r="C281" i="6" s="1"/>
  <c r="K210" i="6"/>
  <c r="N224" i="6"/>
  <c r="K178" i="6"/>
  <c r="N192" i="6" s="1"/>
  <c r="P192" i="6" s="1"/>
  <c r="P155" i="6"/>
  <c r="P61" i="6"/>
  <c r="J18" i="8"/>
  <c r="J6" i="8"/>
  <c r="O121" i="6"/>
  <c r="K23" i="6"/>
  <c r="K9" i="6"/>
  <c r="N23" i="6" s="1"/>
  <c r="C215" i="6"/>
  <c r="D206" i="1"/>
  <c r="C17" i="6"/>
  <c r="J303" i="4"/>
  <c r="Q289" i="4"/>
  <c r="O123" i="6"/>
  <c r="Q82" i="4"/>
  <c r="K445" i="4"/>
  <c r="Q18" i="4"/>
  <c r="Q40" i="4"/>
  <c r="Q139" i="4"/>
  <c r="J386" i="4"/>
  <c r="L386" i="4"/>
  <c r="Q65" i="4"/>
  <c r="Q88" i="4"/>
  <c r="Q38" i="4"/>
  <c r="Q79" i="4"/>
  <c r="Q148" i="4"/>
  <c r="Q101" i="4"/>
  <c r="Q85" i="4"/>
  <c r="P224" i="6"/>
  <c r="N290" i="6"/>
  <c r="P23" i="6"/>
  <c r="I442" i="4"/>
  <c r="I445" i="4" s="1"/>
  <c r="I426" i="4"/>
  <c r="Q109" i="4"/>
  <c r="K25" i="6"/>
  <c r="O24" i="6" s="1"/>
  <c r="O31" i="6" s="1"/>
  <c r="O22" i="6"/>
  <c r="I398" i="4"/>
  <c r="I437" i="4"/>
  <c r="O220" i="6"/>
  <c r="K223" i="6"/>
  <c r="O222" i="6" s="1"/>
  <c r="N291" i="6"/>
  <c r="K230" i="6"/>
  <c r="J444" i="4"/>
  <c r="K32" i="6"/>
  <c r="O229" i="6"/>
  <c r="E445" i="4" l="1"/>
  <c r="J256" i="4"/>
  <c r="P159" i="6"/>
  <c r="N294" i="6"/>
  <c r="P294" i="6" s="1"/>
  <c r="O293" i="6"/>
  <c r="L384" i="4"/>
  <c r="Q54" i="4"/>
  <c r="P285" i="6"/>
  <c r="D440" i="4"/>
  <c r="D447" i="4" s="1"/>
  <c r="Q256" i="4"/>
  <c r="Q43" i="4"/>
  <c r="J423" i="4"/>
  <c r="Q423" i="4" s="1"/>
  <c r="K256" i="6"/>
  <c r="O253" i="6"/>
  <c r="P221" i="6"/>
  <c r="P92" i="6"/>
  <c r="N89" i="6"/>
  <c r="P89" i="6" s="1"/>
  <c r="K76" i="6"/>
  <c r="Q217" i="4"/>
  <c r="J234" i="4"/>
  <c r="J422" i="4"/>
  <c r="Q422" i="4" s="1"/>
  <c r="J394" i="4"/>
  <c r="P257" i="6"/>
  <c r="N187" i="6"/>
  <c r="K175" i="6"/>
  <c r="P125" i="6"/>
  <c r="E22" i="5"/>
  <c r="J415" i="4"/>
  <c r="Q415" i="4"/>
  <c r="J417" i="4"/>
  <c r="J421" i="4"/>
  <c r="Q421" i="4" s="1"/>
  <c r="K294" i="6"/>
  <c r="P256" i="6"/>
  <c r="P223" i="6"/>
  <c r="P122" i="6"/>
  <c r="P91" i="6"/>
  <c r="K58" i="6"/>
  <c r="O55" i="6"/>
  <c r="N292" i="6"/>
  <c r="P292" i="6" s="1"/>
  <c r="O445" i="4"/>
  <c r="J281" i="4"/>
  <c r="Q90" i="4"/>
  <c r="Q84" i="4"/>
  <c r="L417" i="4"/>
  <c r="J392" i="4"/>
  <c r="Q392" i="4" s="1"/>
  <c r="K292" i="6"/>
  <c r="K290" i="6"/>
  <c r="J289" i="6"/>
  <c r="J296" i="6" s="1"/>
  <c r="K287" i="6"/>
  <c r="P228" i="6"/>
  <c r="K208" i="6"/>
  <c r="N220" i="6"/>
  <c r="P220" i="6" s="1"/>
  <c r="P194" i="6"/>
  <c r="P186" i="6"/>
  <c r="P157" i="6"/>
  <c r="N154" i="6"/>
  <c r="P154" i="6" s="1"/>
  <c r="K142" i="6"/>
  <c r="P96" i="6"/>
  <c r="O292" i="6"/>
  <c r="J162" i="4"/>
  <c r="K248" i="6"/>
  <c r="N255" i="6"/>
  <c r="Q371" i="4"/>
  <c r="P162" i="6"/>
  <c r="P129" i="6"/>
  <c r="P124" i="6"/>
  <c r="N121" i="6"/>
  <c r="P121" i="6" s="1"/>
  <c r="K109" i="6"/>
  <c r="O291" i="6"/>
  <c r="P291" i="6" s="1"/>
  <c r="C22" i="5"/>
  <c r="K426" i="4"/>
  <c r="G445" i="4"/>
  <c r="I438" i="4"/>
  <c r="I440" i="4" s="1"/>
  <c r="I447" i="4" s="1"/>
  <c r="J385" i="4"/>
  <c r="Q385" i="4" s="1"/>
  <c r="K272" i="6"/>
  <c r="F274" i="6"/>
  <c r="F281" i="6" s="1"/>
  <c r="P227" i="6"/>
  <c r="P219" i="6"/>
  <c r="P95" i="6"/>
  <c r="P87" i="6"/>
  <c r="N289" i="6"/>
  <c r="P289" i="6" s="1"/>
  <c r="D22" i="5"/>
  <c r="J413" i="4"/>
  <c r="Q413" i="4" s="1"/>
  <c r="J409" i="4"/>
  <c r="Q76" i="4"/>
  <c r="J411" i="4"/>
  <c r="Q7" i="4"/>
  <c r="J384" i="4"/>
  <c r="P253" i="6"/>
  <c r="P153" i="6"/>
  <c r="P128" i="6"/>
  <c r="O290" i="6"/>
  <c r="P290" i="6" s="1"/>
  <c r="O287" i="6"/>
  <c r="F440" i="4"/>
  <c r="Q418" i="4"/>
  <c r="Q386" i="4"/>
  <c r="P161" i="6"/>
  <c r="O130" i="6"/>
  <c r="N293" i="6"/>
  <c r="P293" i="6" s="1"/>
  <c r="P29" i="6"/>
  <c r="K10" i="6"/>
  <c r="N22" i="6"/>
  <c r="J187" i="4"/>
  <c r="Q175" i="4"/>
  <c r="Q187" i="4" s="1"/>
  <c r="K157" i="6"/>
  <c r="O154" i="6"/>
  <c r="Q45" i="4"/>
  <c r="Q162" i="4"/>
  <c r="G304" i="6"/>
  <c r="G307" i="6" s="1"/>
  <c r="G314" i="6" s="1"/>
  <c r="J412" i="4"/>
  <c r="Q412" i="4" s="1"/>
  <c r="P445" i="4"/>
  <c r="P447" i="4" s="1"/>
  <c r="E447" i="4"/>
  <c r="Q387" i="4"/>
  <c r="J414" i="4"/>
  <c r="Q414" i="4" s="1"/>
  <c r="Q128" i="4"/>
  <c r="J388" i="4"/>
  <c r="H307" i="6"/>
  <c r="H314" i="6" s="1"/>
  <c r="K190" i="6"/>
  <c r="O187" i="6"/>
  <c r="K91" i="6"/>
  <c r="O88" i="6"/>
  <c r="P88" i="6" s="1"/>
  <c r="P93" i="6"/>
  <c r="O294" i="6"/>
  <c r="P21" i="6"/>
  <c r="Q59" i="4"/>
  <c r="L389" i="4"/>
  <c r="Q389" i="4" s="1"/>
  <c r="M440" i="4"/>
  <c r="M447" i="4" s="1"/>
  <c r="R279" i="4"/>
  <c r="Q20" i="4"/>
  <c r="K288" i="6"/>
  <c r="P259" i="6"/>
  <c r="P56" i="6"/>
  <c r="I439" i="4"/>
  <c r="Q293" i="4"/>
  <c r="G426" i="4"/>
  <c r="J350" i="4"/>
  <c r="J351" i="4" s="1"/>
  <c r="J321" i="4"/>
  <c r="J328" i="4" s="1"/>
  <c r="J219" i="4"/>
  <c r="Q219" i="4" s="1"/>
  <c r="J133" i="4"/>
  <c r="J140" i="4" s="1"/>
  <c r="J110" i="4"/>
  <c r="J115" i="4" s="1"/>
  <c r="J87" i="4"/>
  <c r="Q87" i="4" s="1"/>
  <c r="J83" i="4"/>
  <c r="Q83" i="4" s="1"/>
  <c r="J67" i="4"/>
  <c r="J60" i="4"/>
  <c r="J390" i="4" s="1"/>
  <c r="J39" i="4"/>
  <c r="J30" i="4"/>
  <c r="J14" i="4"/>
  <c r="J391" i="4" s="1"/>
  <c r="Q391" i="4" s="1"/>
  <c r="J256" i="6"/>
  <c r="J263" i="6" s="1"/>
  <c r="C230" i="6"/>
  <c r="C131" i="6"/>
  <c r="J76" i="6"/>
  <c r="J83" i="6" s="1"/>
  <c r="K41" i="6"/>
  <c r="K438" i="4"/>
  <c r="K440" i="4" s="1"/>
  <c r="K447" i="4" s="1"/>
  <c r="J17" i="6"/>
  <c r="N254" i="6"/>
  <c r="P254" i="6" s="1"/>
  <c r="Q195" i="4"/>
  <c r="I140" i="4"/>
  <c r="G437" i="4"/>
  <c r="G440" i="4" s="1"/>
  <c r="G447" i="4" s="1"/>
  <c r="Q338" i="4"/>
  <c r="Q291" i="4"/>
  <c r="Q223" i="4"/>
  <c r="Q127" i="4"/>
  <c r="Q114" i="4"/>
  <c r="Q42" i="4"/>
  <c r="L17" i="4"/>
  <c r="L394" i="4" s="1"/>
  <c r="Q394" i="4" s="1"/>
  <c r="G443" i="4"/>
  <c r="H309" i="6"/>
  <c r="H312" i="6" s="1"/>
  <c r="I376" i="4"/>
  <c r="J157" i="6"/>
  <c r="J164" i="6" s="1"/>
  <c r="F58" i="6"/>
  <c r="F65" i="6" s="1"/>
  <c r="D426" i="4"/>
  <c r="E426" i="4"/>
  <c r="I162" i="4"/>
  <c r="I46" i="4"/>
  <c r="F443" i="4"/>
  <c r="F445" i="4" s="1"/>
  <c r="I328" i="4"/>
  <c r="Q342" i="4"/>
  <c r="Q295" i="4"/>
  <c r="Q269" i="4"/>
  <c r="R271" i="4" s="1"/>
  <c r="Q180" i="4"/>
  <c r="Q102" i="4"/>
  <c r="Q77" i="4"/>
  <c r="L58" i="4"/>
  <c r="L68" i="4" s="1"/>
  <c r="L41" i="4"/>
  <c r="L421" i="4" s="1"/>
  <c r="L16" i="4"/>
  <c r="L393" i="4" s="1"/>
  <c r="L438" i="4" s="1"/>
  <c r="J208" i="6"/>
  <c r="J215" i="6" s="1"/>
  <c r="Q61" i="4"/>
  <c r="L36" i="4"/>
  <c r="L416" i="4" s="1"/>
  <c r="Q8" i="4"/>
  <c r="J109" i="6"/>
  <c r="J116" i="6" s="1"/>
  <c r="J91" i="6"/>
  <c r="J98" i="6" s="1"/>
  <c r="J91" i="4"/>
  <c r="I281" i="4"/>
  <c r="Q196" i="4"/>
  <c r="J142" i="6"/>
  <c r="J149" i="6" s="1"/>
  <c r="Q11" i="4"/>
  <c r="J273" i="6"/>
  <c r="C263" i="6"/>
  <c r="O437" i="4"/>
  <c r="O440" i="4" s="1"/>
  <c r="O447" i="4" s="1"/>
  <c r="I68" i="4"/>
  <c r="Q367" i="4"/>
  <c r="Q363" i="4"/>
  <c r="Q359" i="4"/>
  <c r="J326" i="4"/>
  <c r="Q326" i="4" s="1"/>
  <c r="Q230" i="4"/>
  <c r="Q225" i="4"/>
  <c r="Q129" i="4"/>
  <c r="L92" i="4"/>
  <c r="Q92" i="4" s="1"/>
  <c r="L64" i="4"/>
  <c r="Q64" i="4" s="1"/>
  <c r="L31" i="4"/>
  <c r="L19" i="4"/>
  <c r="L396" i="4" s="1"/>
  <c r="Q396" i="4" s="1"/>
  <c r="L11" i="4"/>
  <c r="C197" i="6"/>
  <c r="Q67" i="4"/>
  <c r="L60" i="4"/>
  <c r="L390" i="4" s="1"/>
  <c r="Q39" i="4"/>
  <c r="C98" i="6"/>
  <c r="K116" i="6" l="1"/>
  <c r="N123" i="6"/>
  <c r="L411" i="4"/>
  <c r="L46" i="4"/>
  <c r="N156" i="6"/>
  <c r="K149" i="6"/>
  <c r="Q234" i="4"/>
  <c r="J397" i="4"/>
  <c r="K98" i="6"/>
  <c r="O90" i="6"/>
  <c r="O97" i="6" s="1"/>
  <c r="F447" i="4"/>
  <c r="J93" i="4"/>
  <c r="J420" i="4"/>
  <c r="Q420" i="4" s="1"/>
  <c r="Q350" i="4"/>
  <c r="Q351" i="4" s="1"/>
  <c r="Q58" i="4"/>
  <c r="J274" i="6"/>
  <c r="J281" i="6" s="1"/>
  <c r="K273" i="6"/>
  <c r="K274" i="6" s="1"/>
  <c r="K281" i="6" s="1"/>
  <c r="Q409" i="4"/>
  <c r="L443" i="4"/>
  <c r="J68" i="4"/>
  <c r="Q110" i="4"/>
  <c r="Q115" i="4" s="1"/>
  <c r="K43" i="6"/>
  <c r="N55" i="6"/>
  <c r="P55" i="6" s="1"/>
  <c r="Q19" i="4"/>
  <c r="K197" i="6"/>
  <c r="O189" i="6"/>
  <c r="O196" i="6" s="1"/>
  <c r="N286" i="6"/>
  <c r="P22" i="6"/>
  <c r="Q133" i="4"/>
  <c r="Q140" i="4" s="1"/>
  <c r="Q411" i="4"/>
  <c r="Q14" i="4"/>
  <c r="Q303" i="4"/>
  <c r="K17" i="6"/>
  <c r="N24" i="6"/>
  <c r="Q16" i="4"/>
  <c r="Q21" i="4" s="1"/>
  <c r="N189" i="6"/>
  <c r="K182" i="6"/>
  <c r="Q388" i="4"/>
  <c r="L425" i="4"/>
  <c r="L93" i="4"/>
  <c r="J393" i="4"/>
  <c r="Q393" i="4" s="1"/>
  <c r="Q438" i="4" s="1"/>
  <c r="P187" i="6"/>
  <c r="K83" i="6"/>
  <c r="N90" i="6"/>
  <c r="N222" i="6"/>
  <c r="K215" i="6"/>
  <c r="N287" i="6"/>
  <c r="P287" i="6" s="1"/>
  <c r="Q60" i="4"/>
  <c r="Q68" i="4" s="1"/>
  <c r="Q384" i="4"/>
  <c r="J437" i="4"/>
  <c r="P255" i="6"/>
  <c r="P262" i="6" s="1"/>
  <c r="N262" i="6"/>
  <c r="Q41" i="4"/>
  <c r="Q17" i="4"/>
  <c r="J21" i="4"/>
  <c r="Q417" i="4"/>
  <c r="K289" i="6"/>
  <c r="K296" i="6" s="1"/>
  <c r="J410" i="4"/>
  <c r="Q410" i="4" s="1"/>
  <c r="Q30" i="4"/>
  <c r="Q46" i="4" s="1"/>
  <c r="J46" i="4"/>
  <c r="J424" i="4"/>
  <c r="Q424" i="4" s="1"/>
  <c r="Q209" i="4"/>
  <c r="J419" i="4"/>
  <c r="Q419" i="4" s="1"/>
  <c r="Q390" i="4"/>
  <c r="J416" i="4"/>
  <c r="Q416" i="4" s="1"/>
  <c r="Q281" i="4"/>
  <c r="O286" i="6"/>
  <c r="O288" i="6" s="1"/>
  <c r="O295" i="6" s="1"/>
  <c r="Q321" i="4"/>
  <c r="Q328" i="4" s="1"/>
  <c r="L398" i="4"/>
  <c r="L437" i="4"/>
  <c r="L440" i="4" s="1"/>
  <c r="Q376" i="4"/>
  <c r="O156" i="6"/>
  <c r="O163" i="6" s="1"/>
  <c r="K164" i="6"/>
  <c r="L388" i="4"/>
  <c r="L21" i="4"/>
  <c r="Q91" i="4"/>
  <c r="Q93" i="4" s="1"/>
  <c r="Q36" i="4"/>
  <c r="Q31" i="4"/>
  <c r="K65" i="6"/>
  <c r="O57" i="6"/>
  <c r="O64" i="6" s="1"/>
  <c r="O255" i="6"/>
  <c r="O262" i="6" s="1"/>
  <c r="K263" i="6"/>
  <c r="J442" i="4" l="1"/>
  <c r="J439" i="4"/>
  <c r="Q397" i="4"/>
  <c r="Q439" i="4" s="1"/>
  <c r="L444" i="4"/>
  <c r="Q425" i="4"/>
  <c r="Q444" i="4" s="1"/>
  <c r="J426" i="4"/>
  <c r="Q437" i="4"/>
  <c r="Q440" i="4" s="1"/>
  <c r="Q398" i="4"/>
  <c r="J443" i="4"/>
  <c r="N163" i="6"/>
  <c r="P156" i="6"/>
  <c r="P163" i="6" s="1"/>
  <c r="N288" i="6"/>
  <c r="N295" i="6" s="1"/>
  <c r="P286" i="6"/>
  <c r="P288" i="6" s="1"/>
  <c r="P295" i="6" s="1"/>
  <c r="P189" i="6"/>
  <c r="P196" i="6" s="1"/>
  <c r="N196" i="6"/>
  <c r="J440" i="4"/>
  <c r="J398" i="4"/>
  <c r="P24" i="6"/>
  <c r="P31" i="6" s="1"/>
  <c r="N31" i="6"/>
  <c r="K50" i="6"/>
  <c r="N57" i="6"/>
  <c r="L426" i="4"/>
  <c r="L442" i="4"/>
  <c r="L445" i="4" s="1"/>
  <c r="L447" i="4" s="1"/>
  <c r="J438" i="4"/>
  <c r="N229" i="6"/>
  <c r="P222" i="6"/>
  <c r="P229" i="6" s="1"/>
  <c r="N130" i="6"/>
  <c r="P123" i="6"/>
  <c r="P130" i="6" s="1"/>
  <c r="Q442" i="4"/>
  <c r="Q426" i="4"/>
  <c r="P90" i="6"/>
  <c r="P97" i="6" s="1"/>
  <c r="N97" i="6"/>
  <c r="Q443" i="4"/>
  <c r="N64" i="6" l="1"/>
  <c r="P57" i="6"/>
  <c r="P64" i="6" s="1"/>
  <c r="Q445" i="4"/>
  <c r="Q447" i="4"/>
  <c r="J445" i="4"/>
  <c r="J447" i="4" s="1"/>
</calcChain>
</file>

<file path=xl/sharedStrings.xml><?xml version="1.0" encoding="utf-8"?>
<sst xmlns="http://schemas.openxmlformats.org/spreadsheetml/2006/main" count="2202" uniqueCount="166">
  <si>
    <t xml:space="preserve"> --</t>
  </si>
  <si>
    <t>जिल्हा मुंबई शहर</t>
  </si>
  <si>
    <t>(आकडे हजारात)</t>
  </si>
  <si>
    <t>वर्ग</t>
  </si>
  <si>
    <t>पद</t>
  </si>
  <si>
    <t>मंजूर पदे</t>
  </si>
  <si>
    <t>विशेष वेतन</t>
  </si>
  <si>
    <t>मुळ वेतन</t>
  </si>
  <si>
    <t>ग्रेड वेतन</t>
  </si>
  <si>
    <t>एकूण</t>
  </si>
  <si>
    <t>स्थानिक पुरक भत्ता</t>
  </si>
  <si>
    <t>घर भाडे भत्ता</t>
  </si>
  <si>
    <t>वाहन भत्ता</t>
  </si>
  <si>
    <t>धूलाई भत्ता</t>
  </si>
  <si>
    <t>रोख भत्ता</t>
  </si>
  <si>
    <t>चप्पल भत्ता/ इतर</t>
  </si>
  <si>
    <t>स्थायी</t>
  </si>
  <si>
    <t>मागणी क्र.सी- 1- लेखाशिर्ष 20530028</t>
  </si>
  <si>
    <t>वर्ग-1 व 2</t>
  </si>
  <si>
    <t>वर्ग-3</t>
  </si>
  <si>
    <t>वर्ग-4</t>
  </si>
  <si>
    <t>जिल्हाधिकारी</t>
  </si>
  <si>
    <t>अपर जिल्हाधिकारी</t>
  </si>
  <si>
    <t>उपजिल्हाधिकारी</t>
  </si>
  <si>
    <t>तहसिलदार/अप्पर तहसिलदार/चिटणीस</t>
  </si>
  <si>
    <t>नायब तहसिलदार</t>
  </si>
  <si>
    <t>लेखाधिकारी</t>
  </si>
  <si>
    <t>सहा. लेखाधिकारी</t>
  </si>
  <si>
    <t>उपलेखापाल</t>
  </si>
  <si>
    <t>लघुलेखक (उच्च)</t>
  </si>
  <si>
    <t>लघुलेखक(निम्न)/परिक्षण भूमापक/आरेखक/शिरस्तेदार</t>
  </si>
  <si>
    <t>अव्वल कारकून</t>
  </si>
  <si>
    <t>लिपिक</t>
  </si>
  <si>
    <t>वाहन चालक</t>
  </si>
  <si>
    <t>शिपाई/नाईक/हवालदार/वॉचमन/स्वच्छक</t>
  </si>
  <si>
    <t>अ. क्र.</t>
  </si>
  <si>
    <t>--</t>
  </si>
  <si>
    <t>अस्थायी</t>
  </si>
  <si>
    <t>उपजिल्हाधिकारी/परिविक्षाधीन उपजिल्हाधिकारी</t>
  </si>
  <si>
    <t>तहसिलदार/अप्पर तहसिलदार/चिटणीस/ परिविक्षाधीन तहसिलदार</t>
  </si>
  <si>
    <t>नायब तहसिलदार/परिविक्षाधीन ना.तहसिलदार</t>
  </si>
  <si>
    <t>विधी अधिकारी (मानधन)</t>
  </si>
  <si>
    <t>अव्वल कारकून/उपलेखापाल</t>
  </si>
  <si>
    <t>मंडळ अधिकारी</t>
  </si>
  <si>
    <t>लिपिक/भूमापक/वसूली कारकून</t>
  </si>
  <si>
    <t>लघुलेखक(निम्न)/परिक्षण भूमापक/आरेखक/ शिरस्तेदार</t>
  </si>
  <si>
    <t>टेलि.ऑपरेटर/लघुटंकलेखक(विधी अधि.सहा.)</t>
  </si>
  <si>
    <t>जिल्हा मुंबई उपनगर</t>
  </si>
  <si>
    <t>जिल्हा ठाणे</t>
  </si>
  <si>
    <t>जिल्हा रायगड</t>
  </si>
  <si>
    <t>जिल्हा रत्नागिरी</t>
  </si>
  <si>
    <t>जिल्हा सिंधुदुर्ग</t>
  </si>
  <si>
    <t>उप आयुक्त (सा.प्र.) कोकण विभाग</t>
  </si>
  <si>
    <t>कोकण विभाग</t>
  </si>
  <si>
    <t>जिल्हा पालघर</t>
  </si>
  <si>
    <t>जिल्हा</t>
  </si>
  <si>
    <t>स्थायी पदे</t>
  </si>
  <si>
    <t>भरलेली पदे</t>
  </si>
  <si>
    <t>रिक्त पदे</t>
  </si>
  <si>
    <t>मुंबई शहर</t>
  </si>
  <si>
    <t>पदे</t>
  </si>
  <si>
    <t>वेतन</t>
  </si>
  <si>
    <t>ग्रेड पे</t>
  </si>
  <si>
    <t>महा.भत्ता</t>
  </si>
  <si>
    <t>स्था.पु.भ.</t>
  </si>
  <si>
    <t>घरभाडे</t>
  </si>
  <si>
    <t>प्रवास भत्ता</t>
  </si>
  <si>
    <t>इतर</t>
  </si>
  <si>
    <t>अस्थायी पदे</t>
  </si>
  <si>
    <t>सर्व वर्ग पदे</t>
  </si>
  <si>
    <t>मुंबई उपनगर</t>
  </si>
  <si>
    <t>ठाणे</t>
  </si>
  <si>
    <t>पालघर</t>
  </si>
  <si>
    <t>रायगड</t>
  </si>
  <si>
    <t>रत्नागिरी</t>
  </si>
  <si>
    <t>सिंधुदुर्ग</t>
  </si>
  <si>
    <t>उप आयुक्त (सा.प्र.)</t>
  </si>
  <si>
    <t>विभाग</t>
  </si>
  <si>
    <t>अ.क्र.</t>
  </si>
  <si>
    <t>जिल्हा / विभाग</t>
  </si>
  <si>
    <t>वैद्यकिय खर्च</t>
  </si>
  <si>
    <t>उत्सव/सण अग्रिम</t>
  </si>
  <si>
    <t>स्वग्राम/महाराष्ट्र दर्शन</t>
  </si>
  <si>
    <t>6 व्या वेतन आयोग फरक</t>
  </si>
  <si>
    <t>लेख्याची प्राथमिक आणि दुय्यम युनिट</t>
  </si>
  <si>
    <t>प्रत्यक्ष रक्कमा (खर्च)</t>
  </si>
  <si>
    <t>अर्थसंकल्पीय अंदाज</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</si>
  <si>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</si>
  <si>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प्राकक्लन (एस्टिमेटिंग) अधिका-याचा</t>
  </si>
  <si>
    <t>नियंत्रक अधिका-यांचा</t>
  </si>
  <si>
    <t>प्रशासकीय विभागाचा</t>
  </si>
  <si>
    <t>वित्त विभागाचा</t>
  </si>
  <si>
    <t>01- वेतन</t>
  </si>
  <si>
    <t>03 अति.भत्ता</t>
  </si>
  <si>
    <t>06- दूरध्वनी वीज,पाणी व शुल्क</t>
  </si>
  <si>
    <t>11- देशातंर्गत प्रवास खर्च</t>
  </si>
  <si>
    <t>13- कार्यालयीन खर्च</t>
  </si>
  <si>
    <t>17- संगणक खर्च</t>
  </si>
  <si>
    <t>20- इतर प्रशासकीय खर्च</t>
  </si>
  <si>
    <t>24- इंधन खर्च</t>
  </si>
  <si>
    <t>26- जाहीरात व प्रसिध्दी खर्च</t>
  </si>
  <si>
    <t>36- लहान बांधकाम</t>
  </si>
  <si>
    <t>50-इतर खर्च</t>
  </si>
  <si>
    <t>51- मोटार वाहने</t>
  </si>
  <si>
    <t>06- दूरध्वनी, वीज, पाणी व शुल्क</t>
  </si>
  <si>
    <t>03- अति.भत्ता</t>
  </si>
  <si>
    <t>50- इतर खर्च</t>
  </si>
  <si>
    <t>14- भाडेपट्टी व कर</t>
  </si>
  <si>
    <t>14-भाडेपट्टी व कर</t>
  </si>
  <si>
    <t>जिल्हाधिकारी / सहा. जिल्हाधिकारी</t>
  </si>
  <si>
    <t xml:space="preserve">सुधारीत अंदाज </t>
  </si>
  <si>
    <t>स्थायी + अस्थायी (वर्ग-1,2,3 व 4)</t>
  </si>
  <si>
    <t>वर्ग-1,2,3 व 4</t>
  </si>
  <si>
    <t>स्थायी व अस्थायी पदांचा वर्गनिहाय गोषवारा</t>
  </si>
  <si>
    <t>उपलेखाशिर्ष</t>
  </si>
  <si>
    <t>11- देशांतर्गत प्रवास खर्च</t>
  </si>
  <si>
    <t>मागणी क्र.सी-1- लेखाशिर्ष : 20530028</t>
  </si>
  <si>
    <t>स्थायी + अस्थायी</t>
  </si>
  <si>
    <t>10- कंत्राटी सेवा</t>
  </si>
  <si>
    <t>16- प्रकाशने</t>
  </si>
  <si>
    <r>
      <rPr>
        <b/>
        <u/>
        <sz val="10"/>
        <color indexed="8"/>
        <rFont val="DVOT-Surekh"/>
      </rPr>
      <t>51-मोटार वाहने</t>
    </r>
    <r>
      <rPr>
        <sz val="10"/>
        <color indexed="8"/>
        <rFont val="DVOT-Surekh"/>
      </rPr>
      <t>:- जिल्हाधिकारी कार्यालयांचे  मागणीनुसार वाहन दुरुस्ती व देखभालकरीता अनुदान मंजूर होणेंस विनंती आहे.</t>
    </r>
  </si>
  <si>
    <t>total</t>
  </si>
  <si>
    <t>Amt.</t>
  </si>
  <si>
    <t>Post</t>
  </si>
  <si>
    <t>2019-20</t>
  </si>
  <si>
    <t>जोडपत्र "ड"</t>
  </si>
  <si>
    <t>संवर्गनिहाय माहिती</t>
  </si>
  <si>
    <t>संवर्ग</t>
  </si>
  <si>
    <t>वर्ग-1</t>
  </si>
  <si>
    <t>वर्ग-2</t>
  </si>
  <si>
    <r>
      <rPr>
        <b/>
        <u/>
        <sz val="10"/>
        <color indexed="8"/>
        <rFont val="DVOT-Surekh"/>
      </rPr>
      <t>50-इतर खर्च</t>
    </r>
    <r>
      <rPr>
        <sz val="10"/>
        <color indexed="8"/>
        <rFont val="DVOT-Surekh"/>
      </rPr>
      <t>:- विभागीय आयुक्त कार्यालयाचे सादर अंदाजपत्रकामध्ये नमूद बाबींव्यतिरिक्त विभागीय आयुक्त यांचे अधिनस्त जिल्हाधिकारी व तहसिलदार कार्यालयांत करण्यात येणा-या खर्चाकरीता नवीन बाब निर्माण करण्यासाठी  जिल्हाधिकारी कार्यालयांचे आवश्यकतेप्रमाणे अनुदान मंजूर होणेंस विनंती आहे.</t>
    </r>
  </si>
  <si>
    <r>
      <rPr>
        <b/>
        <u/>
        <sz val="10"/>
        <color indexed="8"/>
        <rFont val="DVOT-Surekh"/>
      </rPr>
      <t>03- अति. भत्ता</t>
    </r>
    <r>
      <rPr>
        <sz val="10"/>
        <color indexed="8"/>
        <rFont val="DVOT-Surekh"/>
      </rPr>
      <t xml:space="preserve">:-शासनाने ठरवून दिलेल्या वाढीव महसूल उद्दिष्टपूर्तताबाबत विभागीय आयुक्त कोकण विभाग यांचे अधिनस्त 7 जिल्हाधिकारी व 50 तहसिलदार यांच्या सोबत त्यांचे वाहन चालकांना फिरती करावी लागते. सबब अतिकालिक भत्त्यात वाढ झाली आहे.                                                                      </t>
    </r>
  </si>
  <si>
    <r>
      <rPr>
        <b/>
        <u/>
        <sz val="10"/>
        <color indexed="8"/>
        <rFont val="DVOT-Surekh"/>
      </rPr>
      <t>14-भाडेपट्टी व क</t>
    </r>
    <r>
      <rPr>
        <sz val="10"/>
        <color indexed="8"/>
        <rFont val="DVOT-Surekh"/>
      </rPr>
      <t>र:- विभागीय आयुक्त कोकण विभाग यांचे अधिनस्त काही जिल्हाधिकारी व तहसिल कार्यालये ही भाडे‍ तत्वावर असल्याने तसेच भविष्यातील भाडेवाढ लक्षात घेता अधिनस्त जिल्हाधिकारी कार्यालयाकडील अंदाजपत्रकीय अनुदान मागणीनुसार अनुदान मंजूर होणेंस विनंती आहे.</t>
    </r>
  </si>
  <si>
    <r>
      <rPr>
        <b/>
        <u/>
        <sz val="10"/>
        <color indexed="8"/>
        <rFont val="DVOT-Surekh"/>
      </rPr>
      <t>16- प्रकाशने</t>
    </r>
    <r>
      <rPr>
        <sz val="10"/>
        <color indexed="8"/>
        <rFont val="DVOT-Surekh"/>
      </rPr>
      <t>:- विभागीय आयुक्त कोकण विभाग यांचे अधिनस्त सर्व जिल्हाधिकारी व तहसिल कार्यालयांतील  विविध प्रकारच्या छपाईची  देयके अदा करण्याकरीता नवीन बाब निर्माण करण्यासाठी टोकन रक्कमेची आवश्यक आहे.</t>
    </r>
  </si>
  <si>
    <r>
      <rPr>
        <b/>
        <u/>
        <sz val="10"/>
        <color indexed="8"/>
        <rFont val="DVOT-Surekh"/>
      </rPr>
      <t>17-संगणक खर्च</t>
    </r>
    <r>
      <rPr>
        <sz val="10"/>
        <color indexed="8"/>
        <rFont val="DVOT-Surekh"/>
      </rPr>
      <t>:- E-Office, कार्यालयीन कामकाजातील संगणकाचा वाढता वापर या पार्श्वभूमीवर संगणक खर्च अनुदानात वाढ होणे अत्यावश्यक आहे.  संपूर्ण कोकण विभागातील 7 जिल्हयांतील कार्यालयास आवश्यक संगणक खर्चाकरिता वाढीव अनुदान मंजूर होणे आवश्यक आहे.</t>
    </r>
  </si>
  <si>
    <r>
      <rPr>
        <b/>
        <u/>
        <sz val="10"/>
        <color indexed="8"/>
        <rFont val="DVOT-Surekh"/>
      </rPr>
      <t>20- इतर प्रशासकीय खर्च</t>
    </r>
    <r>
      <rPr>
        <sz val="10"/>
        <color indexed="8"/>
        <rFont val="DVOT-Surekh"/>
      </rPr>
      <t>:- विभागीय आयुक्त कोकण विभाग यांचे अधिनस्त सर्व जिल्हाधिकारी व तहसिलदार कार्यालयांत आयोजित विविध प्रकारच्या बैठका आयोजित केल्या जातात. त्यावेळी उपस्थितांकरीता चहा, नास्ता इत्यादी मागविण्यात येतो. सदर खर्चाची देयके अदा करण्याकरीता नवीन बाब निर्माण करण्यासाठी  जिल्हाधिकारी कार्यालयांचे मागणीनुसार अनुदान मंजूर होणेंस विनंती आहे.</t>
    </r>
  </si>
  <si>
    <r>
      <rPr>
        <b/>
        <u/>
        <sz val="10"/>
        <color indexed="8"/>
        <rFont val="DVOT-Surekh"/>
      </rPr>
      <t>26-जाहीरात व प्रसिध्दी खर्च</t>
    </r>
    <r>
      <rPr>
        <sz val="10"/>
        <color indexed="8"/>
        <rFont val="DVOT-Surekh"/>
      </rPr>
      <t>:- जिल्हाधिकारी कार्यालयांचे आवश्यकतेप्रमाणे अनुदान मंजूर होणेंस विनंती आहे.</t>
    </r>
  </si>
  <si>
    <t>2020-21</t>
  </si>
  <si>
    <t>अर्थसंकल्पीय अंदाजपत्रक सन 2020-2021</t>
  </si>
  <si>
    <t>2020-2021</t>
  </si>
  <si>
    <t>7 व्या वेतन आयोग फरक</t>
  </si>
  <si>
    <r>
      <rPr>
        <b/>
        <u/>
        <sz val="10"/>
        <color indexed="8"/>
        <rFont val="DVOT-Surekh"/>
      </rPr>
      <t>10- कंत्राटी सेवा</t>
    </r>
    <r>
      <rPr>
        <sz val="10"/>
        <color indexed="8"/>
        <rFont val="DVOT-Surekh"/>
      </rPr>
      <t>:-  1) शासन वित्त विभाग शासन परिपत्रक क्र. संकीर्ण-2019/प्र.क्र.22/कोषा प्रशा-4, दि.29/01/2020 अन्वये विधी अधिकारी या (कंत्राटी) पदाच्या मानधनाकरीता तरतुद करण्यात आली आहे. विभागीय आयुक्त कोकण विभाग यांचे अधिनस्त सर्व जिल्हाधिकारी व तहसिल कार्यालयांतील कंत्राटी पध्दतीने विविध सेवा देणा-या कर्मचा-यांची  देयके अदा करण्याकरीता तरतुद करण्यात आली आहे.</t>
    </r>
  </si>
  <si>
    <t>2021-2022</t>
  </si>
  <si>
    <t>2022-2023</t>
  </si>
  <si>
    <t>2023-2024</t>
  </si>
  <si>
    <t>2023-24</t>
  </si>
  <si>
    <t>2024-25</t>
  </si>
  <si>
    <r>
      <rPr>
        <b/>
        <u/>
        <sz val="10"/>
        <color indexed="8"/>
        <rFont val="DVOT-Surekh"/>
      </rPr>
      <t>06- दूरध्वनी, वीज पाणी व शुल्क</t>
    </r>
    <r>
      <rPr>
        <sz val="10"/>
        <color indexed="8"/>
        <rFont val="DVOT-Surekh"/>
      </rPr>
      <t xml:space="preserve">:- (1)कोकण विभागांतर्गत एकूण  7 जिल्हाधिकारी कार्यालय व 50 तहसिल कार्यालय कार्यरत आहेत. (2)या बाबीखाली विभागात शासनाने ठरवून दिलेल्या जमीन महसूल कर वसुलीच्या वाढीव उद्दिष्टपूर्तता बाबत प्रशासकिय, विभागीय, जिल्हा, उपविभागीय व तहसिल कार्यालयांशी मोठया प्रमाणावर संपर्क साधण्यासाठी दूरध्वनीचा वापर, वीजेचे वाढलेले दर व पाणीपट्टीची वाढीव देयके यासाठी वाढीव अनुदानाची गरज आहे.  (2)उपरोक्त सर्व पार्श्वभुमीवर मागणी व प्रत्यक्ष खर्चाचे प्रमाणे अनुदान मंजूर व्हावे ही विनंती.  </t>
    </r>
  </si>
  <si>
    <r>
      <rPr>
        <b/>
        <u/>
        <sz val="10"/>
        <color indexed="8"/>
        <rFont val="DVOT-Surekh"/>
      </rPr>
      <t>11- देशांतर्गत प्रवास खर्च:</t>
    </r>
    <r>
      <rPr>
        <sz val="10"/>
        <color indexed="8"/>
        <rFont val="DVOT-Surekh"/>
      </rPr>
      <t>-अपु-या अनुदानामुळे कोकण विभागाचे अधिनस्त 7 जिल्हाधिकारी व 50 तहसिलदार कार्यालयांमध्ये गैरसाय निर्माण होत आहे.सबब कोकण विभागातील अधिकारी/कर्मचारी यांचे मागणी प्रमाणे पुरेसे अनुदान मंजूर होणेस सविनय विनंती आहे.</t>
    </r>
  </si>
  <si>
    <r>
      <rPr>
        <b/>
        <u/>
        <sz val="10"/>
        <color indexed="8"/>
        <rFont val="DVOT-Surekh"/>
      </rPr>
      <t>13-कार्यालयीन खर्च</t>
    </r>
    <r>
      <rPr>
        <sz val="10"/>
        <color indexed="8"/>
        <rFont val="DVOT-Surekh"/>
      </rPr>
      <t xml:space="preserve">:-कार्यालयीन खर्चामध्ये होणारी दरवाढ, प्रलंबित देयके, स्टेशनरीमधील दरवाढ तसेच गतवर्षांत सातत्याने अत्यल्प अनुदान मंजूर होत असल्याने अंदाजपत्रकीय मागणीप्रमाणे अनुदान मंजूर होणेंस विनंती आहे. वित्तीय अधिकारी नियम पुस्तिकेतील सुधारीत वित्तीय नियमानुसार वित्तीय मर्यादेत वाढ झाल्याने वाढीव अनुदानाची आवश्यकता आहे. 
</t>
    </r>
  </si>
  <si>
    <t>सहायक संचालक (लेखा) कोकण विभाग</t>
  </si>
  <si>
    <t xml:space="preserve">लघुलेखक(निम्न)/परिक्षण भूमापक/आरेखक/ </t>
  </si>
  <si>
    <t>टेलि.ऑपरेटर/लघुटंकलेखक(विधी अधि.सहा.)/शिरस्तेदार</t>
  </si>
  <si>
    <t>सहाय्यक संचालक (लेखा) कोकण विभाग</t>
  </si>
  <si>
    <r>
      <rPr>
        <b/>
        <u/>
        <sz val="10"/>
        <color indexed="8"/>
        <rFont val="DVOT-Surekh"/>
      </rPr>
      <t>36-लहान बांधकाम</t>
    </r>
    <r>
      <rPr>
        <sz val="10"/>
        <color indexed="8"/>
        <rFont val="DVOT-Surekh"/>
      </rPr>
      <t>:-जिल्हाधिकारी कार्यालय मुंबई शहरशी संबंधित प्रस्तावित लहान बांधकामाचे  कामकाजाकरीता रु. 12.80 लाखाची अंदाजित तरतूद करण्यात आली आहे.</t>
    </r>
  </si>
  <si>
    <r>
      <rPr>
        <b/>
        <u/>
        <sz val="10"/>
        <color indexed="8"/>
        <rFont val="DVOT-Surekh"/>
      </rPr>
      <t>24-इंधन खर्च</t>
    </r>
    <r>
      <rPr>
        <sz val="10"/>
        <color indexed="8"/>
        <rFont val="DVOT-Surekh"/>
      </rPr>
      <t>:- (1)लेखाशिर्ष 20530028 अंतर्गत जिल्हा प्रशासन तसेच तहसिलदार यांची एकूण 65 वाहनांची इंधन देयके अदा केली जातात. सबब एकूण 65 वाहनांकरीता 297 लाख एवढे अनुदान आवश्यक आहे. (2)कृपया वाढीव इंधन दराच्या पार्श्वभूमीवर वाढीव अनुदान प्राप्त होणेंस विनंती आहे.</t>
    </r>
  </si>
  <si>
    <t>अर्थसंकल्पीय अंदाजपत्रक सन 2025-2026</t>
  </si>
  <si>
    <t>अर्थसंकल्पीय अंदाज 2025-2026</t>
  </si>
  <si>
    <t>अर्थसंकल्पीय अंदाजपत्रक सन 2025-2026 (जिल्हानिहाय)</t>
  </si>
  <si>
    <t>महागाई भत्ता 64%</t>
  </si>
  <si>
    <t xml:space="preserve">01- वेतन:- या बाबीखाली  सातवा वेतन आयोग फरक, चालु महागाई भत्ता दर आकारणी 64% प्रमाणे विचारात घेवून केली आहे. वेळोवेळी होणारी वेतनवाढ व महागाई भत्ता दराप्रमाणे वाढीव अनुदान मिळणेस विनंती आहे.                                                                                                                                                                                                                                                                                                                                                                                                                                                                                                                                                                        </t>
  </si>
  <si>
    <t>2024-2025</t>
  </si>
  <si>
    <t>NPS</t>
  </si>
  <si>
    <t>7 व्या वेतन आयोग फरक+ NPS</t>
  </si>
  <si>
    <t>2025-26</t>
  </si>
  <si>
    <t xml:space="preserve">टीप   : विभागीय आयुक्त कोकण विभाग अधिनस्त जिल्हाधिकारी कार्यालय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</si>
</sst>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b/>
      <sz val="16"/>
      <color indexed="8"/>
      <name val="DVB-TTYogeshEN"/>
      <family val="5"/>
    </font>
    <font>
      <sz val="16"/>
      <color indexed="8"/>
      <name val="DVB-TTYogeshEN"/>
      <family val="5"/>
    </font>
    <font>
      <b/>
      <sz val="14"/>
      <color indexed="8"/>
      <name val="DVB-TTYogeshEN"/>
      <family val="5"/>
    </font>
    <font>
      <sz val="14"/>
      <color indexed="8"/>
      <name val="DVB-TTYogeshEN"/>
      <family val="5"/>
    </font>
    <font>
      <sz val="14"/>
      <name val="DVB-TTYogeshEN"/>
      <family val="5"/>
    </font>
    <font>
      <b/>
      <sz val="14"/>
      <name val="DVB-TTYogeshEN"/>
      <family val="5"/>
    </font>
    <font>
      <b/>
      <u/>
      <sz val="18"/>
      <color indexed="8"/>
      <name val="DVB-TTYogeshEN"/>
      <family val="5"/>
    </font>
    <font>
      <b/>
      <u/>
      <sz val="16"/>
      <color indexed="8"/>
      <name val="DVB-TTYogeshEN"/>
      <family val="5"/>
    </font>
    <font>
      <sz val="16"/>
      <name val="DVB-TTYogeshEN"/>
      <family val="5"/>
    </font>
    <font>
      <b/>
      <sz val="16"/>
      <name val="DVB-TTYogeshEN"/>
      <family val="5"/>
    </font>
    <font>
      <b/>
      <sz val="12"/>
      <color indexed="8"/>
      <name val="DVB-TTYogeshEN"/>
      <family val="5"/>
    </font>
    <font>
      <b/>
      <sz val="15"/>
      <name val="DVB-TTYogeshEN"/>
      <family val="5"/>
    </font>
    <font>
      <b/>
      <sz val="15"/>
      <color indexed="8"/>
      <name val="DVB-TTYogeshEN"/>
      <family val="5"/>
    </font>
    <font>
      <sz val="8"/>
      <name val="Calibri"/>
      <family val="2"/>
    </font>
    <font>
      <sz val="15"/>
      <name val="DVB-TTYogeshEN"/>
      <family val="5"/>
    </font>
    <font>
      <sz val="13"/>
      <color indexed="8"/>
      <name val="DVB-TTYogeshEN"/>
      <family val="5"/>
    </font>
    <font>
      <b/>
      <u/>
      <sz val="14"/>
      <color indexed="8"/>
      <name val="DVOT-Surekh"/>
    </font>
    <font>
      <b/>
      <u/>
      <sz val="14"/>
      <color indexed="8"/>
      <name val="DVB-TTYogeshEN"/>
      <family val="5"/>
    </font>
    <font>
      <sz val="11"/>
      <color indexed="8"/>
      <name val="DVOT-Surekh"/>
    </font>
    <font>
      <sz val="11"/>
      <color indexed="8"/>
      <name val="DVB-TTYogeshEN"/>
      <family val="5"/>
    </font>
    <font>
      <sz val="12"/>
      <name val="DVOT-Surekh"/>
    </font>
    <font>
      <sz val="12"/>
      <name val="DVB-TTYogeshEN"/>
      <family val="5"/>
    </font>
    <font>
      <b/>
      <u/>
      <sz val="14"/>
      <name val="DVOT-Surekh"/>
    </font>
    <font>
      <b/>
      <u/>
      <sz val="14"/>
      <name val="DVB-TTYogeshEN"/>
      <family val="5"/>
    </font>
    <font>
      <b/>
      <sz val="14"/>
      <name val="DVOT-Surekh"/>
    </font>
    <font>
      <sz val="12"/>
      <color indexed="8"/>
      <name val="DVB-TTYogeshEN"/>
      <family val="5"/>
    </font>
    <font>
      <sz val="12"/>
      <color indexed="8"/>
      <name val="DVOT-Surekh"/>
    </font>
    <font>
      <b/>
      <sz val="14"/>
      <color indexed="8"/>
      <name val="DVOT-Surekh"/>
    </font>
    <font>
      <b/>
      <sz val="12"/>
      <color indexed="8"/>
      <name val="DVOT-Surekh"/>
    </font>
    <font>
      <b/>
      <u/>
      <sz val="12"/>
      <color indexed="8"/>
      <name val="DVOT-Surekh"/>
    </font>
    <font>
      <b/>
      <sz val="10"/>
      <color indexed="8"/>
      <name val="DVOT-Surekh"/>
    </font>
    <font>
      <sz val="11"/>
      <name val="DVOT-Surekh"/>
    </font>
    <font>
      <sz val="10"/>
      <color indexed="8"/>
      <name val="DVOT-Surekh"/>
    </font>
    <font>
      <b/>
      <u/>
      <sz val="10"/>
      <color indexed="8"/>
      <name val="DVOT-Surekh"/>
    </font>
    <font>
      <b/>
      <sz val="18"/>
      <color indexed="8"/>
      <name val="DVB-TTYogeshEN"/>
      <family val="5"/>
    </font>
    <font>
      <b/>
      <sz val="18"/>
      <color indexed="8"/>
      <name val="DVOT-Surekh"/>
    </font>
    <font>
      <sz val="14"/>
      <color indexed="8"/>
      <name val="DVOT-Surekh"/>
    </font>
    <font>
      <b/>
      <sz val="11"/>
      <color indexed="8"/>
      <name val="DVOT-Surekh"/>
    </font>
    <font>
      <b/>
      <sz val="11"/>
      <name val="DVOT-Surekh"/>
    </font>
    <font>
      <sz val="8"/>
      <color indexed="8"/>
      <name val="DVOT-Surekh"/>
    </font>
    <font>
      <sz val="10"/>
      <name val="DVOT-Surekh"/>
    </font>
    <font>
      <b/>
      <sz val="12"/>
      <name val="DVOT-Surekh"/>
    </font>
    <font>
      <b/>
      <sz val="20"/>
      <name val="DVOT-Surekh"/>
    </font>
    <font>
      <b/>
      <sz val="10"/>
      <name val="DVOT-Surekh"/>
    </font>
    <font>
      <sz val="10"/>
      <color indexed="8"/>
      <name val="DVOT-SurekhMR"/>
    </font>
    <font>
      <b/>
      <sz val="14"/>
      <color rgb="FFFF0000"/>
      <name val="DVOT-Surekh"/>
    </font>
    <font>
      <b/>
      <sz val="11"/>
      <color theme="1"/>
      <name val="DVOT-Surekh"/>
    </font>
    <font>
      <b/>
      <sz val="11"/>
      <color rgb="FFFF0000"/>
      <name val="DVOT-Surekh"/>
    </font>
    <font>
      <b/>
      <sz val="14"/>
      <color rgb="FFFF0000"/>
      <name val="DVB-TTYogeshEN"/>
      <family val="5"/>
    </font>
    <font>
      <b/>
      <sz val="16"/>
      <color rgb="FFFF0000"/>
      <name val="DVB-TTYogeshEN"/>
      <family val="5"/>
    </font>
    <font>
      <b/>
      <sz val="10"/>
      <color rgb="FFFF0000"/>
      <name val="DVOT-Surekh"/>
    </font>
    <font>
      <b/>
      <u/>
      <sz val="14"/>
      <color rgb="FFFF0000"/>
      <name val="DVOT-Surekh"/>
    </font>
    <font>
      <sz val="16"/>
      <color rgb="FFFF0000"/>
      <name val="DVB-TTYogeshEN"/>
      <family val="5"/>
    </font>
  </fonts>
  <fills count="4">
    <fill>
      <patternFill patternType="none"/>
    </fill>
    <fill>
      <patternFill patternType="gray125"/>
    </fill>
    <fill>
      <patternFill patternType="solid">
        <fgColor theme="0"/>
        <bgColor indexed="64"/>
      </patternFill>
    </fill>
    <fill>
      <patternFill patternType="solid">
        <fgColor theme="6"/>
        <bgColor indexed="64"/>
      </patternFill>
    </fill>
  </fills>
  <borders count="14">
    <border>
      <left/>
      <right/>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cellStyleXfs>
  <cellXfs count="408">
    <xf numFmtId="0" fontId="0" fillId="0" borderId="0" xfId="0"/>
    <xf numFmtId="0" fontId="2" fillId="0" borderId="0" xfId="0" applyFont="1"/>
    <xf numFmtId="0" fontId="1" fillId="0" borderId="1" xfId="0" applyFont="1" applyBorder="1" applyAlignment="1">
      <alignment vertical="top"/>
    </xf>
    <xf numFmtId="0" fontId="1" fillId="0" borderId="1" xfId="0" applyFont="1" applyBorder="1" applyAlignment="1">
      <alignment horizontal="center" vertical="top"/>
    </xf>
    <xf numFmtId="0" fontId="1" fillId="0" borderId="0" xfId="0" applyFont="1" applyAlignment="1">
      <alignment horizontal="center" vertical="top"/>
    </xf>
    <xf numFmtId="0" fontId="1" fillId="0" borderId="0" xfId="0" applyFont="1" applyAlignment="1">
      <alignment vertical="top"/>
    </xf>
    <xf numFmtId="0" fontId="10" fillId="0" borderId="2" xfId="0" applyFont="1" applyBorder="1" applyAlignment="1">
      <alignment vertical="top"/>
    </xf>
    <xf numFmtId="0" fontId="2" fillId="0" borderId="3" xfId="0" applyFont="1" applyBorder="1" applyAlignment="1">
      <alignment horizontal="center" vertical="top" wrapText="1"/>
    </xf>
    <xf numFmtId="0" fontId="2" fillId="0" borderId="3" xfId="0" applyFont="1" applyBorder="1" applyAlignment="1">
      <alignment vertical="top" wrapText="1"/>
    </xf>
    <xf numFmtId="0" fontId="9" fillId="0" borderId="3" xfId="0" applyFont="1" applyBorder="1" applyAlignment="1">
      <alignment vertical="top" wrapText="1"/>
    </xf>
    <xf numFmtId="0" fontId="2" fillId="0" borderId="0" xfId="0" applyFont="1" applyAlignment="1">
      <alignment vertical="top"/>
    </xf>
    <xf numFmtId="0" fontId="29" fillId="0" borderId="1" xfId="0" applyFont="1" applyBorder="1" applyAlignment="1">
      <alignment horizontal="center" vertical="top"/>
    </xf>
    <xf numFmtId="0" fontId="32" fillId="0" borderId="2" xfId="0" applyFont="1" applyBorder="1" applyAlignment="1">
      <alignment horizontal="right" vertical="top"/>
    </xf>
    <xf numFmtId="0" fontId="27" fillId="0" borderId="3" xfId="0" applyFont="1" applyBorder="1" applyAlignment="1">
      <alignment horizontal="center" vertical="top" wrapText="1"/>
    </xf>
    <xf numFmtId="0" fontId="16" fillId="0" borderId="3" xfId="0" applyFont="1" applyBorder="1" applyAlignment="1">
      <alignment horizontal="center" vertical="top"/>
    </xf>
    <xf numFmtId="0" fontId="16" fillId="0" borderId="0" xfId="0" applyFont="1" applyAlignment="1">
      <alignment vertical="top"/>
    </xf>
    <xf numFmtId="0" fontId="27" fillId="0" borderId="3" xfId="0" applyFont="1" applyBorder="1" applyAlignment="1">
      <alignment vertical="top" wrapText="1"/>
    </xf>
    <xf numFmtId="0" fontId="1" fillId="2" borderId="0" xfId="0" applyFont="1" applyFill="1" applyAlignment="1">
      <alignment vertical="top"/>
    </xf>
    <xf numFmtId="0" fontId="1" fillId="2" borderId="0" xfId="0" applyFont="1" applyFill="1" applyAlignment="1">
      <alignment horizontal="center" vertical="top"/>
    </xf>
    <xf numFmtId="0" fontId="2" fillId="2" borderId="0" xfId="0" applyFont="1" applyFill="1"/>
    <xf numFmtId="0" fontId="33" fillId="0" borderId="3" xfId="0" applyFont="1" applyBorder="1" applyAlignment="1">
      <alignment horizontal="justify" vertical="top" wrapText="1"/>
    </xf>
    <xf numFmtId="0" fontId="2" fillId="3" borderId="0" xfId="0" applyFont="1" applyFill="1"/>
    <xf numFmtId="0" fontId="1" fillId="3" borderId="1" xfId="0" applyFont="1" applyFill="1" applyBorder="1" applyAlignment="1">
      <alignment vertical="top"/>
    </xf>
    <xf numFmtId="0" fontId="29" fillId="3" borderId="1" xfId="0" applyFont="1" applyFill="1" applyBorder="1" applyAlignment="1">
      <alignment horizontal="center" vertical="top"/>
    </xf>
    <xf numFmtId="0" fontId="29" fillId="3" borderId="0" xfId="0" applyFont="1" applyFill="1"/>
    <xf numFmtId="0" fontId="11" fillId="3" borderId="0" xfId="0" applyFont="1" applyFill="1" applyAlignment="1">
      <alignment horizontal="center"/>
    </xf>
    <xf numFmtId="0" fontId="26" fillId="3" borderId="0" xfId="0" applyFont="1" applyFill="1"/>
    <xf numFmtId="0" fontId="29" fillId="3" borderId="3" xfId="0" applyFont="1" applyFill="1" applyBorder="1" applyAlignment="1">
      <alignment horizontal="center"/>
    </xf>
    <xf numFmtId="0" fontId="2" fillId="3" borderId="3" xfId="0" applyFont="1" applyFill="1" applyBorder="1" applyAlignment="1">
      <alignment horizontal="center" vertical="center" wrapText="1"/>
    </xf>
    <xf numFmtId="0" fontId="2" fillId="3" borderId="3" xfId="0" applyFont="1" applyFill="1" applyBorder="1" applyAlignment="1">
      <alignment horizontal="right" vertical="center" wrapText="1"/>
    </xf>
    <xf numFmtId="0" fontId="1" fillId="3" borderId="3" xfId="0" applyFont="1" applyFill="1" applyBorder="1" applyAlignment="1">
      <alignment horizontal="right"/>
    </xf>
    <xf numFmtId="0" fontId="29" fillId="3" borderId="3" xfId="0" applyFont="1" applyFill="1" applyBorder="1" applyAlignment="1">
      <alignment horizontal="center" vertical="center" wrapText="1"/>
    </xf>
    <xf numFmtId="0" fontId="1" fillId="3" borderId="1" xfId="0" applyFont="1" applyFill="1" applyBorder="1" applyAlignment="1">
      <alignment horizontal="right" vertical="center" wrapText="1"/>
    </xf>
    <xf numFmtId="0" fontId="1" fillId="3" borderId="0" xfId="0" applyFont="1" applyFill="1" applyAlignment="1">
      <alignment vertical="center" wrapText="1"/>
    </xf>
    <xf numFmtId="0" fontId="29" fillId="3" borderId="3"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3" xfId="0" applyFont="1" applyFill="1" applyBorder="1" applyAlignment="1">
      <alignment vertical="top" wrapText="1"/>
    </xf>
    <xf numFmtId="0" fontId="1" fillId="3" borderId="3" xfId="0" applyFont="1" applyFill="1" applyBorder="1" applyAlignment="1">
      <alignment vertical="top" wrapText="1"/>
    </xf>
    <xf numFmtId="0" fontId="1" fillId="2" borderId="0" xfId="0" applyFont="1" applyFill="1"/>
    <xf numFmtId="0" fontId="8" fillId="2" borderId="0" xfId="0" applyFont="1" applyFill="1"/>
    <xf numFmtId="0" fontId="29" fillId="2" borderId="0" xfId="0" applyFont="1" applyFill="1"/>
    <xf numFmtId="0" fontId="11" fillId="2" borderId="0" xfId="0" applyFont="1" applyFill="1" applyAlignment="1">
      <alignment horizontal="center"/>
    </xf>
    <xf numFmtId="0" fontId="26" fillId="2" borderId="0" xfId="0" applyFont="1" applyFill="1"/>
    <xf numFmtId="0" fontId="29" fillId="2" borderId="3" xfId="0" applyFont="1" applyFill="1" applyBorder="1" applyAlignment="1">
      <alignment horizontal="center"/>
    </xf>
    <xf numFmtId="0" fontId="2" fillId="2" borderId="3" xfId="0" applyFont="1" applyFill="1" applyBorder="1" applyAlignment="1">
      <alignment horizontal="center" vertical="center" wrapText="1"/>
    </xf>
    <xf numFmtId="0" fontId="2" fillId="2" borderId="3" xfId="0" applyFont="1" applyFill="1" applyBorder="1" applyAlignment="1">
      <alignment horizontal="right" vertical="center" wrapText="1"/>
    </xf>
    <xf numFmtId="0" fontId="1" fillId="2" borderId="3" xfId="0" applyFont="1" applyFill="1" applyBorder="1" applyAlignment="1">
      <alignment horizontal="right"/>
    </xf>
    <xf numFmtId="0" fontId="29" fillId="2" borderId="3"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1" fillId="2" borderId="0" xfId="0" applyFont="1" applyFill="1" applyAlignment="1">
      <alignment vertical="center" wrapText="1"/>
    </xf>
    <xf numFmtId="0" fontId="29" fillId="2" borderId="3"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3" xfId="0" applyFont="1" applyFill="1" applyBorder="1" applyAlignment="1">
      <alignment vertical="top" wrapText="1"/>
    </xf>
    <xf numFmtId="0" fontId="1" fillId="2" borderId="3" xfId="0" applyFont="1" applyFill="1" applyBorder="1" applyAlignment="1">
      <alignment vertical="top" wrapText="1"/>
    </xf>
    <xf numFmtId="0" fontId="2" fillId="2" borderId="0" xfId="0" applyFont="1" applyFill="1" applyAlignment="1">
      <alignment horizontal="center" vertical="top" wrapText="1"/>
    </xf>
    <xf numFmtId="0" fontId="29" fillId="2" borderId="0" xfId="0" applyFont="1" applyFill="1" applyAlignment="1">
      <alignment horizontal="center"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1" fillId="2" borderId="3" xfId="0" applyFont="1" applyFill="1" applyBorder="1" applyAlignment="1">
      <alignment vertical="center" wrapText="1"/>
    </xf>
    <xf numFmtId="0" fontId="10" fillId="3" borderId="2" xfId="0" applyFont="1" applyFill="1" applyBorder="1" applyAlignment="1">
      <alignment vertical="top"/>
    </xf>
    <xf numFmtId="0" fontId="32" fillId="3" borderId="2" xfId="0" applyFont="1" applyFill="1" applyBorder="1" applyAlignment="1">
      <alignment horizontal="right" vertical="top"/>
    </xf>
    <xf numFmtId="0" fontId="27" fillId="3" borderId="3" xfId="0" applyFont="1" applyFill="1" applyBorder="1" applyAlignment="1">
      <alignment horizontal="center" vertical="top" wrapText="1"/>
    </xf>
    <xf numFmtId="0" fontId="16" fillId="3" borderId="3" xfId="0" applyFont="1" applyFill="1" applyBorder="1" applyAlignment="1">
      <alignment horizontal="center" vertical="top"/>
    </xf>
    <xf numFmtId="0" fontId="16" fillId="3" borderId="0" xfId="0" applyFont="1" applyFill="1" applyAlignment="1">
      <alignment vertical="top"/>
    </xf>
    <xf numFmtId="0" fontId="27" fillId="3" borderId="3" xfId="0" applyFont="1" applyFill="1" applyBorder="1" applyAlignment="1">
      <alignment vertical="top" wrapText="1"/>
    </xf>
    <xf numFmtId="0" fontId="9" fillId="3" borderId="3" xfId="0" applyFont="1" applyFill="1" applyBorder="1" applyAlignment="1">
      <alignment vertical="top" wrapText="1"/>
    </xf>
    <xf numFmtId="0" fontId="1" fillId="3" borderId="1" xfId="0" applyFont="1" applyFill="1" applyBorder="1" applyAlignment="1">
      <alignment horizontal="center" vertical="top"/>
    </xf>
    <xf numFmtId="0" fontId="2" fillId="3" borderId="0" xfId="0" applyFont="1" applyFill="1" applyAlignment="1">
      <alignment vertical="top"/>
    </xf>
    <xf numFmtId="0" fontId="31" fillId="0" borderId="3" xfId="0" applyFont="1" applyBorder="1" applyAlignment="1">
      <alignment horizontal="justify" vertical="top" wrapText="1"/>
    </xf>
    <xf numFmtId="0" fontId="35" fillId="0" borderId="1" xfId="0" applyFont="1" applyBorder="1" applyAlignment="1">
      <alignment horizontal="center" vertical="top"/>
    </xf>
    <xf numFmtId="0" fontId="36" fillId="0" borderId="1" xfId="0" applyFont="1" applyBorder="1" applyAlignment="1">
      <alignment horizontal="center" vertical="top"/>
    </xf>
    <xf numFmtId="0" fontId="35" fillId="0" borderId="1" xfId="0" applyFont="1" applyBorder="1" applyAlignment="1">
      <alignment vertical="top"/>
    </xf>
    <xf numFmtId="0" fontId="36" fillId="0" borderId="3" xfId="0" applyFont="1" applyBorder="1" applyAlignment="1">
      <alignment horizontal="center" vertical="top" wrapText="1"/>
    </xf>
    <xf numFmtId="0" fontId="4" fillId="2" borderId="0" xfId="0" applyFont="1" applyFill="1"/>
    <xf numFmtId="0" fontId="17" fillId="2" borderId="2" xfId="0" applyFont="1" applyFill="1" applyBorder="1" applyAlignment="1">
      <alignment vertical="top"/>
    </xf>
    <xf numFmtId="0" fontId="18" fillId="2" borderId="2" xfId="0" applyFont="1" applyFill="1" applyBorder="1" applyAlignment="1">
      <alignment vertical="top"/>
    </xf>
    <xf numFmtId="1" fontId="7" fillId="2" borderId="2" xfId="0" applyNumberFormat="1" applyFont="1" applyFill="1" applyBorder="1" applyAlignment="1">
      <alignment vertical="top"/>
    </xf>
    <xf numFmtId="0" fontId="7" fillId="2" borderId="2" xfId="0" applyFont="1" applyFill="1" applyBorder="1" applyAlignment="1">
      <alignment vertical="top"/>
    </xf>
    <xf numFmtId="1" fontId="27" fillId="2" borderId="3" xfId="0" applyNumberFormat="1" applyFont="1" applyFill="1" applyBorder="1" applyAlignment="1">
      <alignment vertical="top" wrapText="1"/>
    </xf>
    <xf numFmtId="1" fontId="9" fillId="2" borderId="3" xfId="0" applyNumberFormat="1" applyFont="1" applyFill="1" applyBorder="1" applyAlignment="1">
      <alignment horizontal="right" vertical="top"/>
    </xf>
    <xf numFmtId="1" fontId="10" fillId="2" borderId="3" xfId="0" applyNumberFormat="1" applyFont="1" applyFill="1" applyBorder="1" applyAlignment="1">
      <alignment horizontal="right" vertical="top"/>
    </xf>
    <xf numFmtId="1" fontId="21" fillId="2" borderId="3" xfId="0" applyNumberFormat="1" applyFont="1" applyFill="1" applyBorder="1" applyAlignment="1">
      <alignment vertical="top" wrapText="1"/>
    </xf>
    <xf numFmtId="1" fontId="21" fillId="2" borderId="3" xfId="0" applyNumberFormat="1" applyFont="1" applyFill="1" applyBorder="1" applyAlignment="1">
      <alignment vertical="top"/>
    </xf>
    <xf numFmtId="1" fontId="28" fillId="2" borderId="1" xfId="0" applyNumberFormat="1" applyFont="1" applyFill="1" applyBorder="1" applyAlignment="1">
      <alignment horizontal="center" vertical="top"/>
    </xf>
    <xf numFmtId="1" fontId="25" fillId="2" borderId="1" xfId="0" applyNumberFormat="1" applyFont="1" applyFill="1" applyBorder="1" applyAlignment="1">
      <alignment horizontal="center" vertical="top"/>
    </xf>
    <xf numFmtId="1" fontId="28" fillId="2" borderId="0" xfId="0" applyNumberFormat="1" applyFont="1" applyFill="1" applyAlignment="1">
      <alignment horizontal="center" vertical="top"/>
    </xf>
    <xf numFmtId="1" fontId="25" fillId="2" borderId="0" xfId="0" applyNumberFormat="1" applyFont="1" applyFill="1" applyAlignment="1">
      <alignment horizontal="center" vertical="top"/>
    </xf>
    <xf numFmtId="1" fontId="5" fillId="2" borderId="3" xfId="0" applyNumberFormat="1" applyFont="1" applyFill="1" applyBorder="1" applyAlignment="1">
      <alignment vertical="top"/>
    </xf>
    <xf numFmtId="1" fontId="6" fillId="2" borderId="3" xfId="0" applyNumberFormat="1" applyFont="1" applyFill="1" applyBorder="1" applyAlignment="1">
      <alignment vertical="top"/>
    </xf>
    <xf numFmtId="1" fontId="4" fillId="2" borderId="3" xfId="0" applyNumberFormat="1" applyFont="1" applyFill="1" applyBorder="1" applyAlignment="1">
      <alignment vertical="top"/>
    </xf>
    <xf numFmtId="1" fontId="3" fillId="2" borderId="3" xfId="0" applyNumberFormat="1" applyFont="1" applyFill="1" applyBorder="1" applyAlignment="1">
      <alignment vertical="top"/>
    </xf>
    <xf numFmtId="1" fontId="3" fillId="2" borderId="3" xfId="0" applyNumberFormat="1" applyFont="1" applyFill="1" applyBorder="1" applyAlignment="1">
      <alignment horizontal="right" vertical="top"/>
    </xf>
    <xf numFmtId="1" fontId="4" fillId="2" borderId="0" xfId="0" applyNumberFormat="1" applyFont="1" applyFill="1" applyAlignment="1">
      <alignment vertical="top"/>
    </xf>
    <xf numFmtId="0" fontId="4" fillId="2" borderId="0" xfId="0" applyFont="1" applyFill="1" applyAlignment="1">
      <alignment vertical="top"/>
    </xf>
    <xf numFmtId="1" fontId="25" fillId="2" borderId="3" xfId="0" applyNumberFormat="1" applyFont="1" applyFill="1" applyBorder="1" applyAlignment="1">
      <alignment horizontal="center" vertical="top"/>
    </xf>
    <xf numFmtId="0" fontId="23" fillId="2" borderId="2" xfId="0" applyFont="1" applyFill="1" applyBorder="1" applyAlignment="1">
      <alignment vertical="top"/>
    </xf>
    <xf numFmtId="0" fontId="24" fillId="2" borderId="2" xfId="0" applyFont="1" applyFill="1" applyBorder="1" applyAlignment="1">
      <alignment vertical="top"/>
    </xf>
    <xf numFmtId="0" fontId="35" fillId="2" borderId="2" xfId="0" applyFont="1" applyFill="1" applyBorder="1" applyAlignment="1">
      <alignment vertical="top"/>
    </xf>
    <xf numFmtId="1" fontId="4" fillId="2" borderId="0" xfId="0" applyNumberFormat="1" applyFont="1" applyFill="1" applyAlignment="1">
      <alignment vertical="top" wrapText="1"/>
    </xf>
    <xf numFmtId="1" fontId="5" fillId="2" borderId="0" xfId="0" applyNumberFormat="1" applyFont="1" applyFill="1" applyAlignment="1">
      <alignment vertical="top"/>
    </xf>
    <xf numFmtId="1" fontId="15" fillId="2" borderId="3" xfId="0" applyNumberFormat="1" applyFont="1" applyFill="1" applyBorder="1" applyAlignment="1">
      <alignment horizontal="right" vertical="top"/>
    </xf>
    <xf numFmtId="1" fontId="12" fillId="2" borderId="3" xfId="0" applyNumberFormat="1" applyFont="1" applyFill="1" applyBorder="1" applyAlignment="1">
      <alignment horizontal="right" vertical="top"/>
    </xf>
    <xf numFmtId="1" fontId="13" fillId="2" borderId="3" xfId="0" applyNumberFormat="1" applyFont="1" applyFill="1" applyBorder="1" applyAlignment="1">
      <alignment vertical="top"/>
    </xf>
    <xf numFmtId="0" fontId="7" fillId="2" borderId="0" xfId="0" applyFont="1" applyFill="1"/>
    <xf numFmtId="0" fontId="11" fillId="2" borderId="3" xfId="0" applyFont="1" applyFill="1" applyBorder="1" applyAlignment="1">
      <alignment vertical="top"/>
    </xf>
    <xf numFmtId="0" fontId="29" fillId="2" borderId="3" xfId="0" applyFont="1" applyFill="1" applyBorder="1" applyAlignment="1">
      <alignment horizontal="center" vertical="top"/>
    </xf>
    <xf numFmtId="0" fontId="29" fillId="2" borderId="3" xfId="0" applyFont="1" applyFill="1" applyBorder="1" applyAlignment="1">
      <alignment vertical="top"/>
    </xf>
    <xf numFmtId="0" fontId="27" fillId="2" borderId="3" xfId="0" applyFont="1" applyFill="1" applyBorder="1" applyAlignment="1">
      <alignment horizontal="center" vertical="top"/>
    </xf>
    <xf numFmtId="0" fontId="30" fillId="2" borderId="3" xfId="0" applyFont="1" applyFill="1" applyBorder="1" applyAlignment="1">
      <alignment vertical="top"/>
    </xf>
    <xf numFmtId="0" fontId="1" fillId="2" borderId="3" xfId="0" applyFont="1" applyFill="1" applyBorder="1" applyAlignment="1">
      <alignment vertical="top"/>
    </xf>
    <xf numFmtId="0" fontId="29" fillId="2" borderId="1" xfId="0" applyFont="1" applyFill="1" applyBorder="1" applyAlignment="1">
      <alignment vertical="top"/>
    </xf>
    <xf numFmtId="0" fontId="1" fillId="2" borderId="1" xfId="0" applyFont="1" applyFill="1" applyBorder="1" applyAlignment="1">
      <alignment vertical="top"/>
    </xf>
    <xf numFmtId="0" fontId="29" fillId="2" borderId="4" xfId="0" applyFont="1" applyFill="1" applyBorder="1" applyAlignment="1">
      <alignment vertical="top"/>
    </xf>
    <xf numFmtId="0" fontId="29" fillId="2" borderId="1" xfId="0" applyFont="1" applyFill="1" applyBorder="1" applyAlignment="1">
      <alignment horizontal="center" vertical="top"/>
    </xf>
    <xf numFmtId="0" fontId="1" fillId="2" borderId="3" xfId="0" applyFont="1" applyFill="1" applyBorder="1"/>
    <xf numFmtId="0" fontId="1" fillId="2" borderId="1" xfId="0" applyFont="1" applyFill="1" applyBorder="1"/>
    <xf numFmtId="0" fontId="1" fillId="2" borderId="4" xfId="0" applyFont="1" applyFill="1" applyBorder="1"/>
    <xf numFmtId="0" fontId="2" fillId="2" borderId="0" xfId="0" applyFont="1" applyFill="1" applyAlignment="1">
      <alignment horizontal="center" vertical="center" wrapText="1"/>
    </xf>
    <xf numFmtId="0" fontId="2" fillId="2" borderId="3" xfId="0" applyFont="1" applyFill="1" applyBorder="1" applyAlignment="1">
      <alignment horizontal="right"/>
    </xf>
    <xf numFmtId="1" fontId="4" fillId="2" borderId="0" xfId="0" applyNumberFormat="1" applyFont="1" applyFill="1" applyAlignment="1">
      <alignment horizontal="center" vertical="top" wrapText="1"/>
    </xf>
    <xf numFmtId="1" fontId="37" fillId="2" borderId="0" xfId="0" applyNumberFormat="1" applyFont="1" applyFill="1" applyAlignment="1">
      <alignment vertical="top" wrapText="1"/>
    </xf>
    <xf numFmtId="1" fontId="37" fillId="2" borderId="0" xfId="0" applyNumberFormat="1" applyFont="1" applyFill="1" applyAlignment="1">
      <alignment vertical="top"/>
    </xf>
    <xf numFmtId="1" fontId="4" fillId="2" borderId="0" xfId="0" applyNumberFormat="1" applyFont="1" applyFill="1" applyAlignment="1">
      <alignment horizontal="center" vertical="top"/>
    </xf>
    <xf numFmtId="1" fontId="37" fillId="2" borderId="3" xfId="0" applyNumberFormat="1" applyFont="1" applyFill="1" applyBorder="1" applyAlignment="1">
      <alignment horizontal="center" vertical="top"/>
    </xf>
    <xf numFmtId="1" fontId="46" fillId="2" borderId="3" xfId="0" applyNumberFormat="1" applyFont="1" applyFill="1" applyBorder="1" applyAlignment="1">
      <alignment horizontal="center" vertical="top"/>
    </xf>
    <xf numFmtId="0" fontId="4" fillId="2" borderId="0" xfId="0" applyFont="1" applyFill="1" applyAlignment="1">
      <alignment vertical="top" wrapText="1"/>
    </xf>
    <xf numFmtId="0" fontId="38" fillId="0" borderId="0" xfId="0" applyFont="1" applyAlignment="1">
      <alignment vertical="top"/>
    </xf>
    <xf numFmtId="0" fontId="19" fillId="0" borderId="0" xfId="0" applyFont="1" applyAlignment="1">
      <alignment vertical="top" wrapText="1"/>
    </xf>
    <xf numFmtId="0" fontId="19" fillId="0" borderId="3" xfId="0" applyFont="1" applyBorder="1" applyAlignment="1">
      <alignment horizontal="center" vertical="top" wrapText="1"/>
    </xf>
    <xf numFmtId="0" fontId="19" fillId="0" borderId="3" xfId="0" applyFont="1" applyBorder="1" applyAlignment="1">
      <alignment vertical="top" wrapText="1"/>
    </xf>
    <xf numFmtId="0" fontId="38" fillId="0" borderId="0" xfId="0" applyFont="1" applyAlignment="1">
      <alignment vertical="top" wrapText="1"/>
    </xf>
    <xf numFmtId="0" fontId="38" fillId="0" borderId="0" xfId="0" applyFont="1" applyAlignment="1">
      <alignment horizontal="center" vertical="top" wrapText="1"/>
    </xf>
    <xf numFmtId="0" fontId="47" fillId="2" borderId="5" xfId="0" applyFont="1" applyFill="1" applyBorder="1" applyAlignment="1">
      <alignment horizontal="center" vertical="top" wrapText="1"/>
    </xf>
    <xf numFmtId="0" fontId="39" fillId="0" borderId="3" xfId="0" applyFont="1" applyBorder="1" applyAlignment="1">
      <alignment horizontal="center" vertical="top" wrapText="1"/>
    </xf>
    <xf numFmtId="0" fontId="48" fillId="0" borderId="1" xfId="0" applyFont="1" applyBorder="1" applyAlignment="1">
      <alignment vertical="top" wrapText="1"/>
    </xf>
    <xf numFmtId="0" fontId="48" fillId="0" borderId="3" xfId="0" applyFont="1" applyBorder="1" applyAlignment="1">
      <alignment vertical="top" wrapText="1"/>
    </xf>
    <xf numFmtId="0" fontId="17" fillId="2" borderId="0" xfId="0" applyFont="1" applyFill="1" applyAlignment="1">
      <alignment vertical="top"/>
    </xf>
    <xf numFmtId="0" fontId="21" fillId="2" borderId="5" xfId="0" applyFont="1" applyFill="1" applyBorder="1" applyAlignment="1">
      <alignment vertical="top" wrapText="1"/>
    </xf>
    <xf numFmtId="0" fontId="21" fillId="2" borderId="6" xfId="0" applyFont="1" applyFill="1" applyBorder="1" applyAlignment="1">
      <alignment vertical="top" wrapText="1"/>
    </xf>
    <xf numFmtId="0" fontId="21" fillId="2" borderId="4" xfId="0" applyFont="1" applyFill="1" applyBorder="1" applyAlignment="1">
      <alignment vertical="top" wrapText="1"/>
    </xf>
    <xf numFmtId="0" fontId="21" fillId="2" borderId="0" xfId="0" applyFont="1" applyFill="1" applyAlignment="1">
      <alignment vertical="top" wrapText="1"/>
    </xf>
    <xf numFmtId="1" fontId="27" fillId="2" borderId="5" xfId="0" applyNumberFormat="1" applyFont="1" applyFill="1" applyBorder="1" applyAlignment="1">
      <alignment horizontal="center" vertical="top"/>
    </xf>
    <xf numFmtId="1" fontId="27" fillId="2" borderId="5" xfId="0" applyNumberFormat="1" applyFont="1" applyFill="1" applyBorder="1" applyAlignment="1">
      <alignment horizontal="center" vertical="top" wrapText="1"/>
    </xf>
    <xf numFmtId="1" fontId="27" fillId="2" borderId="3" xfId="0" applyNumberFormat="1" applyFont="1" applyFill="1" applyBorder="1" applyAlignment="1">
      <alignment horizontal="center" vertical="top"/>
    </xf>
    <xf numFmtId="1" fontId="27" fillId="2" borderId="3" xfId="0" applyNumberFormat="1" applyFont="1" applyFill="1" applyBorder="1" applyAlignment="1">
      <alignment horizontal="center" vertical="top" wrapText="1"/>
    </xf>
    <xf numFmtId="0" fontId="4" fillId="2" borderId="3" xfId="0" applyFont="1" applyFill="1" applyBorder="1" applyAlignment="1">
      <alignment horizontal="right" vertical="top"/>
    </xf>
    <xf numFmtId="1" fontId="27" fillId="2" borderId="0" xfId="0" applyNumberFormat="1" applyFont="1" applyFill="1" applyAlignment="1">
      <alignment vertical="top" wrapText="1"/>
    </xf>
    <xf numFmtId="1" fontId="1" fillId="2" borderId="1" xfId="0" applyNumberFormat="1" applyFont="1" applyFill="1" applyBorder="1" applyAlignment="1">
      <alignment horizontal="right" vertical="top"/>
    </xf>
    <xf numFmtId="1" fontId="2" fillId="2" borderId="0" xfId="0" applyNumberFormat="1" applyFont="1" applyFill="1" applyAlignment="1">
      <alignment vertical="top"/>
    </xf>
    <xf numFmtId="0" fontId="2" fillId="2" borderId="0" xfId="0" applyFont="1" applyFill="1" applyAlignment="1">
      <alignment vertical="top"/>
    </xf>
    <xf numFmtId="1" fontId="1" fillId="2" borderId="0" xfId="0" applyNumberFormat="1" applyFont="1" applyFill="1" applyAlignment="1">
      <alignment horizontal="right" vertical="top"/>
    </xf>
    <xf numFmtId="1" fontId="6" fillId="2" borderId="1" xfId="0" applyNumberFormat="1" applyFont="1" applyFill="1" applyBorder="1" applyAlignment="1">
      <alignment vertical="top"/>
    </xf>
    <xf numFmtId="1" fontId="6" fillId="2" borderId="0" xfId="0" applyNumberFormat="1" applyFont="1" applyFill="1" applyAlignment="1">
      <alignment vertical="top"/>
    </xf>
    <xf numFmtId="1" fontId="3" fillId="0" borderId="3" xfId="0" applyNumberFormat="1" applyFont="1" applyBorder="1" applyAlignment="1">
      <alignment horizontal="right" vertical="top"/>
    </xf>
    <xf numFmtId="1" fontId="3" fillId="2" borderId="0" xfId="0" applyNumberFormat="1" applyFont="1" applyFill="1" applyAlignment="1">
      <alignment vertical="top"/>
    </xf>
    <xf numFmtId="1" fontId="1" fillId="2" borderId="0" xfId="0" applyNumberFormat="1" applyFont="1" applyFill="1" applyAlignment="1">
      <alignment vertical="top"/>
    </xf>
    <xf numFmtId="1" fontId="10" fillId="2" borderId="1" xfId="0" applyNumberFormat="1" applyFont="1" applyFill="1" applyBorder="1" applyAlignment="1">
      <alignment vertical="top"/>
    </xf>
    <xf numFmtId="1" fontId="49" fillId="2" borderId="3" xfId="0" applyNumberFormat="1" applyFont="1" applyFill="1" applyBorder="1" applyAlignment="1">
      <alignment vertical="top"/>
    </xf>
    <xf numFmtId="1" fontId="50" fillId="2" borderId="3" xfId="0" applyNumberFormat="1" applyFont="1" applyFill="1" applyBorder="1" applyAlignment="1">
      <alignment vertical="top"/>
    </xf>
    <xf numFmtId="0" fontId="2" fillId="0" borderId="3" xfId="0" applyFont="1" applyBorder="1"/>
    <xf numFmtId="0" fontId="1" fillId="0" borderId="3" xfId="0" applyFont="1" applyBorder="1"/>
    <xf numFmtId="0" fontId="1" fillId="0" borderId="1" xfId="0" applyFont="1" applyBorder="1"/>
    <xf numFmtId="0" fontId="1" fillId="0" borderId="4" xfId="0" applyFont="1" applyBorder="1"/>
    <xf numFmtId="1" fontId="1" fillId="2" borderId="1" xfId="0" applyNumberFormat="1" applyFont="1" applyFill="1" applyBorder="1" applyAlignment="1">
      <alignment horizontal="right"/>
    </xf>
    <xf numFmtId="1" fontId="4" fillId="2" borderId="3" xfId="0" applyNumberFormat="1" applyFont="1" applyFill="1" applyBorder="1" applyAlignment="1">
      <alignment horizontal="right"/>
    </xf>
    <xf numFmtId="1" fontId="4" fillId="2" borderId="3" xfId="0" applyNumberFormat="1" applyFont="1" applyFill="1" applyBorder="1"/>
    <xf numFmtId="1" fontId="5" fillId="2" borderId="3" xfId="0" applyNumberFormat="1" applyFont="1" applyFill="1" applyBorder="1"/>
    <xf numFmtId="0" fontId="28" fillId="2" borderId="3" xfId="0" applyFont="1" applyFill="1" applyBorder="1"/>
    <xf numFmtId="0" fontId="46" fillId="2" borderId="3" xfId="0" applyFont="1" applyFill="1" applyBorder="1"/>
    <xf numFmtId="0" fontId="28" fillId="2" borderId="7" xfId="0" applyFont="1" applyFill="1" applyBorder="1" applyAlignment="1">
      <alignment horizontal="center"/>
    </xf>
    <xf numFmtId="0" fontId="46" fillId="2" borderId="3" xfId="0" applyFont="1" applyFill="1" applyBorder="1" applyAlignment="1">
      <alignment horizontal="center"/>
    </xf>
    <xf numFmtId="0" fontId="28" fillId="2" borderId="0" xfId="0" applyFont="1" applyFill="1"/>
    <xf numFmtId="0" fontId="27" fillId="2" borderId="3" xfId="0" applyFont="1" applyFill="1" applyBorder="1" applyAlignment="1">
      <alignment vertical="top" wrapText="1"/>
    </xf>
    <xf numFmtId="0" fontId="2" fillId="0" borderId="0" xfId="0" applyFont="1" applyAlignment="1">
      <alignment horizontal="right" vertical="top"/>
    </xf>
    <xf numFmtId="0" fontId="2" fillId="0" borderId="8" xfId="0" applyFont="1" applyBorder="1" applyAlignment="1">
      <alignment vertical="top"/>
    </xf>
    <xf numFmtId="0" fontId="19" fillId="2" borderId="3" xfId="0" applyFont="1" applyFill="1" applyBorder="1" applyAlignment="1">
      <alignment vertical="top" wrapText="1"/>
    </xf>
    <xf numFmtId="0" fontId="1" fillId="0" borderId="3" xfId="0" applyFont="1" applyBorder="1" applyAlignment="1">
      <alignment vertical="top" wrapText="1"/>
    </xf>
    <xf numFmtId="1" fontId="27" fillId="2" borderId="5" xfId="0" applyNumberFormat="1" applyFont="1" applyFill="1" applyBorder="1" applyAlignment="1">
      <alignment vertical="top"/>
    </xf>
    <xf numFmtId="1" fontId="27" fillId="2" borderId="5" xfId="0" applyNumberFormat="1" applyFont="1" applyFill="1" applyBorder="1" applyAlignment="1">
      <alignment vertical="top" wrapText="1"/>
    </xf>
    <xf numFmtId="1" fontId="26" fillId="2" borderId="6" xfId="0" applyNumberFormat="1" applyFont="1" applyFill="1" applyBorder="1" applyAlignment="1">
      <alignment vertical="top"/>
    </xf>
    <xf numFmtId="1" fontId="26" fillId="2" borderId="6" xfId="0" applyNumberFormat="1" applyFont="1" applyFill="1" applyBorder="1" applyAlignment="1">
      <alignment vertical="top" wrapText="1"/>
    </xf>
    <xf numFmtId="1" fontId="26" fillId="2" borderId="4" xfId="0" applyNumberFormat="1" applyFont="1" applyFill="1" applyBorder="1" applyAlignment="1">
      <alignment vertical="top"/>
    </xf>
    <xf numFmtId="1" fontId="26" fillId="2" borderId="4" xfId="0" applyNumberFormat="1" applyFont="1" applyFill="1" applyBorder="1" applyAlignment="1">
      <alignment vertical="top" wrapText="1"/>
    </xf>
    <xf numFmtId="0" fontId="50" fillId="0" borderId="0" xfId="0" applyFont="1" applyAlignment="1">
      <alignment horizontal="center"/>
    </xf>
    <xf numFmtId="0" fontId="50" fillId="2" borderId="0" xfId="0" applyFont="1" applyFill="1" applyAlignment="1">
      <alignment horizontal="center"/>
    </xf>
    <xf numFmtId="0" fontId="48" fillId="0" borderId="0" xfId="0" applyFont="1" applyAlignment="1">
      <alignment vertical="top" wrapText="1"/>
    </xf>
    <xf numFmtId="0" fontId="2" fillId="0" borderId="0" xfId="0" applyFont="1" applyAlignment="1">
      <alignment horizontal="left"/>
    </xf>
    <xf numFmtId="0" fontId="16" fillId="0" borderId="0" xfId="0" applyFont="1" applyAlignment="1">
      <alignment horizontal="left" vertical="top"/>
    </xf>
    <xf numFmtId="0" fontId="2" fillId="0" borderId="0" xfId="0" applyFont="1" applyAlignment="1">
      <alignment horizontal="left" vertical="top"/>
    </xf>
    <xf numFmtId="0" fontId="51" fillId="0" borderId="3" xfId="0" applyFont="1" applyBorder="1" applyAlignment="1">
      <alignment horizontal="left" vertical="top" wrapText="1"/>
    </xf>
    <xf numFmtId="0" fontId="21" fillId="0" borderId="3" xfId="0" applyFont="1" applyBorder="1" applyAlignment="1">
      <alignment horizontal="center" vertical="top"/>
    </xf>
    <xf numFmtId="0" fontId="21" fillId="0" borderId="3" xfId="0" applyFont="1" applyBorder="1" applyAlignment="1">
      <alignment horizontal="center" vertical="top" wrapText="1"/>
    </xf>
    <xf numFmtId="0" fontId="2" fillId="0" borderId="3" xfId="0" applyFont="1" applyBorder="1" applyAlignment="1">
      <alignment vertical="top"/>
    </xf>
    <xf numFmtId="0" fontId="1" fillId="0" borderId="3" xfId="0" applyFont="1" applyBorder="1" applyAlignment="1">
      <alignment vertical="top"/>
    </xf>
    <xf numFmtId="0" fontId="17" fillId="3" borderId="2" xfId="0" applyFont="1" applyFill="1" applyBorder="1" applyAlignment="1">
      <alignment vertical="top"/>
    </xf>
    <xf numFmtId="0" fontId="18" fillId="3" borderId="2" xfId="0" applyFont="1" applyFill="1" applyBorder="1" applyAlignment="1">
      <alignment vertical="top"/>
    </xf>
    <xf numFmtId="0" fontId="7" fillId="3" borderId="2" xfId="0" applyFont="1" applyFill="1" applyBorder="1" applyAlignment="1">
      <alignment vertical="top"/>
    </xf>
    <xf numFmtId="0" fontId="21" fillId="3" borderId="3" xfId="0" applyFont="1" applyFill="1" applyBorder="1" applyAlignment="1">
      <alignment horizontal="center" vertical="top"/>
    </xf>
    <xf numFmtId="0" fontId="21" fillId="3" borderId="3" xfId="0" applyFont="1" applyFill="1" applyBorder="1" applyAlignment="1">
      <alignment horizontal="center" vertical="top" wrapText="1"/>
    </xf>
    <xf numFmtId="1" fontId="27" fillId="3" borderId="3" xfId="0" applyNumberFormat="1" applyFont="1" applyFill="1" applyBorder="1" applyAlignment="1">
      <alignment vertical="top" wrapText="1"/>
    </xf>
    <xf numFmtId="1" fontId="9" fillId="3" borderId="3" xfId="0" applyNumberFormat="1" applyFont="1" applyFill="1" applyBorder="1" applyAlignment="1">
      <alignment horizontal="right" vertical="top"/>
    </xf>
    <xf numFmtId="1" fontId="10" fillId="3" borderId="3" xfId="0" applyNumberFormat="1" applyFont="1" applyFill="1" applyBorder="1" applyAlignment="1">
      <alignment horizontal="right" vertical="top"/>
    </xf>
    <xf numFmtId="0" fontId="4" fillId="3" borderId="3" xfId="0" applyFont="1" applyFill="1" applyBorder="1" applyAlignment="1">
      <alignment horizontal="right" vertical="top"/>
    </xf>
    <xf numFmtId="1" fontId="27" fillId="3" borderId="0" xfId="0" applyNumberFormat="1" applyFont="1" applyFill="1" applyAlignment="1">
      <alignment vertical="top" wrapText="1"/>
    </xf>
    <xf numFmtId="1" fontId="21" fillId="3" borderId="3" xfId="0" applyNumberFormat="1" applyFont="1" applyFill="1" applyBorder="1" applyAlignment="1">
      <alignment vertical="top" wrapText="1"/>
    </xf>
    <xf numFmtId="1" fontId="3" fillId="3" borderId="3" xfId="0" applyNumberFormat="1" applyFont="1" applyFill="1" applyBorder="1" applyAlignment="1">
      <alignment horizontal="right" vertical="top"/>
    </xf>
    <xf numFmtId="1" fontId="4" fillId="3" borderId="3" xfId="0" applyNumberFormat="1" applyFont="1" applyFill="1" applyBorder="1" applyAlignment="1">
      <alignment horizontal="right" vertical="top"/>
    </xf>
    <xf numFmtId="1" fontId="27" fillId="3" borderId="5" xfId="0" applyNumberFormat="1" applyFont="1" applyFill="1" applyBorder="1" applyAlignment="1">
      <alignment horizontal="center" vertical="top"/>
    </xf>
    <xf numFmtId="1" fontId="27" fillId="3" borderId="5" xfId="0" applyNumberFormat="1" applyFont="1" applyFill="1" applyBorder="1" applyAlignment="1">
      <alignment horizontal="center" vertical="top" wrapText="1"/>
    </xf>
    <xf numFmtId="1" fontId="21" fillId="3" borderId="3" xfId="0" applyNumberFormat="1" applyFont="1" applyFill="1" applyBorder="1" applyAlignment="1">
      <alignment vertical="top"/>
    </xf>
    <xf numFmtId="1" fontId="28" fillId="3" borderId="1" xfId="0" applyNumberFormat="1" applyFont="1" applyFill="1" applyBorder="1" applyAlignment="1">
      <alignment horizontal="center" vertical="top"/>
    </xf>
    <xf numFmtId="1" fontId="25" fillId="3" borderId="1" xfId="0" applyNumberFormat="1" applyFont="1" applyFill="1" applyBorder="1" applyAlignment="1">
      <alignment horizontal="center" vertical="top"/>
    </xf>
    <xf numFmtId="1" fontId="1" fillId="3" borderId="1" xfId="0" applyNumberFormat="1" applyFont="1" applyFill="1" applyBorder="1" applyAlignment="1">
      <alignment horizontal="right" vertical="top"/>
    </xf>
    <xf numFmtId="1" fontId="28" fillId="3" borderId="0" xfId="0" applyNumberFormat="1" applyFont="1" applyFill="1" applyAlignment="1">
      <alignment horizontal="center" vertical="top"/>
    </xf>
    <xf numFmtId="1" fontId="25" fillId="3" borderId="0" xfId="0" applyNumberFormat="1" applyFont="1" applyFill="1" applyAlignment="1">
      <alignment horizontal="center" vertical="top"/>
    </xf>
    <xf numFmtId="1" fontId="1" fillId="3" borderId="0" xfId="0" applyNumberFormat="1" applyFont="1" applyFill="1" applyAlignment="1">
      <alignment horizontal="right" vertical="top"/>
    </xf>
    <xf numFmtId="1" fontId="4" fillId="3" borderId="3" xfId="0" applyNumberFormat="1" applyFont="1" applyFill="1" applyBorder="1" applyAlignment="1">
      <alignment vertical="top"/>
    </xf>
    <xf numFmtId="1" fontId="3" fillId="3" borderId="3" xfId="0" applyNumberFormat="1" applyFont="1" applyFill="1" applyBorder="1" applyAlignment="1">
      <alignment vertical="top"/>
    </xf>
    <xf numFmtId="1" fontId="6" fillId="3" borderId="3" xfId="0" applyNumberFormat="1" applyFont="1" applyFill="1" applyBorder="1" applyAlignment="1">
      <alignment vertical="top"/>
    </xf>
    <xf numFmtId="1" fontId="27" fillId="3" borderId="3" xfId="0" applyNumberFormat="1" applyFont="1" applyFill="1" applyBorder="1" applyAlignment="1">
      <alignment horizontal="center" vertical="top"/>
    </xf>
    <xf numFmtId="1" fontId="27" fillId="3" borderId="3" xfId="0" applyNumberFormat="1" applyFont="1" applyFill="1" applyBorder="1" applyAlignment="1">
      <alignment horizontal="center" vertical="top" wrapText="1"/>
    </xf>
    <xf numFmtId="1" fontId="6" fillId="3" borderId="1" xfId="0" applyNumberFormat="1" applyFont="1" applyFill="1" applyBorder="1" applyAlignment="1">
      <alignment vertical="top"/>
    </xf>
    <xf numFmtId="0" fontId="11" fillId="3" borderId="3" xfId="0" applyFont="1" applyFill="1" applyBorder="1" applyAlignment="1">
      <alignment vertical="top"/>
    </xf>
    <xf numFmtId="0" fontId="29" fillId="3" borderId="3" xfId="0" applyFont="1" applyFill="1" applyBorder="1" applyAlignment="1">
      <alignment horizontal="center" vertical="top"/>
    </xf>
    <xf numFmtId="0" fontId="29" fillId="3" borderId="3" xfId="0" applyFont="1" applyFill="1" applyBorder="1" applyAlignment="1">
      <alignment vertical="top"/>
    </xf>
    <xf numFmtId="0" fontId="27" fillId="3" borderId="3" xfId="0" applyFont="1" applyFill="1" applyBorder="1" applyAlignment="1">
      <alignment horizontal="center" vertical="top"/>
    </xf>
    <xf numFmtId="0" fontId="30" fillId="3" borderId="3" xfId="0" applyFont="1" applyFill="1" applyBorder="1" applyAlignment="1">
      <alignment vertical="top"/>
    </xf>
    <xf numFmtId="0" fontId="2" fillId="3" borderId="3" xfId="0" applyFont="1" applyFill="1" applyBorder="1" applyAlignment="1">
      <alignment vertical="top"/>
    </xf>
    <xf numFmtId="0" fontId="1" fillId="3" borderId="3" xfId="0" applyFont="1" applyFill="1" applyBorder="1" applyAlignment="1">
      <alignment vertical="top"/>
    </xf>
    <xf numFmtId="0" fontId="29" fillId="3" borderId="1" xfId="0" applyFont="1" applyFill="1" applyBorder="1" applyAlignment="1">
      <alignment vertical="top"/>
    </xf>
    <xf numFmtId="0" fontId="29" fillId="3" borderId="4" xfId="0" applyFont="1" applyFill="1" applyBorder="1" applyAlignment="1">
      <alignment vertical="top"/>
    </xf>
    <xf numFmtId="0" fontId="2" fillId="3" borderId="3" xfId="0" applyFont="1" applyFill="1" applyBorder="1"/>
    <xf numFmtId="0" fontId="1" fillId="3" borderId="3" xfId="0" applyFont="1" applyFill="1" applyBorder="1"/>
    <xf numFmtId="0" fontId="1" fillId="3" borderId="1" xfId="0" applyFont="1" applyFill="1" applyBorder="1"/>
    <xf numFmtId="0" fontId="1" fillId="3" borderId="4" xfId="0" applyFont="1" applyFill="1" applyBorder="1"/>
    <xf numFmtId="0" fontId="41" fillId="0" borderId="0" xfId="0" applyFont="1" applyAlignment="1">
      <alignment horizontal="center" vertical="center"/>
    </xf>
    <xf numFmtId="0" fontId="17" fillId="2" borderId="0" xfId="0" applyFont="1" applyFill="1" applyAlignment="1">
      <alignment horizontal="center" vertical="center"/>
    </xf>
    <xf numFmtId="0" fontId="29" fillId="2" borderId="0" xfId="0" applyFont="1" applyFill="1" applyAlignment="1">
      <alignment horizontal="center" vertical="center"/>
    </xf>
    <xf numFmtId="0" fontId="27" fillId="2" borderId="0" xfId="0" applyFont="1" applyFill="1" applyAlignment="1">
      <alignment horizontal="center" vertical="center"/>
    </xf>
    <xf numFmtId="0" fontId="30" fillId="2" borderId="0" xfId="0" applyFont="1" applyFill="1" applyAlignment="1">
      <alignment horizontal="center" vertical="center"/>
    </xf>
    <xf numFmtId="0" fontId="28" fillId="2" borderId="0" xfId="0" applyFont="1" applyFill="1" applyAlignment="1">
      <alignment horizontal="center" vertical="center"/>
    </xf>
    <xf numFmtId="0" fontId="21" fillId="0" borderId="0" xfId="0" applyFont="1" applyAlignment="1">
      <alignment horizontal="center" vertical="center"/>
    </xf>
    <xf numFmtId="0" fontId="31" fillId="2" borderId="2" xfId="0" applyFont="1" applyFill="1" applyBorder="1" applyAlignment="1">
      <alignment horizontal="center" vertical="center"/>
    </xf>
    <xf numFmtId="0" fontId="21" fillId="0" borderId="3" xfId="0" applyFont="1" applyBorder="1" applyAlignment="1">
      <alignment horizontal="center" vertical="center"/>
    </xf>
    <xf numFmtId="0" fontId="27" fillId="0" borderId="3" xfId="0" applyFont="1" applyBorder="1" applyAlignment="1">
      <alignment horizontal="center" vertical="center" wrapText="1"/>
    </xf>
    <xf numFmtId="0" fontId="27" fillId="2" borderId="3" xfId="0" applyFont="1" applyFill="1" applyBorder="1" applyAlignment="1">
      <alignment horizontal="center" vertical="center" wrapText="1"/>
    </xf>
    <xf numFmtId="0" fontId="29" fillId="0" borderId="3" xfId="0" applyFont="1" applyBorder="1" applyAlignment="1">
      <alignment horizontal="center" vertical="center" wrapText="1"/>
    </xf>
    <xf numFmtId="0" fontId="42" fillId="0" borderId="3" xfId="0" applyFont="1" applyBorder="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38" fillId="0" borderId="0" xfId="0" applyFont="1" applyAlignment="1">
      <alignment horizontal="center" vertical="center"/>
    </xf>
    <xf numFmtId="0" fontId="44" fillId="0" borderId="0" xfId="0" applyFont="1" applyAlignment="1">
      <alignment horizontal="center" vertical="center"/>
    </xf>
    <xf numFmtId="1" fontId="4" fillId="2" borderId="3" xfId="0" applyNumberFormat="1" applyFont="1" applyFill="1" applyBorder="1" applyAlignment="1">
      <alignment horizontal="right" vertical="top"/>
    </xf>
    <xf numFmtId="0" fontId="4" fillId="2" borderId="0" xfId="0" applyFont="1" applyFill="1" applyAlignment="1">
      <alignment horizontal="right" vertical="top"/>
    </xf>
    <xf numFmtId="1" fontId="3" fillId="2" borderId="0" xfId="0" applyNumberFormat="1" applyFont="1" applyFill="1" applyAlignment="1">
      <alignment horizontal="right" vertical="top"/>
    </xf>
    <xf numFmtId="0" fontId="52" fillId="2" borderId="0" xfId="0" applyFont="1" applyFill="1" applyAlignment="1">
      <alignment horizontal="center" vertical="top"/>
    </xf>
    <xf numFmtId="0" fontId="11" fillId="2" borderId="0" xfId="0" applyFont="1" applyFill="1" applyAlignment="1">
      <alignment horizontal="center" vertical="center" wrapText="1"/>
    </xf>
    <xf numFmtId="0" fontId="29" fillId="2" borderId="0" xfId="0" applyFont="1" applyFill="1" applyAlignment="1">
      <alignment horizontal="center" vertical="top"/>
    </xf>
    <xf numFmtId="0" fontId="52" fillId="2" borderId="0" xfId="0" applyFont="1" applyFill="1" applyAlignment="1">
      <alignment vertical="top"/>
    </xf>
    <xf numFmtId="0" fontId="33" fillId="2" borderId="3" xfId="0" applyFont="1" applyFill="1" applyBorder="1" applyAlignment="1">
      <alignment horizontal="justify" vertical="top" wrapText="1"/>
    </xf>
    <xf numFmtId="0" fontId="53" fillId="2" borderId="0" xfId="0" applyFont="1" applyFill="1" applyAlignment="1">
      <alignment horizontal="center" vertical="center"/>
    </xf>
    <xf numFmtId="0" fontId="4" fillId="0" borderId="0" xfId="0" applyFont="1" applyAlignment="1">
      <alignment vertical="top"/>
    </xf>
    <xf numFmtId="1" fontId="27" fillId="2" borderId="5" xfId="0" applyNumberFormat="1" applyFont="1" applyFill="1" applyBorder="1" applyAlignment="1">
      <alignment horizontal="center" vertical="top" wrapText="1"/>
    </xf>
    <xf numFmtId="1" fontId="27" fillId="2" borderId="6" xfId="0" applyNumberFormat="1" applyFont="1" applyFill="1" applyBorder="1" applyAlignment="1">
      <alignment horizontal="center" vertical="top" wrapText="1"/>
    </xf>
    <xf numFmtId="1" fontId="27" fillId="2" borderId="4" xfId="0" applyNumberFormat="1" applyFont="1" applyFill="1" applyBorder="1" applyAlignment="1">
      <alignment horizontal="center" vertical="top" wrapText="1"/>
    </xf>
    <xf numFmtId="1" fontId="27" fillId="2" borderId="5" xfId="0" applyNumberFormat="1" applyFont="1" applyFill="1" applyBorder="1" applyAlignment="1">
      <alignment horizontal="center" vertical="top"/>
    </xf>
    <xf numFmtId="1" fontId="27" fillId="2" borderId="6" xfId="0" applyNumberFormat="1" applyFont="1" applyFill="1" applyBorder="1" applyAlignment="1">
      <alignment horizontal="center" vertical="top"/>
    </xf>
    <xf numFmtId="1" fontId="27" fillId="2" borderId="4" xfId="0" applyNumberFormat="1" applyFont="1" applyFill="1" applyBorder="1" applyAlignment="1">
      <alignment horizontal="center" vertical="top"/>
    </xf>
    <xf numFmtId="1" fontId="27" fillId="3" borderId="5" xfId="0" applyNumberFormat="1" applyFont="1" applyFill="1" applyBorder="1" applyAlignment="1">
      <alignment horizontal="center" vertical="top" wrapText="1"/>
    </xf>
    <xf numFmtId="1" fontId="27" fillId="3" borderId="6" xfId="0" applyNumberFormat="1" applyFont="1" applyFill="1" applyBorder="1" applyAlignment="1">
      <alignment horizontal="center" vertical="top" wrapText="1"/>
    </xf>
    <xf numFmtId="1" fontId="27" fillId="3" borderId="4" xfId="0" applyNumberFormat="1" applyFont="1" applyFill="1" applyBorder="1" applyAlignment="1">
      <alignment horizontal="center" vertical="top" wrapText="1"/>
    </xf>
    <xf numFmtId="1" fontId="27" fillId="3" borderId="5" xfId="0" applyNumberFormat="1" applyFont="1" applyFill="1" applyBorder="1" applyAlignment="1">
      <alignment horizontal="center" vertical="top"/>
    </xf>
    <xf numFmtId="1" fontId="27" fillId="3" borderId="6" xfId="0" applyNumberFormat="1" applyFont="1" applyFill="1" applyBorder="1" applyAlignment="1">
      <alignment horizontal="center" vertical="top"/>
    </xf>
    <xf numFmtId="1" fontId="27" fillId="3" borderId="4" xfId="0" applyNumberFormat="1" applyFont="1" applyFill="1" applyBorder="1" applyAlignment="1">
      <alignment horizontal="center" vertical="top"/>
    </xf>
    <xf numFmtId="1" fontId="26" fillId="2" borderId="6" xfId="0" applyNumberFormat="1" applyFont="1" applyFill="1" applyBorder="1" applyAlignment="1">
      <alignment horizontal="center" vertical="top"/>
    </xf>
    <xf numFmtId="1" fontId="26" fillId="2" borderId="4" xfId="0" applyNumberFormat="1" applyFont="1" applyFill="1" applyBorder="1" applyAlignment="1">
      <alignment horizontal="center" vertical="top"/>
    </xf>
    <xf numFmtId="1" fontId="26" fillId="2" borderId="6" xfId="0" applyNumberFormat="1" applyFont="1" applyFill="1" applyBorder="1" applyAlignment="1">
      <alignment horizontal="center" vertical="top" wrapText="1"/>
    </xf>
    <xf numFmtId="1" fontId="26" fillId="2" borderId="4" xfId="0" applyNumberFormat="1" applyFont="1" applyFill="1" applyBorder="1" applyAlignment="1">
      <alignment horizontal="center" vertical="top" wrapText="1"/>
    </xf>
    <xf numFmtId="0" fontId="17" fillId="2" borderId="0" xfId="0" applyFont="1" applyFill="1" applyAlignment="1">
      <alignment horizontal="center" vertical="top"/>
    </xf>
    <xf numFmtId="0" fontId="18" fillId="2" borderId="0" xfId="0" applyFont="1" applyFill="1" applyAlignment="1">
      <alignment horizontal="center" vertical="top"/>
    </xf>
    <xf numFmtId="0" fontId="21" fillId="2" borderId="5" xfId="0" applyFont="1" applyFill="1" applyBorder="1" applyAlignment="1">
      <alignment horizontal="center" vertical="top" wrapText="1"/>
    </xf>
    <xf numFmtId="0" fontId="22" fillId="2" borderId="6" xfId="0" applyFont="1" applyFill="1" applyBorder="1" applyAlignment="1">
      <alignment horizontal="center" vertical="top" wrapText="1"/>
    </xf>
    <xf numFmtId="0" fontId="22" fillId="2" borderId="4" xfId="0" applyFont="1" applyFill="1" applyBorder="1" applyAlignment="1">
      <alignment horizontal="center" vertical="top" wrapText="1"/>
    </xf>
    <xf numFmtId="0" fontId="19" fillId="2" borderId="2" xfId="0" applyFont="1" applyFill="1" applyBorder="1" applyAlignment="1">
      <alignment horizontal="right" vertical="top"/>
    </xf>
    <xf numFmtId="0" fontId="20" fillId="2" borderId="2" xfId="0" applyFont="1" applyFill="1" applyBorder="1" applyAlignment="1">
      <alignment horizontal="right" vertical="top"/>
    </xf>
    <xf numFmtId="0" fontId="21" fillId="2" borderId="5" xfId="0" applyFont="1" applyFill="1" applyBorder="1" applyAlignment="1">
      <alignment horizontal="center" vertical="top"/>
    </xf>
    <xf numFmtId="0" fontId="22" fillId="2" borderId="4" xfId="0" applyFont="1" applyFill="1" applyBorder="1" applyAlignment="1">
      <alignment horizontal="center" vertical="top"/>
    </xf>
    <xf numFmtId="0" fontId="21" fillId="0" borderId="5" xfId="0" applyFont="1" applyBorder="1" applyAlignment="1">
      <alignment horizontal="center" vertical="top" wrapText="1"/>
    </xf>
    <xf numFmtId="0" fontId="22" fillId="0" borderId="4" xfId="0" applyFont="1" applyBorder="1" applyAlignment="1">
      <alignment horizontal="center" vertical="top" wrapText="1"/>
    </xf>
    <xf numFmtId="0" fontId="23" fillId="2" borderId="7" xfId="0" applyFont="1" applyFill="1" applyBorder="1" applyAlignment="1">
      <alignment horizontal="left" vertical="top"/>
    </xf>
    <xf numFmtId="0" fontId="24" fillId="2" borderId="9" xfId="0" applyFont="1" applyFill="1" applyBorder="1" applyAlignment="1">
      <alignment horizontal="left" vertical="top"/>
    </xf>
    <xf numFmtId="0" fontId="24" fillId="2" borderId="10" xfId="0" applyFont="1" applyFill="1" applyBorder="1" applyAlignment="1">
      <alignment horizontal="left" vertical="top"/>
    </xf>
    <xf numFmtId="1" fontId="46" fillId="2" borderId="3" xfId="0" applyNumberFormat="1" applyFont="1" applyFill="1" applyBorder="1" applyAlignment="1">
      <alignment horizontal="center" vertical="top" wrapText="1"/>
    </xf>
    <xf numFmtId="1" fontId="28" fillId="2" borderId="3" xfId="0" applyNumberFormat="1" applyFont="1" applyFill="1" applyBorder="1" applyAlignment="1">
      <alignment horizontal="center" vertical="top" wrapText="1"/>
    </xf>
    <xf numFmtId="1" fontId="28" fillId="2" borderId="5" xfId="0" applyNumberFormat="1" applyFont="1" applyFill="1" applyBorder="1" applyAlignment="1">
      <alignment horizontal="center" vertical="top" wrapText="1"/>
    </xf>
    <xf numFmtId="1" fontId="28" fillId="2" borderId="6" xfId="0" applyNumberFormat="1" applyFont="1" applyFill="1" applyBorder="1" applyAlignment="1">
      <alignment horizontal="center" vertical="top" wrapText="1"/>
    </xf>
    <xf numFmtId="1" fontId="28" fillId="2" borderId="4" xfId="0" applyNumberFormat="1" applyFont="1" applyFill="1" applyBorder="1" applyAlignment="1">
      <alignment horizontal="center" vertical="top" wrapText="1"/>
    </xf>
    <xf numFmtId="0" fontId="17" fillId="3" borderId="0" xfId="0" applyFont="1" applyFill="1" applyAlignment="1">
      <alignment horizontal="center" vertical="top"/>
    </xf>
    <xf numFmtId="0" fontId="18" fillId="3" borderId="0" xfId="0" applyFont="1" applyFill="1" applyAlignment="1">
      <alignment horizontal="center" vertical="top"/>
    </xf>
    <xf numFmtId="0" fontId="19" fillId="3" borderId="2" xfId="0" applyFont="1" applyFill="1" applyBorder="1" applyAlignment="1">
      <alignment horizontal="right" vertical="top"/>
    </xf>
    <xf numFmtId="0" fontId="20" fillId="3" borderId="2" xfId="0" applyFont="1" applyFill="1" applyBorder="1" applyAlignment="1">
      <alignment horizontal="right" vertical="top"/>
    </xf>
    <xf numFmtId="0" fontId="21" fillId="3" borderId="5" xfId="0" applyFont="1" applyFill="1" applyBorder="1" applyAlignment="1">
      <alignment horizontal="center" vertical="top" wrapText="1"/>
    </xf>
    <xf numFmtId="0" fontId="22" fillId="3" borderId="6" xfId="0" applyFont="1" applyFill="1" applyBorder="1" applyAlignment="1">
      <alignment horizontal="center" vertical="top" wrapText="1"/>
    </xf>
    <xf numFmtId="0" fontId="22" fillId="3" borderId="4" xfId="0" applyFont="1" applyFill="1" applyBorder="1" applyAlignment="1">
      <alignment horizontal="center" vertical="top" wrapText="1"/>
    </xf>
    <xf numFmtId="0" fontId="21" fillId="3" borderId="5" xfId="0" applyFont="1" applyFill="1" applyBorder="1" applyAlignment="1">
      <alignment horizontal="center" vertical="top"/>
    </xf>
    <xf numFmtId="0" fontId="22" fillId="3" borderId="4" xfId="0" applyFont="1" applyFill="1" applyBorder="1" applyAlignment="1">
      <alignment horizontal="center" vertical="top"/>
    </xf>
    <xf numFmtId="0" fontId="23" fillId="3" borderId="7" xfId="0" applyFont="1" applyFill="1" applyBorder="1" applyAlignment="1">
      <alignment horizontal="left" vertical="top"/>
    </xf>
    <xf numFmtId="0" fontId="24" fillId="3" borderId="9" xfId="0" applyFont="1" applyFill="1" applyBorder="1" applyAlignment="1">
      <alignment horizontal="left" vertical="top"/>
    </xf>
    <xf numFmtId="0" fontId="24" fillId="3" borderId="10" xfId="0" applyFont="1" applyFill="1" applyBorder="1" applyAlignment="1">
      <alignment horizontal="left" vertical="top"/>
    </xf>
    <xf numFmtId="1" fontId="26" fillId="3" borderId="6" xfId="0" applyNumberFormat="1" applyFont="1" applyFill="1" applyBorder="1" applyAlignment="1">
      <alignment horizontal="center" vertical="top"/>
    </xf>
    <xf numFmtId="1" fontId="26" fillId="3" borderId="6" xfId="0" applyNumberFormat="1" applyFont="1" applyFill="1" applyBorder="1" applyAlignment="1">
      <alignment horizontal="center" vertical="top" wrapText="1"/>
    </xf>
    <xf numFmtId="0" fontId="21" fillId="2" borderId="4" xfId="0" applyFont="1" applyFill="1" applyBorder="1" applyAlignment="1">
      <alignment horizontal="center" vertical="top" wrapText="1"/>
    </xf>
    <xf numFmtId="1" fontId="26" fillId="3" borderId="4" xfId="0" applyNumberFormat="1" applyFont="1" applyFill="1" applyBorder="1" applyAlignment="1">
      <alignment horizontal="center" vertical="top"/>
    </xf>
    <xf numFmtId="1" fontId="26" fillId="3" borderId="4" xfId="0" applyNumberFormat="1" applyFont="1" applyFill="1" applyBorder="1" applyAlignment="1">
      <alignment horizontal="center" vertical="top" wrapText="1"/>
    </xf>
    <xf numFmtId="0" fontId="21" fillId="2" borderId="6" xfId="0" applyFont="1" applyFill="1" applyBorder="1" applyAlignment="1">
      <alignment horizontal="center" vertical="top" wrapText="1"/>
    </xf>
    <xf numFmtId="0" fontId="21" fillId="2" borderId="4" xfId="0" applyFont="1" applyFill="1" applyBorder="1" applyAlignment="1">
      <alignment horizontal="center" vertical="top"/>
    </xf>
    <xf numFmtId="0" fontId="23" fillId="2" borderId="9" xfId="0" applyFont="1" applyFill="1" applyBorder="1" applyAlignment="1">
      <alignment horizontal="left" vertical="top"/>
    </xf>
    <xf numFmtId="0" fontId="23" fillId="2" borderId="10" xfId="0" applyFont="1" applyFill="1" applyBorder="1" applyAlignment="1">
      <alignment horizontal="left" vertical="top"/>
    </xf>
    <xf numFmtId="1" fontId="27" fillId="2" borderId="3" xfId="0" applyNumberFormat="1" applyFont="1" applyFill="1" applyBorder="1" applyAlignment="1">
      <alignment horizontal="center" vertical="top"/>
    </xf>
    <xf numFmtId="1" fontId="26" fillId="2" borderId="3" xfId="0" applyNumberFormat="1" applyFont="1" applyFill="1" applyBorder="1" applyAlignment="1">
      <alignment horizontal="center" vertical="top"/>
    </xf>
    <xf numFmtId="1" fontId="27" fillId="2" borderId="3" xfId="0" applyNumberFormat="1" applyFont="1" applyFill="1" applyBorder="1" applyAlignment="1">
      <alignment horizontal="center" vertical="top" wrapText="1"/>
    </xf>
    <xf numFmtId="1" fontId="26" fillId="2" borderId="3" xfId="0" applyNumberFormat="1" applyFont="1" applyFill="1" applyBorder="1" applyAlignment="1">
      <alignment horizontal="center" vertical="top" wrapText="1"/>
    </xf>
    <xf numFmtId="0" fontId="52" fillId="2" borderId="0" xfId="0" applyFont="1" applyFill="1" applyAlignment="1">
      <alignment horizontal="center" vertical="top"/>
    </xf>
    <xf numFmtId="0" fontId="21" fillId="2" borderId="3" xfId="0" applyFont="1" applyFill="1" applyBorder="1" applyAlignment="1">
      <alignment horizontal="center" vertical="top"/>
    </xf>
    <xf numFmtId="1" fontId="45" fillId="2" borderId="11" xfId="0" applyNumberFormat="1" applyFont="1" applyFill="1" applyBorder="1" applyAlignment="1">
      <alignment horizontal="left" vertical="top" wrapText="1"/>
    </xf>
    <xf numFmtId="0" fontId="29" fillId="2" borderId="3" xfId="0" applyFont="1" applyFill="1" applyBorder="1" applyAlignment="1">
      <alignment horizontal="center" vertical="top"/>
    </xf>
    <xf numFmtId="0" fontId="11" fillId="2" borderId="3" xfId="0" applyFont="1" applyFill="1" applyBorder="1" applyAlignment="1">
      <alignment horizontal="center" vertical="top"/>
    </xf>
    <xf numFmtId="0" fontId="19" fillId="2" borderId="2" xfId="0" applyFont="1" applyFill="1" applyBorder="1" applyAlignment="1">
      <alignment horizontal="right"/>
    </xf>
    <xf numFmtId="0" fontId="20" fillId="2" borderId="2" xfId="0" applyFont="1" applyFill="1" applyBorder="1" applyAlignment="1">
      <alignment horizontal="right"/>
    </xf>
    <xf numFmtId="0" fontId="29" fillId="2" borderId="7" xfId="0" applyFont="1" applyFill="1" applyBorder="1" applyAlignment="1">
      <alignment horizontal="center" vertical="top"/>
    </xf>
    <xf numFmtId="0" fontId="11" fillId="2" borderId="9" xfId="0" applyFont="1" applyFill="1" applyBorder="1" applyAlignment="1">
      <alignment horizontal="center" vertical="top"/>
    </xf>
    <xf numFmtId="0" fontId="11" fillId="2" borderId="10" xfId="0" applyFont="1" applyFill="1" applyBorder="1" applyAlignment="1">
      <alignment horizontal="center" vertical="top"/>
    </xf>
    <xf numFmtId="0" fontId="29"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28" fillId="0" borderId="0" xfId="0" applyFont="1" applyAlignment="1">
      <alignment horizontal="center"/>
    </xf>
    <xf numFmtId="0" fontId="3" fillId="0" borderId="0" xfId="0" applyFont="1" applyAlignment="1">
      <alignment horizontal="center"/>
    </xf>
    <xf numFmtId="0" fontId="17" fillId="2" borderId="0" xfId="0" applyFont="1" applyFill="1" applyAlignment="1">
      <alignment horizontal="center"/>
    </xf>
    <xf numFmtId="0" fontId="18" fillId="2" borderId="0" xfId="0" applyFont="1" applyFill="1" applyAlignment="1">
      <alignment horizontal="center"/>
    </xf>
    <xf numFmtId="0" fontId="29" fillId="2" borderId="7" xfId="0" applyFont="1" applyFill="1" applyBorder="1" applyAlignment="1">
      <alignment horizontal="center"/>
    </xf>
    <xf numFmtId="0" fontId="11" fillId="2" borderId="9" xfId="0" applyFont="1" applyFill="1" applyBorder="1" applyAlignment="1">
      <alignment horizontal="center"/>
    </xf>
    <xf numFmtId="0" fontId="11" fillId="2" borderId="10" xfId="0" applyFont="1" applyFill="1" applyBorder="1" applyAlignment="1">
      <alignment horizontal="center"/>
    </xf>
    <xf numFmtId="0" fontId="28" fillId="3" borderId="0" xfId="0" applyFont="1" applyFill="1" applyAlignment="1">
      <alignment horizontal="center"/>
    </xf>
    <xf numFmtId="0" fontId="3" fillId="3" borderId="0" xfId="0" applyFont="1" applyFill="1" applyAlignment="1">
      <alignment horizontal="center"/>
    </xf>
    <xf numFmtId="0" fontId="17" fillId="3" borderId="0" xfId="0" applyFont="1" applyFill="1" applyAlignment="1">
      <alignment horizontal="center"/>
    </xf>
    <xf numFmtId="0" fontId="18" fillId="3" borderId="0" xfId="0" applyFont="1" applyFill="1" applyAlignment="1">
      <alignment horizontal="center"/>
    </xf>
    <xf numFmtId="0" fontId="19" fillId="3" borderId="2" xfId="0" applyFont="1" applyFill="1" applyBorder="1" applyAlignment="1">
      <alignment horizontal="right"/>
    </xf>
    <xf numFmtId="0" fontId="20" fillId="3" borderId="2" xfId="0" applyFont="1" applyFill="1" applyBorder="1" applyAlignment="1">
      <alignment horizontal="right"/>
    </xf>
    <xf numFmtId="0" fontId="29" fillId="3" borderId="3" xfId="0" applyFont="1" applyFill="1" applyBorder="1" applyAlignment="1">
      <alignment horizontal="center" vertical="top"/>
    </xf>
    <xf numFmtId="0" fontId="11" fillId="3" borderId="3" xfId="0" applyFont="1" applyFill="1" applyBorder="1" applyAlignment="1">
      <alignment horizontal="center" vertical="top"/>
    </xf>
    <xf numFmtId="0" fontId="29" fillId="3" borderId="7" xfId="0" applyFont="1" applyFill="1" applyBorder="1" applyAlignment="1">
      <alignment horizontal="center" vertical="top"/>
    </xf>
    <xf numFmtId="0" fontId="11" fillId="3" borderId="9" xfId="0" applyFont="1" applyFill="1" applyBorder="1" applyAlignment="1">
      <alignment horizontal="center" vertical="top"/>
    </xf>
    <xf numFmtId="0" fontId="11" fillId="3" borderId="10" xfId="0" applyFont="1" applyFill="1" applyBorder="1" applyAlignment="1">
      <alignment horizontal="center" vertical="top"/>
    </xf>
    <xf numFmtId="0" fontId="28" fillId="2" borderId="3" xfId="0" applyFont="1" applyFill="1" applyBorder="1" applyAlignment="1">
      <alignment horizontal="center"/>
    </xf>
    <xf numFmtId="0" fontId="29" fillId="3"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29" fillId="3" borderId="7" xfId="0" applyFont="1" applyFill="1" applyBorder="1" applyAlignment="1">
      <alignment horizontal="center"/>
    </xf>
    <xf numFmtId="0" fontId="11" fillId="3" borderId="9" xfId="0" applyFont="1" applyFill="1" applyBorder="1" applyAlignment="1">
      <alignment horizontal="center"/>
    </xf>
    <xf numFmtId="0" fontId="11" fillId="3" borderId="10" xfId="0" applyFont="1" applyFill="1" applyBorder="1" applyAlignment="1">
      <alignment horizontal="center"/>
    </xf>
    <xf numFmtId="0" fontId="38" fillId="0" borderId="0" xfId="0" applyFont="1" applyAlignment="1">
      <alignment horizontal="left"/>
    </xf>
    <xf numFmtId="0" fontId="11" fillId="2" borderId="2" xfId="0" applyFont="1" applyFill="1" applyBorder="1" applyAlignment="1">
      <alignment horizontal="center"/>
    </xf>
    <xf numFmtId="0" fontId="29" fillId="0" borderId="0" xfId="0" applyFont="1" applyAlignment="1">
      <alignment horizontal="center"/>
    </xf>
    <xf numFmtId="0" fontId="11" fillId="0" borderId="0" xfId="0" applyFont="1" applyAlignment="1">
      <alignment horizontal="center"/>
    </xf>
    <xf numFmtId="0" fontId="29" fillId="2" borderId="0" xfId="0" applyFont="1" applyFill="1" applyAlignment="1">
      <alignment horizontal="center"/>
    </xf>
    <xf numFmtId="0" fontId="11" fillId="2" borderId="0" xfId="0" applyFont="1" applyFill="1" applyAlignment="1">
      <alignment horizontal="center"/>
    </xf>
    <xf numFmtId="0" fontId="29" fillId="2" borderId="5" xfId="0" applyFont="1" applyFill="1" applyBorder="1" applyAlignment="1">
      <alignment horizontal="center" vertical="top" wrapText="1"/>
    </xf>
    <xf numFmtId="0" fontId="11" fillId="2" borderId="4" xfId="0" applyFont="1" applyFill="1" applyBorder="1" applyAlignment="1">
      <alignment horizontal="center" vertical="top" wrapText="1"/>
    </xf>
    <xf numFmtId="0" fontId="29" fillId="2" borderId="3" xfId="0" applyFont="1" applyFill="1" applyBorder="1" applyAlignment="1">
      <alignment horizontal="center" vertical="top" wrapText="1"/>
    </xf>
    <xf numFmtId="0" fontId="11" fillId="2" borderId="3" xfId="0" applyFont="1" applyFill="1" applyBorder="1" applyAlignment="1">
      <alignment horizontal="center" vertical="top" wrapText="1"/>
    </xf>
    <xf numFmtId="0" fontId="11" fillId="3" borderId="2" xfId="0" applyFont="1" applyFill="1" applyBorder="1" applyAlignment="1">
      <alignment horizontal="center"/>
    </xf>
    <xf numFmtId="0" fontId="29" fillId="3" borderId="0" xfId="0" applyFont="1" applyFill="1" applyAlignment="1">
      <alignment horizontal="center"/>
    </xf>
    <xf numFmtId="0" fontId="11" fillId="3" borderId="0" xfId="0" applyFont="1" applyFill="1" applyAlignment="1">
      <alignment horizontal="center"/>
    </xf>
    <xf numFmtId="0" fontId="29" fillId="3" borderId="5" xfId="0" applyFont="1" applyFill="1" applyBorder="1" applyAlignment="1">
      <alignment horizontal="center" vertical="top" wrapText="1"/>
    </xf>
    <xf numFmtId="0" fontId="11" fillId="3" borderId="4" xfId="0" applyFont="1" applyFill="1" applyBorder="1" applyAlignment="1">
      <alignment horizontal="center" vertical="top" wrapText="1"/>
    </xf>
    <xf numFmtId="0" fontId="31" fillId="2" borderId="2" xfId="0" applyFont="1" applyFill="1" applyBorder="1" applyAlignment="1">
      <alignment horizontal="right"/>
    </xf>
    <xf numFmtId="0" fontId="31" fillId="3" borderId="2" xfId="0" applyFont="1" applyFill="1" applyBorder="1" applyAlignment="1">
      <alignment horizontal="right"/>
    </xf>
    <xf numFmtId="0" fontId="29" fillId="3" borderId="3" xfId="0" applyFont="1" applyFill="1" applyBorder="1" applyAlignment="1">
      <alignment horizontal="center" vertical="top" wrapText="1"/>
    </xf>
    <xf numFmtId="0" fontId="11" fillId="3" borderId="3" xfId="0" applyFont="1" applyFill="1" applyBorder="1" applyAlignment="1">
      <alignment horizontal="center" vertical="top" wrapText="1"/>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10" xfId="0" applyFont="1" applyBorder="1" applyAlignment="1">
      <alignment horizontal="center" vertical="center" wrapText="1"/>
    </xf>
    <xf numFmtId="0" fontId="38" fillId="0" borderId="0" xfId="0" applyFont="1" applyAlignment="1">
      <alignment horizontal="left" vertical="top"/>
    </xf>
    <xf numFmtId="0" fontId="28" fillId="0" borderId="2" xfId="0" applyFont="1" applyBorder="1" applyAlignment="1">
      <alignment horizontal="left" vertical="top"/>
    </xf>
    <xf numFmtId="0" fontId="3" fillId="0" borderId="2" xfId="0" applyFont="1" applyBorder="1" applyAlignment="1">
      <alignment horizontal="left" vertical="top"/>
    </xf>
    <xf numFmtId="0" fontId="27" fillId="0" borderId="3" xfId="0" applyFont="1" applyBorder="1" applyAlignment="1">
      <alignment horizontal="center" vertical="top" wrapText="1"/>
    </xf>
    <xf numFmtId="0" fontId="26" fillId="0" borderId="3" xfId="0" applyFont="1" applyBorder="1" applyAlignment="1">
      <alignment horizontal="center" vertical="top" wrapText="1"/>
    </xf>
    <xf numFmtId="0" fontId="29" fillId="0" borderId="3" xfId="0" applyFont="1" applyBorder="1" applyAlignment="1">
      <alignment horizontal="center" vertical="top" wrapText="1"/>
    </xf>
    <xf numFmtId="0" fontId="11" fillId="0" borderId="3" xfId="0" applyFont="1" applyBorder="1" applyAlignment="1">
      <alignment horizontal="center" vertical="top" wrapText="1"/>
    </xf>
    <xf numFmtId="0" fontId="27" fillId="0" borderId="5" xfId="0" applyFont="1" applyBorder="1" applyAlignment="1">
      <alignment horizontal="center" vertical="top" wrapText="1"/>
    </xf>
    <xf numFmtId="0" fontId="26" fillId="0" borderId="4" xfId="0" applyFont="1" applyBorder="1" applyAlignment="1">
      <alignment horizontal="center" vertical="top" wrapText="1"/>
    </xf>
    <xf numFmtId="0" fontId="28" fillId="3" borderId="2" xfId="0" applyFont="1" applyFill="1" applyBorder="1" applyAlignment="1">
      <alignment horizontal="left" vertical="top"/>
    </xf>
    <xf numFmtId="0" fontId="3" fillId="3" borderId="2" xfId="0" applyFont="1" applyFill="1" applyBorder="1" applyAlignment="1">
      <alignment horizontal="left" vertical="top"/>
    </xf>
    <xf numFmtId="0" fontId="27" fillId="3" borderId="5" xfId="0" applyFont="1" applyFill="1" applyBorder="1" applyAlignment="1">
      <alignment horizontal="center" vertical="top" wrapText="1"/>
    </xf>
    <xf numFmtId="0" fontId="26" fillId="3" borderId="4" xfId="0" applyFont="1" applyFill="1" applyBorder="1" applyAlignment="1">
      <alignment horizontal="center" vertical="top" wrapText="1"/>
    </xf>
    <xf numFmtId="0" fontId="27" fillId="3" borderId="3" xfId="0" applyFont="1" applyFill="1" applyBorder="1" applyAlignment="1">
      <alignment horizontal="center" vertical="top" wrapText="1"/>
    </xf>
    <xf numFmtId="0" fontId="26" fillId="3" borderId="3" xfId="0" applyFont="1" applyFill="1" applyBorder="1" applyAlignment="1">
      <alignment horizontal="center" vertical="top" wrapText="1"/>
    </xf>
    <xf numFmtId="0" fontId="38" fillId="0" borderId="0" xfId="0" applyFont="1" applyAlignment="1">
      <alignment horizontal="center" vertical="top"/>
    </xf>
    <xf numFmtId="0" fontId="27" fillId="0" borderId="4" xfId="0" applyFont="1" applyBorder="1" applyAlignment="1">
      <alignment horizontal="center" vertical="top" wrapText="1"/>
    </xf>
    <xf numFmtId="0" fontId="48" fillId="0" borderId="12" xfId="0" applyFont="1" applyBorder="1" applyAlignment="1">
      <alignment horizontal="center" vertical="top" wrapText="1"/>
    </xf>
    <xf numFmtId="0" fontId="48" fillId="0" borderId="13" xfId="0" applyFont="1" applyBorder="1" applyAlignment="1">
      <alignment horizontal="center" vertical="top" wrapText="1"/>
    </xf>
    <xf numFmtId="0" fontId="38" fillId="0" borderId="0" xfId="0" applyFont="1" applyAlignment="1">
      <alignment horizontal="center" vertical="top" wrapText="1"/>
    </xf>
    <xf numFmtId="0" fontId="40" fillId="0" borderId="2" xfId="0" applyFont="1" applyBorder="1" applyAlignment="1">
      <alignment horizontal="right" vertical="top" wrapText="1"/>
    </xf>
    <xf numFmtId="0" fontId="48" fillId="0" borderId="0" xfId="0" applyFont="1" applyAlignment="1">
      <alignment horizontal="center" vertical="top" wrapText="1"/>
    </xf>
    <xf numFmtId="0" fontId="38" fillId="0" borderId="0" xfId="0" applyFont="1" applyAlignment="1">
      <alignment horizontal="center" vertical="center"/>
    </xf>
    <xf numFmtId="0" fontId="17" fillId="2" borderId="0" xfId="0" applyFont="1" applyFill="1" applyAlignment="1">
      <alignment horizontal="center" vertical="center"/>
    </xf>
    <xf numFmtId="0" fontId="28"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st.lan\Data\RCN-1%20Yelve\Budget-2045%20&amp;%202053\2017-16\Yearly%20Budget%202017-18\2053\20530162-Budget-2017-18\Budget%2020530162%20for%202017-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Page 2"/>
      <sheetName val="Page 3"/>
      <sheetName val="Page 4"/>
      <sheetName val="Page 5"/>
      <sheetName val="Distrs.wise Abstract"/>
      <sheetName val="Page_1"/>
      <sheetName val="Page_2"/>
      <sheetName val="Page_3"/>
      <sheetName val="Page_4"/>
      <sheetName val="Page_5"/>
      <sheetName val="Distrs_wise_Abstract"/>
    </sheetNames>
    <sheetDataSet>
      <sheetData sheetId="0" refreshError="1"/>
      <sheetData sheetId="1" refreshError="1"/>
      <sheetData sheetId="2" refreshError="1"/>
      <sheetData sheetId="3" refreshError="1">
        <row r="186">
          <cell r="J186">
            <v>0</v>
          </cell>
          <cell r="K186">
            <v>0</v>
          </cell>
        </row>
        <row r="190">
          <cell r="J190">
            <v>0</v>
          </cell>
          <cell r="K190">
            <v>0</v>
          </cell>
        </row>
        <row r="192">
          <cell r="J192">
            <v>0</v>
          </cell>
          <cell r="K192">
            <v>0</v>
          </cell>
        </row>
      </sheetData>
      <sheetData sheetId="4" refreshError="1"/>
      <sheetData sheetId="5" refreshError="1"/>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47"/>
  <sheetViews>
    <sheetView view="pageBreakPreview" zoomScale="75" zoomScaleNormal="75" zoomScaleSheetLayoutView="75" workbookViewId="0">
      <selection activeCell="A427" sqref="A427:Q427"/>
    </sheetView>
  </sheetViews>
  <sheetFormatPr defaultColWidth="9.109375" defaultRowHeight="17.399999999999999"/>
  <cols>
    <col min="1" max="1" width="3.5546875" style="92" customWidth="1"/>
    <col min="2" max="2" width="10" style="98" bestFit="1" customWidth="1"/>
    <col min="3" max="3" width="39.109375" style="92" customWidth="1"/>
    <col min="4" max="4" width="10.6640625" style="92" customWidth="1"/>
    <col min="5" max="5" width="10.88671875" style="92" customWidth="1"/>
    <col min="6" max="6" width="8" style="92" customWidth="1"/>
    <col min="7" max="7" width="11.33203125" style="92" bestFit="1" customWidth="1"/>
    <col min="8" max="8" width="8.44140625" style="92" bestFit="1" customWidth="1"/>
    <col min="9" max="9" width="11.33203125" style="92" bestFit="1" customWidth="1"/>
    <col min="10" max="10" width="16.6640625" style="92" bestFit="1" customWidth="1"/>
    <col min="11" max="11" width="9.109375" style="92"/>
    <col min="12" max="12" width="12" style="92" bestFit="1" customWidth="1"/>
    <col min="13" max="13" width="34.88671875" style="92" bestFit="1" customWidth="1"/>
    <col min="14" max="14" width="7.88671875" style="92" customWidth="1"/>
    <col min="15" max="15" width="7.33203125" style="92" customWidth="1"/>
    <col min="16" max="16" width="9.88671875" style="92" customWidth="1"/>
    <col min="17" max="17" width="12.88671875" style="92" bestFit="1" customWidth="1"/>
    <col min="18" max="20" width="9.109375" style="92"/>
    <col min="21" max="16384" width="9.109375" style="93"/>
  </cols>
  <sheetData>
    <row r="1" spans="1:20">
      <c r="A1" s="278" t="s">
        <v>156</v>
      </c>
      <c r="B1" s="279"/>
      <c r="C1" s="279"/>
      <c r="D1" s="279"/>
      <c r="E1" s="279"/>
      <c r="F1" s="279"/>
      <c r="G1" s="279"/>
      <c r="H1" s="279"/>
      <c r="I1" s="279"/>
      <c r="J1" s="279"/>
      <c r="K1" s="279"/>
      <c r="L1" s="279"/>
      <c r="M1" s="279"/>
      <c r="N1" s="279"/>
      <c r="O1" s="279"/>
      <c r="P1" s="279"/>
      <c r="Q1" s="279"/>
      <c r="R1" s="93"/>
      <c r="S1" s="93"/>
      <c r="T1" s="93"/>
    </row>
    <row r="2" spans="1:20">
      <c r="A2" s="278" t="s">
        <v>17</v>
      </c>
      <c r="B2" s="279"/>
      <c r="C2" s="279"/>
      <c r="D2" s="279"/>
      <c r="E2" s="279"/>
      <c r="F2" s="279"/>
      <c r="G2" s="279"/>
      <c r="H2" s="279"/>
      <c r="I2" s="279"/>
      <c r="J2" s="279"/>
      <c r="K2" s="279"/>
      <c r="L2" s="279"/>
      <c r="M2" s="279"/>
      <c r="N2" s="279"/>
      <c r="O2" s="279"/>
      <c r="P2" s="279"/>
      <c r="Q2" s="279"/>
      <c r="R2" s="93"/>
      <c r="S2" s="93"/>
      <c r="T2" s="93"/>
    </row>
    <row r="3" spans="1:20" ht="22.8">
      <c r="A3" s="74" t="s">
        <v>1</v>
      </c>
      <c r="B3" s="75"/>
      <c r="C3" s="75"/>
      <c r="D3" s="76"/>
      <c r="E3" s="77"/>
      <c r="F3" s="77"/>
      <c r="G3" s="77"/>
      <c r="H3" s="77"/>
      <c r="I3" s="77"/>
      <c r="J3" s="77"/>
      <c r="K3" s="77"/>
      <c r="L3" s="77"/>
      <c r="M3" s="77"/>
      <c r="N3" s="77"/>
      <c r="O3" s="283" t="s">
        <v>2</v>
      </c>
      <c r="P3" s="284"/>
      <c r="Q3" s="284"/>
      <c r="R3" s="93"/>
      <c r="S3" s="93"/>
      <c r="T3" s="93"/>
    </row>
    <row r="4" spans="1:20" ht="18.75" customHeight="1">
      <c r="A4" s="280" t="s">
        <v>35</v>
      </c>
      <c r="B4" s="280" t="s">
        <v>3</v>
      </c>
      <c r="C4" s="285" t="s">
        <v>4</v>
      </c>
      <c r="D4" s="190" t="s">
        <v>5</v>
      </c>
      <c r="E4" s="190" t="s">
        <v>5</v>
      </c>
      <c r="F4" s="287" t="s">
        <v>6</v>
      </c>
      <c r="G4" s="287" t="s">
        <v>7</v>
      </c>
      <c r="H4" s="287" t="s">
        <v>8</v>
      </c>
      <c r="I4" s="287" t="s">
        <v>9</v>
      </c>
      <c r="J4" s="287" t="s">
        <v>159</v>
      </c>
      <c r="K4" s="280" t="s">
        <v>10</v>
      </c>
      <c r="L4" s="280" t="s">
        <v>11</v>
      </c>
      <c r="M4" s="280" t="s">
        <v>12</v>
      </c>
      <c r="N4" s="280" t="s">
        <v>13</v>
      </c>
      <c r="O4" s="280" t="s">
        <v>14</v>
      </c>
      <c r="P4" s="280" t="s">
        <v>15</v>
      </c>
      <c r="Q4" s="280" t="s">
        <v>9</v>
      </c>
      <c r="R4" s="93"/>
      <c r="S4" s="93"/>
      <c r="T4" s="93"/>
    </row>
    <row r="5" spans="1:20" ht="18.75" customHeight="1">
      <c r="A5" s="281"/>
      <c r="B5" s="281"/>
      <c r="C5" s="286"/>
      <c r="D5" s="191" t="s">
        <v>146</v>
      </c>
      <c r="E5" s="191" t="s">
        <v>164</v>
      </c>
      <c r="F5" s="288"/>
      <c r="G5" s="288"/>
      <c r="H5" s="288"/>
      <c r="I5" s="288"/>
      <c r="J5" s="288"/>
      <c r="K5" s="282"/>
      <c r="L5" s="282"/>
      <c r="M5" s="282"/>
      <c r="N5" s="282"/>
      <c r="O5" s="282"/>
      <c r="P5" s="282"/>
      <c r="Q5" s="282"/>
      <c r="R5" s="93"/>
      <c r="S5" s="93"/>
      <c r="T5" s="93"/>
    </row>
    <row r="6" spans="1:20">
      <c r="A6" s="282"/>
      <c r="B6" s="282"/>
      <c r="C6" s="289" t="s">
        <v>16</v>
      </c>
      <c r="D6" s="290"/>
      <c r="E6" s="290"/>
      <c r="F6" s="290"/>
      <c r="G6" s="290"/>
      <c r="H6" s="290"/>
      <c r="I6" s="290"/>
      <c r="J6" s="290"/>
      <c r="K6" s="290"/>
      <c r="L6" s="290"/>
      <c r="M6" s="290"/>
      <c r="N6" s="290"/>
      <c r="O6" s="290"/>
      <c r="P6" s="290"/>
      <c r="Q6" s="291"/>
      <c r="R6" s="93"/>
      <c r="S6" s="93"/>
      <c r="T6" s="93"/>
    </row>
    <row r="7" spans="1:20" ht="21">
      <c r="A7" s="265">
        <v>1</v>
      </c>
      <c r="B7" s="262" t="s">
        <v>18</v>
      </c>
      <c r="C7" s="78" t="s">
        <v>21</v>
      </c>
      <c r="D7" s="79">
        <v>1</v>
      </c>
      <c r="E7" s="80">
        <v>1</v>
      </c>
      <c r="F7" s="79">
        <v>0</v>
      </c>
      <c r="G7" s="79">
        <v>2442</v>
      </c>
      <c r="H7" s="79">
        <v>0</v>
      </c>
      <c r="I7" s="80">
        <f>SUM(G7:H7)</f>
        <v>2442</v>
      </c>
      <c r="J7" s="145">
        <f>ROUND(I7*0.64,0)</f>
        <v>1563</v>
      </c>
      <c r="K7" s="79">
        <v>4</v>
      </c>
      <c r="L7" s="145">
        <v>0</v>
      </c>
      <c r="M7" s="79">
        <v>0</v>
      </c>
      <c r="N7" s="79">
        <v>0</v>
      </c>
      <c r="O7" s="79">
        <v>0</v>
      </c>
      <c r="P7" s="79">
        <v>0</v>
      </c>
      <c r="Q7" s="80">
        <f>SUM(F7+I7+J7+K7+L7+M7+N7+O7+P7)</f>
        <v>4009</v>
      </c>
    </row>
    <row r="8" spans="1:20" ht="21">
      <c r="A8" s="274"/>
      <c r="B8" s="276"/>
      <c r="C8" s="78" t="s">
        <v>22</v>
      </c>
      <c r="D8" s="79">
        <v>0</v>
      </c>
      <c r="E8" s="80">
        <v>0</v>
      </c>
      <c r="F8" s="79">
        <v>0</v>
      </c>
      <c r="G8" s="79">
        <v>0</v>
      </c>
      <c r="H8" s="79">
        <v>0</v>
      </c>
      <c r="I8" s="80">
        <f t="shared" ref="I8:I20" si="0">SUM(G8:H8)</f>
        <v>0</v>
      </c>
      <c r="J8" s="145">
        <f t="shared" ref="J8:J20" si="1">ROUND(I8*0.64,0)</f>
        <v>0</v>
      </c>
      <c r="K8" s="79">
        <v>0</v>
      </c>
      <c r="L8" s="145">
        <f t="shared" ref="L8:L20" si="2">ROUND(I8*0.3,0)</f>
        <v>0</v>
      </c>
      <c r="M8" s="79">
        <v>0</v>
      </c>
      <c r="N8" s="79">
        <v>0</v>
      </c>
      <c r="O8" s="79">
        <v>0</v>
      </c>
      <c r="P8" s="79">
        <v>0</v>
      </c>
      <c r="Q8" s="80">
        <f t="shared" ref="Q8:Q20" si="3">SUM(F8+I8+J8+K8+L8+M8+N8+O8+P8)</f>
        <v>0</v>
      </c>
    </row>
    <row r="9" spans="1:20" ht="21">
      <c r="A9" s="274"/>
      <c r="B9" s="276"/>
      <c r="C9" s="78" t="s">
        <v>23</v>
      </c>
      <c r="D9" s="79">
        <v>1</v>
      </c>
      <c r="E9" s="80">
        <v>1</v>
      </c>
      <c r="F9" s="79">
        <v>0</v>
      </c>
      <c r="G9" s="79">
        <v>1253</v>
      </c>
      <c r="H9" s="79">
        <v>0</v>
      </c>
      <c r="I9" s="80">
        <f t="shared" si="0"/>
        <v>1253</v>
      </c>
      <c r="J9" s="145">
        <f t="shared" si="1"/>
        <v>802</v>
      </c>
      <c r="K9" s="79">
        <v>4</v>
      </c>
      <c r="L9" s="145">
        <f t="shared" si="2"/>
        <v>376</v>
      </c>
      <c r="M9" s="79">
        <v>65</v>
      </c>
      <c r="N9" s="79">
        <v>0</v>
      </c>
      <c r="O9" s="79">
        <v>0</v>
      </c>
      <c r="P9" s="79">
        <v>0</v>
      </c>
      <c r="Q9" s="80">
        <f t="shared" si="3"/>
        <v>2500</v>
      </c>
    </row>
    <row r="10" spans="1:20" ht="21">
      <c r="A10" s="274"/>
      <c r="B10" s="276"/>
      <c r="C10" s="78" t="s">
        <v>24</v>
      </c>
      <c r="D10" s="79">
        <v>1</v>
      </c>
      <c r="E10" s="80">
        <v>1</v>
      </c>
      <c r="F10" s="79">
        <v>0</v>
      </c>
      <c r="G10" s="79">
        <v>768</v>
      </c>
      <c r="H10" s="79">
        <v>0</v>
      </c>
      <c r="I10" s="80">
        <f t="shared" si="0"/>
        <v>768</v>
      </c>
      <c r="J10" s="145">
        <f t="shared" si="1"/>
        <v>492</v>
      </c>
      <c r="K10" s="79">
        <v>3</v>
      </c>
      <c r="L10" s="145">
        <f t="shared" si="2"/>
        <v>230</v>
      </c>
      <c r="M10" s="79">
        <v>65</v>
      </c>
      <c r="N10" s="79">
        <v>0</v>
      </c>
      <c r="O10" s="79">
        <v>0</v>
      </c>
      <c r="P10" s="79">
        <v>0</v>
      </c>
      <c r="Q10" s="80">
        <f t="shared" si="3"/>
        <v>1558</v>
      </c>
    </row>
    <row r="11" spans="1:20" ht="21">
      <c r="A11" s="274"/>
      <c r="B11" s="276"/>
      <c r="C11" s="78" t="s">
        <v>25</v>
      </c>
      <c r="D11" s="79">
        <v>0</v>
      </c>
      <c r="E11" s="80">
        <v>0</v>
      </c>
      <c r="F11" s="79">
        <v>0</v>
      </c>
      <c r="G11" s="79">
        <v>0</v>
      </c>
      <c r="H11" s="79">
        <v>0</v>
      </c>
      <c r="I11" s="80">
        <f t="shared" si="0"/>
        <v>0</v>
      </c>
      <c r="J11" s="145">
        <f t="shared" si="1"/>
        <v>0</v>
      </c>
      <c r="K11" s="79">
        <v>0</v>
      </c>
      <c r="L11" s="145">
        <f t="shared" si="2"/>
        <v>0</v>
      </c>
      <c r="M11" s="79">
        <v>0</v>
      </c>
      <c r="N11" s="79">
        <v>0</v>
      </c>
      <c r="O11" s="79">
        <v>0</v>
      </c>
      <c r="P11" s="79">
        <v>0</v>
      </c>
      <c r="Q11" s="80">
        <f t="shared" si="3"/>
        <v>0</v>
      </c>
    </row>
    <row r="12" spans="1:20" ht="21">
      <c r="A12" s="274"/>
      <c r="B12" s="276"/>
      <c r="C12" s="78" t="s">
        <v>26</v>
      </c>
      <c r="D12" s="79">
        <v>0</v>
      </c>
      <c r="E12" s="80">
        <v>0</v>
      </c>
      <c r="F12" s="79">
        <v>0</v>
      </c>
      <c r="G12" s="79">
        <v>0</v>
      </c>
      <c r="H12" s="79">
        <v>0</v>
      </c>
      <c r="I12" s="80">
        <f>SUM(G12:H12)</f>
        <v>0</v>
      </c>
      <c r="J12" s="145">
        <f t="shared" si="1"/>
        <v>0</v>
      </c>
      <c r="K12" s="79">
        <v>0</v>
      </c>
      <c r="L12" s="145">
        <f t="shared" si="2"/>
        <v>0</v>
      </c>
      <c r="M12" s="79">
        <v>0</v>
      </c>
      <c r="N12" s="79">
        <v>0</v>
      </c>
      <c r="O12" s="79">
        <v>0</v>
      </c>
      <c r="P12" s="79">
        <v>0</v>
      </c>
      <c r="Q12" s="80">
        <f>SUM(F12+I12+J12+K12+L12+M12+N12+O12+P12)</f>
        <v>0</v>
      </c>
    </row>
    <row r="13" spans="1:20" ht="21">
      <c r="A13" s="274"/>
      <c r="B13" s="276"/>
      <c r="C13" s="146" t="s">
        <v>27</v>
      </c>
      <c r="D13" s="79">
        <v>0</v>
      </c>
      <c r="E13" s="80">
        <v>0</v>
      </c>
      <c r="F13" s="79">
        <v>0</v>
      </c>
      <c r="G13" s="79">
        <v>0</v>
      </c>
      <c r="H13" s="79">
        <v>0</v>
      </c>
      <c r="I13" s="80">
        <f>SUM(G13:H13)</f>
        <v>0</v>
      </c>
      <c r="J13" s="145">
        <f t="shared" si="1"/>
        <v>0</v>
      </c>
      <c r="K13" s="79">
        <v>0</v>
      </c>
      <c r="L13" s="145">
        <f t="shared" si="2"/>
        <v>0</v>
      </c>
      <c r="M13" s="79">
        <v>0</v>
      </c>
      <c r="N13" s="79">
        <v>0</v>
      </c>
      <c r="O13" s="79">
        <v>0</v>
      </c>
      <c r="P13" s="79">
        <v>0</v>
      </c>
      <c r="Q13" s="80">
        <f>SUM(F13+I13+J13+K13+L13+M13+N13+O13+P13)</f>
        <v>0</v>
      </c>
    </row>
    <row r="14" spans="1:20" ht="21">
      <c r="A14" s="265">
        <v>2</v>
      </c>
      <c r="B14" s="262" t="s">
        <v>19</v>
      </c>
      <c r="C14" s="81" t="s">
        <v>28</v>
      </c>
      <c r="D14" s="79">
        <v>0</v>
      </c>
      <c r="E14" s="80">
        <v>0</v>
      </c>
      <c r="F14" s="79">
        <v>0</v>
      </c>
      <c r="G14" s="79">
        <v>0</v>
      </c>
      <c r="H14" s="79">
        <v>0</v>
      </c>
      <c r="I14" s="80">
        <f t="shared" si="0"/>
        <v>0</v>
      </c>
      <c r="J14" s="145">
        <f t="shared" si="1"/>
        <v>0</v>
      </c>
      <c r="K14" s="79">
        <v>0</v>
      </c>
      <c r="L14" s="145">
        <f t="shared" si="2"/>
        <v>0</v>
      </c>
      <c r="M14" s="79">
        <v>0</v>
      </c>
      <c r="N14" s="79">
        <v>0</v>
      </c>
      <c r="O14" s="79">
        <v>0</v>
      </c>
      <c r="P14" s="79">
        <v>0</v>
      </c>
      <c r="Q14" s="80">
        <f t="shared" si="3"/>
        <v>0</v>
      </c>
    </row>
    <row r="15" spans="1:20" ht="21">
      <c r="A15" s="266"/>
      <c r="B15" s="263"/>
      <c r="C15" s="81" t="s">
        <v>29</v>
      </c>
      <c r="D15" s="164">
        <v>1</v>
      </c>
      <c r="E15" s="91">
        <v>1</v>
      </c>
      <c r="F15" s="79">
        <v>0</v>
      </c>
      <c r="G15" s="79">
        <v>758</v>
      </c>
      <c r="H15" s="79">
        <v>0</v>
      </c>
      <c r="I15" s="80">
        <f t="shared" si="0"/>
        <v>758</v>
      </c>
      <c r="J15" s="145">
        <f t="shared" si="1"/>
        <v>485</v>
      </c>
      <c r="K15" s="79">
        <v>3</v>
      </c>
      <c r="L15" s="145">
        <v>228</v>
      </c>
      <c r="M15" s="79">
        <v>32</v>
      </c>
      <c r="N15" s="79">
        <v>0</v>
      </c>
      <c r="O15" s="79">
        <v>0</v>
      </c>
      <c r="P15" s="79">
        <v>0</v>
      </c>
      <c r="Q15" s="80">
        <f t="shared" si="3"/>
        <v>1506</v>
      </c>
    </row>
    <row r="16" spans="1:20" ht="36" customHeight="1">
      <c r="A16" s="266"/>
      <c r="B16" s="263"/>
      <c r="C16" s="81" t="s">
        <v>45</v>
      </c>
      <c r="D16" s="79">
        <v>0</v>
      </c>
      <c r="E16" s="80">
        <v>0</v>
      </c>
      <c r="F16" s="79">
        <v>0</v>
      </c>
      <c r="G16" s="79">
        <v>0</v>
      </c>
      <c r="H16" s="79">
        <v>0</v>
      </c>
      <c r="I16" s="80">
        <f t="shared" si="0"/>
        <v>0</v>
      </c>
      <c r="J16" s="145">
        <f t="shared" si="1"/>
        <v>0</v>
      </c>
      <c r="K16" s="79">
        <v>0</v>
      </c>
      <c r="L16" s="145">
        <f t="shared" si="2"/>
        <v>0</v>
      </c>
      <c r="M16" s="79">
        <v>0</v>
      </c>
      <c r="N16" s="79">
        <v>0</v>
      </c>
      <c r="O16" s="79">
        <v>0</v>
      </c>
      <c r="P16" s="79">
        <v>0</v>
      </c>
      <c r="Q16" s="80">
        <f t="shared" si="3"/>
        <v>0</v>
      </c>
    </row>
    <row r="17" spans="1:20" ht="21">
      <c r="A17" s="266"/>
      <c r="B17" s="263"/>
      <c r="C17" s="81" t="s">
        <v>31</v>
      </c>
      <c r="D17" s="164">
        <v>2</v>
      </c>
      <c r="E17" s="91">
        <v>2</v>
      </c>
      <c r="F17" s="79">
        <v>0</v>
      </c>
      <c r="G17" s="79">
        <v>867</v>
      </c>
      <c r="H17" s="79">
        <v>0</v>
      </c>
      <c r="I17" s="80">
        <f t="shared" si="0"/>
        <v>867</v>
      </c>
      <c r="J17" s="145">
        <f t="shared" si="1"/>
        <v>555</v>
      </c>
      <c r="K17" s="79">
        <v>8</v>
      </c>
      <c r="L17" s="145">
        <f t="shared" si="2"/>
        <v>260</v>
      </c>
      <c r="M17" s="79">
        <v>65</v>
      </c>
      <c r="N17" s="79">
        <v>0</v>
      </c>
      <c r="O17" s="79">
        <v>17</v>
      </c>
      <c r="P17" s="79">
        <v>0</v>
      </c>
      <c r="Q17" s="80">
        <f t="shared" si="3"/>
        <v>1772</v>
      </c>
    </row>
    <row r="18" spans="1:20" ht="21">
      <c r="A18" s="266"/>
      <c r="B18" s="263"/>
      <c r="C18" s="81" t="s">
        <v>32</v>
      </c>
      <c r="D18" s="164">
        <v>23</v>
      </c>
      <c r="E18" s="91">
        <v>23</v>
      </c>
      <c r="F18" s="79">
        <v>0</v>
      </c>
      <c r="G18" s="79">
        <v>6637</v>
      </c>
      <c r="H18" s="79">
        <v>0</v>
      </c>
      <c r="I18" s="80">
        <f t="shared" si="0"/>
        <v>6637</v>
      </c>
      <c r="J18" s="145">
        <f t="shared" si="1"/>
        <v>4248</v>
      </c>
      <c r="K18" s="79">
        <v>55</v>
      </c>
      <c r="L18" s="145">
        <v>1992</v>
      </c>
      <c r="M18" s="79">
        <v>439</v>
      </c>
      <c r="N18" s="79">
        <v>0</v>
      </c>
      <c r="O18" s="79">
        <v>0</v>
      </c>
      <c r="P18" s="79">
        <v>0</v>
      </c>
      <c r="Q18" s="80">
        <f t="shared" si="3"/>
        <v>13371</v>
      </c>
    </row>
    <row r="19" spans="1:20" ht="21">
      <c r="A19" s="267"/>
      <c r="B19" s="264"/>
      <c r="C19" s="81" t="s">
        <v>33</v>
      </c>
      <c r="D19" s="79">
        <v>0</v>
      </c>
      <c r="E19" s="80">
        <v>0</v>
      </c>
      <c r="F19" s="79">
        <v>0</v>
      </c>
      <c r="G19" s="79">
        <v>0</v>
      </c>
      <c r="H19" s="79">
        <v>0</v>
      </c>
      <c r="I19" s="80">
        <f t="shared" si="0"/>
        <v>0</v>
      </c>
      <c r="J19" s="145">
        <f t="shared" si="1"/>
        <v>0</v>
      </c>
      <c r="K19" s="79">
        <v>0</v>
      </c>
      <c r="L19" s="145">
        <f t="shared" si="2"/>
        <v>0</v>
      </c>
      <c r="M19" s="79">
        <v>0</v>
      </c>
      <c r="N19" s="79">
        <v>0</v>
      </c>
      <c r="O19" s="79">
        <v>0</v>
      </c>
      <c r="P19" s="79">
        <v>0</v>
      </c>
      <c r="Q19" s="80">
        <f t="shared" si="3"/>
        <v>0</v>
      </c>
    </row>
    <row r="20" spans="1:20" ht="21">
      <c r="A20" s="141">
        <v>3</v>
      </c>
      <c r="B20" s="142" t="s">
        <v>20</v>
      </c>
      <c r="C20" s="82" t="s">
        <v>34</v>
      </c>
      <c r="D20" s="164">
        <v>32</v>
      </c>
      <c r="E20" s="91">
        <v>32</v>
      </c>
      <c r="F20" s="79">
        <v>0</v>
      </c>
      <c r="G20" s="79">
        <v>8953</v>
      </c>
      <c r="H20" s="79">
        <v>0</v>
      </c>
      <c r="I20" s="80">
        <f t="shared" si="0"/>
        <v>8953</v>
      </c>
      <c r="J20" s="145">
        <f t="shared" si="1"/>
        <v>5730</v>
      </c>
      <c r="K20" s="79">
        <v>49</v>
      </c>
      <c r="L20" s="145">
        <f t="shared" si="2"/>
        <v>2686</v>
      </c>
      <c r="M20" s="79">
        <v>552</v>
      </c>
      <c r="N20" s="79">
        <v>96</v>
      </c>
      <c r="O20" s="79">
        <v>0</v>
      </c>
      <c r="P20" s="79">
        <v>0</v>
      </c>
      <c r="Q20" s="80">
        <f t="shared" si="3"/>
        <v>18066</v>
      </c>
    </row>
    <row r="21" spans="1:20" s="149" customFormat="1" ht="21.6" thickBot="1">
      <c r="A21" s="83" t="s">
        <v>36</v>
      </c>
      <c r="B21" s="83" t="s">
        <v>36</v>
      </c>
      <c r="C21" s="84" t="s">
        <v>9</v>
      </c>
      <c r="D21" s="163">
        <f t="shared" ref="D21:Q21" si="4">SUM(D7:D20)</f>
        <v>61</v>
      </c>
      <c r="E21" s="147">
        <f t="shared" si="4"/>
        <v>61</v>
      </c>
      <c r="F21" s="147">
        <f t="shared" si="4"/>
        <v>0</v>
      </c>
      <c r="G21" s="147">
        <f t="shared" si="4"/>
        <v>21678</v>
      </c>
      <c r="H21" s="147">
        <f t="shared" si="4"/>
        <v>0</v>
      </c>
      <c r="I21" s="147">
        <f t="shared" si="4"/>
        <v>21678</v>
      </c>
      <c r="J21" s="147">
        <f t="shared" si="4"/>
        <v>13875</v>
      </c>
      <c r="K21" s="147">
        <f t="shared" si="4"/>
        <v>126</v>
      </c>
      <c r="L21" s="147">
        <f t="shared" si="4"/>
        <v>5772</v>
      </c>
      <c r="M21" s="147">
        <f t="shared" si="4"/>
        <v>1218</v>
      </c>
      <c r="N21" s="147">
        <f t="shared" si="4"/>
        <v>96</v>
      </c>
      <c r="O21" s="147">
        <f t="shared" si="4"/>
        <v>17</v>
      </c>
      <c r="P21" s="147">
        <f t="shared" si="4"/>
        <v>0</v>
      </c>
      <c r="Q21" s="147">
        <f t="shared" si="4"/>
        <v>42782</v>
      </c>
      <c r="R21" s="148"/>
      <c r="S21" s="148"/>
      <c r="T21" s="148"/>
    </row>
    <row r="22" spans="1:20" s="149" customFormat="1" ht="21.6" thickTop="1">
      <c r="A22" s="85"/>
      <c r="B22" s="85"/>
      <c r="C22" s="86"/>
      <c r="D22" s="150">
        <f>E6+E7+E8+E9+E10+E11</f>
        <v>3</v>
      </c>
      <c r="E22" s="150">
        <f>E14+E15+E16+E17+E18+E19</f>
        <v>26</v>
      </c>
      <c r="F22" s="150"/>
      <c r="G22" s="150"/>
      <c r="H22" s="150"/>
      <c r="I22" s="150"/>
      <c r="J22" s="150"/>
      <c r="K22" s="150"/>
      <c r="L22" s="150"/>
      <c r="M22" s="150"/>
      <c r="N22" s="150"/>
      <c r="O22" s="150"/>
      <c r="P22" s="150"/>
      <c r="Q22" s="150"/>
      <c r="R22" s="148"/>
      <c r="S22" s="148"/>
      <c r="T22" s="148"/>
    </row>
    <row r="23" spans="1:20">
      <c r="A23" s="278" t="s">
        <v>156</v>
      </c>
      <c r="B23" s="279"/>
      <c r="C23" s="279"/>
      <c r="D23" s="279"/>
      <c r="E23" s="279"/>
      <c r="F23" s="279"/>
      <c r="G23" s="279"/>
      <c r="H23" s="279"/>
      <c r="I23" s="279"/>
      <c r="J23" s="279"/>
      <c r="K23" s="279"/>
      <c r="L23" s="279"/>
      <c r="M23" s="279"/>
      <c r="N23" s="279"/>
      <c r="O23" s="279"/>
      <c r="P23" s="279"/>
      <c r="Q23" s="279"/>
      <c r="R23" s="93"/>
      <c r="S23" s="93"/>
      <c r="T23" s="93"/>
    </row>
    <row r="24" spans="1:20">
      <c r="A24" s="278" t="s">
        <v>17</v>
      </c>
      <c r="B24" s="279"/>
      <c r="C24" s="279"/>
      <c r="D24" s="279"/>
      <c r="E24" s="279"/>
      <c r="F24" s="279"/>
      <c r="G24" s="279"/>
      <c r="H24" s="279"/>
      <c r="I24" s="279"/>
      <c r="J24" s="279"/>
      <c r="K24" s="279"/>
      <c r="L24" s="279"/>
      <c r="M24" s="279"/>
      <c r="N24" s="279"/>
      <c r="O24" s="279"/>
      <c r="P24" s="279"/>
      <c r="Q24" s="279"/>
      <c r="R24" s="93"/>
      <c r="S24" s="93"/>
      <c r="T24" s="93"/>
    </row>
    <row r="25" spans="1:20" ht="22.8">
      <c r="A25" s="74" t="s">
        <v>1</v>
      </c>
      <c r="B25" s="75"/>
      <c r="C25" s="75"/>
      <c r="D25" s="76"/>
      <c r="E25" s="76"/>
      <c r="F25" s="77"/>
      <c r="G25" s="77"/>
      <c r="H25" s="77"/>
      <c r="I25" s="77"/>
      <c r="J25" s="77"/>
      <c r="K25" s="77"/>
      <c r="L25" s="77"/>
      <c r="M25" s="77"/>
      <c r="N25" s="77"/>
      <c r="O25" s="283" t="s">
        <v>2</v>
      </c>
      <c r="P25" s="284"/>
      <c r="Q25" s="284"/>
      <c r="R25" s="93"/>
      <c r="S25" s="93"/>
      <c r="T25" s="93"/>
    </row>
    <row r="26" spans="1:20" ht="18.75" customHeight="1">
      <c r="A26" s="280" t="s">
        <v>35</v>
      </c>
      <c r="B26" s="280" t="s">
        <v>3</v>
      </c>
      <c r="C26" s="285" t="s">
        <v>4</v>
      </c>
      <c r="D26" s="190" t="s">
        <v>5</v>
      </c>
      <c r="E26" s="190" t="s">
        <v>5</v>
      </c>
      <c r="F26" s="287" t="s">
        <v>6</v>
      </c>
      <c r="G26" s="287" t="s">
        <v>7</v>
      </c>
      <c r="H26" s="287" t="s">
        <v>8</v>
      </c>
      <c r="I26" s="287" t="s">
        <v>9</v>
      </c>
      <c r="J26" s="287" t="s">
        <v>159</v>
      </c>
      <c r="K26" s="280" t="s">
        <v>10</v>
      </c>
      <c r="L26" s="280" t="s">
        <v>11</v>
      </c>
      <c r="M26" s="280" t="s">
        <v>12</v>
      </c>
      <c r="N26" s="280" t="s">
        <v>13</v>
      </c>
      <c r="O26" s="280" t="s">
        <v>14</v>
      </c>
      <c r="P26" s="280" t="s">
        <v>15</v>
      </c>
      <c r="Q26" s="280" t="s">
        <v>9</v>
      </c>
      <c r="R26" s="93"/>
      <c r="S26" s="93"/>
      <c r="T26" s="93"/>
    </row>
    <row r="27" spans="1:20" ht="18.75" customHeight="1">
      <c r="A27" s="281"/>
      <c r="B27" s="281"/>
      <c r="C27" s="286"/>
      <c r="D27" s="191" t="s">
        <v>146</v>
      </c>
      <c r="E27" s="191" t="s">
        <v>164</v>
      </c>
      <c r="F27" s="288"/>
      <c r="G27" s="288"/>
      <c r="H27" s="288"/>
      <c r="I27" s="288"/>
      <c r="J27" s="288"/>
      <c r="K27" s="282"/>
      <c r="L27" s="282"/>
      <c r="M27" s="282"/>
      <c r="N27" s="282"/>
      <c r="O27" s="282"/>
      <c r="P27" s="282"/>
      <c r="Q27" s="282"/>
      <c r="R27" s="93"/>
      <c r="S27" s="93"/>
      <c r="T27" s="93"/>
    </row>
    <row r="28" spans="1:20">
      <c r="A28" s="282"/>
      <c r="B28" s="282"/>
      <c r="C28" s="289" t="s">
        <v>37</v>
      </c>
      <c r="D28" s="290"/>
      <c r="E28" s="290"/>
      <c r="F28" s="290"/>
      <c r="G28" s="290"/>
      <c r="H28" s="290"/>
      <c r="I28" s="290"/>
      <c r="J28" s="290"/>
      <c r="K28" s="290"/>
      <c r="L28" s="290"/>
      <c r="M28" s="290"/>
      <c r="N28" s="290"/>
      <c r="O28" s="290"/>
      <c r="P28" s="290"/>
      <c r="Q28" s="291"/>
      <c r="R28" s="93"/>
      <c r="S28" s="93"/>
      <c r="T28" s="93"/>
    </row>
    <row r="29" spans="1:20" ht="20.399999999999999">
      <c r="A29" s="265">
        <v>1</v>
      </c>
      <c r="B29" s="262" t="s">
        <v>18</v>
      </c>
      <c r="C29" s="78" t="s">
        <v>21</v>
      </c>
      <c r="D29" s="90">
        <v>0</v>
      </c>
      <c r="E29" s="90">
        <v>0</v>
      </c>
      <c r="F29" s="79">
        <v>0</v>
      </c>
      <c r="G29" s="79">
        <v>0</v>
      </c>
      <c r="H29" s="79">
        <v>0</v>
      </c>
      <c r="I29" s="90">
        <f>SUM(G29:H29)</f>
        <v>0</v>
      </c>
      <c r="J29" s="145">
        <f>ROUND(I29*0.64,0)</f>
        <v>0</v>
      </c>
      <c r="K29" s="89">
        <v>0</v>
      </c>
      <c r="L29" s="145">
        <f>ROUND(I29*0.3,0)</f>
        <v>0</v>
      </c>
      <c r="M29" s="89">
        <v>0</v>
      </c>
      <c r="N29" s="89">
        <v>0</v>
      </c>
      <c r="O29" s="89">
        <v>0</v>
      </c>
      <c r="P29" s="89">
        <v>0</v>
      </c>
      <c r="Q29" s="91">
        <f>SUM(F29+I29+J29+K29+L29+M29+N29+O29+P29)</f>
        <v>0</v>
      </c>
    </row>
    <row r="30" spans="1:20" ht="20.399999999999999">
      <c r="A30" s="274"/>
      <c r="B30" s="276"/>
      <c r="C30" s="78" t="s">
        <v>22</v>
      </c>
      <c r="D30" s="88">
        <v>1</v>
      </c>
      <c r="E30" s="88">
        <v>1</v>
      </c>
      <c r="F30" s="79">
        <v>0</v>
      </c>
      <c r="G30" s="79">
        <v>1390</v>
      </c>
      <c r="H30" s="79">
        <v>0</v>
      </c>
      <c r="I30" s="90">
        <f>SUM(G30:H30)</f>
        <v>1390</v>
      </c>
      <c r="J30" s="145">
        <f t="shared" ref="J30:J43" si="5">ROUND(I30*0.64,0)</f>
        <v>890</v>
      </c>
      <c r="K30" s="89">
        <v>4</v>
      </c>
      <c r="L30" s="145">
        <f t="shared" ref="L30:L45" si="6">ROUND(I30*0.3,0)</f>
        <v>417</v>
      </c>
      <c r="M30" s="89">
        <v>0</v>
      </c>
      <c r="N30" s="89">
        <v>0</v>
      </c>
      <c r="O30" s="89">
        <v>0</v>
      </c>
      <c r="P30" s="89">
        <v>0</v>
      </c>
      <c r="Q30" s="91">
        <f>SUM(F30+I30+J30+K30+L30+M30+N30+O30+P30)</f>
        <v>2701</v>
      </c>
    </row>
    <row r="31" spans="1:20" ht="36" customHeight="1">
      <c r="A31" s="274"/>
      <c r="B31" s="276"/>
      <c r="C31" s="78" t="s">
        <v>38</v>
      </c>
      <c r="D31" s="88">
        <v>1</v>
      </c>
      <c r="E31" s="88">
        <v>1</v>
      </c>
      <c r="F31" s="79">
        <v>0</v>
      </c>
      <c r="G31" s="79">
        <v>1049</v>
      </c>
      <c r="H31" s="79">
        <v>0</v>
      </c>
      <c r="I31" s="90">
        <f>SUM(G31:H31)</f>
        <v>1049</v>
      </c>
      <c r="J31" s="145">
        <f t="shared" si="5"/>
        <v>671</v>
      </c>
      <c r="K31" s="89">
        <v>4</v>
      </c>
      <c r="L31" s="145">
        <f t="shared" si="6"/>
        <v>315</v>
      </c>
      <c r="M31" s="89">
        <v>65</v>
      </c>
      <c r="N31" s="89">
        <v>0</v>
      </c>
      <c r="O31" s="89">
        <v>0</v>
      </c>
      <c r="P31" s="89">
        <v>0</v>
      </c>
      <c r="Q31" s="91">
        <f>SUM(F31+I31+J31+K31+L31+M31+N31+O31+P31)</f>
        <v>2104</v>
      </c>
    </row>
    <row r="32" spans="1:20" ht="30">
      <c r="A32" s="274"/>
      <c r="B32" s="276"/>
      <c r="C32" s="78" t="s">
        <v>39</v>
      </c>
      <c r="D32" s="88">
        <v>2</v>
      </c>
      <c r="E32" s="88">
        <v>2</v>
      </c>
      <c r="F32" s="79">
        <v>0</v>
      </c>
      <c r="G32" s="79">
        <v>1583</v>
      </c>
      <c r="H32" s="79">
        <v>0</v>
      </c>
      <c r="I32" s="90">
        <f t="shared" ref="I32:I45" si="7">SUM(G32:H32)</f>
        <v>1583</v>
      </c>
      <c r="J32" s="145">
        <f t="shared" si="5"/>
        <v>1013</v>
      </c>
      <c r="K32" s="89">
        <v>8</v>
      </c>
      <c r="L32" s="145">
        <v>475</v>
      </c>
      <c r="M32" s="89">
        <v>130</v>
      </c>
      <c r="N32" s="89">
        <v>0</v>
      </c>
      <c r="O32" s="89">
        <v>0</v>
      </c>
      <c r="P32" s="89">
        <v>0</v>
      </c>
      <c r="Q32" s="91">
        <f t="shared" ref="Q32:Q45" si="8">SUM(F32+I32+J32+K32+L32+M32+N32+O32+P32)</f>
        <v>3209</v>
      </c>
    </row>
    <row r="33" spans="1:20" ht="18.75" customHeight="1">
      <c r="A33" s="274"/>
      <c r="B33" s="276"/>
      <c r="C33" s="78" t="s">
        <v>40</v>
      </c>
      <c r="D33" s="88">
        <v>0</v>
      </c>
      <c r="E33" s="88">
        <v>0</v>
      </c>
      <c r="F33" s="79">
        <v>0</v>
      </c>
      <c r="G33" s="79">
        <v>0</v>
      </c>
      <c r="H33" s="79">
        <v>0</v>
      </c>
      <c r="I33" s="90">
        <f t="shared" si="7"/>
        <v>0</v>
      </c>
      <c r="J33" s="145">
        <f t="shared" si="5"/>
        <v>0</v>
      </c>
      <c r="K33" s="89">
        <v>0</v>
      </c>
      <c r="L33" s="145">
        <f t="shared" si="6"/>
        <v>0</v>
      </c>
      <c r="M33" s="89">
        <v>0</v>
      </c>
      <c r="N33" s="89">
        <v>0</v>
      </c>
      <c r="O33" s="89">
        <v>0</v>
      </c>
      <c r="P33" s="89">
        <v>0</v>
      </c>
      <c r="Q33" s="91">
        <f t="shared" si="8"/>
        <v>0</v>
      </c>
    </row>
    <row r="34" spans="1:20" ht="20.399999999999999">
      <c r="A34" s="274"/>
      <c r="B34" s="276"/>
      <c r="C34" s="78" t="s">
        <v>26</v>
      </c>
      <c r="D34" s="88">
        <v>2</v>
      </c>
      <c r="E34" s="88">
        <v>2</v>
      </c>
      <c r="F34" s="79">
        <v>0</v>
      </c>
      <c r="G34" s="79">
        <v>1560</v>
      </c>
      <c r="H34" s="79">
        <v>0</v>
      </c>
      <c r="I34" s="90">
        <f>SUM(G34:H34)</f>
        <v>1560</v>
      </c>
      <c r="J34" s="145">
        <v>999</v>
      </c>
      <c r="K34" s="89">
        <v>6</v>
      </c>
      <c r="L34" s="145">
        <f t="shared" si="6"/>
        <v>468</v>
      </c>
      <c r="M34" s="89">
        <v>65</v>
      </c>
      <c r="N34" s="89">
        <v>0</v>
      </c>
      <c r="O34" s="89">
        <v>0</v>
      </c>
      <c r="P34" s="89">
        <v>0</v>
      </c>
      <c r="Q34" s="91">
        <f>SUM(F34+I34+J34+K34+L34+M34+N34+O34+P34)</f>
        <v>3098</v>
      </c>
    </row>
    <row r="35" spans="1:20" ht="20.399999999999999">
      <c r="A35" s="274"/>
      <c r="B35" s="276"/>
      <c r="C35" s="78" t="s">
        <v>27</v>
      </c>
      <c r="D35" s="88">
        <v>1</v>
      </c>
      <c r="E35" s="88">
        <v>1</v>
      </c>
      <c r="F35" s="79">
        <v>0</v>
      </c>
      <c r="G35" s="79">
        <v>636</v>
      </c>
      <c r="H35" s="79">
        <v>0</v>
      </c>
      <c r="I35" s="90">
        <f>SUM(G35:H35)</f>
        <v>636</v>
      </c>
      <c r="J35" s="145">
        <f t="shared" si="5"/>
        <v>407</v>
      </c>
      <c r="K35" s="89">
        <v>3</v>
      </c>
      <c r="L35" s="145">
        <f t="shared" si="6"/>
        <v>191</v>
      </c>
      <c r="M35" s="89">
        <v>32</v>
      </c>
      <c r="N35" s="89">
        <v>0</v>
      </c>
      <c r="O35" s="89">
        <v>0</v>
      </c>
      <c r="P35" s="89">
        <v>0</v>
      </c>
      <c r="Q35" s="91">
        <f>SUM(F35+I35+J35+K35+L35+M35+N35+O35+P35)</f>
        <v>1269</v>
      </c>
    </row>
    <row r="36" spans="1:20">
      <c r="A36" s="275"/>
      <c r="B36" s="277"/>
      <c r="C36" s="78" t="s">
        <v>41</v>
      </c>
      <c r="D36" s="88">
        <v>1</v>
      </c>
      <c r="E36" s="88">
        <v>1</v>
      </c>
      <c r="F36" s="89">
        <v>0</v>
      </c>
      <c r="G36" s="89">
        <v>0</v>
      </c>
      <c r="H36" s="89">
        <v>0</v>
      </c>
      <c r="I36" s="90">
        <f>SUM(G36:H36)</f>
        <v>0</v>
      </c>
      <c r="J36" s="145">
        <f t="shared" si="5"/>
        <v>0</v>
      </c>
      <c r="K36" s="89">
        <v>0</v>
      </c>
      <c r="L36" s="145">
        <f t="shared" si="6"/>
        <v>0</v>
      </c>
      <c r="M36" s="89">
        <v>0</v>
      </c>
      <c r="N36" s="89">
        <v>0</v>
      </c>
      <c r="O36" s="89">
        <v>0</v>
      </c>
      <c r="P36" s="89">
        <v>0</v>
      </c>
      <c r="Q36" s="91">
        <f t="shared" si="8"/>
        <v>0</v>
      </c>
    </row>
    <row r="37" spans="1:20" ht="20.399999999999999">
      <c r="A37" s="177">
        <v>2</v>
      </c>
      <c r="B37" s="178" t="s">
        <v>19</v>
      </c>
      <c r="C37" s="81" t="s">
        <v>28</v>
      </c>
      <c r="D37" s="88">
        <v>1</v>
      </c>
      <c r="E37" s="88">
        <v>1</v>
      </c>
      <c r="F37" s="79">
        <v>0</v>
      </c>
      <c r="G37" s="79">
        <v>571</v>
      </c>
      <c r="H37" s="79">
        <v>0</v>
      </c>
      <c r="I37" s="90">
        <f>SUM(G37:H37)</f>
        <v>571</v>
      </c>
      <c r="J37" s="145">
        <v>366</v>
      </c>
      <c r="K37" s="89">
        <v>4</v>
      </c>
      <c r="L37" s="145">
        <f t="shared" si="6"/>
        <v>171</v>
      </c>
      <c r="M37" s="89">
        <v>32</v>
      </c>
      <c r="N37" s="89">
        <v>0</v>
      </c>
      <c r="O37" s="89">
        <v>0</v>
      </c>
      <c r="P37" s="89">
        <v>0</v>
      </c>
      <c r="Q37" s="91">
        <f>SUM(F37+I37+J37+K37+L37+M37+N37+O37+P37)</f>
        <v>1144</v>
      </c>
    </row>
    <row r="38" spans="1:20" ht="20.399999999999999">
      <c r="A38" s="179"/>
      <c r="B38" s="180"/>
      <c r="C38" s="81" t="s">
        <v>42</v>
      </c>
      <c r="D38" s="88">
        <v>21</v>
      </c>
      <c r="E38" s="88">
        <v>20</v>
      </c>
      <c r="F38" s="79">
        <v>0</v>
      </c>
      <c r="G38" s="79">
        <v>9452</v>
      </c>
      <c r="H38" s="79">
        <v>0</v>
      </c>
      <c r="I38" s="90">
        <f t="shared" si="7"/>
        <v>9452</v>
      </c>
      <c r="J38" s="145">
        <v>6050</v>
      </c>
      <c r="K38" s="89">
        <v>72</v>
      </c>
      <c r="L38" s="145">
        <f t="shared" si="6"/>
        <v>2836</v>
      </c>
      <c r="M38" s="89">
        <v>648</v>
      </c>
      <c r="N38" s="89">
        <v>0</v>
      </c>
      <c r="O38" s="89">
        <v>168</v>
      </c>
      <c r="P38" s="89">
        <v>0</v>
      </c>
      <c r="Q38" s="91">
        <f t="shared" si="8"/>
        <v>19226</v>
      </c>
    </row>
    <row r="39" spans="1:20" ht="20.399999999999999">
      <c r="A39" s="179"/>
      <c r="B39" s="180"/>
      <c r="C39" s="81" t="s">
        <v>43</v>
      </c>
      <c r="D39" s="88">
        <v>0</v>
      </c>
      <c r="E39" s="88">
        <v>0</v>
      </c>
      <c r="F39" s="79">
        <v>0</v>
      </c>
      <c r="G39" s="79">
        <v>0</v>
      </c>
      <c r="H39" s="79">
        <v>0</v>
      </c>
      <c r="I39" s="90">
        <f t="shared" si="7"/>
        <v>0</v>
      </c>
      <c r="J39" s="145">
        <f t="shared" si="5"/>
        <v>0</v>
      </c>
      <c r="K39" s="89">
        <v>0</v>
      </c>
      <c r="L39" s="145">
        <f t="shared" si="6"/>
        <v>0</v>
      </c>
      <c r="M39" s="89">
        <v>0</v>
      </c>
      <c r="N39" s="89">
        <v>0</v>
      </c>
      <c r="O39" s="89">
        <v>0</v>
      </c>
      <c r="P39" s="89">
        <v>0</v>
      </c>
      <c r="Q39" s="91">
        <f t="shared" si="8"/>
        <v>0</v>
      </c>
    </row>
    <row r="40" spans="1:20" ht="20.399999999999999">
      <c r="A40" s="179"/>
      <c r="B40" s="180"/>
      <c r="C40" s="81" t="s">
        <v>44</v>
      </c>
      <c r="D40" s="88">
        <v>14</v>
      </c>
      <c r="E40" s="88">
        <v>14</v>
      </c>
      <c r="F40" s="79">
        <v>0</v>
      </c>
      <c r="G40" s="79">
        <v>4732</v>
      </c>
      <c r="H40" s="79">
        <v>0</v>
      </c>
      <c r="I40" s="90">
        <f t="shared" si="7"/>
        <v>4732</v>
      </c>
      <c r="J40" s="145">
        <f t="shared" si="5"/>
        <v>3028</v>
      </c>
      <c r="K40" s="89">
        <v>34</v>
      </c>
      <c r="L40" s="145">
        <f t="shared" si="6"/>
        <v>1420</v>
      </c>
      <c r="M40" s="89">
        <v>311</v>
      </c>
      <c r="N40" s="89">
        <v>0</v>
      </c>
      <c r="O40" s="89">
        <v>0</v>
      </c>
      <c r="P40" s="89">
        <v>0</v>
      </c>
      <c r="Q40" s="91">
        <f t="shared" si="8"/>
        <v>9525</v>
      </c>
    </row>
    <row r="41" spans="1:20" ht="20.399999999999999">
      <c r="A41" s="179"/>
      <c r="B41" s="180"/>
      <c r="C41" s="81" t="s">
        <v>29</v>
      </c>
      <c r="D41" s="88">
        <v>0</v>
      </c>
      <c r="E41" s="88">
        <v>0</v>
      </c>
      <c r="F41" s="79">
        <v>0</v>
      </c>
      <c r="G41" s="79">
        <v>0</v>
      </c>
      <c r="H41" s="79">
        <v>0</v>
      </c>
      <c r="I41" s="90">
        <f t="shared" si="7"/>
        <v>0</v>
      </c>
      <c r="J41" s="145">
        <f t="shared" si="5"/>
        <v>0</v>
      </c>
      <c r="K41" s="89">
        <v>0</v>
      </c>
      <c r="L41" s="145">
        <f t="shared" si="6"/>
        <v>0</v>
      </c>
      <c r="M41" s="89">
        <v>0</v>
      </c>
      <c r="N41" s="89">
        <v>0</v>
      </c>
      <c r="O41" s="89">
        <v>0</v>
      </c>
      <c r="P41" s="89">
        <v>0</v>
      </c>
      <c r="Q41" s="91">
        <f t="shared" si="8"/>
        <v>0</v>
      </c>
    </row>
    <row r="42" spans="1:20" ht="37.5" customHeight="1">
      <c r="A42" s="179"/>
      <c r="B42" s="180"/>
      <c r="C42" s="81" t="s">
        <v>45</v>
      </c>
      <c r="D42" s="88">
        <v>1</v>
      </c>
      <c r="E42" s="88">
        <v>1</v>
      </c>
      <c r="F42" s="79">
        <v>0</v>
      </c>
      <c r="G42" s="79">
        <v>758</v>
      </c>
      <c r="H42" s="79">
        <v>0</v>
      </c>
      <c r="I42" s="90">
        <f t="shared" si="7"/>
        <v>758</v>
      </c>
      <c r="J42" s="145">
        <f t="shared" si="5"/>
        <v>485</v>
      </c>
      <c r="K42" s="89">
        <v>4</v>
      </c>
      <c r="L42" s="145">
        <v>228</v>
      </c>
      <c r="M42" s="89">
        <v>65</v>
      </c>
      <c r="N42" s="89">
        <v>0</v>
      </c>
      <c r="O42" s="89">
        <v>0</v>
      </c>
      <c r="P42" s="89">
        <v>0</v>
      </c>
      <c r="Q42" s="91">
        <f t="shared" si="8"/>
        <v>1540</v>
      </c>
    </row>
    <row r="43" spans="1:20" ht="20.399999999999999">
      <c r="A43" s="179"/>
      <c r="B43" s="180"/>
      <c r="C43" s="81" t="s">
        <v>33</v>
      </c>
      <c r="D43" s="88">
        <v>2</v>
      </c>
      <c r="E43" s="88">
        <v>2</v>
      </c>
      <c r="F43" s="79">
        <v>0</v>
      </c>
      <c r="G43" s="79">
        <v>844</v>
      </c>
      <c r="H43" s="79">
        <v>0</v>
      </c>
      <c r="I43" s="90">
        <f t="shared" si="7"/>
        <v>844</v>
      </c>
      <c r="J43" s="145">
        <f t="shared" si="5"/>
        <v>540</v>
      </c>
      <c r="K43" s="89">
        <v>6</v>
      </c>
      <c r="L43" s="145">
        <f t="shared" si="6"/>
        <v>253</v>
      </c>
      <c r="M43" s="89">
        <v>65</v>
      </c>
      <c r="N43" s="89">
        <v>2</v>
      </c>
      <c r="O43" s="89">
        <v>0</v>
      </c>
      <c r="P43" s="89">
        <v>0</v>
      </c>
      <c r="Q43" s="91">
        <f t="shared" si="8"/>
        <v>1710</v>
      </c>
    </row>
    <row r="44" spans="1:20" ht="21" customHeight="1">
      <c r="A44" s="181"/>
      <c r="B44" s="182"/>
      <c r="C44" s="81" t="s">
        <v>46</v>
      </c>
      <c r="D44" s="88">
        <v>2</v>
      </c>
      <c r="E44" s="88">
        <v>2</v>
      </c>
      <c r="F44" s="79">
        <v>0</v>
      </c>
      <c r="G44" s="79">
        <v>848</v>
      </c>
      <c r="H44" s="79">
        <v>0</v>
      </c>
      <c r="I44" s="90">
        <f t="shared" si="7"/>
        <v>848</v>
      </c>
      <c r="J44" s="145">
        <v>543</v>
      </c>
      <c r="K44" s="89">
        <v>6</v>
      </c>
      <c r="L44" s="145">
        <v>254</v>
      </c>
      <c r="M44" s="89">
        <v>97</v>
      </c>
      <c r="N44" s="89">
        <v>0</v>
      </c>
      <c r="O44" s="89">
        <v>0</v>
      </c>
      <c r="P44" s="89">
        <v>0</v>
      </c>
      <c r="Q44" s="91">
        <f t="shared" si="8"/>
        <v>1748</v>
      </c>
    </row>
    <row r="45" spans="1:20" ht="19.5" customHeight="1">
      <c r="A45" s="143">
        <v>3</v>
      </c>
      <c r="B45" s="144" t="s">
        <v>20</v>
      </c>
      <c r="C45" s="82" t="s">
        <v>34</v>
      </c>
      <c r="D45" s="88">
        <v>3</v>
      </c>
      <c r="E45" s="88">
        <v>3</v>
      </c>
      <c r="F45" s="79">
        <v>0</v>
      </c>
      <c r="G45" s="79">
        <v>866</v>
      </c>
      <c r="H45" s="79">
        <v>0</v>
      </c>
      <c r="I45" s="90">
        <f t="shared" si="7"/>
        <v>866</v>
      </c>
      <c r="J45" s="145">
        <v>555</v>
      </c>
      <c r="K45" s="89">
        <v>6</v>
      </c>
      <c r="L45" s="145">
        <f t="shared" si="6"/>
        <v>260</v>
      </c>
      <c r="M45" s="89">
        <v>56</v>
      </c>
      <c r="N45" s="89">
        <v>9</v>
      </c>
      <c r="O45" s="89">
        <v>0</v>
      </c>
      <c r="P45" s="89">
        <v>0</v>
      </c>
      <c r="Q45" s="91">
        <f t="shared" si="8"/>
        <v>1752</v>
      </c>
    </row>
    <row r="46" spans="1:20" ht="18" thickBot="1">
      <c r="A46" s="83" t="s">
        <v>36</v>
      </c>
      <c r="B46" s="83" t="s">
        <v>36</v>
      </c>
      <c r="C46" s="84" t="s">
        <v>9</v>
      </c>
      <c r="D46" s="151">
        <f>SUM(D29:D45)</f>
        <v>52</v>
      </c>
      <c r="E46" s="151">
        <f t="shared" ref="E46:Q46" si="9">SUM(E29:E45)</f>
        <v>51</v>
      </c>
      <c r="F46" s="151">
        <f t="shared" si="9"/>
        <v>0</v>
      </c>
      <c r="G46" s="151">
        <f t="shared" si="9"/>
        <v>24289</v>
      </c>
      <c r="H46" s="151">
        <f t="shared" si="9"/>
        <v>0</v>
      </c>
      <c r="I46" s="151">
        <f t="shared" si="9"/>
        <v>24289</v>
      </c>
      <c r="J46" s="151">
        <f t="shared" si="9"/>
        <v>15547</v>
      </c>
      <c r="K46" s="151">
        <f t="shared" si="9"/>
        <v>157</v>
      </c>
      <c r="L46" s="151">
        <f t="shared" si="9"/>
        <v>7288</v>
      </c>
      <c r="M46" s="151">
        <f t="shared" si="9"/>
        <v>1566</v>
      </c>
      <c r="N46" s="151">
        <f t="shared" si="9"/>
        <v>11</v>
      </c>
      <c r="O46" s="151">
        <f t="shared" si="9"/>
        <v>168</v>
      </c>
      <c r="P46" s="151">
        <f t="shared" si="9"/>
        <v>0</v>
      </c>
      <c r="Q46" s="151">
        <f t="shared" si="9"/>
        <v>49026</v>
      </c>
    </row>
    <row r="47" spans="1:20" ht="18" thickTop="1">
      <c r="A47" s="85"/>
      <c r="B47" s="85"/>
      <c r="C47" s="86"/>
      <c r="D47" s="152">
        <f>SUM(E29:E36)</f>
        <v>8</v>
      </c>
      <c r="E47" s="152">
        <f>SUM(E37:E44)</f>
        <v>40</v>
      </c>
      <c r="F47" s="152"/>
      <c r="G47" s="152"/>
      <c r="H47" s="152"/>
      <c r="I47" s="152"/>
      <c r="J47" s="152"/>
      <c r="K47" s="152"/>
      <c r="L47" s="152"/>
      <c r="M47" s="152"/>
      <c r="N47" s="152"/>
      <c r="O47" s="152"/>
      <c r="P47" s="152"/>
      <c r="Q47" s="152"/>
    </row>
    <row r="48" spans="1:20">
      <c r="A48" s="278" t="s">
        <v>156</v>
      </c>
      <c r="B48" s="279"/>
      <c r="C48" s="279"/>
      <c r="D48" s="279"/>
      <c r="E48" s="279"/>
      <c r="F48" s="279"/>
      <c r="G48" s="279"/>
      <c r="H48" s="279"/>
      <c r="I48" s="279"/>
      <c r="J48" s="279"/>
      <c r="K48" s="279"/>
      <c r="L48" s="279"/>
      <c r="M48" s="279"/>
      <c r="N48" s="279"/>
      <c r="O48" s="279"/>
      <c r="P48" s="279"/>
      <c r="Q48" s="279"/>
      <c r="R48" s="93"/>
      <c r="S48" s="93"/>
      <c r="T48" s="93"/>
    </row>
    <row r="49" spans="1:20">
      <c r="A49" s="278" t="s">
        <v>17</v>
      </c>
      <c r="B49" s="279"/>
      <c r="C49" s="279"/>
      <c r="D49" s="279"/>
      <c r="E49" s="279"/>
      <c r="F49" s="279"/>
      <c r="G49" s="279"/>
      <c r="H49" s="279"/>
      <c r="I49" s="279"/>
      <c r="J49" s="279"/>
      <c r="K49" s="279"/>
      <c r="L49" s="279"/>
      <c r="M49" s="279"/>
      <c r="N49" s="279"/>
      <c r="O49" s="279"/>
      <c r="P49" s="279"/>
      <c r="Q49" s="279"/>
      <c r="R49" s="93"/>
      <c r="S49" s="93"/>
      <c r="T49" s="93"/>
    </row>
    <row r="50" spans="1:20" ht="22.8">
      <c r="A50" s="74" t="s">
        <v>47</v>
      </c>
      <c r="B50" s="75"/>
      <c r="C50" s="75"/>
      <c r="D50" s="76"/>
      <c r="E50" s="76"/>
      <c r="F50" s="77"/>
      <c r="G50" s="77"/>
      <c r="H50" s="77"/>
      <c r="I50" s="77"/>
      <c r="J50" s="77"/>
      <c r="K50" s="77"/>
      <c r="L50" s="77"/>
      <c r="M50" s="77"/>
      <c r="N50" s="77"/>
      <c r="O50" s="283" t="s">
        <v>2</v>
      </c>
      <c r="P50" s="284"/>
      <c r="Q50" s="284"/>
      <c r="R50" s="93"/>
      <c r="S50" s="93"/>
      <c r="T50" s="93"/>
    </row>
    <row r="51" spans="1:20" ht="18.75" customHeight="1">
      <c r="A51" s="280" t="s">
        <v>35</v>
      </c>
      <c r="B51" s="280" t="s">
        <v>3</v>
      </c>
      <c r="C51" s="285" t="s">
        <v>4</v>
      </c>
      <c r="D51" s="190" t="s">
        <v>5</v>
      </c>
      <c r="E51" s="190" t="s">
        <v>5</v>
      </c>
      <c r="F51" s="287" t="s">
        <v>6</v>
      </c>
      <c r="G51" s="287" t="s">
        <v>7</v>
      </c>
      <c r="H51" s="287" t="s">
        <v>8</v>
      </c>
      <c r="I51" s="287" t="s">
        <v>9</v>
      </c>
      <c r="J51" s="287" t="s">
        <v>159</v>
      </c>
      <c r="K51" s="280" t="s">
        <v>10</v>
      </c>
      <c r="L51" s="280" t="s">
        <v>11</v>
      </c>
      <c r="M51" s="280" t="s">
        <v>12</v>
      </c>
      <c r="N51" s="280" t="s">
        <v>13</v>
      </c>
      <c r="O51" s="280" t="s">
        <v>14</v>
      </c>
      <c r="P51" s="280" t="s">
        <v>15</v>
      </c>
      <c r="Q51" s="280" t="s">
        <v>9</v>
      </c>
      <c r="R51" s="93"/>
      <c r="S51" s="93"/>
      <c r="T51" s="93"/>
    </row>
    <row r="52" spans="1:20" ht="18.75" customHeight="1">
      <c r="A52" s="281"/>
      <c r="B52" s="281"/>
      <c r="C52" s="286"/>
      <c r="D52" s="191" t="s">
        <v>146</v>
      </c>
      <c r="E52" s="191" t="s">
        <v>164</v>
      </c>
      <c r="F52" s="288"/>
      <c r="G52" s="288"/>
      <c r="H52" s="288"/>
      <c r="I52" s="288"/>
      <c r="J52" s="288"/>
      <c r="K52" s="282"/>
      <c r="L52" s="282"/>
      <c r="M52" s="282"/>
      <c r="N52" s="282"/>
      <c r="O52" s="282"/>
      <c r="P52" s="282"/>
      <c r="Q52" s="282"/>
      <c r="R52" s="93"/>
      <c r="S52" s="93"/>
      <c r="T52" s="93"/>
    </row>
    <row r="53" spans="1:20">
      <c r="A53" s="282"/>
      <c r="B53" s="282"/>
      <c r="C53" s="289" t="s">
        <v>16</v>
      </c>
      <c r="D53" s="290"/>
      <c r="E53" s="290"/>
      <c r="F53" s="290"/>
      <c r="G53" s="290"/>
      <c r="H53" s="290"/>
      <c r="I53" s="290"/>
      <c r="J53" s="290"/>
      <c r="K53" s="290"/>
      <c r="L53" s="290"/>
      <c r="M53" s="290"/>
      <c r="N53" s="290"/>
      <c r="O53" s="290"/>
      <c r="P53" s="290"/>
      <c r="Q53" s="291"/>
      <c r="R53" s="93"/>
      <c r="S53" s="93"/>
      <c r="T53" s="93"/>
    </row>
    <row r="54" spans="1:20" ht="21">
      <c r="A54" s="265">
        <v>1</v>
      </c>
      <c r="B54" s="262" t="s">
        <v>18</v>
      </c>
      <c r="C54" s="78" t="s">
        <v>21</v>
      </c>
      <c r="D54" s="80">
        <v>1</v>
      </c>
      <c r="E54" s="80">
        <v>1</v>
      </c>
      <c r="F54" s="79">
        <v>10</v>
      </c>
      <c r="G54" s="79">
        <v>1700</v>
      </c>
      <c r="H54" s="79">
        <v>0</v>
      </c>
      <c r="I54" s="80">
        <f t="shared" ref="I54:I60" si="10">SUM(G54:H54)</f>
        <v>1700</v>
      </c>
      <c r="J54" s="145">
        <f>ROUND(I54*0.64,0)</f>
        <v>1088</v>
      </c>
      <c r="K54" s="79">
        <v>4</v>
      </c>
      <c r="L54" s="145">
        <f>ROUND(I54*0.3,0)</f>
        <v>510</v>
      </c>
      <c r="M54" s="79">
        <v>0</v>
      </c>
      <c r="N54" s="79">
        <v>0</v>
      </c>
      <c r="O54" s="79">
        <v>0</v>
      </c>
      <c r="P54" s="79">
        <v>0</v>
      </c>
      <c r="Q54" s="80">
        <f t="shared" ref="Q54:Q60" si="11">SUM(F54+I54+J54+K54+L54+M54+N54+O54+P54)</f>
        <v>3312</v>
      </c>
    </row>
    <row r="55" spans="1:20" ht="21">
      <c r="A55" s="274"/>
      <c r="B55" s="276"/>
      <c r="C55" s="78" t="s">
        <v>22</v>
      </c>
      <c r="D55" s="80">
        <v>0</v>
      </c>
      <c r="E55" s="80">
        <v>0</v>
      </c>
      <c r="F55" s="79">
        <v>0</v>
      </c>
      <c r="G55" s="79">
        <v>0</v>
      </c>
      <c r="H55" s="79">
        <v>0</v>
      </c>
      <c r="I55" s="80">
        <f t="shared" si="10"/>
        <v>0</v>
      </c>
      <c r="J55" s="145">
        <f t="shared" ref="J55:J67" si="12">ROUND(I55*0.64,0)</f>
        <v>0</v>
      </c>
      <c r="K55" s="79">
        <v>0</v>
      </c>
      <c r="L55" s="145">
        <f t="shared" ref="L55:L67" si="13">ROUND(I55*0.3,0)</f>
        <v>0</v>
      </c>
      <c r="M55" s="79">
        <v>0</v>
      </c>
      <c r="N55" s="79">
        <v>0</v>
      </c>
      <c r="O55" s="79">
        <v>0</v>
      </c>
      <c r="P55" s="79">
        <v>0</v>
      </c>
      <c r="Q55" s="80">
        <f t="shared" si="11"/>
        <v>0</v>
      </c>
    </row>
    <row r="56" spans="1:20" ht="21">
      <c r="A56" s="274"/>
      <c r="B56" s="276"/>
      <c r="C56" s="78" t="s">
        <v>23</v>
      </c>
      <c r="D56" s="80">
        <v>1</v>
      </c>
      <c r="E56" s="80">
        <v>1</v>
      </c>
      <c r="F56" s="79">
        <v>0</v>
      </c>
      <c r="G56" s="79">
        <v>1500</v>
      </c>
      <c r="H56" s="79">
        <v>0</v>
      </c>
      <c r="I56" s="80">
        <f t="shared" si="10"/>
        <v>1500</v>
      </c>
      <c r="J56" s="145">
        <f t="shared" si="12"/>
        <v>960</v>
      </c>
      <c r="K56" s="79">
        <v>4</v>
      </c>
      <c r="L56" s="145">
        <f t="shared" si="13"/>
        <v>450</v>
      </c>
      <c r="M56" s="79">
        <v>29</v>
      </c>
      <c r="N56" s="79">
        <v>0</v>
      </c>
      <c r="O56" s="79">
        <v>0</v>
      </c>
      <c r="P56" s="79">
        <v>0</v>
      </c>
      <c r="Q56" s="80">
        <f t="shared" si="11"/>
        <v>2943</v>
      </c>
    </row>
    <row r="57" spans="1:20" ht="21">
      <c r="A57" s="274"/>
      <c r="B57" s="276"/>
      <c r="C57" s="78" t="s">
        <v>24</v>
      </c>
      <c r="D57" s="80">
        <v>5</v>
      </c>
      <c r="E57" s="80">
        <v>5</v>
      </c>
      <c r="F57" s="79">
        <v>0</v>
      </c>
      <c r="G57" s="79">
        <v>4900</v>
      </c>
      <c r="H57" s="79">
        <v>0</v>
      </c>
      <c r="I57" s="80">
        <f t="shared" si="10"/>
        <v>4900</v>
      </c>
      <c r="J57" s="145">
        <f t="shared" si="12"/>
        <v>3136</v>
      </c>
      <c r="K57" s="79">
        <v>15</v>
      </c>
      <c r="L57" s="145">
        <f t="shared" si="13"/>
        <v>1470</v>
      </c>
      <c r="M57" s="79">
        <v>57</v>
      </c>
      <c r="N57" s="79">
        <v>0</v>
      </c>
      <c r="O57" s="79">
        <v>0</v>
      </c>
      <c r="P57" s="79">
        <v>0</v>
      </c>
      <c r="Q57" s="80">
        <f t="shared" si="11"/>
        <v>9578</v>
      </c>
    </row>
    <row r="58" spans="1:20" ht="21">
      <c r="A58" s="274"/>
      <c r="B58" s="276"/>
      <c r="C58" s="78" t="s">
        <v>25</v>
      </c>
      <c r="D58" s="80">
        <v>2</v>
      </c>
      <c r="E58" s="80">
        <v>2</v>
      </c>
      <c r="F58" s="79">
        <v>0</v>
      </c>
      <c r="G58" s="79">
        <v>1400</v>
      </c>
      <c r="H58" s="79">
        <v>0</v>
      </c>
      <c r="I58" s="80">
        <f t="shared" si="10"/>
        <v>1400</v>
      </c>
      <c r="J58" s="145">
        <f t="shared" si="12"/>
        <v>896</v>
      </c>
      <c r="K58" s="79">
        <v>7</v>
      </c>
      <c r="L58" s="145">
        <f t="shared" si="13"/>
        <v>420</v>
      </c>
      <c r="M58" s="79">
        <v>10</v>
      </c>
      <c r="N58" s="79">
        <v>0</v>
      </c>
      <c r="O58" s="79">
        <v>0</v>
      </c>
      <c r="P58" s="79">
        <v>0</v>
      </c>
      <c r="Q58" s="80">
        <f t="shared" si="11"/>
        <v>2733</v>
      </c>
    </row>
    <row r="59" spans="1:20" ht="21">
      <c r="A59" s="274"/>
      <c r="B59" s="276"/>
      <c r="C59" s="78" t="s">
        <v>26</v>
      </c>
      <c r="D59" s="80">
        <v>1</v>
      </c>
      <c r="E59" s="80">
        <v>1</v>
      </c>
      <c r="F59" s="79">
        <v>0</v>
      </c>
      <c r="G59" s="79">
        <v>850</v>
      </c>
      <c r="H59" s="79">
        <v>0</v>
      </c>
      <c r="I59" s="80">
        <f t="shared" si="10"/>
        <v>850</v>
      </c>
      <c r="J59" s="145">
        <f t="shared" si="12"/>
        <v>544</v>
      </c>
      <c r="K59" s="79">
        <v>4</v>
      </c>
      <c r="L59" s="145">
        <f t="shared" si="13"/>
        <v>255</v>
      </c>
      <c r="M59" s="79">
        <v>14</v>
      </c>
      <c r="N59" s="79">
        <v>0</v>
      </c>
      <c r="O59" s="79">
        <v>0</v>
      </c>
      <c r="P59" s="79">
        <v>0</v>
      </c>
      <c r="Q59" s="80">
        <f t="shared" si="11"/>
        <v>1667</v>
      </c>
    </row>
    <row r="60" spans="1:20" ht="21">
      <c r="A60" s="274"/>
      <c r="B60" s="276"/>
      <c r="C60" s="146" t="s">
        <v>27</v>
      </c>
      <c r="D60" s="80">
        <v>1</v>
      </c>
      <c r="E60" s="80">
        <v>1</v>
      </c>
      <c r="F60" s="79">
        <v>0</v>
      </c>
      <c r="G60" s="79">
        <v>700</v>
      </c>
      <c r="H60" s="79">
        <v>0</v>
      </c>
      <c r="I60" s="80">
        <f t="shared" si="10"/>
        <v>700</v>
      </c>
      <c r="J60" s="145">
        <f t="shared" si="12"/>
        <v>448</v>
      </c>
      <c r="K60" s="79">
        <v>4</v>
      </c>
      <c r="L60" s="145">
        <f t="shared" si="13"/>
        <v>210</v>
      </c>
      <c r="M60" s="79">
        <v>5</v>
      </c>
      <c r="N60" s="79">
        <v>0</v>
      </c>
      <c r="O60" s="79">
        <v>0</v>
      </c>
      <c r="P60" s="79">
        <v>0</v>
      </c>
      <c r="Q60" s="80">
        <f t="shared" si="11"/>
        <v>1367</v>
      </c>
    </row>
    <row r="61" spans="1:20" ht="21">
      <c r="A61" s="265">
        <v>2</v>
      </c>
      <c r="B61" s="262" t="s">
        <v>19</v>
      </c>
      <c r="C61" s="81" t="s">
        <v>28</v>
      </c>
      <c r="D61" s="80">
        <v>1</v>
      </c>
      <c r="E61" s="80">
        <v>1</v>
      </c>
      <c r="F61" s="79">
        <v>0</v>
      </c>
      <c r="G61" s="79">
        <v>700</v>
      </c>
      <c r="H61" s="79">
        <v>0</v>
      </c>
      <c r="I61" s="80">
        <f t="shared" ref="I61:I67" si="14">SUM(G61:H61)</f>
        <v>700</v>
      </c>
      <c r="J61" s="145">
        <f t="shared" si="12"/>
        <v>448</v>
      </c>
      <c r="K61" s="79">
        <v>4</v>
      </c>
      <c r="L61" s="145">
        <f t="shared" si="13"/>
        <v>210</v>
      </c>
      <c r="M61" s="79">
        <v>5</v>
      </c>
      <c r="N61" s="79">
        <v>0</v>
      </c>
      <c r="O61" s="79">
        <v>0</v>
      </c>
      <c r="P61" s="79">
        <v>0</v>
      </c>
      <c r="Q61" s="80">
        <f t="shared" ref="Q61:Q67" si="15">SUM(F61+I61+J61+K61+L61+M61+N61+O61+P61)</f>
        <v>1367</v>
      </c>
    </row>
    <row r="62" spans="1:20" ht="21">
      <c r="A62" s="266"/>
      <c r="B62" s="263"/>
      <c r="C62" s="81" t="s">
        <v>29</v>
      </c>
      <c r="D62" s="91">
        <v>0</v>
      </c>
      <c r="E62" s="91">
        <v>0</v>
      </c>
      <c r="F62" s="79">
        <v>0</v>
      </c>
      <c r="G62" s="79">
        <v>0</v>
      </c>
      <c r="H62" s="79">
        <v>0</v>
      </c>
      <c r="I62" s="80">
        <f t="shared" si="14"/>
        <v>0</v>
      </c>
      <c r="J62" s="145">
        <f t="shared" si="12"/>
        <v>0</v>
      </c>
      <c r="K62" s="79">
        <v>0</v>
      </c>
      <c r="L62" s="145">
        <f t="shared" si="13"/>
        <v>0</v>
      </c>
      <c r="M62" s="79">
        <v>0</v>
      </c>
      <c r="N62" s="79">
        <v>0</v>
      </c>
      <c r="O62" s="79">
        <v>0</v>
      </c>
      <c r="P62" s="79">
        <v>0</v>
      </c>
      <c r="Q62" s="80">
        <f t="shared" si="15"/>
        <v>0</v>
      </c>
    </row>
    <row r="63" spans="1:20" ht="36" customHeight="1">
      <c r="A63" s="266"/>
      <c r="B63" s="263"/>
      <c r="C63" s="81" t="s">
        <v>45</v>
      </c>
      <c r="D63" s="80">
        <v>0</v>
      </c>
      <c r="E63" s="80">
        <v>0</v>
      </c>
      <c r="F63" s="79">
        <v>0</v>
      </c>
      <c r="G63" s="79">
        <v>0</v>
      </c>
      <c r="H63" s="79">
        <v>0</v>
      </c>
      <c r="I63" s="80">
        <f t="shared" si="14"/>
        <v>0</v>
      </c>
      <c r="J63" s="145">
        <f t="shared" si="12"/>
        <v>0</v>
      </c>
      <c r="K63" s="79">
        <v>0</v>
      </c>
      <c r="L63" s="145">
        <f t="shared" si="13"/>
        <v>0</v>
      </c>
      <c r="M63" s="79">
        <v>0</v>
      </c>
      <c r="N63" s="79">
        <v>0</v>
      </c>
      <c r="O63" s="79">
        <v>0</v>
      </c>
      <c r="P63" s="79">
        <v>0</v>
      </c>
      <c r="Q63" s="80">
        <f t="shared" si="15"/>
        <v>0</v>
      </c>
    </row>
    <row r="64" spans="1:20" ht="21">
      <c r="A64" s="266"/>
      <c r="B64" s="263"/>
      <c r="C64" s="81" t="s">
        <v>31</v>
      </c>
      <c r="D64" s="91">
        <v>9</v>
      </c>
      <c r="E64" s="91">
        <v>9</v>
      </c>
      <c r="F64" s="79">
        <v>0</v>
      </c>
      <c r="G64" s="79">
        <v>7450</v>
      </c>
      <c r="H64" s="79">
        <v>0</v>
      </c>
      <c r="I64" s="80">
        <f t="shared" si="14"/>
        <v>7450</v>
      </c>
      <c r="J64" s="145">
        <f t="shared" si="12"/>
        <v>4768</v>
      </c>
      <c r="K64" s="79">
        <v>25</v>
      </c>
      <c r="L64" s="145">
        <f t="shared" si="13"/>
        <v>2235</v>
      </c>
      <c r="M64" s="79">
        <v>29</v>
      </c>
      <c r="N64" s="79">
        <v>0</v>
      </c>
      <c r="O64" s="79">
        <v>0</v>
      </c>
      <c r="P64" s="79">
        <v>0</v>
      </c>
      <c r="Q64" s="80">
        <f t="shared" si="15"/>
        <v>14507</v>
      </c>
    </row>
    <row r="65" spans="1:20" ht="21">
      <c r="A65" s="266"/>
      <c r="B65" s="263"/>
      <c r="C65" s="81" t="s">
        <v>32</v>
      </c>
      <c r="D65" s="91">
        <v>24</v>
      </c>
      <c r="E65" s="91">
        <v>24</v>
      </c>
      <c r="F65" s="79">
        <v>0</v>
      </c>
      <c r="G65" s="79">
        <v>10000</v>
      </c>
      <c r="H65" s="79">
        <v>0</v>
      </c>
      <c r="I65" s="80">
        <f t="shared" si="14"/>
        <v>10000</v>
      </c>
      <c r="J65" s="145">
        <f t="shared" si="12"/>
        <v>6400</v>
      </c>
      <c r="K65" s="79">
        <v>51</v>
      </c>
      <c r="L65" s="145">
        <f t="shared" si="13"/>
        <v>3000</v>
      </c>
      <c r="M65" s="79">
        <v>101</v>
      </c>
      <c r="N65" s="79">
        <v>0</v>
      </c>
      <c r="O65" s="79">
        <v>0</v>
      </c>
      <c r="P65" s="79">
        <v>0</v>
      </c>
      <c r="Q65" s="80">
        <f t="shared" si="15"/>
        <v>19552</v>
      </c>
    </row>
    <row r="66" spans="1:20" ht="21">
      <c r="A66" s="267"/>
      <c r="B66" s="264"/>
      <c r="C66" s="81" t="s">
        <v>33</v>
      </c>
      <c r="D66" s="80">
        <v>0</v>
      </c>
      <c r="E66" s="80">
        <v>0</v>
      </c>
      <c r="F66" s="79">
        <v>0</v>
      </c>
      <c r="G66" s="79">
        <v>0</v>
      </c>
      <c r="H66" s="79">
        <v>0</v>
      </c>
      <c r="I66" s="80">
        <f t="shared" si="14"/>
        <v>0</v>
      </c>
      <c r="J66" s="145">
        <f t="shared" si="12"/>
        <v>0</v>
      </c>
      <c r="K66" s="79">
        <v>0</v>
      </c>
      <c r="L66" s="145">
        <f t="shared" si="13"/>
        <v>0</v>
      </c>
      <c r="M66" s="79">
        <v>0</v>
      </c>
      <c r="N66" s="79">
        <v>0</v>
      </c>
      <c r="O66" s="79">
        <v>0</v>
      </c>
      <c r="P66" s="79">
        <v>0</v>
      </c>
      <c r="Q66" s="80">
        <f t="shared" si="15"/>
        <v>0</v>
      </c>
    </row>
    <row r="67" spans="1:20" ht="21">
      <c r="A67" s="141">
        <v>3</v>
      </c>
      <c r="B67" s="142" t="s">
        <v>20</v>
      </c>
      <c r="C67" s="82" t="s">
        <v>34</v>
      </c>
      <c r="D67" s="91">
        <v>27</v>
      </c>
      <c r="E67" s="91">
        <v>27</v>
      </c>
      <c r="F67" s="79">
        <v>0</v>
      </c>
      <c r="G67" s="79">
        <v>8950</v>
      </c>
      <c r="H67" s="79">
        <v>0</v>
      </c>
      <c r="I67" s="80">
        <f t="shared" si="14"/>
        <v>8950</v>
      </c>
      <c r="J67" s="145">
        <f t="shared" si="12"/>
        <v>5728</v>
      </c>
      <c r="K67" s="79">
        <v>41</v>
      </c>
      <c r="L67" s="145">
        <f t="shared" si="13"/>
        <v>2685</v>
      </c>
      <c r="M67" s="79">
        <v>101</v>
      </c>
      <c r="N67" s="79">
        <v>10</v>
      </c>
      <c r="O67" s="79">
        <v>0</v>
      </c>
      <c r="P67" s="79">
        <v>0</v>
      </c>
      <c r="Q67" s="80">
        <f t="shared" si="15"/>
        <v>17515</v>
      </c>
    </row>
    <row r="68" spans="1:20" s="149" customFormat="1" ht="21.6" thickBot="1">
      <c r="A68" s="83" t="s">
        <v>36</v>
      </c>
      <c r="B68" s="83" t="s">
        <v>36</v>
      </c>
      <c r="C68" s="84" t="s">
        <v>9</v>
      </c>
      <c r="D68" s="147">
        <f t="shared" ref="D68:Q68" si="16">SUM(D54:D67)</f>
        <v>72</v>
      </c>
      <c r="E68" s="147">
        <f t="shared" si="16"/>
        <v>72</v>
      </c>
      <c r="F68" s="147">
        <f t="shared" si="16"/>
        <v>10</v>
      </c>
      <c r="G68" s="147">
        <f t="shared" si="16"/>
        <v>38150</v>
      </c>
      <c r="H68" s="147">
        <f t="shared" si="16"/>
        <v>0</v>
      </c>
      <c r="I68" s="147">
        <f t="shared" si="16"/>
        <v>38150</v>
      </c>
      <c r="J68" s="147">
        <f t="shared" si="16"/>
        <v>24416</v>
      </c>
      <c r="K68" s="147">
        <f t="shared" si="16"/>
        <v>159</v>
      </c>
      <c r="L68" s="147">
        <f t="shared" si="16"/>
        <v>11445</v>
      </c>
      <c r="M68" s="147">
        <f t="shared" si="16"/>
        <v>351</v>
      </c>
      <c r="N68" s="147">
        <f t="shared" si="16"/>
        <v>10</v>
      </c>
      <c r="O68" s="147">
        <f t="shared" si="16"/>
        <v>0</v>
      </c>
      <c r="P68" s="147">
        <f t="shared" si="16"/>
        <v>0</v>
      </c>
      <c r="Q68" s="147">
        <f t="shared" si="16"/>
        <v>74541</v>
      </c>
      <c r="R68" s="148"/>
      <c r="S68" s="148"/>
      <c r="T68" s="148"/>
    </row>
    <row r="69" spans="1:20" s="149" customFormat="1" ht="21.6" thickTop="1">
      <c r="A69" s="85"/>
      <c r="B69" s="85"/>
      <c r="C69" s="86"/>
      <c r="D69" s="150">
        <f>SUM(E54:E60)</f>
        <v>11</v>
      </c>
      <c r="E69" s="150">
        <f>SUM(E61:E66)</f>
        <v>34</v>
      </c>
      <c r="F69" s="150"/>
      <c r="G69" s="150"/>
      <c r="H69" s="150"/>
      <c r="I69" s="150"/>
      <c r="J69" s="150"/>
      <c r="K69" s="150"/>
      <c r="L69" s="150"/>
      <c r="M69" s="150"/>
      <c r="N69" s="150"/>
      <c r="O69" s="150"/>
      <c r="P69" s="150"/>
      <c r="Q69" s="150"/>
      <c r="R69" s="148"/>
      <c r="S69" s="148"/>
      <c r="T69" s="148"/>
    </row>
    <row r="70" spans="1:20">
      <c r="A70" s="278" t="s">
        <v>156</v>
      </c>
      <c r="B70" s="279"/>
      <c r="C70" s="279"/>
      <c r="D70" s="279"/>
      <c r="E70" s="279"/>
      <c r="F70" s="279"/>
      <c r="G70" s="279"/>
      <c r="H70" s="279"/>
      <c r="I70" s="279"/>
      <c r="J70" s="279"/>
      <c r="K70" s="279"/>
      <c r="L70" s="279"/>
      <c r="M70" s="279"/>
      <c r="N70" s="279"/>
      <c r="O70" s="279"/>
      <c r="P70" s="279"/>
      <c r="Q70" s="279"/>
      <c r="R70" s="93"/>
      <c r="S70" s="93"/>
      <c r="T70" s="93"/>
    </row>
    <row r="71" spans="1:20">
      <c r="A71" s="278" t="s">
        <v>17</v>
      </c>
      <c r="B71" s="279"/>
      <c r="C71" s="279"/>
      <c r="D71" s="279"/>
      <c r="E71" s="279"/>
      <c r="F71" s="279"/>
      <c r="G71" s="279"/>
      <c r="H71" s="279"/>
      <c r="I71" s="279"/>
      <c r="J71" s="279"/>
      <c r="K71" s="279"/>
      <c r="L71" s="279"/>
      <c r="M71" s="279"/>
      <c r="N71" s="279"/>
      <c r="O71" s="279"/>
      <c r="P71" s="279"/>
      <c r="Q71" s="279"/>
      <c r="R71" s="93"/>
      <c r="S71" s="93"/>
      <c r="T71" s="93"/>
    </row>
    <row r="72" spans="1:20" ht="22.8">
      <c r="A72" s="74" t="s">
        <v>47</v>
      </c>
      <c r="B72" s="75"/>
      <c r="C72" s="75"/>
      <c r="D72" s="77"/>
      <c r="E72" s="77"/>
      <c r="F72" s="77"/>
      <c r="G72" s="77"/>
      <c r="H72" s="77"/>
      <c r="I72" s="77"/>
      <c r="J72" s="77"/>
      <c r="K72" s="77"/>
      <c r="L72" s="77"/>
      <c r="M72" s="77"/>
      <c r="N72" s="77"/>
      <c r="O72" s="283" t="s">
        <v>2</v>
      </c>
      <c r="P72" s="284"/>
      <c r="Q72" s="284"/>
      <c r="R72" s="93"/>
      <c r="S72" s="93"/>
      <c r="T72" s="93"/>
    </row>
    <row r="73" spans="1:20" ht="18.75" customHeight="1">
      <c r="A73" s="280" t="s">
        <v>35</v>
      </c>
      <c r="B73" s="280" t="s">
        <v>3</v>
      </c>
      <c r="C73" s="285" t="s">
        <v>4</v>
      </c>
      <c r="D73" s="190" t="s">
        <v>5</v>
      </c>
      <c r="E73" s="190" t="s">
        <v>5</v>
      </c>
      <c r="F73" s="287" t="s">
        <v>6</v>
      </c>
      <c r="G73" s="287" t="s">
        <v>7</v>
      </c>
      <c r="H73" s="287" t="s">
        <v>8</v>
      </c>
      <c r="I73" s="287" t="s">
        <v>9</v>
      </c>
      <c r="J73" s="287" t="s">
        <v>159</v>
      </c>
      <c r="K73" s="280" t="s">
        <v>10</v>
      </c>
      <c r="L73" s="280" t="s">
        <v>11</v>
      </c>
      <c r="M73" s="280" t="s">
        <v>12</v>
      </c>
      <c r="N73" s="280" t="s">
        <v>13</v>
      </c>
      <c r="O73" s="280" t="s">
        <v>14</v>
      </c>
      <c r="P73" s="280" t="s">
        <v>15</v>
      </c>
      <c r="Q73" s="280" t="s">
        <v>9</v>
      </c>
      <c r="R73" s="93"/>
      <c r="S73" s="93"/>
      <c r="T73" s="93"/>
    </row>
    <row r="74" spans="1:20" ht="18.75" customHeight="1">
      <c r="A74" s="281"/>
      <c r="B74" s="281"/>
      <c r="C74" s="286"/>
      <c r="D74" s="191" t="s">
        <v>146</v>
      </c>
      <c r="E74" s="191" t="s">
        <v>164</v>
      </c>
      <c r="F74" s="288"/>
      <c r="G74" s="288"/>
      <c r="H74" s="288"/>
      <c r="I74" s="288"/>
      <c r="J74" s="288"/>
      <c r="K74" s="282"/>
      <c r="L74" s="282"/>
      <c r="M74" s="282"/>
      <c r="N74" s="282"/>
      <c r="O74" s="282"/>
      <c r="P74" s="282"/>
      <c r="Q74" s="282"/>
      <c r="R74" s="93"/>
      <c r="S74" s="93"/>
      <c r="T74" s="93"/>
    </row>
    <row r="75" spans="1:20">
      <c r="A75" s="282"/>
      <c r="B75" s="282"/>
      <c r="C75" s="289" t="s">
        <v>37</v>
      </c>
      <c r="D75" s="290"/>
      <c r="E75" s="290"/>
      <c r="F75" s="290"/>
      <c r="G75" s="290"/>
      <c r="H75" s="290"/>
      <c r="I75" s="290"/>
      <c r="J75" s="290"/>
      <c r="K75" s="290"/>
      <c r="L75" s="290"/>
      <c r="M75" s="290"/>
      <c r="N75" s="290"/>
      <c r="O75" s="290"/>
      <c r="P75" s="290"/>
      <c r="Q75" s="291"/>
      <c r="R75" s="93"/>
      <c r="S75" s="93"/>
      <c r="T75" s="93"/>
    </row>
    <row r="76" spans="1:20" ht="20.399999999999999">
      <c r="A76" s="265">
        <v>1</v>
      </c>
      <c r="B76" s="262" t="s">
        <v>18</v>
      </c>
      <c r="C76" s="78" t="s">
        <v>21</v>
      </c>
      <c r="D76" s="165">
        <v>0</v>
      </c>
      <c r="E76" s="90">
        <v>0</v>
      </c>
      <c r="F76" s="79">
        <v>0</v>
      </c>
      <c r="G76" s="79">
        <v>0</v>
      </c>
      <c r="H76" s="79">
        <v>0</v>
      </c>
      <c r="I76" s="90">
        <f t="shared" ref="I76:I84" si="17">SUM(G76:H76)</f>
        <v>0</v>
      </c>
      <c r="J76" s="145">
        <f>ROUND(I76*1.6,0)</f>
        <v>0</v>
      </c>
      <c r="K76" s="89">
        <v>0</v>
      </c>
      <c r="L76" s="89">
        <v>0</v>
      </c>
      <c r="M76" s="89">
        <v>0</v>
      </c>
      <c r="N76" s="89">
        <v>0</v>
      </c>
      <c r="O76" s="89">
        <v>0</v>
      </c>
      <c r="P76" s="89">
        <v>0</v>
      </c>
      <c r="Q76" s="91">
        <f t="shared" ref="Q76:Q82" si="18">SUM(F76+I76+J76+K76+L76+M76+N76+O76+P76)</f>
        <v>0</v>
      </c>
    </row>
    <row r="77" spans="1:20" ht="20.399999999999999">
      <c r="A77" s="274"/>
      <c r="B77" s="276"/>
      <c r="C77" s="78" t="s">
        <v>22</v>
      </c>
      <c r="D77" s="166">
        <v>1</v>
      </c>
      <c r="E77" s="88">
        <v>1</v>
      </c>
      <c r="F77" s="79">
        <v>0</v>
      </c>
      <c r="G77" s="79">
        <v>1500</v>
      </c>
      <c r="H77" s="79">
        <v>0</v>
      </c>
      <c r="I77" s="90">
        <f t="shared" si="17"/>
        <v>1500</v>
      </c>
      <c r="J77" s="145">
        <f>ROUND(I77*0.64,0)</f>
        <v>960</v>
      </c>
      <c r="K77" s="89">
        <v>4</v>
      </c>
      <c r="L77" s="145">
        <f>ROUND(I77*0.3,0)</f>
        <v>450</v>
      </c>
      <c r="M77" s="89">
        <v>29</v>
      </c>
      <c r="N77" s="89">
        <v>0</v>
      </c>
      <c r="O77" s="89">
        <v>0</v>
      </c>
      <c r="P77" s="89">
        <v>0</v>
      </c>
      <c r="Q77" s="91">
        <f t="shared" si="18"/>
        <v>2943</v>
      </c>
    </row>
    <row r="78" spans="1:20" ht="36" customHeight="1">
      <c r="A78" s="274"/>
      <c r="B78" s="276"/>
      <c r="C78" s="78" t="s">
        <v>38</v>
      </c>
      <c r="D78" s="87">
        <v>2</v>
      </c>
      <c r="E78" s="88">
        <v>2</v>
      </c>
      <c r="F78" s="79">
        <v>0</v>
      </c>
      <c r="G78" s="79">
        <v>3089</v>
      </c>
      <c r="H78" s="79">
        <v>0</v>
      </c>
      <c r="I78" s="90">
        <f t="shared" si="17"/>
        <v>3089</v>
      </c>
      <c r="J78" s="145">
        <f t="shared" ref="J78:J92" si="19">ROUND(I78*0.64,0)</f>
        <v>1977</v>
      </c>
      <c r="K78" s="89">
        <v>11</v>
      </c>
      <c r="L78" s="145">
        <f t="shared" ref="L78:L92" si="20">ROUND(I78*0.3,0)</f>
        <v>927</v>
      </c>
      <c r="M78" s="89">
        <v>86</v>
      </c>
      <c r="N78" s="89">
        <v>0</v>
      </c>
      <c r="O78" s="89">
        <v>0</v>
      </c>
      <c r="P78" s="89">
        <v>0</v>
      </c>
      <c r="Q78" s="91">
        <f t="shared" si="18"/>
        <v>6090</v>
      </c>
    </row>
    <row r="79" spans="1:20" ht="30">
      <c r="A79" s="274"/>
      <c r="B79" s="276"/>
      <c r="C79" s="78" t="s">
        <v>39</v>
      </c>
      <c r="D79" s="87">
        <v>6</v>
      </c>
      <c r="E79" s="88">
        <v>6</v>
      </c>
      <c r="F79" s="79">
        <v>0</v>
      </c>
      <c r="G79" s="79">
        <v>5500</v>
      </c>
      <c r="H79" s="79">
        <v>0</v>
      </c>
      <c r="I79" s="90">
        <f t="shared" si="17"/>
        <v>5500</v>
      </c>
      <c r="J79" s="145">
        <f t="shared" si="19"/>
        <v>3520</v>
      </c>
      <c r="K79" s="89">
        <v>15</v>
      </c>
      <c r="L79" s="145">
        <f t="shared" si="20"/>
        <v>1650</v>
      </c>
      <c r="M79" s="89">
        <v>57</v>
      </c>
      <c r="N79" s="89">
        <v>0</v>
      </c>
      <c r="O79" s="89">
        <v>0</v>
      </c>
      <c r="P79" s="89">
        <v>0</v>
      </c>
      <c r="Q79" s="91">
        <f t="shared" si="18"/>
        <v>10742</v>
      </c>
    </row>
    <row r="80" spans="1:20" ht="18.75" customHeight="1">
      <c r="A80" s="274"/>
      <c r="B80" s="276"/>
      <c r="C80" s="78" t="s">
        <v>40</v>
      </c>
      <c r="D80" s="87">
        <v>7</v>
      </c>
      <c r="E80" s="88">
        <v>7</v>
      </c>
      <c r="F80" s="79">
        <v>0</v>
      </c>
      <c r="G80" s="79">
        <v>4200</v>
      </c>
      <c r="H80" s="79">
        <v>0</v>
      </c>
      <c r="I80" s="90">
        <f t="shared" si="17"/>
        <v>4200</v>
      </c>
      <c r="J80" s="145">
        <f t="shared" si="19"/>
        <v>2688</v>
      </c>
      <c r="K80" s="89">
        <v>18</v>
      </c>
      <c r="L80" s="145">
        <f t="shared" si="20"/>
        <v>1260</v>
      </c>
      <c r="M80" s="89">
        <v>25</v>
      </c>
      <c r="N80" s="89">
        <v>0</v>
      </c>
      <c r="O80" s="89">
        <v>0</v>
      </c>
      <c r="P80" s="89">
        <v>0</v>
      </c>
      <c r="Q80" s="91">
        <f t="shared" si="18"/>
        <v>8191</v>
      </c>
    </row>
    <row r="81" spans="1:20" ht="20.399999999999999">
      <c r="A81" s="274"/>
      <c r="B81" s="276"/>
      <c r="C81" s="78" t="s">
        <v>26</v>
      </c>
      <c r="D81" s="166">
        <v>1</v>
      </c>
      <c r="E81" s="88">
        <v>1</v>
      </c>
      <c r="F81" s="79">
        <v>0</v>
      </c>
      <c r="G81" s="79">
        <v>1000</v>
      </c>
      <c r="H81" s="79">
        <v>0</v>
      </c>
      <c r="I81" s="90">
        <f t="shared" si="17"/>
        <v>1000</v>
      </c>
      <c r="J81" s="145">
        <f t="shared" si="19"/>
        <v>640</v>
      </c>
      <c r="K81" s="89">
        <v>4</v>
      </c>
      <c r="L81" s="145">
        <f t="shared" si="20"/>
        <v>300</v>
      </c>
      <c r="M81" s="89">
        <v>14</v>
      </c>
      <c r="N81" s="89">
        <v>0</v>
      </c>
      <c r="O81" s="89">
        <v>0</v>
      </c>
      <c r="P81" s="89">
        <v>0</v>
      </c>
      <c r="Q81" s="91">
        <f t="shared" si="18"/>
        <v>1958</v>
      </c>
    </row>
    <row r="82" spans="1:20" ht="20.399999999999999">
      <c r="A82" s="274"/>
      <c r="B82" s="276"/>
      <c r="C82" s="78" t="s">
        <v>27</v>
      </c>
      <c r="D82" s="166">
        <v>0</v>
      </c>
      <c r="E82" s="88">
        <v>0</v>
      </c>
      <c r="F82" s="79">
        <v>0</v>
      </c>
      <c r="G82" s="79">
        <v>0</v>
      </c>
      <c r="H82" s="79">
        <v>0</v>
      </c>
      <c r="I82" s="90">
        <f t="shared" si="17"/>
        <v>0</v>
      </c>
      <c r="J82" s="145">
        <f t="shared" si="19"/>
        <v>0</v>
      </c>
      <c r="K82" s="89">
        <v>0</v>
      </c>
      <c r="L82" s="145">
        <f t="shared" si="20"/>
        <v>0</v>
      </c>
      <c r="M82" s="89">
        <v>0</v>
      </c>
      <c r="N82" s="89">
        <v>0</v>
      </c>
      <c r="O82" s="89">
        <v>0</v>
      </c>
      <c r="P82" s="89">
        <v>0</v>
      </c>
      <c r="Q82" s="91">
        <f t="shared" si="18"/>
        <v>0</v>
      </c>
    </row>
    <row r="83" spans="1:20">
      <c r="A83" s="275"/>
      <c r="B83" s="277"/>
      <c r="C83" s="78" t="s">
        <v>41</v>
      </c>
      <c r="D83" s="166">
        <v>1</v>
      </c>
      <c r="E83" s="88">
        <v>1</v>
      </c>
      <c r="F83" s="89">
        <v>0</v>
      </c>
      <c r="G83" s="89">
        <v>0</v>
      </c>
      <c r="H83" s="89">
        <v>0</v>
      </c>
      <c r="I83" s="90">
        <f t="shared" si="17"/>
        <v>0</v>
      </c>
      <c r="J83" s="145">
        <f t="shared" si="19"/>
        <v>0</v>
      </c>
      <c r="K83" s="89">
        <v>0</v>
      </c>
      <c r="L83" s="145">
        <f t="shared" si="20"/>
        <v>0</v>
      </c>
      <c r="M83" s="89">
        <v>0</v>
      </c>
      <c r="N83" s="89">
        <v>0</v>
      </c>
      <c r="O83" s="89">
        <v>0</v>
      </c>
      <c r="P83" s="89">
        <v>0</v>
      </c>
      <c r="Q83" s="91">
        <f t="shared" ref="Q83:Q92" si="21">SUM(F83+I83+J83+K83+L83+M83+N83+O83+P83)</f>
        <v>0</v>
      </c>
    </row>
    <row r="84" spans="1:20" ht="20.399999999999999">
      <c r="A84" s="265">
        <v>2</v>
      </c>
      <c r="B84" s="262" t="s">
        <v>19</v>
      </c>
      <c r="C84" s="81" t="s">
        <v>28</v>
      </c>
      <c r="D84" s="166">
        <v>0</v>
      </c>
      <c r="E84" s="88">
        <v>0</v>
      </c>
      <c r="F84" s="79">
        <v>0</v>
      </c>
      <c r="G84" s="79">
        <v>0</v>
      </c>
      <c r="H84" s="79">
        <v>0</v>
      </c>
      <c r="I84" s="90">
        <f t="shared" si="17"/>
        <v>0</v>
      </c>
      <c r="J84" s="145">
        <f t="shared" si="19"/>
        <v>0</v>
      </c>
      <c r="K84" s="89">
        <v>0</v>
      </c>
      <c r="L84" s="145">
        <f t="shared" si="20"/>
        <v>0</v>
      </c>
      <c r="M84" s="89">
        <v>0</v>
      </c>
      <c r="N84" s="89">
        <v>0</v>
      </c>
      <c r="O84" s="89">
        <v>0</v>
      </c>
      <c r="P84" s="89">
        <v>0</v>
      </c>
      <c r="Q84" s="91">
        <f t="shared" si="21"/>
        <v>0</v>
      </c>
    </row>
    <row r="85" spans="1:20" ht="20.399999999999999">
      <c r="A85" s="266"/>
      <c r="B85" s="263"/>
      <c r="C85" s="81" t="s">
        <v>42</v>
      </c>
      <c r="D85" s="166">
        <v>36</v>
      </c>
      <c r="E85" s="88">
        <v>36</v>
      </c>
      <c r="F85" s="79">
        <v>0</v>
      </c>
      <c r="G85" s="79">
        <v>20150</v>
      </c>
      <c r="H85" s="79">
        <v>0</v>
      </c>
      <c r="I85" s="90">
        <f t="shared" ref="I85:I92" si="22">SUM(G85:H85)</f>
        <v>20150</v>
      </c>
      <c r="J85" s="145">
        <f t="shared" si="19"/>
        <v>12896</v>
      </c>
      <c r="K85" s="89">
        <v>118</v>
      </c>
      <c r="L85" s="145">
        <f t="shared" si="20"/>
        <v>6045</v>
      </c>
      <c r="M85" s="89">
        <v>139</v>
      </c>
      <c r="N85" s="89">
        <v>0</v>
      </c>
      <c r="O85" s="89">
        <v>0</v>
      </c>
      <c r="P85" s="89">
        <v>0</v>
      </c>
      <c r="Q85" s="91">
        <f t="shared" si="21"/>
        <v>39348</v>
      </c>
    </row>
    <row r="86" spans="1:20" ht="20.399999999999999">
      <c r="A86" s="266"/>
      <c r="B86" s="263"/>
      <c r="C86" s="81" t="s">
        <v>43</v>
      </c>
      <c r="D86" s="166">
        <v>0</v>
      </c>
      <c r="E86" s="88">
        <v>0</v>
      </c>
      <c r="F86" s="79">
        <v>0</v>
      </c>
      <c r="G86" s="79">
        <v>0</v>
      </c>
      <c r="H86" s="79">
        <v>0</v>
      </c>
      <c r="I86" s="90">
        <f t="shared" si="22"/>
        <v>0</v>
      </c>
      <c r="J86" s="145">
        <f t="shared" si="19"/>
        <v>0</v>
      </c>
      <c r="K86" s="89">
        <v>0</v>
      </c>
      <c r="L86" s="145">
        <f t="shared" si="20"/>
        <v>0</v>
      </c>
      <c r="M86" s="89">
        <v>0</v>
      </c>
      <c r="N86" s="89">
        <v>0</v>
      </c>
      <c r="O86" s="89">
        <v>0</v>
      </c>
      <c r="P86" s="89">
        <v>0</v>
      </c>
      <c r="Q86" s="91">
        <f t="shared" si="21"/>
        <v>0</v>
      </c>
    </row>
    <row r="87" spans="1:20" ht="18.75" customHeight="1">
      <c r="A87" s="266"/>
      <c r="B87" s="263"/>
      <c r="C87" s="81" t="s">
        <v>44</v>
      </c>
      <c r="D87" s="166">
        <v>57</v>
      </c>
      <c r="E87" s="88">
        <v>57</v>
      </c>
      <c r="F87" s="79">
        <v>0</v>
      </c>
      <c r="G87" s="79">
        <v>26250</v>
      </c>
      <c r="H87" s="79">
        <v>0</v>
      </c>
      <c r="I87" s="90">
        <f t="shared" si="22"/>
        <v>26250</v>
      </c>
      <c r="J87" s="145">
        <f t="shared" si="19"/>
        <v>16800</v>
      </c>
      <c r="K87" s="89">
        <v>112</v>
      </c>
      <c r="L87" s="145">
        <f t="shared" si="20"/>
        <v>7875</v>
      </c>
      <c r="M87" s="89">
        <v>265</v>
      </c>
      <c r="N87" s="89">
        <v>0</v>
      </c>
      <c r="O87" s="89">
        <v>3</v>
      </c>
      <c r="P87" s="89">
        <v>0</v>
      </c>
      <c r="Q87" s="91">
        <f t="shared" si="21"/>
        <v>51305</v>
      </c>
    </row>
    <row r="88" spans="1:20" ht="18" customHeight="1">
      <c r="A88" s="266"/>
      <c r="B88" s="263"/>
      <c r="C88" s="81" t="s">
        <v>29</v>
      </c>
      <c r="D88" s="166">
        <v>1</v>
      </c>
      <c r="E88" s="88">
        <v>1</v>
      </c>
      <c r="F88" s="79">
        <v>0</v>
      </c>
      <c r="G88" s="79">
        <v>1225</v>
      </c>
      <c r="H88" s="79">
        <v>0</v>
      </c>
      <c r="I88" s="90">
        <f t="shared" si="22"/>
        <v>1225</v>
      </c>
      <c r="J88" s="145">
        <f t="shared" si="19"/>
        <v>784</v>
      </c>
      <c r="K88" s="89">
        <v>4</v>
      </c>
      <c r="L88" s="145">
        <f t="shared" si="20"/>
        <v>368</v>
      </c>
      <c r="M88" s="89">
        <v>14</v>
      </c>
      <c r="N88" s="89">
        <v>0</v>
      </c>
      <c r="O88" s="89">
        <v>0</v>
      </c>
      <c r="P88" s="89">
        <v>0</v>
      </c>
      <c r="Q88" s="91">
        <f t="shared" si="21"/>
        <v>2395</v>
      </c>
    </row>
    <row r="89" spans="1:20" ht="36" customHeight="1">
      <c r="A89" s="266"/>
      <c r="B89" s="263"/>
      <c r="C89" s="81" t="s">
        <v>151</v>
      </c>
      <c r="D89" s="87">
        <v>15</v>
      </c>
      <c r="E89" s="88">
        <v>15</v>
      </c>
      <c r="F89" s="79">
        <v>0</v>
      </c>
      <c r="G89" s="79">
        <v>7445</v>
      </c>
      <c r="H89" s="79">
        <v>0</v>
      </c>
      <c r="I89" s="90">
        <f t="shared" si="22"/>
        <v>7445</v>
      </c>
      <c r="J89" s="145">
        <f t="shared" si="19"/>
        <v>4765</v>
      </c>
      <c r="K89" s="89">
        <v>30</v>
      </c>
      <c r="L89" s="145">
        <f t="shared" si="20"/>
        <v>2234</v>
      </c>
      <c r="M89" s="89">
        <v>86</v>
      </c>
      <c r="N89" s="89">
        <v>0</v>
      </c>
      <c r="O89" s="89">
        <v>0</v>
      </c>
      <c r="P89" s="89">
        <v>4</v>
      </c>
      <c r="Q89" s="91">
        <f t="shared" si="21"/>
        <v>14564</v>
      </c>
    </row>
    <row r="90" spans="1:20" ht="20.399999999999999">
      <c r="A90" s="266"/>
      <c r="B90" s="263"/>
      <c r="C90" s="81" t="s">
        <v>33</v>
      </c>
      <c r="D90" s="166">
        <v>5</v>
      </c>
      <c r="E90" s="88">
        <v>5</v>
      </c>
      <c r="F90" s="79">
        <v>0</v>
      </c>
      <c r="G90" s="79">
        <v>2475</v>
      </c>
      <c r="H90" s="79">
        <v>0</v>
      </c>
      <c r="I90" s="90">
        <f t="shared" si="22"/>
        <v>2475</v>
      </c>
      <c r="J90" s="145">
        <f t="shared" si="19"/>
        <v>1584</v>
      </c>
      <c r="K90" s="89">
        <v>13</v>
      </c>
      <c r="L90" s="145">
        <f t="shared" si="20"/>
        <v>743</v>
      </c>
      <c r="M90" s="89">
        <v>20</v>
      </c>
      <c r="N90" s="89">
        <v>2</v>
      </c>
      <c r="O90" s="89">
        <v>0</v>
      </c>
      <c r="P90" s="89">
        <v>0</v>
      </c>
      <c r="Q90" s="91">
        <f t="shared" si="21"/>
        <v>4837</v>
      </c>
    </row>
    <row r="91" spans="1:20" ht="33.75" customHeight="1">
      <c r="A91" s="267"/>
      <c r="B91" s="264"/>
      <c r="C91" s="81" t="s">
        <v>152</v>
      </c>
      <c r="D91" s="166">
        <v>1</v>
      </c>
      <c r="E91" s="88">
        <v>1</v>
      </c>
      <c r="F91" s="79">
        <v>0</v>
      </c>
      <c r="G91" s="79">
        <v>440</v>
      </c>
      <c r="H91" s="79">
        <v>0</v>
      </c>
      <c r="I91" s="90">
        <f t="shared" si="22"/>
        <v>440</v>
      </c>
      <c r="J91" s="145">
        <f t="shared" si="19"/>
        <v>282</v>
      </c>
      <c r="K91" s="89">
        <v>4</v>
      </c>
      <c r="L91" s="145">
        <f t="shared" si="20"/>
        <v>132</v>
      </c>
      <c r="M91" s="89">
        <v>5</v>
      </c>
      <c r="N91" s="89">
        <v>0</v>
      </c>
      <c r="O91" s="89">
        <v>0</v>
      </c>
      <c r="P91" s="89">
        <v>0</v>
      </c>
      <c r="Q91" s="153">
        <f t="shared" si="21"/>
        <v>863</v>
      </c>
    </row>
    <row r="92" spans="1:20" ht="19.5" customHeight="1">
      <c r="A92" s="143">
        <v>3</v>
      </c>
      <c r="B92" s="144" t="s">
        <v>20</v>
      </c>
      <c r="C92" s="82" t="s">
        <v>34</v>
      </c>
      <c r="D92" s="166">
        <v>42</v>
      </c>
      <c r="E92" s="88">
        <v>42</v>
      </c>
      <c r="F92" s="79">
        <v>0</v>
      </c>
      <c r="G92" s="79">
        <v>14100</v>
      </c>
      <c r="H92" s="79">
        <v>0</v>
      </c>
      <c r="I92" s="90">
        <f t="shared" si="22"/>
        <v>14100</v>
      </c>
      <c r="J92" s="145">
        <f t="shared" si="19"/>
        <v>9024</v>
      </c>
      <c r="K92" s="89">
        <v>85</v>
      </c>
      <c r="L92" s="145">
        <f t="shared" si="20"/>
        <v>4230</v>
      </c>
      <c r="M92" s="89">
        <v>218</v>
      </c>
      <c r="N92" s="89">
        <v>26</v>
      </c>
      <c r="O92" s="89">
        <v>0</v>
      </c>
      <c r="P92" s="89">
        <v>0</v>
      </c>
      <c r="Q92" s="91">
        <f t="shared" si="21"/>
        <v>27683</v>
      </c>
    </row>
    <row r="93" spans="1:20" ht="18" thickBot="1">
      <c r="A93" s="83" t="s">
        <v>36</v>
      </c>
      <c r="B93" s="83" t="s">
        <v>36</v>
      </c>
      <c r="C93" s="94" t="s">
        <v>9</v>
      </c>
      <c r="D93" s="88">
        <f t="shared" ref="D93:Q93" si="23">SUM(D76:D92)</f>
        <v>175</v>
      </c>
      <c r="E93" s="88">
        <f t="shared" si="23"/>
        <v>175</v>
      </c>
      <c r="F93" s="88">
        <f t="shared" si="23"/>
        <v>0</v>
      </c>
      <c r="G93" s="88">
        <f t="shared" si="23"/>
        <v>87374</v>
      </c>
      <c r="H93" s="88">
        <f t="shared" si="23"/>
        <v>0</v>
      </c>
      <c r="I93" s="88">
        <f t="shared" si="23"/>
        <v>87374</v>
      </c>
      <c r="J93" s="88">
        <f t="shared" si="23"/>
        <v>55920</v>
      </c>
      <c r="K93" s="88">
        <f t="shared" si="23"/>
        <v>418</v>
      </c>
      <c r="L93" s="88">
        <f t="shared" si="23"/>
        <v>26214</v>
      </c>
      <c r="M93" s="88">
        <f t="shared" si="23"/>
        <v>958</v>
      </c>
      <c r="N93" s="88">
        <f t="shared" si="23"/>
        <v>28</v>
      </c>
      <c r="O93" s="88">
        <f t="shared" si="23"/>
        <v>3</v>
      </c>
      <c r="P93" s="88">
        <f t="shared" si="23"/>
        <v>4</v>
      </c>
      <c r="Q93" s="88">
        <f t="shared" si="23"/>
        <v>170919</v>
      </c>
    </row>
    <row r="94" spans="1:20" ht="18" thickTop="1">
      <c r="A94" s="85"/>
      <c r="B94" s="85"/>
      <c r="C94" s="86"/>
      <c r="D94" s="152">
        <f>E76+E77+E78+E79+E80+E81+E82+E83</f>
        <v>18</v>
      </c>
      <c r="E94" s="152">
        <f>E84+E85+E86+E87+E88+E89+E90+E91</f>
        <v>115</v>
      </c>
      <c r="F94" s="152"/>
      <c r="G94" s="152"/>
      <c r="H94" s="152"/>
      <c r="I94" s="152"/>
      <c r="J94" s="152"/>
      <c r="K94" s="152"/>
      <c r="L94" s="152"/>
      <c r="M94" s="152"/>
      <c r="N94" s="152"/>
      <c r="O94" s="152"/>
      <c r="P94" s="152"/>
      <c r="Q94" s="152"/>
    </row>
    <row r="95" spans="1:20">
      <c r="A95" s="278" t="s">
        <v>156</v>
      </c>
      <c r="B95" s="279"/>
      <c r="C95" s="279"/>
      <c r="D95" s="279"/>
      <c r="E95" s="279"/>
      <c r="F95" s="279"/>
      <c r="G95" s="279"/>
      <c r="H95" s="279"/>
      <c r="I95" s="279"/>
      <c r="J95" s="279"/>
      <c r="K95" s="279"/>
      <c r="L95" s="279"/>
      <c r="M95" s="279"/>
      <c r="N95" s="279"/>
      <c r="O95" s="279"/>
      <c r="P95" s="279"/>
      <c r="Q95" s="279"/>
      <c r="R95" s="93"/>
      <c r="S95" s="93"/>
      <c r="T95" s="93"/>
    </row>
    <row r="96" spans="1:20">
      <c r="A96" s="278" t="s">
        <v>17</v>
      </c>
      <c r="B96" s="279"/>
      <c r="C96" s="279"/>
      <c r="D96" s="279"/>
      <c r="E96" s="279"/>
      <c r="F96" s="279"/>
      <c r="G96" s="279"/>
      <c r="H96" s="279"/>
      <c r="I96" s="279"/>
      <c r="J96" s="279"/>
      <c r="K96" s="279"/>
      <c r="L96" s="279"/>
      <c r="M96" s="279"/>
      <c r="N96" s="279"/>
      <c r="O96" s="279"/>
      <c r="P96" s="279"/>
      <c r="Q96" s="279"/>
      <c r="R96" s="93"/>
      <c r="S96" s="93"/>
      <c r="T96" s="93"/>
    </row>
    <row r="97" spans="1:20" ht="22.8">
      <c r="A97" s="74" t="s">
        <v>48</v>
      </c>
      <c r="B97" s="75"/>
      <c r="C97" s="75"/>
      <c r="D97" s="77"/>
      <c r="E97" s="77"/>
      <c r="F97" s="77"/>
      <c r="G97" s="77"/>
      <c r="H97" s="77"/>
      <c r="I97" s="77"/>
      <c r="J97" s="77"/>
      <c r="K97" s="77"/>
      <c r="L97" s="77"/>
      <c r="M97" s="77"/>
      <c r="N97" s="77"/>
      <c r="O97" s="283" t="s">
        <v>2</v>
      </c>
      <c r="P97" s="284"/>
      <c r="Q97" s="284"/>
      <c r="R97" s="93"/>
      <c r="S97" s="93"/>
      <c r="T97" s="93"/>
    </row>
    <row r="98" spans="1:20" ht="18.75" customHeight="1">
      <c r="A98" s="280" t="s">
        <v>35</v>
      </c>
      <c r="B98" s="280" t="s">
        <v>3</v>
      </c>
      <c r="C98" s="285" t="s">
        <v>4</v>
      </c>
      <c r="D98" s="190" t="s">
        <v>5</v>
      </c>
      <c r="E98" s="190" t="s">
        <v>5</v>
      </c>
      <c r="F98" s="287" t="s">
        <v>6</v>
      </c>
      <c r="G98" s="287" t="s">
        <v>7</v>
      </c>
      <c r="H98" s="287" t="s">
        <v>8</v>
      </c>
      <c r="I98" s="287" t="s">
        <v>9</v>
      </c>
      <c r="J98" s="287" t="s">
        <v>159</v>
      </c>
      <c r="K98" s="280" t="s">
        <v>10</v>
      </c>
      <c r="L98" s="280" t="s">
        <v>11</v>
      </c>
      <c r="M98" s="280" t="s">
        <v>12</v>
      </c>
      <c r="N98" s="280" t="s">
        <v>13</v>
      </c>
      <c r="O98" s="280" t="s">
        <v>14</v>
      </c>
      <c r="P98" s="280" t="s">
        <v>15</v>
      </c>
      <c r="Q98" s="280" t="s">
        <v>9</v>
      </c>
      <c r="R98" s="93"/>
      <c r="S98" s="93"/>
      <c r="T98" s="93"/>
    </row>
    <row r="99" spans="1:20" ht="18.75" customHeight="1">
      <c r="A99" s="281"/>
      <c r="B99" s="281"/>
      <c r="C99" s="286"/>
      <c r="D99" s="191" t="s">
        <v>146</v>
      </c>
      <c r="E99" s="191" t="s">
        <v>164</v>
      </c>
      <c r="F99" s="288"/>
      <c r="G99" s="288"/>
      <c r="H99" s="288"/>
      <c r="I99" s="288"/>
      <c r="J99" s="288"/>
      <c r="K99" s="282"/>
      <c r="L99" s="282"/>
      <c r="M99" s="282"/>
      <c r="N99" s="282"/>
      <c r="O99" s="282"/>
      <c r="P99" s="282"/>
      <c r="Q99" s="282"/>
      <c r="R99" s="93"/>
      <c r="S99" s="93"/>
      <c r="T99" s="93"/>
    </row>
    <row r="100" spans="1:20">
      <c r="A100" s="282"/>
      <c r="B100" s="282"/>
      <c r="C100" s="289" t="s">
        <v>16</v>
      </c>
      <c r="D100" s="290"/>
      <c r="E100" s="290"/>
      <c r="F100" s="290"/>
      <c r="G100" s="290"/>
      <c r="H100" s="290"/>
      <c r="I100" s="290"/>
      <c r="J100" s="290"/>
      <c r="K100" s="290"/>
      <c r="L100" s="290"/>
      <c r="M100" s="290"/>
      <c r="N100" s="290"/>
      <c r="O100" s="290"/>
      <c r="P100" s="290"/>
      <c r="Q100" s="291"/>
      <c r="R100" s="93"/>
      <c r="S100" s="93"/>
      <c r="T100" s="93"/>
    </row>
    <row r="101" spans="1:20" ht="21">
      <c r="A101" s="265">
        <v>1</v>
      </c>
      <c r="B101" s="262" t="s">
        <v>18</v>
      </c>
      <c r="C101" s="78" t="s">
        <v>21</v>
      </c>
      <c r="D101" s="79">
        <v>1</v>
      </c>
      <c r="E101" s="80">
        <v>1</v>
      </c>
      <c r="F101" s="79">
        <v>0</v>
      </c>
      <c r="G101" s="79">
        <v>2442</v>
      </c>
      <c r="H101" s="79">
        <v>0</v>
      </c>
      <c r="I101" s="80">
        <f t="shared" ref="I101:I107" si="24">SUM(G101:H101)</f>
        <v>2442</v>
      </c>
      <c r="J101" s="145">
        <f>ROUND(I101*0.64,0)</f>
        <v>1563</v>
      </c>
      <c r="K101" s="79">
        <v>0</v>
      </c>
      <c r="L101" s="79">
        <v>0</v>
      </c>
      <c r="M101" s="79">
        <v>0</v>
      </c>
      <c r="N101" s="79">
        <v>0</v>
      </c>
      <c r="O101" s="79">
        <v>0</v>
      </c>
      <c r="P101" s="79">
        <v>0</v>
      </c>
      <c r="Q101" s="80">
        <f t="shared" ref="Q101:Q107" si="25">SUM(F101+I101+J101+K101+L101+M101+N101+O101+P101)</f>
        <v>4005</v>
      </c>
    </row>
    <row r="102" spans="1:20" ht="21">
      <c r="A102" s="274"/>
      <c r="B102" s="276"/>
      <c r="C102" s="78" t="s">
        <v>22</v>
      </c>
      <c r="D102" s="79">
        <v>1</v>
      </c>
      <c r="E102" s="80">
        <v>1</v>
      </c>
      <c r="F102" s="79">
        <v>0</v>
      </c>
      <c r="G102" s="79">
        <v>1390</v>
      </c>
      <c r="H102" s="79">
        <v>0</v>
      </c>
      <c r="I102" s="80">
        <f t="shared" si="24"/>
        <v>1390</v>
      </c>
      <c r="J102" s="145">
        <f t="shared" ref="J102:J114" si="26">ROUND(I102*0.64,0)</f>
        <v>890</v>
      </c>
      <c r="K102" s="79">
        <v>4</v>
      </c>
      <c r="L102" s="79">
        <v>417</v>
      </c>
      <c r="M102" s="79">
        <v>65</v>
      </c>
      <c r="N102" s="79">
        <v>0</v>
      </c>
      <c r="O102" s="79">
        <v>0</v>
      </c>
      <c r="P102" s="79">
        <v>0</v>
      </c>
      <c r="Q102" s="80">
        <f t="shared" si="25"/>
        <v>2766</v>
      </c>
    </row>
    <row r="103" spans="1:20" ht="21">
      <c r="A103" s="274"/>
      <c r="B103" s="276"/>
      <c r="C103" s="78" t="s">
        <v>23</v>
      </c>
      <c r="D103" s="79">
        <v>2</v>
      </c>
      <c r="E103" s="80">
        <v>2</v>
      </c>
      <c r="F103" s="79">
        <v>0</v>
      </c>
      <c r="G103" s="79">
        <v>2651</v>
      </c>
      <c r="H103" s="79">
        <v>0</v>
      </c>
      <c r="I103" s="80">
        <f t="shared" si="24"/>
        <v>2651</v>
      </c>
      <c r="J103" s="145">
        <f t="shared" si="26"/>
        <v>1697</v>
      </c>
      <c r="K103" s="79">
        <v>7</v>
      </c>
      <c r="L103" s="79">
        <v>795</v>
      </c>
      <c r="M103" s="79">
        <v>130</v>
      </c>
      <c r="N103" s="79">
        <v>0</v>
      </c>
      <c r="O103" s="79">
        <v>0</v>
      </c>
      <c r="P103" s="79">
        <v>0</v>
      </c>
      <c r="Q103" s="80">
        <f t="shared" si="25"/>
        <v>5280</v>
      </c>
    </row>
    <row r="104" spans="1:20" ht="21">
      <c r="A104" s="274"/>
      <c r="B104" s="276"/>
      <c r="C104" s="78" t="s">
        <v>24</v>
      </c>
      <c r="D104" s="79">
        <v>9</v>
      </c>
      <c r="E104" s="80">
        <v>9</v>
      </c>
      <c r="F104" s="79">
        <v>0</v>
      </c>
      <c r="G104" s="79">
        <v>7226</v>
      </c>
      <c r="H104" s="79">
        <v>0</v>
      </c>
      <c r="I104" s="80">
        <f t="shared" si="24"/>
        <v>7226</v>
      </c>
      <c r="J104" s="145">
        <f t="shared" si="26"/>
        <v>4625</v>
      </c>
      <c r="K104" s="79">
        <v>25</v>
      </c>
      <c r="L104" s="79">
        <v>1844</v>
      </c>
      <c r="M104" s="79">
        <v>211</v>
      </c>
      <c r="N104" s="79">
        <v>0</v>
      </c>
      <c r="O104" s="79">
        <v>0</v>
      </c>
      <c r="P104" s="79">
        <v>0</v>
      </c>
      <c r="Q104" s="80">
        <f t="shared" si="25"/>
        <v>13931</v>
      </c>
    </row>
    <row r="105" spans="1:20" ht="21">
      <c r="A105" s="274"/>
      <c r="B105" s="276"/>
      <c r="C105" s="78" t="s">
        <v>25</v>
      </c>
      <c r="D105" s="79">
        <v>6</v>
      </c>
      <c r="E105" s="80">
        <v>6</v>
      </c>
      <c r="F105" s="79">
        <v>0</v>
      </c>
      <c r="G105" s="79">
        <v>4117</v>
      </c>
      <c r="H105" s="79">
        <v>0</v>
      </c>
      <c r="I105" s="80">
        <f t="shared" si="24"/>
        <v>4117</v>
      </c>
      <c r="J105" s="145">
        <f t="shared" si="26"/>
        <v>2635</v>
      </c>
      <c r="K105" s="79">
        <v>15</v>
      </c>
      <c r="L105" s="79">
        <v>1235</v>
      </c>
      <c r="M105" s="79">
        <v>146</v>
      </c>
      <c r="N105" s="79">
        <v>0</v>
      </c>
      <c r="O105" s="79">
        <v>0</v>
      </c>
      <c r="P105" s="79">
        <v>0</v>
      </c>
      <c r="Q105" s="80">
        <f t="shared" si="25"/>
        <v>8148</v>
      </c>
    </row>
    <row r="106" spans="1:20" ht="21">
      <c r="A106" s="274"/>
      <c r="B106" s="276"/>
      <c r="C106" s="78" t="s">
        <v>26</v>
      </c>
      <c r="D106" s="79">
        <v>0</v>
      </c>
      <c r="E106" s="80">
        <v>0</v>
      </c>
      <c r="F106" s="79">
        <v>0</v>
      </c>
      <c r="G106" s="79">
        <v>0</v>
      </c>
      <c r="H106" s="79">
        <v>0</v>
      </c>
      <c r="I106" s="80">
        <f t="shared" si="24"/>
        <v>0</v>
      </c>
      <c r="J106" s="145">
        <f t="shared" si="26"/>
        <v>0</v>
      </c>
      <c r="K106" s="79">
        <v>0</v>
      </c>
      <c r="L106" s="79">
        <v>0</v>
      </c>
      <c r="M106" s="79">
        <v>0</v>
      </c>
      <c r="N106" s="79">
        <v>0</v>
      </c>
      <c r="O106" s="79">
        <v>0</v>
      </c>
      <c r="P106" s="79">
        <v>0</v>
      </c>
      <c r="Q106" s="80">
        <f t="shared" si="25"/>
        <v>0</v>
      </c>
    </row>
    <row r="107" spans="1:20" ht="21">
      <c r="A107" s="274"/>
      <c r="B107" s="276"/>
      <c r="C107" s="146" t="s">
        <v>27</v>
      </c>
      <c r="D107" s="79">
        <v>0</v>
      </c>
      <c r="E107" s="80">
        <v>0</v>
      </c>
      <c r="F107" s="79">
        <v>0</v>
      </c>
      <c r="G107" s="79">
        <v>0</v>
      </c>
      <c r="H107" s="79">
        <v>0</v>
      </c>
      <c r="I107" s="80">
        <f t="shared" si="24"/>
        <v>0</v>
      </c>
      <c r="J107" s="145">
        <f t="shared" si="26"/>
        <v>0</v>
      </c>
      <c r="K107" s="79">
        <v>0</v>
      </c>
      <c r="L107" s="79">
        <v>0</v>
      </c>
      <c r="M107" s="79">
        <v>0</v>
      </c>
      <c r="N107" s="79">
        <v>0</v>
      </c>
      <c r="O107" s="79">
        <v>0</v>
      </c>
      <c r="P107" s="79">
        <v>0</v>
      </c>
      <c r="Q107" s="80">
        <f t="shared" si="25"/>
        <v>0</v>
      </c>
    </row>
    <row r="108" spans="1:20" ht="21">
      <c r="A108" s="265">
        <v>2</v>
      </c>
      <c r="B108" s="262" t="s">
        <v>19</v>
      </c>
      <c r="C108" s="81" t="s">
        <v>28</v>
      </c>
      <c r="D108" s="79">
        <v>0</v>
      </c>
      <c r="E108" s="80">
        <v>0</v>
      </c>
      <c r="F108" s="79">
        <v>0</v>
      </c>
      <c r="G108" s="79">
        <v>0</v>
      </c>
      <c r="H108" s="79">
        <v>0</v>
      </c>
      <c r="I108" s="80">
        <f t="shared" ref="I108:I114" si="27">SUM(G108:H108)</f>
        <v>0</v>
      </c>
      <c r="J108" s="145">
        <f t="shared" si="26"/>
        <v>0</v>
      </c>
      <c r="K108" s="79">
        <v>0</v>
      </c>
      <c r="L108" s="79">
        <v>0</v>
      </c>
      <c r="M108" s="79">
        <v>0</v>
      </c>
      <c r="N108" s="79">
        <v>0</v>
      </c>
      <c r="O108" s="79">
        <v>0</v>
      </c>
      <c r="P108" s="79">
        <v>0</v>
      </c>
      <c r="Q108" s="80">
        <f t="shared" ref="Q108:Q114" si="28">SUM(F108+I108+J108+K108+L108+M108+N108+O108+P108)</f>
        <v>0</v>
      </c>
    </row>
    <row r="109" spans="1:20" ht="21">
      <c r="A109" s="266"/>
      <c r="B109" s="263"/>
      <c r="C109" s="81" t="s">
        <v>29</v>
      </c>
      <c r="D109" s="164">
        <v>1</v>
      </c>
      <c r="E109" s="91">
        <v>1</v>
      </c>
      <c r="F109" s="79">
        <v>0</v>
      </c>
      <c r="G109" s="79">
        <v>1003</v>
      </c>
      <c r="H109" s="79">
        <v>0</v>
      </c>
      <c r="I109" s="80">
        <f t="shared" si="27"/>
        <v>1003</v>
      </c>
      <c r="J109" s="145">
        <f t="shared" si="26"/>
        <v>642</v>
      </c>
      <c r="K109" s="79">
        <v>4</v>
      </c>
      <c r="L109" s="79">
        <v>301</v>
      </c>
      <c r="M109" s="79">
        <v>32</v>
      </c>
      <c r="N109" s="79">
        <v>0</v>
      </c>
      <c r="O109" s="79">
        <v>0</v>
      </c>
      <c r="P109" s="79">
        <v>0</v>
      </c>
      <c r="Q109" s="80">
        <f t="shared" si="28"/>
        <v>1982</v>
      </c>
    </row>
    <row r="110" spans="1:20" ht="35.25" customHeight="1">
      <c r="A110" s="266"/>
      <c r="B110" s="263"/>
      <c r="C110" s="81" t="s">
        <v>45</v>
      </c>
      <c r="D110" s="79">
        <v>1</v>
      </c>
      <c r="E110" s="80">
        <v>1</v>
      </c>
      <c r="F110" s="79">
        <v>0</v>
      </c>
      <c r="G110" s="79">
        <v>661</v>
      </c>
      <c r="H110" s="79">
        <v>0</v>
      </c>
      <c r="I110" s="80">
        <f t="shared" si="27"/>
        <v>661</v>
      </c>
      <c r="J110" s="145">
        <f t="shared" si="26"/>
        <v>423</v>
      </c>
      <c r="K110" s="79">
        <v>4</v>
      </c>
      <c r="L110" s="79">
        <v>198</v>
      </c>
      <c r="M110" s="79">
        <v>32</v>
      </c>
      <c r="N110" s="79">
        <v>0</v>
      </c>
      <c r="O110" s="79">
        <v>0</v>
      </c>
      <c r="P110" s="79">
        <v>0</v>
      </c>
      <c r="Q110" s="80">
        <f t="shared" si="28"/>
        <v>1318</v>
      </c>
    </row>
    <row r="111" spans="1:20" ht="21">
      <c r="A111" s="266"/>
      <c r="B111" s="263"/>
      <c r="C111" s="81" t="s">
        <v>31</v>
      </c>
      <c r="D111" s="164">
        <v>19</v>
      </c>
      <c r="E111" s="91">
        <v>19</v>
      </c>
      <c r="F111" s="79">
        <v>0</v>
      </c>
      <c r="G111" s="79">
        <v>9879</v>
      </c>
      <c r="H111" s="79">
        <v>0</v>
      </c>
      <c r="I111" s="80">
        <f t="shared" si="27"/>
        <v>9879</v>
      </c>
      <c r="J111" s="145">
        <f t="shared" si="26"/>
        <v>6323</v>
      </c>
      <c r="K111" s="79">
        <v>66</v>
      </c>
      <c r="L111" s="79">
        <v>2963</v>
      </c>
      <c r="M111" s="79">
        <v>616</v>
      </c>
      <c r="N111" s="79">
        <v>0</v>
      </c>
      <c r="O111" s="79">
        <v>0</v>
      </c>
      <c r="P111" s="79">
        <v>0</v>
      </c>
      <c r="Q111" s="80">
        <f t="shared" si="28"/>
        <v>19847</v>
      </c>
    </row>
    <row r="112" spans="1:20" ht="21">
      <c r="A112" s="266"/>
      <c r="B112" s="263"/>
      <c r="C112" s="81" t="s">
        <v>32</v>
      </c>
      <c r="D112" s="164">
        <v>49</v>
      </c>
      <c r="E112" s="91">
        <v>49</v>
      </c>
      <c r="F112" s="79">
        <v>0</v>
      </c>
      <c r="G112" s="79">
        <v>17304</v>
      </c>
      <c r="H112" s="79">
        <v>0</v>
      </c>
      <c r="I112" s="80">
        <f t="shared" si="27"/>
        <v>17304</v>
      </c>
      <c r="J112" s="145">
        <f t="shared" si="26"/>
        <v>11075</v>
      </c>
      <c r="K112" s="79">
        <v>159</v>
      </c>
      <c r="L112" s="79">
        <v>4724</v>
      </c>
      <c r="M112" s="79">
        <v>1588</v>
      </c>
      <c r="N112" s="79">
        <v>0</v>
      </c>
      <c r="O112" s="79">
        <v>0</v>
      </c>
      <c r="P112" s="79">
        <v>0</v>
      </c>
      <c r="Q112" s="80">
        <f t="shared" si="28"/>
        <v>34850</v>
      </c>
    </row>
    <row r="113" spans="1:20" ht="21">
      <c r="A113" s="267"/>
      <c r="B113" s="264"/>
      <c r="C113" s="81" t="s">
        <v>33</v>
      </c>
      <c r="D113" s="79">
        <v>6</v>
      </c>
      <c r="E113" s="80">
        <v>6</v>
      </c>
      <c r="F113" s="79">
        <v>0</v>
      </c>
      <c r="G113" s="79">
        <v>2175</v>
      </c>
      <c r="H113" s="79">
        <v>0</v>
      </c>
      <c r="I113" s="80">
        <f t="shared" si="27"/>
        <v>2175</v>
      </c>
      <c r="J113" s="145">
        <f t="shared" si="26"/>
        <v>1392</v>
      </c>
      <c r="K113" s="79">
        <v>12</v>
      </c>
      <c r="L113" s="79">
        <v>652</v>
      </c>
      <c r="M113" s="79">
        <v>194</v>
      </c>
      <c r="N113" s="79">
        <v>0</v>
      </c>
      <c r="O113" s="79">
        <v>0</v>
      </c>
      <c r="P113" s="79">
        <v>0</v>
      </c>
      <c r="Q113" s="80">
        <f t="shared" si="28"/>
        <v>4425</v>
      </c>
    </row>
    <row r="114" spans="1:20" ht="21">
      <c r="A114" s="141">
        <v>3</v>
      </c>
      <c r="B114" s="142" t="s">
        <v>20</v>
      </c>
      <c r="C114" s="82" t="s">
        <v>34</v>
      </c>
      <c r="D114" s="164">
        <v>43</v>
      </c>
      <c r="E114" s="91">
        <v>43</v>
      </c>
      <c r="F114" s="79">
        <v>0</v>
      </c>
      <c r="G114" s="79">
        <v>11234</v>
      </c>
      <c r="H114" s="79">
        <v>0</v>
      </c>
      <c r="I114" s="80">
        <f t="shared" si="27"/>
        <v>11234</v>
      </c>
      <c r="J114" s="145">
        <f t="shared" si="26"/>
        <v>7190</v>
      </c>
      <c r="K114" s="79">
        <v>96</v>
      </c>
      <c r="L114" s="79">
        <v>3139</v>
      </c>
      <c r="M114" s="79">
        <v>1138</v>
      </c>
      <c r="N114" s="79">
        <v>20</v>
      </c>
      <c r="O114" s="79">
        <v>0</v>
      </c>
      <c r="P114" s="79">
        <v>0</v>
      </c>
      <c r="Q114" s="80">
        <f t="shared" si="28"/>
        <v>22817</v>
      </c>
    </row>
    <row r="115" spans="1:20" s="149" customFormat="1" ht="21.6" thickBot="1">
      <c r="A115" s="83" t="s">
        <v>36</v>
      </c>
      <c r="B115" s="83" t="s">
        <v>36</v>
      </c>
      <c r="C115" s="84" t="s">
        <v>9</v>
      </c>
      <c r="D115" s="147">
        <f t="shared" ref="D115:Q115" si="29">SUM(D101:D114)</f>
        <v>138</v>
      </c>
      <c r="E115" s="147">
        <f t="shared" si="29"/>
        <v>138</v>
      </c>
      <c r="F115" s="147">
        <f t="shared" si="29"/>
        <v>0</v>
      </c>
      <c r="G115" s="147">
        <f t="shared" si="29"/>
        <v>60082</v>
      </c>
      <c r="H115" s="147">
        <f t="shared" si="29"/>
        <v>0</v>
      </c>
      <c r="I115" s="147">
        <f t="shared" si="29"/>
        <v>60082</v>
      </c>
      <c r="J115" s="147">
        <f t="shared" si="29"/>
        <v>38455</v>
      </c>
      <c r="K115" s="147">
        <f t="shared" si="29"/>
        <v>392</v>
      </c>
      <c r="L115" s="147">
        <f t="shared" si="29"/>
        <v>16268</v>
      </c>
      <c r="M115" s="147">
        <f t="shared" si="29"/>
        <v>4152</v>
      </c>
      <c r="N115" s="147">
        <f t="shared" si="29"/>
        <v>20</v>
      </c>
      <c r="O115" s="147">
        <f t="shared" si="29"/>
        <v>0</v>
      </c>
      <c r="P115" s="147">
        <f t="shared" si="29"/>
        <v>0</v>
      </c>
      <c r="Q115" s="147">
        <f t="shared" si="29"/>
        <v>119369</v>
      </c>
      <c r="R115" s="148"/>
      <c r="S115" s="148"/>
      <c r="T115" s="148"/>
    </row>
    <row r="116" spans="1:20" s="149" customFormat="1" ht="21.6" thickTop="1">
      <c r="A116" s="85"/>
      <c r="B116" s="85"/>
      <c r="C116" s="86"/>
      <c r="D116" s="150">
        <f>E101+E102+E103+E104+E105+E106+E107</f>
        <v>19</v>
      </c>
      <c r="E116" s="150">
        <f>E109+E110+E111+E112+E113</f>
        <v>76</v>
      </c>
      <c r="F116" s="154"/>
      <c r="G116" s="154"/>
      <c r="H116" s="154"/>
      <c r="I116" s="154"/>
      <c r="J116" s="154"/>
      <c r="K116" s="154"/>
      <c r="L116" s="154"/>
      <c r="M116" s="154"/>
      <c r="N116" s="154"/>
      <c r="O116" s="154"/>
      <c r="P116" s="154"/>
      <c r="Q116" s="150"/>
      <c r="R116" s="148"/>
      <c r="S116" s="148"/>
      <c r="T116" s="148"/>
    </row>
    <row r="117" spans="1:20">
      <c r="A117" s="278" t="s">
        <v>156</v>
      </c>
      <c r="B117" s="279"/>
      <c r="C117" s="279"/>
      <c r="D117" s="279"/>
      <c r="E117" s="279"/>
      <c r="F117" s="279"/>
      <c r="G117" s="279"/>
      <c r="H117" s="279"/>
      <c r="I117" s="279"/>
      <c r="J117" s="279"/>
      <c r="K117" s="279"/>
      <c r="L117" s="279"/>
      <c r="M117" s="279"/>
      <c r="N117" s="279"/>
      <c r="O117" s="279"/>
      <c r="P117" s="279"/>
      <c r="Q117" s="279"/>
      <c r="R117" s="93"/>
      <c r="S117" s="93"/>
      <c r="T117" s="93"/>
    </row>
    <row r="118" spans="1:20">
      <c r="A118" s="278" t="s">
        <v>17</v>
      </c>
      <c r="B118" s="279"/>
      <c r="C118" s="279"/>
      <c r="D118" s="279"/>
      <c r="E118" s="279"/>
      <c r="F118" s="279"/>
      <c r="G118" s="279"/>
      <c r="H118" s="279"/>
      <c r="I118" s="279"/>
      <c r="J118" s="279"/>
      <c r="K118" s="279"/>
      <c r="L118" s="279"/>
      <c r="M118" s="279"/>
      <c r="N118" s="279"/>
      <c r="O118" s="279"/>
      <c r="P118" s="279"/>
      <c r="Q118" s="279"/>
      <c r="R118" s="93"/>
      <c r="S118" s="93"/>
      <c r="T118" s="93"/>
    </row>
    <row r="119" spans="1:20" ht="22.8">
      <c r="A119" s="74" t="s">
        <v>48</v>
      </c>
      <c r="B119" s="75"/>
      <c r="C119" s="75"/>
      <c r="D119" s="77"/>
      <c r="E119" s="77"/>
      <c r="F119" s="77"/>
      <c r="G119" s="77"/>
      <c r="H119" s="77"/>
      <c r="I119" s="77"/>
      <c r="J119" s="77"/>
      <c r="K119" s="77"/>
      <c r="L119" s="77"/>
      <c r="M119" s="77"/>
      <c r="N119" s="77"/>
      <c r="O119" s="283" t="s">
        <v>2</v>
      </c>
      <c r="P119" s="284"/>
      <c r="Q119" s="284"/>
      <c r="R119" s="93"/>
      <c r="S119" s="93"/>
      <c r="T119" s="93"/>
    </row>
    <row r="120" spans="1:20" ht="18.75" customHeight="1">
      <c r="A120" s="280" t="s">
        <v>35</v>
      </c>
      <c r="B120" s="280" t="s">
        <v>3</v>
      </c>
      <c r="C120" s="285" t="s">
        <v>4</v>
      </c>
      <c r="D120" s="190" t="s">
        <v>5</v>
      </c>
      <c r="E120" s="190" t="s">
        <v>5</v>
      </c>
      <c r="F120" s="287" t="s">
        <v>6</v>
      </c>
      <c r="G120" s="287" t="s">
        <v>7</v>
      </c>
      <c r="H120" s="287" t="s">
        <v>8</v>
      </c>
      <c r="I120" s="287" t="s">
        <v>9</v>
      </c>
      <c r="J120" s="287" t="s">
        <v>159</v>
      </c>
      <c r="K120" s="280" t="s">
        <v>10</v>
      </c>
      <c r="L120" s="280" t="s">
        <v>11</v>
      </c>
      <c r="M120" s="280" t="s">
        <v>12</v>
      </c>
      <c r="N120" s="280" t="s">
        <v>13</v>
      </c>
      <c r="O120" s="280" t="s">
        <v>14</v>
      </c>
      <c r="P120" s="280" t="s">
        <v>15</v>
      </c>
      <c r="Q120" s="280" t="s">
        <v>9</v>
      </c>
      <c r="R120" s="93"/>
      <c r="S120" s="93"/>
      <c r="T120" s="93"/>
    </row>
    <row r="121" spans="1:20" ht="18.75" customHeight="1">
      <c r="A121" s="281"/>
      <c r="B121" s="281"/>
      <c r="C121" s="286"/>
      <c r="D121" s="191" t="s">
        <v>146</v>
      </c>
      <c r="E121" s="191" t="s">
        <v>164</v>
      </c>
      <c r="F121" s="288"/>
      <c r="G121" s="288"/>
      <c r="H121" s="288"/>
      <c r="I121" s="288"/>
      <c r="J121" s="288"/>
      <c r="K121" s="282"/>
      <c r="L121" s="282"/>
      <c r="M121" s="282"/>
      <c r="N121" s="282"/>
      <c r="O121" s="282"/>
      <c r="P121" s="282"/>
      <c r="Q121" s="282"/>
      <c r="R121" s="93"/>
      <c r="S121" s="93"/>
      <c r="T121" s="93"/>
    </row>
    <row r="122" spans="1:20">
      <c r="A122" s="282"/>
      <c r="B122" s="282"/>
      <c r="C122" s="289" t="s">
        <v>37</v>
      </c>
      <c r="D122" s="290"/>
      <c r="E122" s="290"/>
      <c r="F122" s="290"/>
      <c r="G122" s="290"/>
      <c r="H122" s="290"/>
      <c r="I122" s="290"/>
      <c r="J122" s="290"/>
      <c r="K122" s="290"/>
      <c r="L122" s="290"/>
      <c r="M122" s="290"/>
      <c r="N122" s="290"/>
      <c r="O122" s="290"/>
      <c r="P122" s="290"/>
      <c r="Q122" s="291"/>
      <c r="R122" s="93"/>
      <c r="S122" s="93"/>
      <c r="T122" s="93"/>
    </row>
    <row r="123" spans="1:20" ht="20.399999999999999">
      <c r="A123" s="265">
        <v>1</v>
      </c>
      <c r="B123" s="262" t="s">
        <v>18</v>
      </c>
      <c r="C123" s="78" t="s">
        <v>21</v>
      </c>
      <c r="D123" s="90">
        <v>0</v>
      </c>
      <c r="E123" s="90">
        <v>0</v>
      </c>
      <c r="F123" s="79">
        <v>0</v>
      </c>
      <c r="G123" s="79">
        <v>0</v>
      </c>
      <c r="H123" s="79">
        <v>0</v>
      </c>
      <c r="I123" s="90">
        <f t="shared" ref="I123:I131" si="30">SUM(G123:H123)</f>
        <v>0</v>
      </c>
      <c r="J123" s="145">
        <f>ROUND(I123*0.58,0)</f>
        <v>0</v>
      </c>
      <c r="K123" s="89">
        <v>0</v>
      </c>
      <c r="L123" s="89">
        <v>0</v>
      </c>
      <c r="M123" s="89">
        <v>0</v>
      </c>
      <c r="N123" s="89">
        <v>0</v>
      </c>
      <c r="O123" s="89">
        <v>0</v>
      </c>
      <c r="P123" s="89">
        <v>0</v>
      </c>
      <c r="Q123" s="91">
        <f t="shared" ref="Q123:Q129" si="31">SUM(F123+I123+J123+K123+L123+M123+N123+O123+P123)</f>
        <v>0</v>
      </c>
    </row>
    <row r="124" spans="1:20" ht="20.399999999999999">
      <c r="A124" s="274"/>
      <c r="B124" s="276"/>
      <c r="C124" s="78" t="s">
        <v>22</v>
      </c>
      <c r="D124" s="88">
        <v>0</v>
      </c>
      <c r="E124" s="88">
        <v>0</v>
      </c>
      <c r="F124" s="79">
        <v>0</v>
      </c>
      <c r="G124" s="79">
        <v>0</v>
      </c>
      <c r="H124" s="79">
        <v>0</v>
      </c>
      <c r="I124" s="90">
        <f t="shared" si="30"/>
        <v>0</v>
      </c>
      <c r="J124" s="145">
        <f>ROUND(I124*0.58,0)</f>
        <v>0</v>
      </c>
      <c r="K124" s="89">
        <v>0</v>
      </c>
      <c r="L124" s="89">
        <v>0</v>
      </c>
      <c r="M124" s="89">
        <v>0</v>
      </c>
      <c r="N124" s="89">
        <v>0</v>
      </c>
      <c r="O124" s="89">
        <v>0</v>
      </c>
      <c r="P124" s="89">
        <v>0</v>
      </c>
      <c r="Q124" s="91">
        <f t="shared" si="31"/>
        <v>0</v>
      </c>
    </row>
    <row r="125" spans="1:20" ht="36" customHeight="1">
      <c r="A125" s="274"/>
      <c r="B125" s="276"/>
      <c r="C125" s="78" t="s">
        <v>38</v>
      </c>
      <c r="D125" s="88">
        <v>0</v>
      </c>
      <c r="E125" s="88">
        <v>0</v>
      </c>
      <c r="F125" s="79">
        <v>0</v>
      </c>
      <c r="G125" s="79">
        <v>0</v>
      </c>
      <c r="H125" s="79">
        <v>0</v>
      </c>
      <c r="I125" s="90">
        <f t="shared" si="30"/>
        <v>0</v>
      </c>
      <c r="J125" s="145">
        <f>ROUND(I125*0.58,0)</f>
        <v>0</v>
      </c>
      <c r="K125" s="89">
        <v>0</v>
      </c>
      <c r="L125" s="89">
        <v>0</v>
      </c>
      <c r="M125" s="89">
        <v>0</v>
      </c>
      <c r="N125" s="89">
        <v>0</v>
      </c>
      <c r="O125" s="89">
        <v>0</v>
      </c>
      <c r="P125" s="89">
        <v>0</v>
      </c>
      <c r="Q125" s="91">
        <f t="shared" si="31"/>
        <v>0</v>
      </c>
    </row>
    <row r="126" spans="1:20" ht="30">
      <c r="A126" s="274"/>
      <c r="B126" s="276"/>
      <c r="C126" s="78" t="s">
        <v>39</v>
      </c>
      <c r="D126" s="88">
        <v>5</v>
      </c>
      <c r="E126" s="88">
        <v>5</v>
      </c>
      <c r="F126" s="79">
        <v>0</v>
      </c>
      <c r="G126" s="79">
        <v>3940</v>
      </c>
      <c r="H126" s="79">
        <v>0</v>
      </c>
      <c r="I126" s="90">
        <f t="shared" si="30"/>
        <v>3940</v>
      </c>
      <c r="J126" s="145">
        <f>ROUND(I126*0.64,0)</f>
        <v>2522</v>
      </c>
      <c r="K126" s="89">
        <v>18</v>
      </c>
      <c r="L126" s="89">
        <v>1182</v>
      </c>
      <c r="M126" s="89">
        <v>130</v>
      </c>
      <c r="N126" s="89">
        <v>0</v>
      </c>
      <c r="O126" s="89">
        <v>0</v>
      </c>
      <c r="P126" s="89">
        <v>0</v>
      </c>
      <c r="Q126" s="91">
        <f t="shared" si="31"/>
        <v>7792</v>
      </c>
    </row>
    <row r="127" spans="1:20" ht="18.75" customHeight="1">
      <c r="A127" s="274"/>
      <c r="B127" s="276"/>
      <c r="C127" s="78" t="s">
        <v>40</v>
      </c>
      <c r="D127" s="88">
        <v>14</v>
      </c>
      <c r="E127" s="88">
        <v>14</v>
      </c>
      <c r="F127" s="79">
        <v>0</v>
      </c>
      <c r="G127" s="79">
        <v>9602</v>
      </c>
      <c r="H127" s="79">
        <v>0</v>
      </c>
      <c r="I127" s="90">
        <f t="shared" si="30"/>
        <v>9602</v>
      </c>
      <c r="J127" s="145">
        <f t="shared" ref="J127:J139" si="32">ROUND(I127*0.64,0)</f>
        <v>6145</v>
      </c>
      <c r="K127" s="89">
        <v>49</v>
      </c>
      <c r="L127" s="89">
        <v>2545</v>
      </c>
      <c r="M127" s="89">
        <v>405</v>
      </c>
      <c r="N127" s="89">
        <v>0</v>
      </c>
      <c r="O127" s="89">
        <v>0</v>
      </c>
      <c r="P127" s="89">
        <v>0</v>
      </c>
      <c r="Q127" s="91">
        <f t="shared" si="31"/>
        <v>18746</v>
      </c>
    </row>
    <row r="128" spans="1:20" ht="20.399999999999999">
      <c r="A128" s="274"/>
      <c r="B128" s="276"/>
      <c r="C128" s="78" t="s">
        <v>26</v>
      </c>
      <c r="D128" s="88">
        <v>2</v>
      </c>
      <c r="E128" s="88">
        <v>2</v>
      </c>
      <c r="F128" s="79">
        <v>0</v>
      </c>
      <c r="G128" s="79">
        <v>1620</v>
      </c>
      <c r="H128" s="79">
        <v>0</v>
      </c>
      <c r="I128" s="90">
        <f t="shared" si="30"/>
        <v>1620</v>
      </c>
      <c r="J128" s="145">
        <f t="shared" si="32"/>
        <v>1037</v>
      </c>
      <c r="K128" s="89">
        <v>7</v>
      </c>
      <c r="L128" s="89">
        <v>486</v>
      </c>
      <c r="M128" s="89">
        <v>65</v>
      </c>
      <c r="N128" s="89">
        <v>0</v>
      </c>
      <c r="O128" s="89">
        <v>0</v>
      </c>
      <c r="P128" s="89">
        <v>0</v>
      </c>
      <c r="Q128" s="91">
        <f t="shared" si="31"/>
        <v>3215</v>
      </c>
    </row>
    <row r="129" spans="1:20" ht="20.399999999999999">
      <c r="A129" s="274"/>
      <c r="B129" s="276"/>
      <c r="C129" s="78" t="s">
        <v>27</v>
      </c>
      <c r="D129" s="88">
        <v>1</v>
      </c>
      <c r="E129" s="88">
        <v>1</v>
      </c>
      <c r="F129" s="79">
        <v>0</v>
      </c>
      <c r="G129" s="79">
        <v>792</v>
      </c>
      <c r="H129" s="79">
        <v>0</v>
      </c>
      <c r="I129" s="90">
        <f t="shared" si="30"/>
        <v>792</v>
      </c>
      <c r="J129" s="145">
        <f t="shared" si="32"/>
        <v>507</v>
      </c>
      <c r="K129" s="89">
        <v>4</v>
      </c>
      <c r="L129" s="89">
        <v>238</v>
      </c>
      <c r="M129" s="89">
        <v>32</v>
      </c>
      <c r="N129" s="89">
        <v>0</v>
      </c>
      <c r="O129" s="89">
        <v>0</v>
      </c>
      <c r="P129" s="89">
        <v>0</v>
      </c>
      <c r="Q129" s="91">
        <f t="shared" si="31"/>
        <v>1573</v>
      </c>
    </row>
    <row r="130" spans="1:20">
      <c r="A130" s="275"/>
      <c r="B130" s="277"/>
      <c r="C130" s="78" t="s">
        <v>41</v>
      </c>
      <c r="D130" s="88">
        <v>1</v>
      </c>
      <c r="E130" s="88">
        <v>1</v>
      </c>
      <c r="F130" s="89">
        <v>0</v>
      </c>
      <c r="G130" s="89">
        <v>0</v>
      </c>
      <c r="H130" s="89">
        <v>0</v>
      </c>
      <c r="I130" s="90">
        <f t="shared" si="30"/>
        <v>0</v>
      </c>
      <c r="J130" s="145">
        <f t="shared" si="32"/>
        <v>0</v>
      </c>
      <c r="K130" s="89">
        <v>0</v>
      </c>
      <c r="L130" s="89">
        <v>0</v>
      </c>
      <c r="M130" s="89">
        <v>0</v>
      </c>
      <c r="N130" s="89">
        <v>0</v>
      </c>
      <c r="O130" s="89">
        <v>0</v>
      </c>
      <c r="P130" s="89">
        <v>0</v>
      </c>
      <c r="Q130" s="91">
        <f t="shared" ref="Q130:Q139" si="33">SUM(F130+I130+J130+K130+L130+M130+N130+O130+P130)</f>
        <v>0</v>
      </c>
    </row>
    <row r="131" spans="1:20" ht="20.399999999999999">
      <c r="A131" s="265">
        <v>2</v>
      </c>
      <c r="B131" s="262" t="s">
        <v>19</v>
      </c>
      <c r="C131" s="81" t="s">
        <v>28</v>
      </c>
      <c r="D131" s="88">
        <v>1</v>
      </c>
      <c r="E131" s="88">
        <v>1</v>
      </c>
      <c r="F131" s="79">
        <v>0</v>
      </c>
      <c r="G131" s="79">
        <v>554</v>
      </c>
      <c r="H131" s="79">
        <v>0</v>
      </c>
      <c r="I131" s="90">
        <f t="shared" si="30"/>
        <v>554</v>
      </c>
      <c r="J131" s="145">
        <f t="shared" si="32"/>
        <v>355</v>
      </c>
      <c r="K131" s="89">
        <v>4</v>
      </c>
      <c r="L131" s="89">
        <v>166</v>
      </c>
      <c r="M131" s="89">
        <v>32</v>
      </c>
      <c r="N131" s="89">
        <v>0</v>
      </c>
      <c r="O131" s="89">
        <v>0</v>
      </c>
      <c r="P131" s="89">
        <v>0</v>
      </c>
      <c r="Q131" s="91">
        <f t="shared" si="33"/>
        <v>1111</v>
      </c>
    </row>
    <row r="132" spans="1:20" ht="20.399999999999999">
      <c r="A132" s="266"/>
      <c r="B132" s="263"/>
      <c r="C132" s="81" t="s">
        <v>42</v>
      </c>
      <c r="D132" s="88">
        <v>46</v>
      </c>
      <c r="E132" s="88">
        <v>46</v>
      </c>
      <c r="F132" s="79">
        <v>0</v>
      </c>
      <c r="G132" s="79">
        <v>24725</v>
      </c>
      <c r="H132" s="79">
        <v>0</v>
      </c>
      <c r="I132" s="90">
        <f t="shared" ref="I132:I139" si="34">SUM(G132:H132)</f>
        <v>24725</v>
      </c>
      <c r="J132" s="145">
        <f t="shared" si="32"/>
        <v>15824</v>
      </c>
      <c r="K132" s="89">
        <v>166</v>
      </c>
      <c r="L132" s="89">
        <v>7418</v>
      </c>
      <c r="M132" s="89">
        <v>1490</v>
      </c>
      <c r="N132" s="89">
        <v>0</v>
      </c>
      <c r="O132" s="89">
        <v>0</v>
      </c>
      <c r="P132" s="89">
        <v>0</v>
      </c>
      <c r="Q132" s="91">
        <f t="shared" si="33"/>
        <v>49623</v>
      </c>
    </row>
    <row r="133" spans="1:20" ht="20.399999999999999">
      <c r="A133" s="266"/>
      <c r="B133" s="263"/>
      <c r="C133" s="81" t="s">
        <v>43</v>
      </c>
      <c r="D133" s="88">
        <v>0</v>
      </c>
      <c r="E133" s="88">
        <v>0</v>
      </c>
      <c r="F133" s="79">
        <v>0</v>
      </c>
      <c r="G133" s="79">
        <v>0</v>
      </c>
      <c r="H133" s="79">
        <v>0</v>
      </c>
      <c r="I133" s="90">
        <f t="shared" si="34"/>
        <v>0</v>
      </c>
      <c r="J133" s="145">
        <f t="shared" si="32"/>
        <v>0</v>
      </c>
      <c r="K133" s="89">
        <v>0</v>
      </c>
      <c r="L133" s="89">
        <v>0</v>
      </c>
      <c r="M133" s="89">
        <v>0</v>
      </c>
      <c r="N133" s="89">
        <v>0</v>
      </c>
      <c r="O133" s="89">
        <v>0</v>
      </c>
      <c r="P133" s="89">
        <v>0</v>
      </c>
      <c r="Q133" s="91">
        <f t="shared" si="33"/>
        <v>0</v>
      </c>
    </row>
    <row r="134" spans="1:20" ht="18.75" customHeight="1">
      <c r="A134" s="266"/>
      <c r="B134" s="263"/>
      <c r="C134" s="81" t="s">
        <v>44</v>
      </c>
      <c r="D134" s="88">
        <v>71</v>
      </c>
      <c r="E134" s="88">
        <v>71</v>
      </c>
      <c r="F134" s="79">
        <v>0</v>
      </c>
      <c r="G134" s="79">
        <v>26071</v>
      </c>
      <c r="H134" s="79">
        <v>0</v>
      </c>
      <c r="I134" s="90">
        <f t="shared" si="34"/>
        <v>26071</v>
      </c>
      <c r="J134" s="145">
        <f t="shared" si="32"/>
        <v>16685</v>
      </c>
      <c r="K134" s="89">
        <v>256</v>
      </c>
      <c r="L134" s="89">
        <v>7821</v>
      </c>
      <c r="M134" s="89">
        <v>2300</v>
      </c>
      <c r="N134" s="89">
        <v>0</v>
      </c>
      <c r="O134" s="89">
        <v>0</v>
      </c>
      <c r="P134" s="89">
        <v>0</v>
      </c>
      <c r="Q134" s="91">
        <f t="shared" si="33"/>
        <v>53133</v>
      </c>
    </row>
    <row r="135" spans="1:20" ht="20.399999999999999">
      <c r="A135" s="266"/>
      <c r="B135" s="263"/>
      <c r="C135" s="81" t="s">
        <v>29</v>
      </c>
      <c r="D135" s="88">
        <v>0</v>
      </c>
      <c r="E135" s="88">
        <v>0</v>
      </c>
      <c r="F135" s="79">
        <v>0</v>
      </c>
      <c r="G135" s="79">
        <v>0</v>
      </c>
      <c r="H135" s="79">
        <v>0</v>
      </c>
      <c r="I135" s="90">
        <f t="shared" si="34"/>
        <v>0</v>
      </c>
      <c r="J135" s="145">
        <f t="shared" si="32"/>
        <v>0</v>
      </c>
      <c r="K135" s="89">
        <v>0</v>
      </c>
      <c r="L135" s="89">
        <v>0</v>
      </c>
      <c r="M135" s="89">
        <v>0</v>
      </c>
      <c r="N135" s="89">
        <v>0</v>
      </c>
      <c r="O135" s="89">
        <v>0</v>
      </c>
      <c r="P135" s="89">
        <v>0</v>
      </c>
      <c r="Q135" s="91">
        <f t="shared" si="33"/>
        <v>0</v>
      </c>
    </row>
    <row r="136" spans="1:20" ht="33.75" customHeight="1">
      <c r="A136" s="266"/>
      <c r="B136" s="263"/>
      <c r="C136" s="81" t="s">
        <v>45</v>
      </c>
      <c r="D136" s="88">
        <v>7</v>
      </c>
      <c r="E136" s="88">
        <v>7</v>
      </c>
      <c r="F136" s="79">
        <v>0</v>
      </c>
      <c r="G136" s="79">
        <v>3475</v>
      </c>
      <c r="H136" s="79">
        <v>0</v>
      </c>
      <c r="I136" s="90">
        <f t="shared" si="34"/>
        <v>3475</v>
      </c>
      <c r="J136" s="145">
        <f t="shared" si="32"/>
        <v>2224</v>
      </c>
      <c r="K136" s="89">
        <v>25</v>
      </c>
      <c r="L136" s="89">
        <v>1043</v>
      </c>
      <c r="M136" s="89">
        <v>34</v>
      </c>
      <c r="N136" s="89">
        <v>0</v>
      </c>
      <c r="O136" s="89">
        <v>0</v>
      </c>
      <c r="P136" s="89">
        <v>0</v>
      </c>
      <c r="Q136" s="91">
        <f t="shared" si="33"/>
        <v>6801</v>
      </c>
      <c r="S136" s="92">
        <f>3475+2016+25+1043+34</f>
        <v>6593</v>
      </c>
    </row>
    <row r="137" spans="1:20" ht="20.399999999999999">
      <c r="A137" s="266"/>
      <c r="B137" s="263"/>
      <c r="C137" s="81" t="s">
        <v>33</v>
      </c>
      <c r="D137" s="88">
        <v>4</v>
      </c>
      <c r="E137" s="88">
        <v>4</v>
      </c>
      <c r="F137" s="79">
        <v>0</v>
      </c>
      <c r="G137" s="79">
        <v>1669</v>
      </c>
      <c r="H137" s="79">
        <v>0</v>
      </c>
      <c r="I137" s="90">
        <f t="shared" si="34"/>
        <v>1669</v>
      </c>
      <c r="J137" s="145">
        <f t="shared" si="32"/>
        <v>1068</v>
      </c>
      <c r="K137" s="89">
        <v>14</v>
      </c>
      <c r="L137" s="89">
        <v>501</v>
      </c>
      <c r="M137" s="89">
        <v>130</v>
      </c>
      <c r="N137" s="89">
        <v>0</v>
      </c>
      <c r="O137" s="89">
        <v>0</v>
      </c>
      <c r="P137" s="89">
        <v>0</v>
      </c>
      <c r="Q137" s="91">
        <f t="shared" si="33"/>
        <v>3382</v>
      </c>
      <c r="S137" s="92">
        <f>7029+638+300</f>
        <v>7967</v>
      </c>
    </row>
    <row r="138" spans="1:20" ht="21.75" customHeight="1">
      <c r="A138" s="267"/>
      <c r="B138" s="264"/>
      <c r="C138" s="81" t="s">
        <v>46</v>
      </c>
      <c r="D138" s="88">
        <v>1</v>
      </c>
      <c r="E138" s="88">
        <v>1</v>
      </c>
      <c r="F138" s="79">
        <v>0</v>
      </c>
      <c r="G138" s="79">
        <v>553</v>
      </c>
      <c r="H138" s="79">
        <v>0</v>
      </c>
      <c r="I138" s="90">
        <f t="shared" si="34"/>
        <v>553</v>
      </c>
      <c r="J138" s="145">
        <f t="shared" si="32"/>
        <v>354</v>
      </c>
      <c r="K138" s="89">
        <v>4</v>
      </c>
      <c r="L138" s="89">
        <v>166</v>
      </c>
      <c r="M138" s="89">
        <v>5</v>
      </c>
      <c r="N138" s="89">
        <v>0</v>
      </c>
      <c r="O138" s="89">
        <v>0</v>
      </c>
      <c r="P138" s="89">
        <v>0</v>
      </c>
      <c r="Q138" s="91">
        <f t="shared" si="33"/>
        <v>1082</v>
      </c>
    </row>
    <row r="139" spans="1:20" ht="19.5" customHeight="1">
      <c r="A139" s="143">
        <v>3</v>
      </c>
      <c r="B139" s="144" t="s">
        <v>20</v>
      </c>
      <c r="C139" s="82" t="s">
        <v>34</v>
      </c>
      <c r="D139" s="88">
        <v>41</v>
      </c>
      <c r="E139" s="88">
        <v>41</v>
      </c>
      <c r="F139" s="79">
        <v>0</v>
      </c>
      <c r="G139" s="79">
        <v>10887</v>
      </c>
      <c r="H139" s="79">
        <v>0</v>
      </c>
      <c r="I139" s="90">
        <f t="shared" si="34"/>
        <v>10887</v>
      </c>
      <c r="J139" s="145">
        <f t="shared" si="32"/>
        <v>6968</v>
      </c>
      <c r="K139" s="89">
        <v>100</v>
      </c>
      <c r="L139" s="89">
        <v>3266</v>
      </c>
      <c r="M139" s="89">
        <v>1206</v>
      </c>
      <c r="N139" s="89">
        <v>19</v>
      </c>
      <c r="O139" s="89">
        <v>0</v>
      </c>
      <c r="P139" s="89">
        <v>0</v>
      </c>
      <c r="Q139" s="91">
        <f t="shared" si="33"/>
        <v>22446</v>
      </c>
    </row>
    <row r="140" spans="1:20" ht="18" thickBot="1">
      <c r="A140" s="83" t="s">
        <v>36</v>
      </c>
      <c r="B140" s="83" t="s">
        <v>36</v>
      </c>
      <c r="C140" s="84" t="s">
        <v>9</v>
      </c>
      <c r="D140" s="151">
        <f>SUM(D123:D139)</f>
        <v>194</v>
      </c>
      <c r="E140" s="151">
        <f t="shared" ref="E140:Q140" si="35">SUM(E123:E139)</f>
        <v>194</v>
      </c>
      <c r="F140" s="151">
        <f t="shared" si="35"/>
        <v>0</v>
      </c>
      <c r="G140" s="151">
        <f t="shared" si="35"/>
        <v>83888</v>
      </c>
      <c r="H140" s="151">
        <f t="shared" si="35"/>
        <v>0</v>
      </c>
      <c r="I140" s="151">
        <f t="shared" si="35"/>
        <v>83888</v>
      </c>
      <c r="J140" s="151">
        <f t="shared" si="35"/>
        <v>53689</v>
      </c>
      <c r="K140" s="151">
        <f t="shared" si="35"/>
        <v>647</v>
      </c>
      <c r="L140" s="151">
        <f t="shared" si="35"/>
        <v>24832</v>
      </c>
      <c r="M140" s="151">
        <f t="shared" si="35"/>
        <v>5829</v>
      </c>
      <c r="N140" s="151">
        <f t="shared" si="35"/>
        <v>19</v>
      </c>
      <c r="O140" s="151">
        <f t="shared" si="35"/>
        <v>0</v>
      </c>
      <c r="P140" s="151">
        <f t="shared" si="35"/>
        <v>0</v>
      </c>
      <c r="Q140" s="151">
        <f t="shared" si="35"/>
        <v>168904</v>
      </c>
    </row>
    <row r="141" spans="1:20" ht="18" thickTop="1">
      <c r="A141" s="85"/>
      <c r="B141" s="85"/>
      <c r="C141" s="86"/>
      <c r="D141" s="152">
        <f>E123+E124+E125+E126+E127+E128+E129+E130</f>
        <v>23</v>
      </c>
      <c r="E141" s="152">
        <f>E131+E132+E133+E134+E135+E136+E137+E138</f>
        <v>130</v>
      </c>
      <c r="F141" s="152"/>
      <c r="G141" s="152"/>
      <c r="H141" s="152"/>
      <c r="I141" s="152"/>
      <c r="J141" s="152"/>
      <c r="K141" s="152"/>
      <c r="L141" s="152"/>
      <c r="M141" s="152"/>
      <c r="N141" s="152"/>
      <c r="O141" s="152"/>
      <c r="P141" s="152"/>
      <c r="Q141" s="152"/>
    </row>
    <row r="142" spans="1:20">
      <c r="A142" s="278" t="s">
        <v>156</v>
      </c>
      <c r="B142" s="279"/>
      <c r="C142" s="279"/>
      <c r="D142" s="279"/>
      <c r="E142" s="279"/>
      <c r="F142" s="279"/>
      <c r="G142" s="279"/>
      <c r="H142" s="279"/>
      <c r="I142" s="279"/>
      <c r="J142" s="279"/>
      <c r="K142" s="279"/>
      <c r="L142" s="279"/>
      <c r="M142" s="279"/>
      <c r="N142" s="279"/>
      <c r="O142" s="279"/>
      <c r="P142" s="279"/>
      <c r="Q142" s="279"/>
      <c r="R142" s="93"/>
      <c r="S142" s="93"/>
      <c r="T142" s="93"/>
    </row>
    <row r="143" spans="1:20">
      <c r="A143" s="278" t="s">
        <v>17</v>
      </c>
      <c r="B143" s="279"/>
      <c r="C143" s="279"/>
      <c r="D143" s="279"/>
      <c r="E143" s="279"/>
      <c r="F143" s="279"/>
      <c r="G143" s="279"/>
      <c r="H143" s="279"/>
      <c r="I143" s="279"/>
      <c r="J143" s="279"/>
      <c r="K143" s="279"/>
      <c r="L143" s="279"/>
      <c r="M143" s="279"/>
      <c r="N143" s="279"/>
      <c r="O143" s="279"/>
      <c r="P143" s="279"/>
      <c r="Q143" s="279"/>
      <c r="R143" s="93"/>
      <c r="S143" s="93"/>
      <c r="T143" s="93"/>
    </row>
    <row r="144" spans="1:20" ht="22.8">
      <c r="A144" s="74" t="s">
        <v>54</v>
      </c>
      <c r="B144" s="75"/>
      <c r="C144" s="75"/>
      <c r="D144" s="77"/>
      <c r="E144" s="77"/>
      <c r="F144" s="77"/>
      <c r="G144" s="77"/>
      <c r="H144" s="77"/>
      <c r="I144" s="77"/>
      <c r="J144" s="77"/>
      <c r="K144" s="77"/>
      <c r="L144" s="77"/>
      <c r="M144" s="77"/>
      <c r="N144" s="77"/>
      <c r="O144" s="283" t="s">
        <v>2</v>
      </c>
      <c r="P144" s="284"/>
      <c r="Q144" s="284"/>
      <c r="R144" s="93"/>
      <c r="S144" s="93"/>
      <c r="T144" s="93"/>
    </row>
    <row r="145" spans="1:20" ht="18.75" customHeight="1">
      <c r="A145" s="280" t="s">
        <v>35</v>
      </c>
      <c r="B145" s="280" t="s">
        <v>3</v>
      </c>
      <c r="C145" s="285" t="s">
        <v>4</v>
      </c>
      <c r="D145" s="190" t="s">
        <v>5</v>
      </c>
      <c r="E145" s="190" t="s">
        <v>5</v>
      </c>
      <c r="F145" s="287" t="s">
        <v>6</v>
      </c>
      <c r="G145" s="287" t="s">
        <v>7</v>
      </c>
      <c r="H145" s="287" t="s">
        <v>8</v>
      </c>
      <c r="I145" s="287" t="s">
        <v>9</v>
      </c>
      <c r="J145" s="287" t="s">
        <v>159</v>
      </c>
      <c r="K145" s="280" t="s">
        <v>10</v>
      </c>
      <c r="L145" s="280" t="s">
        <v>11</v>
      </c>
      <c r="M145" s="280" t="s">
        <v>12</v>
      </c>
      <c r="N145" s="280" t="s">
        <v>13</v>
      </c>
      <c r="O145" s="280" t="s">
        <v>14</v>
      </c>
      <c r="P145" s="280" t="s">
        <v>15</v>
      </c>
      <c r="Q145" s="280" t="s">
        <v>9</v>
      </c>
      <c r="R145" s="93"/>
      <c r="S145" s="93"/>
      <c r="T145" s="93"/>
    </row>
    <row r="146" spans="1:20" ht="18.75" customHeight="1">
      <c r="A146" s="281"/>
      <c r="B146" s="281"/>
      <c r="C146" s="286"/>
      <c r="D146" s="191" t="s">
        <v>146</v>
      </c>
      <c r="E146" s="191" t="s">
        <v>164</v>
      </c>
      <c r="F146" s="288"/>
      <c r="G146" s="288"/>
      <c r="H146" s="288"/>
      <c r="I146" s="288"/>
      <c r="J146" s="288"/>
      <c r="K146" s="282"/>
      <c r="L146" s="282"/>
      <c r="M146" s="282"/>
      <c r="N146" s="282"/>
      <c r="O146" s="282"/>
      <c r="P146" s="282"/>
      <c r="Q146" s="282"/>
      <c r="R146" s="93"/>
      <c r="S146" s="93"/>
      <c r="T146" s="93"/>
    </row>
    <row r="147" spans="1:20">
      <c r="A147" s="282"/>
      <c r="B147" s="282"/>
      <c r="C147" s="289" t="s">
        <v>16</v>
      </c>
      <c r="D147" s="290"/>
      <c r="E147" s="290"/>
      <c r="F147" s="290"/>
      <c r="G147" s="290"/>
      <c r="H147" s="290"/>
      <c r="I147" s="290"/>
      <c r="J147" s="290"/>
      <c r="K147" s="290"/>
      <c r="L147" s="290"/>
      <c r="M147" s="290"/>
      <c r="N147" s="290"/>
      <c r="O147" s="290"/>
      <c r="P147" s="290"/>
      <c r="Q147" s="291"/>
      <c r="R147" s="93"/>
      <c r="S147" s="93"/>
      <c r="T147" s="93"/>
    </row>
    <row r="148" spans="1:20" ht="21">
      <c r="A148" s="265">
        <v>1</v>
      </c>
      <c r="B148" s="262" t="s">
        <v>18</v>
      </c>
      <c r="C148" s="78" t="s">
        <v>21</v>
      </c>
      <c r="D148" s="79">
        <v>0</v>
      </c>
      <c r="E148" s="80">
        <v>0</v>
      </c>
      <c r="F148" s="79">
        <v>0</v>
      </c>
      <c r="G148" s="79">
        <v>0</v>
      </c>
      <c r="H148" s="79">
        <v>0</v>
      </c>
      <c r="I148" s="80">
        <f t="shared" ref="I148:I154" si="36">SUM(G148:H148)</f>
        <v>0</v>
      </c>
      <c r="J148" s="145">
        <f>ROUND(I148*0.58,0)</f>
        <v>0</v>
      </c>
      <c r="K148" s="79">
        <v>0</v>
      </c>
      <c r="L148" s="79">
        <v>0</v>
      </c>
      <c r="M148" s="79">
        <v>0</v>
      </c>
      <c r="N148" s="79">
        <v>0</v>
      </c>
      <c r="O148" s="79">
        <v>0</v>
      </c>
      <c r="P148" s="79">
        <v>0</v>
      </c>
      <c r="Q148" s="80">
        <f t="shared" ref="Q148:Q161" si="37">SUM(F148+I148+J148+K148+L148+M148+N148+O148+P148)</f>
        <v>0</v>
      </c>
    </row>
    <row r="149" spans="1:20" ht="21">
      <c r="A149" s="274"/>
      <c r="B149" s="276"/>
      <c r="C149" s="78" t="s">
        <v>22</v>
      </c>
      <c r="D149" s="79">
        <v>0</v>
      </c>
      <c r="E149" s="80">
        <v>0</v>
      </c>
      <c r="F149" s="79">
        <v>0</v>
      </c>
      <c r="G149" s="79">
        <v>0</v>
      </c>
      <c r="H149" s="79">
        <v>0</v>
      </c>
      <c r="I149" s="80">
        <f t="shared" si="36"/>
        <v>0</v>
      </c>
      <c r="J149" s="145">
        <f>ROUND(I149*0.58,0)</f>
        <v>0</v>
      </c>
      <c r="K149" s="79">
        <v>0</v>
      </c>
      <c r="L149" s="79">
        <v>0</v>
      </c>
      <c r="M149" s="79">
        <v>0</v>
      </c>
      <c r="N149" s="79">
        <v>0</v>
      </c>
      <c r="O149" s="79">
        <v>0</v>
      </c>
      <c r="P149" s="79">
        <v>0</v>
      </c>
      <c r="Q149" s="80">
        <f t="shared" si="37"/>
        <v>0</v>
      </c>
    </row>
    <row r="150" spans="1:20" ht="21">
      <c r="A150" s="274"/>
      <c r="B150" s="276"/>
      <c r="C150" s="78" t="s">
        <v>23</v>
      </c>
      <c r="D150" s="79">
        <v>0</v>
      </c>
      <c r="E150" s="80">
        <v>0</v>
      </c>
      <c r="F150" s="79">
        <v>0</v>
      </c>
      <c r="G150" s="79">
        <v>0</v>
      </c>
      <c r="H150" s="79">
        <v>0</v>
      </c>
      <c r="I150" s="80">
        <f t="shared" si="36"/>
        <v>0</v>
      </c>
      <c r="J150" s="145">
        <f>ROUND(I150*0.58,0)</f>
        <v>0</v>
      </c>
      <c r="K150" s="79">
        <v>0</v>
      </c>
      <c r="L150" s="79">
        <v>0</v>
      </c>
      <c r="M150" s="79">
        <v>0</v>
      </c>
      <c r="N150" s="79">
        <v>0</v>
      </c>
      <c r="O150" s="79">
        <v>0</v>
      </c>
      <c r="P150" s="79">
        <v>0</v>
      </c>
      <c r="Q150" s="80">
        <f t="shared" si="37"/>
        <v>0</v>
      </c>
    </row>
    <row r="151" spans="1:20" ht="21">
      <c r="A151" s="274"/>
      <c r="B151" s="276"/>
      <c r="C151" s="78" t="s">
        <v>24</v>
      </c>
      <c r="D151" s="79">
        <v>7</v>
      </c>
      <c r="E151" s="80">
        <v>7</v>
      </c>
      <c r="F151" s="79">
        <v>0</v>
      </c>
      <c r="G151" s="79">
        <v>7974</v>
      </c>
      <c r="H151" s="79">
        <v>0</v>
      </c>
      <c r="I151" s="80">
        <f t="shared" si="36"/>
        <v>7974</v>
      </c>
      <c r="J151" s="145">
        <v>5104</v>
      </c>
      <c r="K151" s="79">
        <v>98</v>
      </c>
      <c r="L151" s="79">
        <v>797</v>
      </c>
      <c r="M151" s="79">
        <v>227</v>
      </c>
      <c r="N151" s="79">
        <v>0</v>
      </c>
      <c r="O151" s="79">
        <v>0</v>
      </c>
      <c r="P151" s="79">
        <v>126</v>
      </c>
      <c r="Q151" s="80">
        <f>SUM(I151:P151)</f>
        <v>14326</v>
      </c>
    </row>
    <row r="152" spans="1:20" ht="21">
      <c r="A152" s="274"/>
      <c r="B152" s="276"/>
      <c r="C152" s="78" t="s">
        <v>25</v>
      </c>
      <c r="D152" s="79">
        <v>7</v>
      </c>
      <c r="E152" s="80">
        <v>7</v>
      </c>
      <c r="F152" s="79">
        <v>0</v>
      </c>
      <c r="G152" s="79">
        <v>7741</v>
      </c>
      <c r="H152" s="79">
        <v>0</v>
      </c>
      <c r="I152" s="80">
        <f t="shared" si="36"/>
        <v>7741</v>
      </c>
      <c r="J152" s="145">
        <f>ROUND(I152*0.64,0)</f>
        <v>4954</v>
      </c>
      <c r="K152" s="79">
        <v>98</v>
      </c>
      <c r="L152" s="79">
        <v>774</v>
      </c>
      <c r="M152" s="79">
        <v>134</v>
      </c>
      <c r="N152" s="79">
        <v>0</v>
      </c>
      <c r="O152" s="79">
        <v>0</v>
      </c>
      <c r="P152" s="79">
        <v>140</v>
      </c>
      <c r="Q152" s="80">
        <f>SUM(I152:P152)</f>
        <v>13841</v>
      </c>
    </row>
    <row r="153" spans="1:20" ht="21">
      <c r="A153" s="274"/>
      <c r="B153" s="276"/>
      <c r="C153" s="78" t="s">
        <v>26</v>
      </c>
      <c r="D153" s="79">
        <v>0</v>
      </c>
      <c r="E153" s="80">
        <v>0</v>
      </c>
      <c r="F153" s="79">
        <v>0</v>
      </c>
      <c r="G153" s="79">
        <v>0</v>
      </c>
      <c r="H153" s="79">
        <v>0</v>
      </c>
      <c r="I153" s="80">
        <f t="shared" si="36"/>
        <v>0</v>
      </c>
      <c r="J153" s="145">
        <f t="shared" ref="J153:J161" si="38">ROUND(I153*0.64,0)</f>
        <v>0</v>
      </c>
      <c r="K153" s="79">
        <v>0</v>
      </c>
      <c r="L153" s="79">
        <v>0</v>
      </c>
      <c r="M153" s="79">
        <v>0</v>
      </c>
      <c r="N153" s="79">
        <v>0</v>
      </c>
      <c r="O153" s="79">
        <v>0</v>
      </c>
      <c r="P153" s="79">
        <v>0</v>
      </c>
      <c r="Q153" s="80">
        <f>SUM(F153+I153+J153+K153+L153+M153+N153+O153+P153)</f>
        <v>0</v>
      </c>
    </row>
    <row r="154" spans="1:20" ht="21">
      <c r="A154" s="274"/>
      <c r="B154" s="276"/>
      <c r="C154" s="146" t="s">
        <v>27</v>
      </c>
      <c r="D154" s="79">
        <v>0</v>
      </c>
      <c r="E154" s="80">
        <v>0</v>
      </c>
      <c r="F154" s="79">
        <v>0</v>
      </c>
      <c r="G154" s="79">
        <v>0</v>
      </c>
      <c r="H154" s="79">
        <v>0</v>
      </c>
      <c r="I154" s="80">
        <f t="shared" si="36"/>
        <v>0</v>
      </c>
      <c r="J154" s="145">
        <f t="shared" si="38"/>
        <v>0</v>
      </c>
      <c r="K154" s="79">
        <v>0</v>
      </c>
      <c r="L154" s="79">
        <v>0</v>
      </c>
      <c r="M154" s="79">
        <v>0</v>
      </c>
      <c r="N154" s="79">
        <v>0</v>
      </c>
      <c r="O154" s="79">
        <v>0</v>
      </c>
      <c r="P154" s="79">
        <v>0</v>
      </c>
      <c r="Q154" s="80">
        <f>SUM(F154+I154+J154+K154+L154+M154+N154+O154+P154)</f>
        <v>0</v>
      </c>
    </row>
    <row r="155" spans="1:20" ht="21">
      <c r="A155" s="265">
        <v>2</v>
      </c>
      <c r="B155" s="262" t="s">
        <v>19</v>
      </c>
      <c r="C155" s="81" t="s">
        <v>28</v>
      </c>
      <c r="D155" s="79">
        <v>0</v>
      </c>
      <c r="E155" s="80">
        <v>0</v>
      </c>
      <c r="F155" s="79">
        <v>0</v>
      </c>
      <c r="G155" s="79">
        <v>0</v>
      </c>
      <c r="H155" s="79">
        <v>0</v>
      </c>
      <c r="I155" s="80">
        <f t="shared" ref="I155:I161" si="39">SUM(G155:H155)</f>
        <v>0</v>
      </c>
      <c r="J155" s="145">
        <f t="shared" si="38"/>
        <v>0</v>
      </c>
      <c r="K155" s="79">
        <v>0</v>
      </c>
      <c r="L155" s="79">
        <v>0</v>
      </c>
      <c r="M155" s="79">
        <v>0</v>
      </c>
      <c r="N155" s="79">
        <v>0</v>
      </c>
      <c r="O155" s="79">
        <v>0</v>
      </c>
      <c r="P155" s="79">
        <v>0</v>
      </c>
      <c r="Q155" s="80">
        <f t="shared" si="37"/>
        <v>0</v>
      </c>
    </row>
    <row r="156" spans="1:20" ht="21">
      <c r="A156" s="266"/>
      <c r="B156" s="263"/>
      <c r="C156" s="81" t="s">
        <v>29</v>
      </c>
      <c r="D156" s="79">
        <v>0</v>
      </c>
      <c r="E156" s="80">
        <v>0</v>
      </c>
      <c r="F156" s="79">
        <v>0</v>
      </c>
      <c r="G156" s="79">
        <v>0</v>
      </c>
      <c r="H156" s="79">
        <v>0</v>
      </c>
      <c r="I156" s="80">
        <f t="shared" si="39"/>
        <v>0</v>
      </c>
      <c r="J156" s="145">
        <f t="shared" si="38"/>
        <v>0</v>
      </c>
      <c r="K156" s="79">
        <v>0</v>
      </c>
      <c r="L156" s="79">
        <v>0</v>
      </c>
      <c r="M156" s="79">
        <v>0</v>
      </c>
      <c r="N156" s="79">
        <v>0</v>
      </c>
      <c r="O156" s="79">
        <v>0</v>
      </c>
      <c r="P156" s="79">
        <v>0</v>
      </c>
      <c r="Q156" s="80">
        <f t="shared" si="37"/>
        <v>0</v>
      </c>
    </row>
    <row r="157" spans="1:20" ht="35.25" customHeight="1">
      <c r="A157" s="266"/>
      <c r="B157" s="263"/>
      <c r="C157" s="81" t="s">
        <v>45</v>
      </c>
      <c r="D157" s="79">
        <v>0</v>
      </c>
      <c r="E157" s="80">
        <v>0</v>
      </c>
      <c r="F157" s="79">
        <v>0</v>
      </c>
      <c r="G157" s="79">
        <v>0</v>
      </c>
      <c r="H157" s="79">
        <v>0</v>
      </c>
      <c r="I157" s="80">
        <f t="shared" si="39"/>
        <v>0</v>
      </c>
      <c r="J157" s="145">
        <f t="shared" si="38"/>
        <v>0</v>
      </c>
      <c r="K157" s="79">
        <v>0</v>
      </c>
      <c r="L157" s="79">
        <v>0</v>
      </c>
      <c r="M157" s="79">
        <v>0</v>
      </c>
      <c r="N157" s="79">
        <v>0</v>
      </c>
      <c r="O157" s="79">
        <v>0</v>
      </c>
      <c r="P157" s="79">
        <v>0</v>
      </c>
      <c r="Q157" s="80">
        <f t="shared" si="37"/>
        <v>0</v>
      </c>
    </row>
    <row r="158" spans="1:20" ht="21">
      <c r="A158" s="266"/>
      <c r="B158" s="263"/>
      <c r="C158" s="81" t="s">
        <v>31</v>
      </c>
      <c r="D158" s="164">
        <v>5</v>
      </c>
      <c r="E158" s="91">
        <v>5</v>
      </c>
      <c r="F158" s="79">
        <v>0</v>
      </c>
      <c r="G158" s="79">
        <v>3377</v>
      </c>
      <c r="H158" s="79">
        <v>0</v>
      </c>
      <c r="I158" s="80">
        <f t="shared" si="39"/>
        <v>3377</v>
      </c>
      <c r="J158" s="145">
        <f t="shared" si="38"/>
        <v>2161</v>
      </c>
      <c r="K158" s="79">
        <v>53</v>
      </c>
      <c r="L158" s="79">
        <v>338</v>
      </c>
      <c r="M158" s="79">
        <v>81</v>
      </c>
      <c r="N158" s="79">
        <v>0</v>
      </c>
      <c r="O158" s="79">
        <v>0</v>
      </c>
      <c r="P158" s="79">
        <v>40</v>
      </c>
      <c r="Q158" s="80">
        <f t="shared" si="37"/>
        <v>6050</v>
      </c>
    </row>
    <row r="159" spans="1:20" ht="21">
      <c r="A159" s="266"/>
      <c r="B159" s="263"/>
      <c r="C159" s="81" t="s">
        <v>32</v>
      </c>
      <c r="D159" s="164">
        <v>24</v>
      </c>
      <c r="E159" s="91">
        <v>24</v>
      </c>
      <c r="F159" s="79">
        <v>0</v>
      </c>
      <c r="G159" s="79">
        <v>13694</v>
      </c>
      <c r="H159" s="79">
        <v>0</v>
      </c>
      <c r="I159" s="80">
        <f t="shared" si="39"/>
        <v>13694</v>
      </c>
      <c r="J159" s="145">
        <f t="shared" si="38"/>
        <v>8764</v>
      </c>
      <c r="K159" s="79">
        <v>253</v>
      </c>
      <c r="L159" s="79">
        <v>1369</v>
      </c>
      <c r="M159" s="79">
        <v>389</v>
      </c>
      <c r="N159" s="79">
        <v>0</v>
      </c>
      <c r="O159" s="79">
        <v>0</v>
      </c>
      <c r="P159" s="79">
        <v>194</v>
      </c>
      <c r="Q159" s="80">
        <f t="shared" si="37"/>
        <v>24663</v>
      </c>
    </row>
    <row r="160" spans="1:20" ht="21">
      <c r="A160" s="267"/>
      <c r="B160" s="264"/>
      <c r="C160" s="81" t="s">
        <v>33</v>
      </c>
      <c r="D160" s="79">
        <v>7</v>
      </c>
      <c r="E160" s="80">
        <v>7</v>
      </c>
      <c r="F160" s="79">
        <v>0</v>
      </c>
      <c r="G160" s="79">
        <v>3727</v>
      </c>
      <c r="H160" s="79">
        <v>0</v>
      </c>
      <c r="I160" s="80">
        <f t="shared" si="39"/>
        <v>3727</v>
      </c>
      <c r="J160" s="145">
        <f t="shared" si="38"/>
        <v>2385</v>
      </c>
      <c r="K160" s="79">
        <v>74</v>
      </c>
      <c r="L160" s="79">
        <v>373</v>
      </c>
      <c r="M160" s="79">
        <v>113</v>
      </c>
      <c r="N160" s="79">
        <v>0</v>
      </c>
      <c r="O160" s="79">
        <v>0</v>
      </c>
      <c r="P160" s="79">
        <v>63</v>
      </c>
      <c r="Q160" s="80">
        <f t="shared" si="37"/>
        <v>6735</v>
      </c>
    </row>
    <row r="161" spans="1:20" ht="21">
      <c r="A161" s="141">
        <v>3</v>
      </c>
      <c r="B161" s="142" t="s">
        <v>20</v>
      </c>
      <c r="C161" s="82" t="s">
        <v>34</v>
      </c>
      <c r="D161" s="164">
        <v>24</v>
      </c>
      <c r="E161" s="91">
        <v>24</v>
      </c>
      <c r="F161" s="79">
        <v>0</v>
      </c>
      <c r="G161" s="79">
        <v>10541</v>
      </c>
      <c r="H161" s="79">
        <v>0</v>
      </c>
      <c r="I161" s="80">
        <f t="shared" si="39"/>
        <v>10541</v>
      </c>
      <c r="J161" s="145">
        <f t="shared" si="38"/>
        <v>6746</v>
      </c>
      <c r="K161" s="79">
        <v>69</v>
      </c>
      <c r="L161" s="79">
        <v>1054</v>
      </c>
      <c r="M161" s="79">
        <v>194</v>
      </c>
      <c r="N161" s="79">
        <v>0</v>
      </c>
      <c r="O161" s="79">
        <v>0</v>
      </c>
      <c r="P161" s="79">
        <v>146</v>
      </c>
      <c r="Q161" s="80">
        <f t="shared" si="37"/>
        <v>18750</v>
      </c>
    </row>
    <row r="162" spans="1:20" s="149" customFormat="1" ht="21.6" thickBot="1">
      <c r="A162" s="83" t="s">
        <v>36</v>
      </c>
      <c r="B162" s="83" t="s">
        <v>36</v>
      </c>
      <c r="C162" s="84" t="s">
        <v>9</v>
      </c>
      <c r="D162" s="147">
        <f t="shared" ref="D162:Q162" si="40">SUM(D148:D161)</f>
        <v>74</v>
      </c>
      <c r="E162" s="147">
        <f t="shared" si="40"/>
        <v>74</v>
      </c>
      <c r="F162" s="147">
        <f t="shared" si="40"/>
        <v>0</v>
      </c>
      <c r="G162" s="147">
        <f t="shared" si="40"/>
        <v>47054</v>
      </c>
      <c r="H162" s="147">
        <f t="shared" si="40"/>
        <v>0</v>
      </c>
      <c r="I162" s="147">
        <f t="shared" si="40"/>
        <v>47054</v>
      </c>
      <c r="J162" s="147">
        <f t="shared" si="40"/>
        <v>30114</v>
      </c>
      <c r="K162" s="147">
        <f t="shared" si="40"/>
        <v>645</v>
      </c>
      <c r="L162" s="147">
        <f t="shared" si="40"/>
        <v>4705</v>
      </c>
      <c r="M162" s="147">
        <f t="shared" si="40"/>
        <v>1138</v>
      </c>
      <c r="N162" s="147">
        <f t="shared" si="40"/>
        <v>0</v>
      </c>
      <c r="O162" s="147">
        <f t="shared" si="40"/>
        <v>0</v>
      </c>
      <c r="P162" s="147">
        <f t="shared" si="40"/>
        <v>709</v>
      </c>
      <c r="Q162" s="147">
        <f t="shared" si="40"/>
        <v>84365</v>
      </c>
      <c r="R162" s="148"/>
      <c r="S162" s="148"/>
      <c r="T162" s="148"/>
    </row>
    <row r="163" spans="1:20" s="149" customFormat="1" ht="21.6" thickTop="1">
      <c r="A163" s="85"/>
      <c r="B163" s="85"/>
      <c r="C163" s="86"/>
      <c r="D163" s="150">
        <f>E148+E149+E150+E151+E152+E153+E154</f>
        <v>14</v>
      </c>
      <c r="E163" s="150">
        <f>E156+E157+E158+E159+E160</f>
        <v>36</v>
      </c>
      <c r="F163" s="150"/>
      <c r="G163" s="150"/>
      <c r="H163" s="150"/>
      <c r="I163" s="150"/>
      <c r="J163" s="150"/>
      <c r="K163" s="150"/>
      <c r="L163" s="150"/>
      <c r="M163" s="150"/>
      <c r="N163" s="150"/>
      <c r="O163" s="150"/>
      <c r="P163" s="150"/>
      <c r="Q163" s="150"/>
      <c r="R163" s="148"/>
      <c r="S163" s="148"/>
      <c r="T163" s="148"/>
    </row>
    <row r="164" spans="1:20">
      <c r="A164" s="278" t="s">
        <v>156</v>
      </c>
      <c r="B164" s="279"/>
      <c r="C164" s="279"/>
      <c r="D164" s="279"/>
      <c r="E164" s="279"/>
      <c r="F164" s="279"/>
      <c r="G164" s="279"/>
      <c r="H164" s="279"/>
      <c r="I164" s="279"/>
      <c r="J164" s="279"/>
      <c r="K164" s="279"/>
      <c r="L164" s="279"/>
      <c r="M164" s="279"/>
      <c r="N164" s="279"/>
      <c r="O164" s="279"/>
      <c r="P164" s="279"/>
      <c r="Q164" s="279"/>
      <c r="R164" s="93"/>
      <c r="S164" s="93"/>
      <c r="T164" s="93"/>
    </row>
    <row r="165" spans="1:20">
      <c r="A165" s="278" t="s">
        <v>17</v>
      </c>
      <c r="B165" s="279"/>
      <c r="C165" s="279"/>
      <c r="D165" s="279"/>
      <c r="E165" s="279"/>
      <c r="F165" s="279"/>
      <c r="G165" s="279"/>
      <c r="H165" s="279"/>
      <c r="I165" s="279"/>
      <c r="J165" s="279"/>
      <c r="K165" s="279"/>
      <c r="L165" s="279"/>
      <c r="M165" s="279"/>
      <c r="N165" s="279"/>
      <c r="O165" s="279"/>
      <c r="P165" s="279"/>
      <c r="Q165" s="279"/>
      <c r="R165" s="93"/>
      <c r="S165" s="93"/>
      <c r="T165" s="93"/>
    </row>
    <row r="166" spans="1:20" ht="22.8">
      <c r="A166" s="74" t="s">
        <v>54</v>
      </c>
      <c r="B166" s="75"/>
      <c r="C166" s="75"/>
      <c r="D166" s="77"/>
      <c r="E166" s="77"/>
      <c r="F166" s="77"/>
      <c r="G166" s="77"/>
      <c r="H166" s="77"/>
      <c r="I166" s="77"/>
      <c r="J166" s="77"/>
      <c r="K166" s="77"/>
      <c r="L166" s="77"/>
      <c r="M166" s="77"/>
      <c r="N166" s="77"/>
      <c r="O166" s="283" t="s">
        <v>2</v>
      </c>
      <c r="P166" s="284"/>
      <c r="Q166" s="284"/>
      <c r="R166" s="93"/>
      <c r="S166" s="93"/>
      <c r="T166" s="93"/>
    </row>
    <row r="167" spans="1:20" ht="18.75" customHeight="1">
      <c r="A167" s="280" t="s">
        <v>35</v>
      </c>
      <c r="B167" s="280" t="s">
        <v>3</v>
      </c>
      <c r="C167" s="285" t="s">
        <v>4</v>
      </c>
      <c r="D167" s="190" t="s">
        <v>5</v>
      </c>
      <c r="E167" s="190" t="s">
        <v>5</v>
      </c>
      <c r="F167" s="287" t="s">
        <v>6</v>
      </c>
      <c r="G167" s="287" t="s">
        <v>7</v>
      </c>
      <c r="H167" s="287" t="s">
        <v>8</v>
      </c>
      <c r="I167" s="287" t="s">
        <v>9</v>
      </c>
      <c r="J167" s="287" t="s">
        <v>159</v>
      </c>
      <c r="K167" s="280" t="s">
        <v>10</v>
      </c>
      <c r="L167" s="280" t="s">
        <v>11</v>
      </c>
      <c r="M167" s="280" t="s">
        <v>12</v>
      </c>
      <c r="N167" s="280" t="s">
        <v>13</v>
      </c>
      <c r="O167" s="280" t="s">
        <v>14</v>
      </c>
      <c r="P167" s="280" t="s">
        <v>15</v>
      </c>
      <c r="Q167" s="280" t="s">
        <v>9</v>
      </c>
      <c r="R167" s="93"/>
      <c r="S167" s="93"/>
      <c r="T167" s="93"/>
    </row>
    <row r="168" spans="1:20" ht="18.75" customHeight="1">
      <c r="A168" s="281"/>
      <c r="B168" s="281"/>
      <c r="C168" s="286"/>
      <c r="D168" s="191" t="s">
        <v>146</v>
      </c>
      <c r="E168" s="191" t="s">
        <v>164</v>
      </c>
      <c r="F168" s="288"/>
      <c r="G168" s="288"/>
      <c r="H168" s="288"/>
      <c r="I168" s="288"/>
      <c r="J168" s="288"/>
      <c r="K168" s="282"/>
      <c r="L168" s="282"/>
      <c r="M168" s="282"/>
      <c r="N168" s="282"/>
      <c r="O168" s="282"/>
      <c r="P168" s="282"/>
      <c r="Q168" s="282"/>
      <c r="R168" s="93"/>
      <c r="S168" s="93"/>
      <c r="T168" s="93"/>
    </row>
    <row r="169" spans="1:20">
      <c r="A169" s="282"/>
      <c r="B169" s="282"/>
      <c r="C169" s="289" t="s">
        <v>37</v>
      </c>
      <c r="D169" s="290"/>
      <c r="E169" s="290"/>
      <c r="F169" s="290"/>
      <c r="G169" s="290"/>
      <c r="H169" s="290"/>
      <c r="I169" s="290"/>
      <c r="J169" s="290"/>
      <c r="K169" s="290"/>
      <c r="L169" s="290"/>
      <c r="M169" s="290"/>
      <c r="N169" s="290"/>
      <c r="O169" s="290"/>
      <c r="P169" s="290"/>
      <c r="Q169" s="291"/>
      <c r="R169" s="93"/>
      <c r="S169" s="93"/>
      <c r="T169" s="93"/>
    </row>
    <row r="170" spans="1:20" ht="20.399999999999999">
      <c r="A170" s="265">
        <v>1</v>
      </c>
      <c r="B170" s="262" t="s">
        <v>18</v>
      </c>
      <c r="C170" s="78" t="s">
        <v>21</v>
      </c>
      <c r="D170" s="90">
        <v>1</v>
      </c>
      <c r="E170" s="90">
        <v>1</v>
      </c>
      <c r="F170" s="79">
        <v>0</v>
      </c>
      <c r="G170" s="79">
        <v>2442</v>
      </c>
      <c r="H170" s="79">
        <v>0</v>
      </c>
      <c r="I170" s="90">
        <f t="shared" ref="I170:I178" si="41">SUM(G170:H170)</f>
        <v>2442</v>
      </c>
      <c r="J170" s="145">
        <f>ROUND(I170*0.64,0)</f>
        <v>1563</v>
      </c>
      <c r="K170" s="89">
        <v>34</v>
      </c>
      <c r="L170" s="89">
        <v>0</v>
      </c>
      <c r="M170" s="89">
        <v>0</v>
      </c>
      <c r="N170" s="89">
        <v>0</v>
      </c>
      <c r="O170" s="89">
        <v>0</v>
      </c>
      <c r="P170" s="89">
        <v>18</v>
      </c>
      <c r="Q170" s="91">
        <f t="shared" ref="Q170:Q186" si="42">SUM(F170+I170+J170+K170+L170+M170+N170+O170+P170)</f>
        <v>4057</v>
      </c>
    </row>
    <row r="171" spans="1:20" ht="20.399999999999999">
      <c r="A171" s="274"/>
      <c r="B171" s="276"/>
      <c r="C171" s="78" t="s">
        <v>22</v>
      </c>
      <c r="D171" s="88">
        <v>1</v>
      </c>
      <c r="E171" s="88">
        <v>1</v>
      </c>
      <c r="F171" s="79">
        <v>0</v>
      </c>
      <c r="G171" s="79">
        <v>1565</v>
      </c>
      <c r="H171" s="79">
        <v>0</v>
      </c>
      <c r="I171" s="90">
        <f t="shared" si="41"/>
        <v>1565</v>
      </c>
      <c r="J171" s="145">
        <f t="shared" ref="J171:J186" si="43">ROUND(I171*0.64,0)</f>
        <v>1002</v>
      </c>
      <c r="K171" s="89">
        <v>34</v>
      </c>
      <c r="L171" s="89">
        <v>0</v>
      </c>
      <c r="M171" s="89">
        <v>0</v>
      </c>
      <c r="N171" s="89">
        <v>0</v>
      </c>
      <c r="O171" s="89">
        <v>0</v>
      </c>
      <c r="P171" s="89">
        <v>18</v>
      </c>
      <c r="Q171" s="91">
        <f t="shared" si="42"/>
        <v>2619</v>
      </c>
    </row>
    <row r="172" spans="1:20" ht="36" customHeight="1">
      <c r="A172" s="274"/>
      <c r="B172" s="276"/>
      <c r="C172" s="78" t="s">
        <v>38</v>
      </c>
      <c r="D172" s="88">
        <v>3</v>
      </c>
      <c r="E172" s="88">
        <v>3</v>
      </c>
      <c r="F172" s="79">
        <v>0</v>
      </c>
      <c r="G172" s="79">
        <v>4240</v>
      </c>
      <c r="H172" s="79">
        <v>0</v>
      </c>
      <c r="I172" s="90">
        <f t="shared" si="41"/>
        <v>4240</v>
      </c>
      <c r="J172" s="145">
        <f t="shared" si="43"/>
        <v>2714</v>
      </c>
      <c r="K172" s="89">
        <v>42</v>
      </c>
      <c r="L172" s="89">
        <v>424</v>
      </c>
      <c r="M172" s="89">
        <v>97</v>
      </c>
      <c r="N172" s="89">
        <v>0</v>
      </c>
      <c r="O172" s="89">
        <v>0</v>
      </c>
      <c r="P172" s="89">
        <v>54</v>
      </c>
      <c r="Q172" s="91">
        <f t="shared" si="42"/>
        <v>7571</v>
      </c>
    </row>
    <row r="173" spans="1:20" ht="30">
      <c r="A173" s="274"/>
      <c r="B173" s="276"/>
      <c r="C173" s="78" t="s">
        <v>39</v>
      </c>
      <c r="D173" s="88">
        <v>8</v>
      </c>
      <c r="E173" s="88">
        <v>8</v>
      </c>
      <c r="F173" s="79">
        <v>0</v>
      </c>
      <c r="G173" s="79">
        <v>8406</v>
      </c>
      <c r="H173" s="79">
        <v>0</v>
      </c>
      <c r="I173" s="90">
        <f t="shared" si="41"/>
        <v>8406</v>
      </c>
      <c r="J173" s="145">
        <f t="shared" si="43"/>
        <v>5380</v>
      </c>
      <c r="K173" s="89">
        <v>112</v>
      </c>
      <c r="L173" s="89">
        <v>841</v>
      </c>
      <c r="M173" s="89">
        <v>259</v>
      </c>
      <c r="N173" s="89">
        <v>0</v>
      </c>
      <c r="O173" s="89">
        <v>0</v>
      </c>
      <c r="P173" s="89">
        <v>144</v>
      </c>
      <c r="Q173" s="91">
        <f t="shared" si="42"/>
        <v>15142</v>
      </c>
    </row>
    <row r="174" spans="1:20" ht="18.75" customHeight="1">
      <c r="A174" s="274"/>
      <c r="B174" s="276"/>
      <c r="C174" s="78" t="s">
        <v>40</v>
      </c>
      <c r="D174" s="88">
        <v>13</v>
      </c>
      <c r="E174" s="88">
        <v>13</v>
      </c>
      <c r="F174" s="79">
        <v>0</v>
      </c>
      <c r="G174" s="79">
        <v>11830</v>
      </c>
      <c r="H174" s="79">
        <v>0</v>
      </c>
      <c r="I174" s="90">
        <f t="shared" si="41"/>
        <v>11830</v>
      </c>
      <c r="J174" s="145">
        <f t="shared" si="43"/>
        <v>7571</v>
      </c>
      <c r="K174" s="89">
        <v>181</v>
      </c>
      <c r="L174" s="89">
        <v>1183</v>
      </c>
      <c r="M174" s="89">
        <v>421</v>
      </c>
      <c r="N174" s="89">
        <v>0</v>
      </c>
      <c r="O174" s="89">
        <v>0</v>
      </c>
      <c r="P174" s="89">
        <v>234</v>
      </c>
      <c r="Q174" s="91">
        <f t="shared" si="42"/>
        <v>21420</v>
      </c>
    </row>
    <row r="175" spans="1:20" ht="20.399999999999999">
      <c r="A175" s="274"/>
      <c r="B175" s="276"/>
      <c r="C175" s="78" t="s">
        <v>26</v>
      </c>
      <c r="D175" s="88">
        <v>2</v>
      </c>
      <c r="E175" s="88">
        <v>2</v>
      </c>
      <c r="F175" s="79">
        <v>0</v>
      </c>
      <c r="G175" s="79">
        <v>1897</v>
      </c>
      <c r="H175" s="79">
        <v>0</v>
      </c>
      <c r="I175" s="90">
        <f t="shared" si="41"/>
        <v>1897</v>
      </c>
      <c r="J175" s="145">
        <f t="shared" si="43"/>
        <v>1214</v>
      </c>
      <c r="K175" s="89">
        <v>28</v>
      </c>
      <c r="L175" s="89">
        <v>190</v>
      </c>
      <c r="M175" s="89">
        <v>65</v>
      </c>
      <c r="N175" s="89">
        <v>0</v>
      </c>
      <c r="O175" s="89">
        <v>0</v>
      </c>
      <c r="P175" s="89">
        <v>58</v>
      </c>
      <c r="Q175" s="91">
        <f t="shared" si="42"/>
        <v>3452</v>
      </c>
    </row>
    <row r="176" spans="1:20" ht="20.399999999999999">
      <c r="A176" s="274"/>
      <c r="B176" s="276"/>
      <c r="C176" s="78" t="s">
        <v>27</v>
      </c>
      <c r="D176" s="88">
        <v>1</v>
      </c>
      <c r="E176" s="88">
        <v>1</v>
      </c>
      <c r="F176" s="79">
        <v>0</v>
      </c>
      <c r="G176" s="79">
        <v>690</v>
      </c>
      <c r="H176" s="79">
        <v>0</v>
      </c>
      <c r="I176" s="90">
        <f t="shared" si="41"/>
        <v>690</v>
      </c>
      <c r="J176" s="145">
        <f t="shared" si="43"/>
        <v>442</v>
      </c>
      <c r="K176" s="89">
        <v>14</v>
      </c>
      <c r="L176" s="89">
        <v>69</v>
      </c>
      <c r="M176" s="89">
        <v>32</v>
      </c>
      <c r="N176" s="89">
        <v>0</v>
      </c>
      <c r="O176" s="89">
        <v>0</v>
      </c>
      <c r="P176" s="89">
        <v>29</v>
      </c>
      <c r="Q176" s="91">
        <f>SUM(F176+I176+J176+K176+L176+M176+N176+O176+P176)</f>
        <v>1276</v>
      </c>
    </row>
    <row r="177" spans="1:20">
      <c r="A177" s="275"/>
      <c r="B177" s="277"/>
      <c r="C177" s="78" t="s">
        <v>41</v>
      </c>
      <c r="D177" s="88">
        <v>1</v>
      </c>
      <c r="E177" s="88">
        <v>1</v>
      </c>
      <c r="F177" s="89">
        <v>0</v>
      </c>
      <c r="G177" s="89">
        <v>0</v>
      </c>
      <c r="H177" s="89">
        <v>0</v>
      </c>
      <c r="I177" s="90">
        <f t="shared" si="41"/>
        <v>0</v>
      </c>
      <c r="J177" s="145">
        <f t="shared" si="43"/>
        <v>0</v>
      </c>
      <c r="K177" s="89">
        <v>0</v>
      </c>
      <c r="L177" s="89">
        <v>0</v>
      </c>
      <c r="M177" s="89">
        <v>0</v>
      </c>
      <c r="N177" s="89">
        <v>0</v>
      </c>
      <c r="O177" s="89">
        <v>0</v>
      </c>
      <c r="P177" s="89">
        <v>0</v>
      </c>
      <c r="Q177" s="91">
        <f t="shared" si="42"/>
        <v>0</v>
      </c>
    </row>
    <row r="178" spans="1:20" ht="20.399999999999999">
      <c r="A178" s="265">
        <v>2</v>
      </c>
      <c r="B178" s="262" t="s">
        <v>19</v>
      </c>
      <c r="C178" s="81" t="s">
        <v>28</v>
      </c>
      <c r="D178" s="88">
        <v>1</v>
      </c>
      <c r="E178" s="88">
        <v>1</v>
      </c>
      <c r="F178" s="79">
        <v>0</v>
      </c>
      <c r="G178" s="79">
        <v>694</v>
      </c>
      <c r="H178" s="79">
        <v>0</v>
      </c>
      <c r="I178" s="90">
        <f t="shared" si="41"/>
        <v>694</v>
      </c>
      <c r="J178" s="145">
        <f t="shared" si="43"/>
        <v>444</v>
      </c>
      <c r="K178" s="89">
        <v>11</v>
      </c>
      <c r="L178" s="89">
        <v>69</v>
      </c>
      <c r="M178" s="89">
        <v>16</v>
      </c>
      <c r="N178" s="89">
        <v>0</v>
      </c>
      <c r="O178" s="89">
        <v>0</v>
      </c>
      <c r="P178" s="89">
        <v>29</v>
      </c>
      <c r="Q178" s="91">
        <f t="shared" si="42"/>
        <v>1263</v>
      </c>
    </row>
    <row r="179" spans="1:20" ht="20.399999999999999">
      <c r="A179" s="266"/>
      <c r="B179" s="263"/>
      <c r="C179" s="81" t="s">
        <v>42</v>
      </c>
      <c r="D179" s="88">
        <v>56</v>
      </c>
      <c r="E179" s="88">
        <v>56</v>
      </c>
      <c r="F179" s="79">
        <v>0</v>
      </c>
      <c r="G179" s="79">
        <v>39415</v>
      </c>
      <c r="H179" s="79">
        <v>0</v>
      </c>
      <c r="I179" s="90">
        <f t="shared" ref="I179:I186" si="44">SUM(G179:H179)</f>
        <v>39415</v>
      </c>
      <c r="J179" s="145">
        <v>25225</v>
      </c>
      <c r="K179" s="89">
        <v>591</v>
      </c>
      <c r="L179" s="89">
        <v>3942</v>
      </c>
      <c r="M179" s="89">
        <v>907</v>
      </c>
      <c r="N179" s="89">
        <v>0</v>
      </c>
      <c r="O179" s="89">
        <v>0</v>
      </c>
      <c r="P179" s="89">
        <v>504</v>
      </c>
      <c r="Q179" s="91">
        <f t="shared" si="42"/>
        <v>70584</v>
      </c>
    </row>
    <row r="180" spans="1:20" ht="20.399999999999999">
      <c r="A180" s="266"/>
      <c r="B180" s="263"/>
      <c r="C180" s="81" t="s">
        <v>43</v>
      </c>
      <c r="D180" s="88">
        <v>1</v>
      </c>
      <c r="E180" s="88">
        <v>1</v>
      </c>
      <c r="F180" s="79">
        <v>0</v>
      </c>
      <c r="G180" s="79">
        <v>656</v>
      </c>
      <c r="H180" s="79">
        <v>0</v>
      </c>
      <c r="I180" s="90">
        <f t="shared" si="44"/>
        <v>656</v>
      </c>
      <c r="J180" s="145">
        <f t="shared" si="43"/>
        <v>420</v>
      </c>
      <c r="K180" s="89">
        <v>11</v>
      </c>
      <c r="L180" s="89">
        <v>66</v>
      </c>
      <c r="M180" s="89">
        <v>16</v>
      </c>
      <c r="N180" s="89">
        <v>0</v>
      </c>
      <c r="O180" s="89">
        <v>0</v>
      </c>
      <c r="P180" s="89">
        <v>9</v>
      </c>
      <c r="Q180" s="91">
        <f t="shared" si="42"/>
        <v>1178</v>
      </c>
    </row>
    <row r="181" spans="1:20" ht="21" customHeight="1">
      <c r="A181" s="266"/>
      <c r="B181" s="263"/>
      <c r="C181" s="81" t="s">
        <v>44</v>
      </c>
      <c r="D181" s="88">
        <v>87</v>
      </c>
      <c r="E181" s="88">
        <v>87</v>
      </c>
      <c r="F181" s="79">
        <v>0</v>
      </c>
      <c r="G181" s="79">
        <v>51243</v>
      </c>
      <c r="H181" s="79">
        <v>0</v>
      </c>
      <c r="I181" s="90">
        <f t="shared" si="44"/>
        <v>51243</v>
      </c>
      <c r="J181" s="145">
        <f t="shared" si="43"/>
        <v>32796</v>
      </c>
      <c r="K181" s="89">
        <v>918</v>
      </c>
      <c r="L181" s="89">
        <v>5124</v>
      </c>
      <c r="M181" s="89">
        <v>1410</v>
      </c>
      <c r="N181" s="89">
        <v>0</v>
      </c>
      <c r="O181" s="89">
        <v>0</v>
      </c>
      <c r="P181" s="89">
        <v>783</v>
      </c>
      <c r="Q181" s="91">
        <f t="shared" si="42"/>
        <v>92274</v>
      </c>
    </row>
    <row r="182" spans="1:20" ht="20.399999999999999">
      <c r="A182" s="266"/>
      <c r="B182" s="263"/>
      <c r="C182" s="81" t="s">
        <v>29</v>
      </c>
      <c r="D182" s="88">
        <v>1</v>
      </c>
      <c r="E182" s="88">
        <v>1</v>
      </c>
      <c r="F182" s="79">
        <v>0</v>
      </c>
      <c r="G182" s="79">
        <v>714</v>
      </c>
      <c r="H182" s="79">
        <v>0</v>
      </c>
      <c r="I182" s="90">
        <f t="shared" si="44"/>
        <v>714</v>
      </c>
      <c r="J182" s="145">
        <f t="shared" si="43"/>
        <v>457</v>
      </c>
      <c r="K182" s="89">
        <v>11</v>
      </c>
      <c r="L182" s="89">
        <v>71</v>
      </c>
      <c r="M182" s="89">
        <v>16</v>
      </c>
      <c r="N182" s="89">
        <v>0</v>
      </c>
      <c r="O182" s="89">
        <v>0</v>
      </c>
      <c r="P182" s="89">
        <v>9</v>
      </c>
      <c r="Q182" s="91">
        <f t="shared" si="42"/>
        <v>1278</v>
      </c>
    </row>
    <row r="183" spans="1:20" ht="38.25" customHeight="1">
      <c r="A183" s="266"/>
      <c r="B183" s="263"/>
      <c r="C183" s="81" t="s">
        <v>45</v>
      </c>
      <c r="D183" s="88">
        <v>8</v>
      </c>
      <c r="E183" s="88">
        <v>8</v>
      </c>
      <c r="F183" s="79">
        <v>0</v>
      </c>
      <c r="G183" s="79">
        <v>4521</v>
      </c>
      <c r="H183" s="79">
        <v>0</v>
      </c>
      <c r="I183" s="90">
        <f t="shared" si="44"/>
        <v>4521</v>
      </c>
      <c r="J183" s="145">
        <f t="shared" si="43"/>
        <v>2893</v>
      </c>
      <c r="K183" s="89">
        <v>84</v>
      </c>
      <c r="L183" s="89">
        <v>452</v>
      </c>
      <c r="M183" s="89">
        <f>32+97</f>
        <v>129</v>
      </c>
      <c r="N183" s="89">
        <v>0</v>
      </c>
      <c r="O183" s="89">
        <v>0</v>
      </c>
      <c r="P183" s="89">
        <v>72</v>
      </c>
      <c r="Q183" s="91">
        <f t="shared" si="42"/>
        <v>8151</v>
      </c>
    </row>
    <row r="184" spans="1:20" ht="20.399999999999999">
      <c r="A184" s="266"/>
      <c r="B184" s="263"/>
      <c r="C184" s="81" t="s">
        <v>33</v>
      </c>
      <c r="D184" s="88">
        <v>4</v>
      </c>
      <c r="E184" s="88">
        <v>4</v>
      </c>
      <c r="F184" s="79">
        <v>0</v>
      </c>
      <c r="G184" s="79">
        <v>2636</v>
      </c>
      <c r="H184" s="79">
        <v>0</v>
      </c>
      <c r="I184" s="90">
        <f t="shared" si="44"/>
        <v>2636</v>
      </c>
      <c r="J184" s="145">
        <f t="shared" si="43"/>
        <v>1687</v>
      </c>
      <c r="K184" s="89">
        <v>42</v>
      </c>
      <c r="L184" s="89">
        <v>264</v>
      </c>
      <c r="M184" s="89">
        <v>64</v>
      </c>
      <c r="N184" s="89">
        <v>0</v>
      </c>
      <c r="O184" s="89">
        <v>0</v>
      </c>
      <c r="P184" s="89">
        <v>42</v>
      </c>
      <c r="Q184" s="91">
        <f t="shared" si="42"/>
        <v>4735</v>
      </c>
    </row>
    <row r="185" spans="1:20" ht="21.75" customHeight="1">
      <c r="A185" s="267"/>
      <c r="B185" s="264"/>
      <c r="C185" s="81" t="s">
        <v>46</v>
      </c>
      <c r="D185" s="88">
        <v>0</v>
      </c>
      <c r="E185" s="88">
        <v>0</v>
      </c>
      <c r="F185" s="79">
        <v>0</v>
      </c>
      <c r="G185" s="79">
        <v>0</v>
      </c>
      <c r="H185" s="79">
        <v>0</v>
      </c>
      <c r="I185" s="90">
        <f t="shared" si="44"/>
        <v>0</v>
      </c>
      <c r="J185" s="145">
        <f t="shared" si="43"/>
        <v>0</v>
      </c>
      <c r="K185" s="89">
        <v>0</v>
      </c>
      <c r="L185" s="89">
        <v>0</v>
      </c>
      <c r="M185" s="89">
        <v>0</v>
      </c>
      <c r="N185" s="89">
        <v>0</v>
      </c>
      <c r="O185" s="89">
        <v>0</v>
      </c>
      <c r="P185" s="89">
        <v>0</v>
      </c>
      <c r="Q185" s="91">
        <f t="shared" si="42"/>
        <v>0</v>
      </c>
    </row>
    <row r="186" spans="1:20" ht="19.5" customHeight="1">
      <c r="A186" s="318">
        <v>1</v>
      </c>
      <c r="B186" s="320" t="s">
        <v>18</v>
      </c>
      <c r="C186" s="82" t="s">
        <v>34</v>
      </c>
      <c r="D186" s="88">
        <v>58</v>
      </c>
      <c r="E186" s="88">
        <v>58</v>
      </c>
      <c r="F186" s="79">
        <v>0</v>
      </c>
      <c r="G186" s="79">
        <v>23843</v>
      </c>
      <c r="H186" s="79">
        <v>0</v>
      </c>
      <c r="I186" s="90">
        <f t="shared" si="44"/>
        <v>23843</v>
      </c>
      <c r="J186" s="145">
        <f t="shared" si="43"/>
        <v>15260</v>
      </c>
      <c r="K186" s="89">
        <v>192</v>
      </c>
      <c r="L186" s="89">
        <v>2384</v>
      </c>
      <c r="M186" s="89">
        <v>470</v>
      </c>
      <c r="N186" s="89">
        <v>0</v>
      </c>
      <c r="O186" s="89">
        <v>0</v>
      </c>
      <c r="P186" s="89">
        <v>268</v>
      </c>
      <c r="Q186" s="91">
        <f t="shared" si="42"/>
        <v>42417</v>
      </c>
    </row>
    <row r="187" spans="1:20" ht="18" thickBot="1">
      <c r="A187" s="319"/>
      <c r="B187" s="321"/>
      <c r="C187" s="84" t="s">
        <v>9</v>
      </c>
      <c r="D187" s="151">
        <f t="shared" ref="D187:P187" si="45">SUM(D170:D186)</f>
        <v>246</v>
      </c>
      <c r="E187" s="151">
        <f t="shared" si="45"/>
        <v>246</v>
      </c>
      <c r="F187" s="151">
        <f t="shared" si="45"/>
        <v>0</v>
      </c>
      <c r="G187" s="151">
        <f t="shared" si="45"/>
        <v>154792</v>
      </c>
      <c r="H187" s="151">
        <f t="shared" si="45"/>
        <v>0</v>
      </c>
      <c r="I187" s="151">
        <f t="shared" si="45"/>
        <v>154792</v>
      </c>
      <c r="J187" s="151">
        <f t="shared" si="45"/>
        <v>99068</v>
      </c>
      <c r="K187" s="151">
        <f t="shared" si="45"/>
        <v>2305</v>
      </c>
      <c r="L187" s="151">
        <f t="shared" si="45"/>
        <v>15079</v>
      </c>
      <c r="M187" s="151">
        <f t="shared" si="45"/>
        <v>3902</v>
      </c>
      <c r="N187" s="151">
        <f t="shared" si="45"/>
        <v>0</v>
      </c>
      <c r="O187" s="151">
        <f t="shared" si="45"/>
        <v>0</v>
      </c>
      <c r="P187" s="151">
        <f t="shared" si="45"/>
        <v>2271</v>
      </c>
      <c r="Q187" s="151">
        <f>SUM(Q170:Q186)</f>
        <v>277417</v>
      </c>
    </row>
    <row r="188" spans="1:20" s="149" customFormat="1" ht="21.6" thickTop="1">
      <c r="A188" s="85"/>
      <c r="B188" s="85"/>
      <c r="C188" s="86"/>
      <c r="D188" s="152">
        <f>E170+E171+E172+E173+E174+E175+E176+E177</f>
        <v>30</v>
      </c>
      <c r="E188" s="152">
        <f>E178+E179+E180+E181+E182+E183+E184+E185</f>
        <v>158</v>
      </c>
      <c r="F188" s="150"/>
      <c r="G188" s="150"/>
      <c r="H188" s="150"/>
      <c r="I188" s="150"/>
      <c r="J188" s="150"/>
      <c r="K188" s="150"/>
      <c r="L188" s="150"/>
      <c r="M188" s="150"/>
      <c r="N188" s="150"/>
      <c r="O188" s="150"/>
      <c r="P188" s="150"/>
      <c r="Q188" s="150"/>
      <c r="R188" s="148"/>
      <c r="S188" s="148"/>
      <c r="T188" s="148"/>
    </row>
    <row r="189" spans="1:20">
      <c r="A189" s="278" t="s">
        <v>156</v>
      </c>
      <c r="B189" s="279"/>
      <c r="C189" s="279"/>
      <c r="D189" s="279"/>
      <c r="E189" s="279"/>
      <c r="F189" s="279"/>
      <c r="G189" s="279"/>
      <c r="H189" s="279"/>
      <c r="I189" s="279"/>
      <c r="J189" s="279"/>
      <c r="K189" s="279"/>
      <c r="L189" s="279"/>
      <c r="M189" s="279"/>
      <c r="N189" s="279"/>
      <c r="O189" s="279"/>
      <c r="P189" s="279"/>
      <c r="Q189" s="279"/>
      <c r="R189" s="93"/>
      <c r="S189" s="93"/>
      <c r="T189" s="93"/>
    </row>
    <row r="190" spans="1:20">
      <c r="A190" s="278" t="s">
        <v>17</v>
      </c>
      <c r="B190" s="279"/>
      <c r="C190" s="279"/>
      <c r="D190" s="279"/>
      <c r="E190" s="279"/>
      <c r="F190" s="279"/>
      <c r="G190" s="279"/>
      <c r="H190" s="279"/>
      <c r="I190" s="279"/>
      <c r="J190" s="279"/>
      <c r="K190" s="279"/>
      <c r="L190" s="279"/>
      <c r="M190" s="279"/>
      <c r="N190" s="279"/>
      <c r="O190" s="279"/>
      <c r="P190" s="279"/>
      <c r="Q190" s="279"/>
      <c r="R190" s="93"/>
      <c r="S190" s="93"/>
      <c r="T190" s="93"/>
    </row>
    <row r="191" spans="1:20" ht="22.8">
      <c r="A191" s="95" t="s">
        <v>49</v>
      </c>
      <c r="B191" s="96"/>
      <c r="C191" s="96"/>
      <c r="D191" s="77"/>
      <c r="E191" s="77"/>
      <c r="F191" s="77"/>
      <c r="G191" s="77"/>
      <c r="H191" s="77"/>
      <c r="I191" s="77"/>
      <c r="J191" s="77"/>
      <c r="K191" s="77"/>
      <c r="L191" s="77"/>
      <c r="M191" s="77"/>
      <c r="N191" s="77"/>
      <c r="O191" s="283" t="s">
        <v>2</v>
      </c>
      <c r="P191" s="284"/>
      <c r="Q191" s="284"/>
      <c r="R191" s="93"/>
      <c r="S191" s="93"/>
      <c r="T191" s="93"/>
    </row>
    <row r="192" spans="1:20" ht="18.75" customHeight="1">
      <c r="A192" s="280" t="s">
        <v>35</v>
      </c>
      <c r="B192" s="280" t="s">
        <v>3</v>
      </c>
      <c r="C192" s="285" t="s">
        <v>4</v>
      </c>
      <c r="D192" s="190" t="s">
        <v>5</v>
      </c>
      <c r="E192" s="190" t="s">
        <v>5</v>
      </c>
      <c r="F192" s="287" t="s">
        <v>6</v>
      </c>
      <c r="G192" s="287" t="s">
        <v>7</v>
      </c>
      <c r="H192" s="287" t="s">
        <v>8</v>
      </c>
      <c r="I192" s="287" t="s">
        <v>9</v>
      </c>
      <c r="J192" s="287" t="s">
        <v>159</v>
      </c>
      <c r="K192" s="280" t="s">
        <v>10</v>
      </c>
      <c r="L192" s="280" t="s">
        <v>11</v>
      </c>
      <c r="M192" s="280" t="s">
        <v>12</v>
      </c>
      <c r="N192" s="280" t="s">
        <v>13</v>
      </c>
      <c r="O192" s="280" t="s">
        <v>14</v>
      </c>
      <c r="P192" s="280" t="s">
        <v>15</v>
      </c>
      <c r="Q192" s="280" t="s">
        <v>9</v>
      </c>
      <c r="R192" s="93"/>
      <c r="S192" s="93"/>
      <c r="T192" s="93"/>
    </row>
    <row r="193" spans="1:20" ht="18.75" customHeight="1">
      <c r="A193" s="281"/>
      <c r="B193" s="281"/>
      <c r="C193" s="286"/>
      <c r="D193" s="191" t="s">
        <v>146</v>
      </c>
      <c r="E193" s="191" t="s">
        <v>164</v>
      </c>
      <c r="F193" s="288"/>
      <c r="G193" s="288"/>
      <c r="H193" s="288"/>
      <c r="I193" s="288"/>
      <c r="J193" s="288"/>
      <c r="K193" s="282"/>
      <c r="L193" s="282"/>
      <c r="M193" s="282"/>
      <c r="N193" s="282"/>
      <c r="O193" s="282"/>
      <c r="P193" s="282"/>
      <c r="Q193" s="282"/>
      <c r="R193" s="93"/>
      <c r="S193" s="93"/>
      <c r="T193" s="93"/>
    </row>
    <row r="194" spans="1:20">
      <c r="A194" s="282"/>
      <c r="B194" s="282"/>
      <c r="C194" s="289" t="s">
        <v>16</v>
      </c>
      <c r="D194" s="290"/>
      <c r="E194" s="290"/>
      <c r="F194" s="290"/>
      <c r="G194" s="290"/>
      <c r="H194" s="290"/>
      <c r="I194" s="290"/>
      <c r="J194" s="290"/>
      <c r="K194" s="290"/>
      <c r="L194" s="290"/>
      <c r="M194" s="290"/>
      <c r="N194" s="290"/>
      <c r="O194" s="290"/>
      <c r="P194" s="290"/>
      <c r="Q194" s="291"/>
      <c r="R194" s="93"/>
      <c r="S194" s="93"/>
      <c r="T194" s="93"/>
    </row>
    <row r="195" spans="1:20" ht="21">
      <c r="A195" s="265">
        <v>1</v>
      </c>
      <c r="B195" s="262" t="s">
        <v>18</v>
      </c>
      <c r="C195" s="78" t="s">
        <v>21</v>
      </c>
      <c r="D195" s="79">
        <v>1</v>
      </c>
      <c r="E195" s="80">
        <v>1</v>
      </c>
      <c r="F195" s="79">
        <v>0</v>
      </c>
      <c r="G195" s="79">
        <v>2279</v>
      </c>
      <c r="H195" s="79">
        <v>0</v>
      </c>
      <c r="I195" s="80">
        <f t="shared" ref="I195:I201" si="46">SUM(G195:H195)</f>
        <v>2279</v>
      </c>
      <c r="J195" s="145">
        <f>ROUND(I195*0.64,0)</f>
        <v>1459</v>
      </c>
      <c r="K195" s="79">
        <v>7</v>
      </c>
      <c r="L195" s="79">
        <v>228</v>
      </c>
      <c r="M195" s="79">
        <v>0</v>
      </c>
      <c r="N195" s="79">
        <v>0</v>
      </c>
      <c r="O195" s="79">
        <v>0</v>
      </c>
      <c r="P195" s="79">
        <v>0</v>
      </c>
      <c r="Q195" s="80">
        <f t="shared" ref="Q195:Q208" si="47">SUM(F195+I195+J195+K195+L195+M195+N195+O195+P195)</f>
        <v>3973</v>
      </c>
    </row>
    <row r="196" spans="1:20" ht="21">
      <c r="A196" s="274"/>
      <c r="B196" s="276"/>
      <c r="C196" s="78" t="s">
        <v>22</v>
      </c>
      <c r="D196" s="79">
        <v>0</v>
      </c>
      <c r="E196" s="80">
        <v>0</v>
      </c>
      <c r="F196" s="79">
        <v>0</v>
      </c>
      <c r="G196" s="79">
        <v>0</v>
      </c>
      <c r="H196" s="79">
        <v>0</v>
      </c>
      <c r="I196" s="80">
        <f t="shared" si="46"/>
        <v>0</v>
      </c>
      <c r="J196" s="145">
        <f t="shared" ref="J196:J208" si="48">ROUND(I196*0.64,0)</f>
        <v>0</v>
      </c>
      <c r="K196" s="79">
        <v>0</v>
      </c>
      <c r="L196" s="79">
        <v>0</v>
      </c>
      <c r="M196" s="79">
        <v>0</v>
      </c>
      <c r="N196" s="79">
        <v>0</v>
      </c>
      <c r="O196" s="79">
        <v>0</v>
      </c>
      <c r="P196" s="79">
        <v>0</v>
      </c>
      <c r="Q196" s="80">
        <f t="shared" si="47"/>
        <v>0</v>
      </c>
    </row>
    <row r="197" spans="1:20" ht="21">
      <c r="A197" s="274"/>
      <c r="B197" s="276"/>
      <c r="C197" s="78" t="s">
        <v>23</v>
      </c>
      <c r="D197" s="79">
        <v>1</v>
      </c>
      <c r="E197" s="80">
        <v>1</v>
      </c>
      <c r="F197" s="79">
        <v>0</v>
      </c>
      <c r="G197" s="79">
        <v>1102</v>
      </c>
      <c r="H197" s="79">
        <v>0</v>
      </c>
      <c r="I197" s="80">
        <f t="shared" si="46"/>
        <v>1102</v>
      </c>
      <c r="J197" s="145">
        <f t="shared" si="48"/>
        <v>705</v>
      </c>
      <c r="K197" s="79">
        <v>0</v>
      </c>
      <c r="L197" s="79">
        <v>110</v>
      </c>
      <c r="M197" s="79">
        <v>32</v>
      </c>
      <c r="N197" s="79">
        <v>0</v>
      </c>
      <c r="O197" s="79">
        <v>0</v>
      </c>
      <c r="P197" s="79">
        <v>0</v>
      </c>
      <c r="Q197" s="80">
        <f t="shared" si="47"/>
        <v>1949</v>
      </c>
    </row>
    <row r="198" spans="1:20" ht="21">
      <c r="A198" s="274"/>
      <c r="B198" s="276"/>
      <c r="C198" s="78" t="s">
        <v>24</v>
      </c>
      <c r="D198" s="79">
        <v>16</v>
      </c>
      <c r="E198" s="80">
        <v>16</v>
      </c>
      <c r="F198" s="79">
        <v>0</v>
      </c>
      <c r="G198" s="79">
        <v>13503</v>
      </c>
      <c r="H198" s="79">
        <v>0</v>
      </c>
      <c r="I198" s="80">
        <f t="shared" si="46"/>
        <v>13503</v>
      </c>
      <c r="J198" s="145">
        <f t="shared" si="48"/>
        <v>8642</v>
      </c>
      <c r="K198" s="79">
        <v>7</v>
      </c>
      <c r="L198" s="79">
        <v>1683</v>
      </c>
      <c r="M198" s="79">
        <v>275</v>
      </c>
      <c r="N198" s="79">
        <v>0</v>
      </c>
      <c r="O198" s="79">
        <v>0</v>
      </c>
      <c r="P198" s="79">
        <v>0</v>
      </c>
      <c r="Q198" s="80">
        <f t="shared" si="47"/>
        <v>24110</v>
      </c>
    </row>
    <row r="199" spans="1:20" ht="21">
      <c r="A199" s="274"/>
      <c r="B199" s="276"/>
      <c r="C199" s="78" t="s">
        <v>25</v>
      </c>
      <c r="D199" s="79">
        <v>14</v>
      </c>
      <c r="E199" s="80">
        <v>14</v>
      </c>
      <c r="F199" s="79">
        <v>0</v>
      </c>
      <c r="G199" s="79">
        <v>9020</v>
      </c>
      <c r="H199" s="79">
        <v>0</v>
      </c>
      <c r="I199" s="80">
        <f t="shared" si="46"/>
        <v>9020</v>
      </c>
      <c r="J199" s="145">
        <f t="shared" si="48"/>
        <v>5773</v>
      </c>
      <c r="K199" s="79">
        <v>7</v>
      </c>
      <c r="L199" s="79">
        <v>1170</v>
      </c>
      <c r="M199" s="79">
        <v>259</v>
      </c>
      <c r="N199" s="79">
        <v>0</v>
      </c>
      <c r="O199" s="79">
        <v>0</v>
      </c>
      <c r="P199" s="79">
        <v>0</v>
      </c>
      <c r="Q199" s="80">
        <f t="shared" si="47"/>
        <v>16229</v>
      </c>
    </row>
    <row r="200" spans="1:20" ht="21">
      <c r="A200" s="274"/>
      <c r="B200" s="276"/>
      <c r="C200" s="78" t="s">
        <v>26</v>
      </c>
      <c r="D200" s="79">
        <v>0</v>
      </c>
      <c r="E200" s="80">
        <v>0</v>
      </c>
      <c r="F200" s="79">
        <v>0</v>
      </c>
      <c r="G200" s="79">
        <v>0</v>
      </c>
      <c r="H200" s="79">
        <v>0</v>
      </c>
      <c r="I200" s="80">
        <f t="shared" si="46"/>
        <v>0</v>
      </c>
      <c r="J200" s="145">
        <f t="shared" si="48"/>
        <v>0</v>
      </c>
      <c r="K200" s="79">
        <v>0</v>
      </c>
      <c r="L200" s="79">
        <v>0</v>
      </c>
      <c r="M200" s="79">
        <v>0</v>
      </c>
      <c r="N200" s="79">
        <v>0</v>
      </c>
      <c r="O200" s="79">
        <v>0</v>
      </c>
      <c r="P200" s="79">
        <v>0</v>
      </c>
      <c r="Q200" s="80">
        <f>SUM(F200+I200+J200+K200+L200+M200+N200+O200+P200)</f>
        <v>0</v>
      </c>
    </row>
    <row r="201" spans="1:20" ht="21">
      <c r="A201" s="274"/>
      <c r="B201" s="276"/>
      <c r="C201" s="146" t="s">
        <v>27</v>
      </c>
      <c r="D201" s="79">
        <v>0</v>
      </c>
      <c r="E201" s="80">
        <v>0</v>
      </c>
      <c r="F201" s="79">
        <v>0</v>
      </c>
      <c r="G201" s="79">
        <v>0</v>
      </c>
      <c r="H201" s="79">
        <v>0</v>
      </c>
      <c r="I201" s="80">
        <f t="shared" si="46"/>
        <v>0</v>
      </c>
      <c r="J201" s="145">
        <f t="shared" si="48"/>
        <v>0</v>
      </c>
      <c r="K201" s="79">
        <v>0</v>
      </c>
      <c r="L201" s="79">
        <v>0</v>
      </c>
      <c r="M201" s="79">
        <v>0</v>
      </c>
      <c r="N201" s="79">
        <v>0</v>
      </c>
      <c r="O201" s="79">
        <v>0</v>
      </c>
      <c r="P201" s="79">
        <v>0</v>
      </c>
      <c r="Q201" s="80">
        <f>SUM(F201+I201+J201+K201+L201+M201+N201+O201+P201)</f>
        <v>0</v>
      </c>
    </row>
    <row r="202" spans="1:20" ht="21">
      <c r="A202" s="265">
        <v>2</v>
      </c>
      <c r="B202" s="262" t="s">
        <v>19</v>
      </c>
      <c r="C202" s="81" t="s">
        <v>28</v>
      </c>
      <c r="D202" s="79">
        <v>0</v>
      </c>
      <c r="E202" s="80">
        <v>0</v>
      </c>
      <c r="F202" s="79">
        <v>0</v>
      </c>
      <c r="G202" s="79">
        <v>0</v>
      </c>
      <c r="H202" s="79">
        <v>0</v>
      </c>
      <c r="I202" s="80">
        <f t="shared" ref="I202:I208" si="49">SUM(G202:H202)</f>
        <v>0</v>
      </c>
      <c r="J202" s="145">
        <f t="shared" si="48"/>
        <v>0</v>
      </c>
      <c r="K202" s="79">
        <v>0</v>
      </c>
      <c r="L202" s="79">
        <v>0</v>
      </c>
      <c r="M202" s="79">
        <v>0</v>
      </c>
      <c r="N202" s="79">
        <v>0</v>
      </c>
      <c r="O202" s="79">
        <v>0</v>
      </c>
      <c r="P202" s="79">
        <v>0</v>
      </c>
      <c r="Q202" s="80">
        <f t="shared" si="47"/>
        <v>0</v>
      </c>
    </row>
    <row r="203" spans="1:20" ht="21">
      <c r="A203" s="266"/>
      <c r="B203" s="263"/>
      <c r="C203" s="81" t="s">
        <v>29</v>
      </c>
      <c r="D203" s="164">
        <v>1</v>
      </c>
      <c r="E203" s="91">
        <v>1</v>
      </c>
      <c r="F203" s="79">
        <v>0</v>
      </c>
      <c r="G203" s="79">
        <v>549</v>
      </c>
      <c r="H203" s="79">
        <v>0</v>
      </c>
      <c r="I203" s="80">
        <f t="shared" si="49"/>
        <v>549</v>
      </c>
      <c r="J203" s="145">
        <f t="shared" si="48"/>
        <v>351</v>
      </c>
      <c r="K203" s="79">
        <v>0</v>
      </c>
      <c r="L203" s="79">
        <v>55</v>
      </c>
      <c r="M203" s="79">
        <v>16</v>
      </c>
      <c r="N203" s="79">
        <v>0</v>
      </c>
      <c r="O203" s="79">
        <v>0</v>
      </c>
      <c r="P203" s="79">
        <v>0</v>
      </c>
      <c r="Q203" s="80">
        <f t="shared" si="47"/>
        <v>971</v>
      </c>
    </row>
    <row r="204" spans="1:20" ht="34.5" customHeight="1">
      <c r="A204" s="266"/>
      <c r="B204" s="263"/>
      <c r="C204" s="81" t="s">
        <v>45</v>
      </c>
      <c r="D204" s="79">
        <v>0</v>
      </c>
      <c r="E204" s="80">
        <v>0</v>
      </c>
      <c r="F204" s="79">
        <v>0</v>
      </c>
      <c r="G204" s="79">
        <v>0</v>
      </c>
      <c r="H204" s="79">
        <v>0</v>
      </c>
      <c r="I204" s="80">
        <f t="shared" si="49"/>
        <v>0</v>
      </c>
      <c r="J204" s="145">
        <f t="shared" si="48"/>
        <v>0</v>
      </c>
      <c r="K204" s="79">
        <v>0</v>
      </c>
      <c r="L204" s="79">
        <v>0</v>
      </c>
      <c r="M204" s="79">
        <v>0</v>
      </c>
      <c r="N204" s="79">
        <v>0</v>
      </c>
      <c r="O204" s="79">
        <v>0</v>
      </c>
      <c r="P204" s="79">
        <v>0</v>
      </c>
      <c r="Q204" s="80">
        <f t="shared" si="47"/>
        <v>0</v>
      </c>
    </row>
    <row r="205" spans="1:20" ht="21">
      <c r="A205" s="266"/>
      <c r="B205" s="263"/>
      <c r="C205" s="81" t="s">
        <v>31</v>
      </c>
      <c r="D205" s="164">
        <v>12</v>
      </c>
      <c r="E205" s="91">
        <v>12</v>
      </c>
      <c r="F205" s="79">
        <v>0</v>
      </c>
      <c r="G205" s="79">
        <v>5862</v>
      </c>
      <c r="H205" s="79">
        <v>0</v>
      </c>
      <c r="I205" s="80">
        <f t="shared" si="49"/>
        <v>5862</v>
      </c>
      <c r="J205" s="145">
        <f t="shared" si="48"/>
        <v>3752</v>
      </c>
      <c r="K205" s="79">
        <v>0</v>
      </c>
      <c r="L205" s="79">
        <v>586</v>
      </c>
      <c r="M205" s="79">
        <v>194</v>
      </c>
      <c r="N205" s="79">
        <v>0</v>
      </c>
      <c r="O205" s="79">
        <v>0</v>
      </c>
      <c r="P205" s="79">
        <v>0</v>
      </c>
      <c r="Q205" s="80">
        <f t="shared" si="47"/>
        <v>10394</v>
      </c>
    </row>
    <row r="206" spans="1:20" ht="21">
      <c r="A206" s="266"/>
      <c r="B206" s="263"/>
      <c r="C206" s="81" t="s">
        <v>32</v>
      </c>
      <c r="D206" s="164">
        <v>64</v>
      </c>
      <c r="E206" s="91">
        <v>64</v>
      </c>
      <c r="F206" s="79">
        <v>0</v>
      </c>
      <c r="G206" s="79">
        <v>22373</v>
      </c>
      <c r="H206" s="79">
        <v>0</v>
      </c>
      <c r="I206" s="80">
        <f t="shared" si="49"/>
        <v>22373</v>
      </c>
      <c r="J206" s="145">
        <f t="shared" si="48"/>
        <v>14319</v>
      </c>
      <c r="K206" s="79">
        <v>19</v>
      </c>
      <c r="L206" s="79">
        <v>2829</v>
      </c>
      <c r="M206" s="79">
        <v>1167</v>
      </c>
      <c r="N206" s="79">
        <v>0</v>
      </c>
      <c r="O206" s="79">
        <v>0</v>
      </c>
      <c r="P206" s="79">
        <v>0</v>
      </c>
      <c r="Q206" s="80">
        <f t="shared" si="47"/>
        <v>40707</v>
      </c>
    </row>
    <row r="207" spans="1:20" ht="21">
      <c r="A207" s="267"/>
      <c r="B207" s="264"/>
      <c r="C207" s="81" t="s">
        <v>33</v>
      </c>
      <c r="D207" s="79">
        <v>12</v>
      </c>
      <c r="E207" s="80">
        <v>12</v>
      </c>
      <c r="F207" s="79">
        <v>0</v>
      </c>
      <c r="G207" s="79">
        <v>4145</v>
      </c>
      <c r="H207" s="79">
        <v>0</v>
      </c>
      <c r="I207" s="80">
        <f t="shared" si="49"/>
        <v>4145</v>
      </c>
      <c r="J207" s="145">
        <f t="shared" si="48"/>
        <v>2653</v>
      </c>
      <c r="K207" s="79">
        <v>4</v>
      </c>
      <c r="L207" s="79">
        <v>464</v>
      </c>
      <c r="M207" s="79">
        <v>226</v>
      </c>
      <c r="N207" s="79">
        <v>8</v>
      </c>
      <c r="O207" s="79">
        <v>0</v>
      </c>
      <c r="P207" s="79">
        <v>0</v>
      </c>
      <c r="Q207" s="80">
        <f t="shared" si="47"/>
        <v>7500</v>
      </c>
    </row>
    <row r="208" spans="1:20" ht="21">
      <c r="A208" s="141">
        <v>3</v>
      </c>
      <c r="B208" s="142" t="s">
        <v>20</v>
      </c>
      <c r="C208" s="82" t="s">
        <v>34</v>
      </c>
      <c r="D208" s="164">
        <v>75</v>
      </c>
      <c r="E208" s="91">
        <v>75</v>
      </c>
      <c r="F208" s="79">
        <v>0</v>
      </c>
      <c r="G208" s="79">
        <v>23647</v>
      </c>
      <c r="H208" s="79">
        <v>0</v>
      </c>
      <c r="I208" s="80">
        <f t="shared" si="49"/>
        <v>23647</v>
      </c>
      <c r="J208" s="145">
        <f t="shared" si="48"/>
        <v>15134</v>
      </c>
      <c r="K208" s="79">
        <v>0</v>
      </c>
      <c r="L208" s="79">
        <v>2587</v>
      </c>
      <c r="M208" s="79">
        <v>1215</v>
      </c>
      <c r="N208" s="79">
        <v>45</v>
      </c>
      <c r="O208" s="79">
        <v>0</v>
      </c>
      <c r="P208" s="79">
        <v>0</v>
      </c>
      <c r="Q208" s="80">
        <f t="shared" si="47"/>
        <v>42628</v>
      </c>
    </row>
    <row r="209" spans="1:20" s="149" customFormat="1" ht="21.6" thickBot="1">
      <c r="A209" s="83" t="s">
        <v>36</v>
      </c>
      <c r="B209" s="83" t="s">
        <v>36</v>
      </c>
      <c r="C209" s="84" t="s">
        <v>9</v>
      </c>
      <c r="D209" s="147">
        <f t="shared" ref="D209:Q209" si="50">SUM(D195:D208)</f>
        <v>196</v>
      </c>
      <c r="E209" s="147">
        <f t="shared" si="50"/>
        <v>196</v>
      </c>
      <c r="F209" s="147">
        <f t="shared" si="50"/>
        <v>0</v>
      </c>
      <c r="G209" s="147">
        <f t="shared" si="50"/>
        <v>82480</v>
      </c>
      <c r="H209" s="147">
        <f t="shared" si="50"/>
        <v>0</v>
      </c>
      <c r="I209" s="147">
        <f t="shared" si="50"/>
        <v>82480</v>
      </c>
      <c r="J209" s="147">
        <f t="shared" si="50"/>
        <v>52788</v>
      </c>
      <c r="K209" s="147">
        <f t="shared" si="50"/>
        <v>44</v>
      </c>
      <c r="L209" s="147">
        <f t="shared" si="50"/>
        <v>9712</v>
      </c>
      <c r="M209" s="147">
        <f t="shared" si="50"/>
        <v>3384</v>
      </c>
      <c r="N209" s="147">
        <f t="shared" si="50"/>
        <v>53</v>
      </c>
      <c r="O209" s="147">
        <f t="shared" si="50"/>
        <v>0</v>
      </c>
      <c r="P209" s="147">
        <f t="shared" si="50"/>
        <v>0</v>
      </c>
      <c r="Q209" s="147">
        <f t="shared" si="50"/>
        <v>148461</v>
      </c>
      <c r="R209" s="148"/>
      <c r="S209" s="148"/>
      <c r="T209" s="148"/>
    </row>
    <row r="210" spans="1:20" s="149" customFormat="1" ht="21.6" thickTop="1">
      <c r="A210" s="85"/>
      <c r="B210" s="85"/>
      <c r="C210" s="86"/>
      <c r="D210" s="150">
        <f>E195+E196+E197+E198+E199+E200+E201</f>
        <v>32</v>
      </c>
      <c r="E210" s="150">
        <f>E203+E204+E205+E206+E207</f>
        <v>89</v>
      </c>
      <c r="F210" s="150"/>
      <c r="G210" s="150"/>
      <c r="H210" s="150"/>
      <c r="I210" s="150"/>
      <c r="J210" s="150"/>
      <c r="K210" s="150"/>
      <c r="L210" s="150"/>
      <c r="M210" s="150"/>
      <c r="N210" s="150"/>
      <c r="O210" s="150"/>
      <c r="P210" s="150"/>
      <c r="Q210" s="150"/>
      <c r="R210" s="148"/>
      <c r="S210" s="148"/>
      <c r="T210" s="148"/>
    </row>
    <row r="211" spans="1:20">
      <c r="A211" s="278" t="s">
        <v>156</v>
      </c>
      <c r="B211" s="279"/>
      <c r="C211" s="279"/>
      <c r="D211" s="279"/>
      <c r="E211" s="279"/>
      <c r="F211" s="279"/>
      <c r="G211" s="279"/>
      <c r="H211" s="279"/>
      <c r="I211" s="279"/>
      <c r="J211" s="279"/>
      <c r="K211" s="279"/>
      <c r="L211" s="279"/>
      <c r="M211" s="279"/>
      <c r="N211" s="279"/>
      <c r="O211" s="279"/>
      <c r="P211" s="279"/>
      <c r="Q211" s="279"/>
      <c r="R211" s="93"/>
      <c r="S211" s="93"/>
      <c r="T211" s="93"/>
    </row>
    <row r="212" spans="1:20">
      <c r="A212" s="278" t="s">
        <v>17</v>
      </c>
      <c r="B212" s="279"/>
      <c r="C212" s="279"/>
      <c r="D212" s="279"/>
      <c r="E212" s="279"/>
      <c r="F212" s="279"/>
      <c r="G212" s="279"/>
      <c r="H212" s="279"/>
      <c r="I212" s="279"/>
      <c r="J212" s="279"/>
      <c r="K212" s="279"/>
      <c r="L212" s="279"/>
      <c r="M212" s="279"/>
      <c r="N212" s="279"/>
      <c r="O212" s="279"/>
      <c r="P212" s="279"/>
      <c r="Q212" s="279"/>
      <c r="R212" s="93"/>
      <c r="S212" s="93"/>
      <c r="T212" s="93"/>
    </row>
    <row r="213" spans="1:20" ht="22.8">
      <c r="A213" s="74" t="s">
        <v>49</v>
      </c>
      <c r="B213" s="75"/>
      <c r="C213" s="75"/>
      <c r="D213" s="77"/>
      <c r="E213" s="77"/>
      <c r="F213" s="77"/>
      <c r="G213" s="150"/>
      <c r="H213" s="150"/>
      <c r="I213" s="77"/>
      <c r="J213" s="150"/>
      <c r="K213" s="150"/>
      <c r="L213" s="77"/>
      <c r="M213" s="77"/>
      <c r="N213" s="77"/>
      <c r="O213" s="283" t="s">
        <v>2</v>
      </c>
      <c r="P213" s="284"/>
      <c r="Q213" s="284"/>
      <c r="R213" s="93"/>
      <c r="S213" s="93"/>
      <c r="T213" s="93"/>
    </row>
    <row r="214" spans="1:20" ht="18.75" customHeight="1">
      <c r="A214" s="280" t="s">
        <v>35</v>
      </c>
      <c r="B214" s="280" t="s">
        <v>3</v>
      </c>
      <c r="C214" s="285" t="s">
        <v>4</v>
      </c>
      <c r="D214" s="190" t="s">
        <v>5</v>
      </c>
      <c r="E214" s="190" t="s">
        <v>5</v>
      </c>
      <c r="F214" s="287" t="s">
        <v>6</v>
      </c>
      <c r="G214" s="287" t="s">
        <v>7</v>
      </c>
      <c r="H214" s="287" t="s">
        <v>8</v>
      </c>
      <c r="I214" s="287" t="s">
        <v>9</v>
      </c>
      <c r="J214" s="287" t="s">
        <v>159</v>
      </c>
      <c r="K214" s="280" t="s">
        <v>10</v>
      </c>
      <c r="L214" s="280" t="s">
        <v>11</v>
      </c>
      <c r="M214" s="280" t="s">
        <v>12</v>
      </c>
      <c r="N214" s="280" t="s">
        <v>13</v>
      </c>
      <c r="O214" s="280" t="s">
        <v>14</v>
      </c>
      <c r="P214" s="280" t="s">
        <v>15</v>
      </c>
      <c r="Q214" s="280" t="s">
        <v>9</v>
      </c>
      <c r="R214" s="93"/>
      <c r="S214" s="93"/>
      <c r="T214" s="93"/>
    </row>
    <row r="215" spans="1:20" ht="18.75" customHeight="1">
      <c r="A215" s="281"/>
      <c r="B215" s="281"/>
      <c r="C215" s="286"/>
      <c r="D215" s="191" t="s">
        <v>146</v>
      </c>
      <c r="E215" s="191" t="s">
        <v>164</v>
      </c>
      <c r="F215" s="288"/>
      <c r="G215" s="288"/>
      <c r="H215" s="288"/>
      <c r="I215" s="288"/>
      <c r="J215" s="288"/>
      <c r="K215" s="282"/>
      <c r="L215" s="282"/>
      <c r="M215" s="282"/>
      <c r="N215" s="282"/>
      <c r="O215" s="282"/>
      <c r="P215" s="282"/>
      <c r="Q215" s="282"/>
      <c r="R215" s="93"/>
      <c r="S215" s="93"/>
      <c r="T215" s="93"/>
    </row>
    <row r="216" spans="1:20">
      <c r="A216" s="282"/>
      <c r="B216" s="282"/>
      <c r="C216" s="289" t="s">
        <v>37</v>
      </c>
      <c r="D216" s="290"/>
      <c r="E216" s="290"/>
      <c r="F216" s="290"/>
      <c r="G216" s="290"/>
      <c r="H216" s="290"/>
      <c r="I216" s="290"/>
      <c r="J216" s="290"/>
      <c r="K216" s="290"/>
      <c r="L216" s="290"/>
      <c r="M216" s="290"/>
      <c r="N216" s="290"/>
      <c r="O216" s="290"/>
      <c r="P216" s="290"/>
      <c r="Q216" s="291"/>
      <c r="R216" s="93"/>
      <c r="S216" s="93"/>
      <c r="T216" s="93"/>
    </row>
    <row r="217" spans="1:20" ht="20.399999999999999">
      <c r="A217" s="265">
        <v>1</v>
      </c>
      <c r="B217" s="262" t="s">
        <v>18</v>
      </c>
      <c r="C217" s="78" t="s">
        <v>21</v>
      </c>
      <c r="D217" s="90">
        <v>0</v>
      </c>
      <c r="E217" s="90">
        <v>0</v>
      </c>
      <c r="F217" s="79">
        <v>0</v>
      </c>
      <c r="G217" s="79">
        <v>0</v>
      </c>
      <c r="H217" s="79">
        <v>0</v>
      </c>
      <c r="I217" s="90">
        <f t="shared" ref="I217:I225" si="51">SUM(G217:H217)</f>
        <v>0</v>
      </c>
      <c r="J217" s="145">
        <f>ROUND(I217*0.58,0)</f>
        <v>0</v>
      </c>
      <c r="K217" s="89">
        <v>0</v>
      </c>
      <c r="L217" s="89">
        <v>0</v>
      </c>
      <c r="M217" s="89">
        <v>0</v>
      </c>
      <c r="N217" s="89">
        <v>0</v>
      </c>
      <c r="O217" s="89">
        <v>0</v>
      </c>
      <c r="P217" s="89">
        <v>0</v>
      </c>
      <c r="Q217" s="91">
        <f t="shared" ref="Q217:Q223" si="52">SUM(F217+I217+J217+K217+L217+M217+N217+O217+P217)</f>
        <v>0</v>
      </c>
    </row>
    <row r="218" spans="1:20" ht="20.399999999999999">
      <c r="A218" s="274"/>
      <c r="B218" s="276"/>
      <c r="C218" s="78" t="s">
        <v>22</v>
      </c>
      <c r="D218" s="88">
        <v>1</v>
      </c>
      <c r="E218" s="88">
        <v>1</v>
      </c>
      <c r="F218" s="79">
        <v>0</v>
      </c>
      <c r="G218" s="79">
        <v>1414</v>
      </c>
      <c r="H218" s="79">
        <v>0</v>
      </c>
      <c r="I218" s="90">
        <f t="shared" si="51"/>
        <v>1414</v>
      </c>
      <c r="J218" s="145">
        <f>ROUND(I218*0.64,0)</f>
        <v>905</v>
      </c>
      <c r="K218" s="89">
        <v>0</v>
      </c>
      <c r="L218" s="89">
        <v>141</v>
      </c>
      <c r="M218" s="89">
        <v>32</v>
      </c>
      <c r="N218" s="89">
        <v>0</v>
      </c>
      <c r="O218" s="89">
        <v>0</v>
      </c>
      <c r="P218" s="89">
        <v>0</v>
      </c>
      <c r="Q218" s="91">
        <f t="shared" si="52"/>
        <v>2492</v>
      </c>
    </row>
    <row r="219" spans="1:20" ht="36" customHeight="1">
      <c r="A219" s="274"/>
      <c r="B219" s="276"/>
      <c r="C219" s="78" t="s">
        <v>38</v>
      </c>
      <c r="D219" s="88">
        <v>1</v>
      </c>
      <c r="E219" s="88">
        <v>1</v>
      </c>
      <c r="F219" s="79">
        <v>0</v>
      </c>
      <c r="G219" s="79">
        <v>750</v>
      </c>
      <c r="H219" s="79">
        <v>0</v>
      </c>
      <c r="I219" s="90">
        <f t="shared" si="51"/>
        <v>750</v>
      </c>
      <c r="J219" s="145">
        <f t="shared" ref="J219:J233" si="53">ROUND(I219*0.64,0)</f>
        <v>480</v>
      </c>
      <c r="K219" s="89">
        <v>0</v>
      </c>
      <c r="L219" s="89">
        <v>75</v>
      </c>
      <c r="M219" s="89">
        <v>32</v>
      </c>
      <c r="N219" s="89">
        <v>0</v>
      </c>
      <c r="O219" s="89">
        <v>0</v>
      </c>
      <c r="P219" s="89">
        <v>0</v>
      </c>
      <c r="Q219" s="91">
        <f t="shared" si="52"/>
        <v>1337</v>
      </c>
    </row>
    <row r="220" spans="1:20" ht="30">
      <c r="A220" s="274"/>
      <c r="B220" s="276"/>
      <c r="C220" s="78" t="s">
        <v>39</v>
      </c>
      <c r="D220" s="88">
        <v>4</v>
      </c>
      <c r="E220" s="88">
        <v>5</v>
      </c>
      <c r="F220" s="79">
        <v>0</v>
      </c>
      <c r="G220" s="79">
        <v>4243</v>
      </c>
      <c r="H220" s="79">
        <v>0</v>
      </c>
      <c r="I220" s="90">
        <f t="shared" si="51"/>
        <v>4243</v>
      </c>
      <c r="J220" s="145">
        <f t="shared" si="53"/>
        <v>2716</v>
      </c>
      <c r="K220" s="89">
        <v>8</v>
      </c>
      <c r="L220" s="89">
        <v>763</v>
      </c>
      <c r="M220" s="89">
        <v>112</v>
      </c>
      <c r="N220" s="89">
        <v>0</v>
      </c>
      <c r="O220" s="89">
        <v>0</v>
      </c>
      <c r="P220" s="89">
        <v>0</v>
      </c>
      <c r="Q220" s="91">
        <f t="shared" si="52"/>
        <v>7842</v>
      </c>
    </row>
    <row r="221" spans="1:20" ht="21.75" customHeight="1">
      <c r="A221" s="274"/>
      <c r="B221" s="276"/>
      <c r="C221" s="78" t="s">
        <v>40</v>
      </c>
      <c r="D221" s="88">
        <v>19</v>
      </c>
      <c r="E221" s="88">
        <v>19</v>
      </c>
      <c r="F221" s="79">
        <v>0</v>
      </c>
      <c r="G221" s="79">
        <v>12520</v>
      </c>
      <c r="H221" s="79">
        <v>0</v>
      </c>
      <c r="I221" s="90">
        <f t="shared" si="51"/>
        <v>12520</v>
      </c>
      <c r="J221" s="145">
        <f t="shared" si="53"/>
        <v>8013</v>
      </c>
      <c r="K221" s="89">
        <v>0</v>
      </c>
      <c r="L221" s="89">
        <v>1543</v>
      </c>
      <c r="M221" s="89">
        <v>358</v>
      </c>
      <c r="N221" s="89">
        <v>0</v>
      </c>
      <c r="O221" s="89">
        <v>0</v>
      </c>
      <c r="P221" s="89">
        <v>0</v>
      </c>
      <c r="Q221" s="91">
        <f t="shared" si="52"/>
        <v>22434</v>
      </c>
    </row>
    <row r="222" spans="1:20" ht="20.399999999999999">
      <c r="A222" s="274"/>
      <c r="B222" s="276"/>
      <c r="C222" s="78" t="s">
        <v>26</v>
      </c>
      <c r="D222" s="88">
        <v>2</v>
      </c>
      <c r="E222" s="88">
        <v>2</v>
      </c>
      <c r="F222" s="79">
        <v>0</v>
      </c>
      <c r="G222" s="79">
        <v>1099</v>
      </c>
      <c r="H222" s="79">
        <v>0</v>
      </c>
      <c r="I222" s="90">
        <f t="shared" si="51"/>
        <v>1099</v>
      </c>
      <c r="J222" s="145">
        <f t="shared" si="53"/>
        <v>703</v>
      </c>
      <c r="K222" s="89">
        <v>0</v>
      </c>
      <c r="L222" s="89">
        <v>110</v>
      </c>
      <c r="M222" s="89">
        <v>32</v>
      </c>
      <c r="N222" s="89">
        <v>0</v>
      </c>
      <c r="O222" s="89">
        <v>0</v>
      </c>
      <c r="P222" s="89">
        <v>0</v>
      </c>
      <c r="Q222" s="91">
        <f t="shared" si="52"/>
        <v>1944</v>
      </c>
    </row>
    <row r="223" spans="1:20" ht="20.399999999999999">
      <c r="A223" s="274"/>
      <c r="B223" s="276"/>
      <c r="C223" s="78" t="s">
        <v>27</v>
      </c>
      <c r="D223" s="88">
        <v>1</v>
      </c>
      <c r="E223" s="88">
        <v>1</v>
      </c>
      <c r="F223" s="79">
        <v>0</v>
      </c>
      <c r="G223" s="79">
        <v>594</v>
      </c>
      <c r="H223" s="79">
        <v>0</v>
      </c>
      <c r="I223" s="90">
        <f t="shared" si="51"/>
        <v>594</v>
      </c>
      <c r="J223" s="145">
        <f t="shared" si="53"/>
        <v>380</v>
      </c>
      <c r="K223" s="89">
        <v>0</v>
      </c>
      <c r="L223" s="89">
        <v>59</v>
      </c>
      <c r="M223" s="89">
        <v>16</v>
      </c>
      <c r="N223" s="89">
        <v>0</v>
      </c>
      <c r="O223" s="89">
        <v>0</v>
      </c>
      <c r="P223" s="89">
        <v>0</v>
      </c>
      <c r="Q223" s="91">
        <f t="shared" si="52"/>
        <v>1049</v>
      </c>
    </row>
    <row r="224" spans="1:20">
      <c r="A224" s="275"/>
      <c r="B224" s="277"/>
      <c r="C224" s="78" t="s">
        <v>41</v>
      </c>
      <c r="D224" s="88">
        <v>1</v>
      </c>
      <c r="E224" s="88">
        <v>1</v>
      </c>
      <c r="F224" s="89">
        <v>0</v>
      </c>
      <c r="G224" s="89">
        <v>0</v>
      </c>
      <c r="H224" s="89">
        <v>0</v>
      </c>
      <c r="I224" s="90">
        <f t="shared" si="51"/>
        <v>0</v>
      </c>
      <c r="J224" s="145">
        <f t="shared" si="53"/>
        <v>0</v>
      </c>
      <c r="K224" s="89">
        <v>0</v>
      </c>
      <c r="L224" s="89">
        <v>0</v>
      </c>
      <c r="M224" s="89">
        <v>0</v>
      </c>
      <c r="N224" s="89">
        <v>0</v>
      </c>
      <c r="O224" s="89">
        <v>0</v>
      </c>
      <c r="P224" s="89">
        <v>0</v>
      </c>
      <c r="Q224" s="91">
        <f t="shared" ref="Q224:Q233" si="54">SUM(F224+I224+J224+K224+L224+M224+N224+O224+P224)</f>
        <v>0</v>
      </c>
    </row>
    <row r="225" spans="1:20" ht="20.399999999999999">
      <c r="A225" s="265">
        <v>2</v>
      </c>
      <c r="B225" s="262" t="s">
        <v>19</v>
      </c>
      <c r="C225" s="81" t="s">
        <v>28</v>
      </c>
      <c r="D225" s="88">
        <v>1</v>
      </c>
      <c r="E225" s="88">
        <v>1</v>
      </c>
      <c r="F225" s="79">
        <v>0</v>
      </c>
      <c r="G225" s="79">
        <v>656</v>
      </c>
      <c r="H225" s="79">
        <v>0</v>
      </c>
      <c r="I225" s="90">
        <f t="shared" si="51"/>
        <v>656</v>
      </c>
      <c r="J225" s="145">
        <f t="shared" si="53"/>
        <v>420</v>
      </c>
      <c r="K225" s="89">
        <v>0</v>
      </c>
      <c r="L225" s="89">
        <v>66</v>
      </c>
      <c r="M225" s="89">
        <v>16</v>
      </c>
      <c r="N225" s="89">
        <v>0</v>
      </c>
      <c r="O225" s="89">
        <v>0</v>
      </c>
      <c r="P225" s="89">
        <v>0</v>
      </c>
      <c r="Q225" s="91">
        <f t="shared" si="54"/>
        <v>1158</v>
      </c>
    </row>
    <row r="226" spans="1:20" ht="20.399999999999999">
      <c r="A226" s="266"/>
      <c r="B226" s="263"/>
      <c r="C226" s="81" t="s">
        <v>42</v>
      </c>
      <c r="D226" s="88">
        <v>55</v>
      </c>
      <c r="E226" s="88">
        <v>55</v>
      </c>
      <c r="F226" s="79">
        <v>0</v>
      </c>
      <c r="G226" s="79">
        <v>28530</v>
      </c>
      <c r="H226" s="79">
        <v>0</v>
      </c>
      <c r="I226" s="90">
        <f t="shared" ref="I226:I233" si="55">SUM(G226:H226)</f>
        <v>28530</v>
      </c>
      <c r="J226" s="145">
        <f t="shared" si="53"/>
        <v>18259</v>
      </c>
      <c r="K226" s="89">
        <v>0</v>
      </c>
      <c r="L226" s="89">
        <v>3486</v>
      </c>
      <c r="M226" s="89">
        <v>1020</v>
      </c>
      <c r="N226" s="89">
        <v>0</v>
      </c>
      <c r="O226" s="89">
        <v>0</v>
      </c>
      <c r="P226" s="89">
        <v>0</v>
      </c>
      <c r="Q226" s="91">
        <f t="shared" si="54"/>
        <v>51295</v>
      </c>
    </row>
    <row r="227" spans="1:20" ht="20.399999999999999">
      <c r="A227" s="266"/>
      <c r="B227" s="263"/>
      <c r="C227" s="81" t="s">
        <v>43</v>
      </c>
      <c r="D227" s="88">
        <v>0</v>
      </c>
      <c r="E227" s="88">
        <v>0</v>
      </c>
      <c r="F227" s="79">
        <v>0</v>
      </c>
      <c r="G227" s="79">
        <v>0</v>
      </c>
      <c r="H227" s="79">
        <v>0</v>
      </c>
      <c r="I227" s="90">
        <v>0</v>
      </c>
      <c r="J227" s="145">
        <f t="shared" si="53"/>
        <v>0</v>
      </c>
      <c r="K227" s="89">
        <v>0</v>
      </c>
      <c r="L227" s="89">
        <v>0</v>
      </c>
      <c r="M227" s="89">
        <v>0</v>
      </c>
      <c r="N227" s="89">
        <v>0</v>
      </c>
      <c r="O227" s="89">
        <v>0</v>
      </c>
      <c r="P227" s="89">
        <v>0</v>
      </c>
      <c r="Q227" s="91">
        <f t="shared" si="54"/>
        <v>0</v>
      </c>
    </row>
    <row r="228" spans="1:20" ht="20.399999999999999">
      <c r="A228" s="266"/>
      <c r="B228" s="263"/>
      <c r="C228" s="81" t="s">
        <v>44</v>
      </c>
      <c r="D228" s="88">
        <v>103</v>
      </c>
      <c r="E228" s="88">
        <v>104</v>
      </c>
      <c r="F228" s="79">
        <v>0</v>
      </c>
      <c r="G228" s="79">
        <v>31050</v>
      </c>
      <c r="H228" s="79">
        <v>0</v>
      </c>
      <c r="I228" s="90">
        <f t="shared" si="55"/>
        <v>31050</v>
      </c>
      <c r="J228" s="145">
        <f t="shared" si="53"/>
        <v>19872</v>
      </c>
      <c r="K228" s="89">
        <v>50</v>
      </c>
      <c r="L228" s="89">
        <v>3793</v>
      </c>
      <c r="M228" s="89">
        <v>2366</v>
      </c>
      <c r="N228" s="89">
        <v>0</v>
      </c>
      <c r="O228" s="89">
        <v>0</v>
      </c>
      <c r="P228" s="89">
        <v>0</v>
      </c>
      <c r="Q228" s="91">
        <f t="shared" si="54"/>
        <v>57131</v>
      </c>
    </row>
    <row r="229" spans="1:20" ht="20.399999999999999">
      <c r="A229" s="266"/>
      <c r="B229" s="263"/>
      <c r="C229" s="81" t="s">
        <v>29</v>
      </c>
      <c r="D229" s="88">
        <v>0</v>
      </c>
      <c r="E229" s="88">
        <v>0</v>
      </c>
      <c r="F229" s="79">
        <v>0</v>
      </c>
      <c r="G229" s="79">
        <v>0</v>
      </c>
      <c r="H229" s="79">
        <v>0</v>
      </c>
      <c r="I229" s="90">
        <f t="shared" si="55"/>
        <v>0</v>
      </c>
      <c r="J229" s="145">
        <f t="shared" si="53"/>
        <v>0</v>
      </c>
      <c r="K229" s="89">
        <v>0</v>
      </c>
      <c r="L229" s="89">
        <v>0</v>
      </c>
      <c r="M229" s="89">
        <v>0</v>
      </c>
      <c r="N229" s="89">
        <v>0</v>
      </c>
      <c r="O229" s="89">
        <v>0</v>
      </c>
      <c r="P229" s="89">
        <v>0</v>
      </c>
      <c r="Q229" s="91">
        <f t="shared" si="54"/>
        <v>0</v>
      </c>
    </row>
    <row r="230" spans="1:20" ht="18.75" customHeight="1">
      <c r="A230" s="266"/>
      <c r="B230" s="263"/>
      <c r="C230" s="81" t="s">
        <v>30</v>
      </c>
      <c r="D230" s="88">
        <v>2</v>
      </c>
      <c r="E230" s="88">
        <v>2</v>
      </c>
      <c r="F230" s="79">
        <v>0</v>
      </c>
      <c r="G230" s="79">
        <v>1234</v>
      </c>
      <c r="H230" s="79">
        <v>0</v>
      </c>
      <c r="I230" s="90">
        <f t="shared" si="55"/>
        <v>1234</v>
      </c>
      <c r="J230" s="145">
        <f t="shared" si="53"/>
        <v>790</v>
      </c>
      <c r="K230" s="89">
        <v>0</v>
      </c>
      <c r="L230" s="89">
        <v>123</v>
      </c>
      <c r="M230" s="89">
        <v>32</v>
      </c>
      <c r="N230" s="89">
        <v>0</v>
      </c>
      <c r="O230" s="89">
        <v>0</v>
      </c>
      <c r="P230" s="89">
        <v>0</v>
      </c>
      <c r="Q230" s="91">
        <f t="shared" si="54"/>
        <v>2179</v>
      </c>
    </row>
    <row r="231" spans="1:20" ht="20.399999999999999">
      <c r="A231" s="266"/>
      <c r="B231" s="263"/>
      <c r="C231" s="81" t="s">
        <v>33</v>
      </c>
      <c r="D231" s="88">
        <v>5</v>
      </c>
      <c r="E231" s="88">
        <v>5</v>
      </c>
      <c r="F231" s="79">
        <v>0</v>
      </c>
      <c r="G231" s="79">
        <v>1716</v>
      </c>
      <c r="H231" s="79">
        <v>0</v>
      </c>
      <c r="I231" s="90">
        <f t="shared" si="55"/>
        <v>1716</v>
      </c>
      <c r="J231" s="145">
        <f t="shared" si="53"/>
        <v>1098</v>
      </c>
      <c r="K231" s="89">
        <v>0</v>
      </c>
      <c r="L231" s="89">
        <v>172</v>
      </c>
      <c r="M231" s="89">
        <v>81</v>
      </c>
      <c r="N231" s="89">
        <v>0</v>
      </c>
      <c r="O231" s="89">
        <v>0</v>
      </c>
      <c r="P231" s="89">
        <v>0</v>
      </c>
      <c r="Q231" s="91">
        <f t="shared" si="54"/>
        <v>3067</v>
      </c>
    </row>
    <row r="232" spans="1:20" ht="21.75" customHeight="1">
      <c r="A232" s="267"/>
      <c r="B232" s="264"/>
      <c r="C232" s="81" t="s">
        <v>46</v>
      </c>
      <c r="D232" s="88">
        <v>1</v>
      </c>
      <c r="E232" s="88">
        <v>1</v>
      </c>
      <c r="F232" s="79">
        <v>0</v>
      </c>
      <c r="G232" s="79">
        <v>473</v>
      </c>
      <c r="H232" s="79">
        <v>0</v>
      </c>
      <c r="I232" s="90">
        <f t="shared" si="55"/>
        <v>473</v>
      </c>
      <c r="J232" s="145">
        <f t="shared" si="53"/>
        <v>303</v>
      </c>
      <c r="K232" s="89">
        <v>0</v>
      </c>
      <c r="L232" s="89">
        <v>47</v>
      </c>
      <c r="M232" s="89">
        <v>16</v>
      </c>
      <c r="N232" s="89">
        <v>0</v>
      </c>
      <c r="O232" s="89">
        <v>0</v>
      </c>
      <c r="P232" s="89">
        <v>0</v>
      </c>
      <c r="Q232" s="91">
        <f t="shared" si="54"/>
        <v>839</v>
      </c>
    </row>
    <row r="233" spans="1:20" ht="19.5" customHeight="1">
      <c r="A233" s="143">
        <v>3</v>
      </c>
      <c r="B233" s="144" t="s">
        <v>20</v>
      </c>
      <c r="C233" s="82" t="s">
        <v>34</v>
      </c>
      <c r="D233" s="88">
        <v>48</v>
      </c>
      <c r="E233" s="88">
        <v>48</v>
      </c>
      <c r="F233" s="79">
        <v>0</v>
      </c>
      <c r="G233" s="79">
        <v>11069</v>
      </c>
      <c r="H233" s="79">
        <v>0</v>
      </c>
      <c r="I233" s="90">
        <f t="shared" si="55"/>
        <v>11069</v>
      </c>
      <c r="J233" s="145">
        <f t="shared" si="53"/>
        <v>7084</v>
      </c>
      <c r="K233" s="89">
        <v>0</v>
      </c>
      <c r="L233" s="89">
        <v>1214</v>
      </c>
      <c r="M233" s="89">
        <v>779</v>
      </c>
      <c r="N233" s="89">
        <v>30</v>
      </c>
      <c r="O233" s="89">
        <v>0</v>
      </c>
      <c r="P233" s="89">
        <v>0</v>
      </c>
      <c r="Q233" s="91">
        <f t="shared" si="54"/>
        <v>20176</v>
      </c>
    </row>
    <row r="234" spans="1:20" ht="18" thickBot="1">
      <c r="A234" s="83" t="s">
        <v>36</v>
      </c>
      <c r="B234" s="83" t="s">
        <v>36</v>
      </c>
      <c r="C234" s="84" t="s">
        <v>9</v>
      </c>
      <c r="D234" s="151">
        <f t="shared" ref="D234:Q234" si="56">SUM(D217:D233)</f>
        <v>244</v>
      </c>
      <c r="E234" s="151">
        <f t="shared" si="56"/>
        <v>246</v>
      </c>
      <c r="F234" s="151">
        <f t="shared" si="56"/>
        <v>0</v>
      </c>
      <c r="G234" s="151">
        <f t="shared" si="56"/>
        <v>95348</v>
      </c>
      <c r="H234" s="151">
        <f t="shared" si="56"/>
        <v>0</v>
      </c>
      <c r="I234" s="151">
        <f t="shared" si="56"/>
        <v>95348</v>
      </c>
      <c r="J234" s="151">
        <f t="shared" si="56"/>
        <v>61023</v>
      </c>
      <c r="K234" s="151">
        <f t="shared" si="56"/>
        <v>58</v>
      </c>
      <c r="L234" s="151">
        <f t="shared" si="56"/>
        <v>11592</v>
      </c>
      <c r="M234" s="151">
        <f t="shared" si="56"/>
        <v>4892</v>
      </c>
      <c r="N234" s="151">
        <f t="shared" si="56"/>
        <v>30</v>
      </c>
      <c r="O234" s="151">
        <f t="shared" si="56"/>
        <v>0</v>
      </c>
      <c r="P234" s="151">
        <f t="shared" si="56"/>
        <v>0</v>
      </c>
      <c r="Q234" s="151">
        <f t="shared" si="56"/>
        <v>172943</v>
      </c>
    </row>
    <row r="235" spans="1:20" ht="18" thickTop="1">
      <c r="A235" s="85"/>
      <c r="B235" s="85"/>
      <c r="C235" s="86"/>
      <c r="D235" s="152">
        <f>E217+E218+E219+E220+E221+E222+E223+E224</f>
        <v>30</v>
      </c>
      <c r="E235" s="152">
        <f>E225+E226+E227+E228+E229+E230+E231+E232</f>
        <v>168</v>
      </c>
      <c r="F235" s="152"/>
      <c r="G235" s="152"/>
      <c r="H235" s="152"/>
      <c r="I235" s="152"/>
      <c r="J235" s="152"/>
      <c r="K235" s="152"/>
      <c r="L235" s="152"/>
      <c r="M235" s="152"/>
      <c r="N235" s="152"/>
      <c r="O235" s="152"/>
      <c r="P235" s="152"/>
      <c r="Q235" s="152"/>
    </row>
    <row r="236" spans="1:20">
      <c r="A236" s="278" t="s">
        <v>156</v>
      </c>
      <c r="B236" s="279"/>
      <c r="C236" s="279"/>
      <c r="D236" s="279"/>
      <c r="E236" s="279"/>
      <c r="F236" s="279"/>
      <c r="G236" s="279"/>
      <c r="H236" s="279"/>
      <c r="I236" s="279"/>
      <c r="J236" s="279"/>
      <c r="K236" s="279"/>
      <c r="L236" s="279"/>
      <c r="M236" s="279"/>
      <c r="N236" s="279"/>
      <c r="O236" s="279"/>
      <c r="P236" s="279"/>
      <c r="Q236" s="279"/>
      <c r="R236" s="93"/>
      <c r="S236" s="93"/>
      <c r="T236" s="93"/>
    </row>
    <row r="237" spans="1:20">
      <c r="A237" s="278" t="s">
        <v>17</v>
      </c>
      <c r="B237" s="279"/>
      <c r="C237" s="279"/>
      <c r="D237" s="279"/>
      <c r="E237" s="279"/>
      <c r="F237" s="279"/>
      <c r="G237" s="279"/>
      <c r="H237" s="279"/>
      <c r="I237" s="279"/>
      <c r="J237" s="279"/>
      <c r="K237" s="279"/>
      <c r="L237" s="279"/>
      <c r="M237" s="279"/>
      <c r="N237" s="279"/>
      <c r="O237" s="279"/>
      <c r="P237" s="279"/>
      <c r="Q237" s="279"/>
      <c r="R237" s="93"/>
      <c r="S237" s="93"/>
      <c r="T237" s="93"/>
    </row>
    <row r="238" spans="1:20" ht="22.8">
      <c r="A238" s="74" t="s">
        <v>50</v>
      </c>
      <c r="B238" s="75"/>
      <c r="C238" s="75"/>
      <c r="D238" s="77"/>
      <c r="E238" s="77"/>
      <c r="F238" s="77"/>
      <c r="G238" s="77"/>
      <c r="H238" s="77"/>
      <c r="I238" s="77"/>
      <c r="J238" s="97"/>
      <c r="K238" s="97"/>
      <c r="L238" s="77"/>
      <c r="M238" s="77"/>
      <c r="N238" s="77"/>
      <c r="O238" s="283" t="s">
        <v>2</v>
      </c>
      <c r="P238" s="284"/>
      <c r="Q238" s="284"/>
      <c r="R238" s="93"/>
      <c r="S238" s="93"/>
      <c r="T238" s="93"/>
    </row>
    <row r="239" spans="1:20" ht="18.75" customHeight="1">
      <c r="A239" s="280" t="s">
        <v>35</v>
      </c>
      <c r="B239" s="280" t="s">
        <v>3</v>
      </c>
      <c r="C239" s="285" t="s">
        <v>4</v>
      </c>
      <c r="D239" s="190" t="s">
        <v>5</v>
      </c>
      <c r="E239" s="190" t="s">
        <v>5</v>
      </c>
      <c r="F239" s="287" t="s">
        <v>6</v>
      </c>
      <c r="G239" s="287" t="s">
        <v>7</v>
      </c>
      <c r="H239" s="287" t="s">
        <v>8</v>
      </c>
      <c r="I239" s="287" t="s">
        <v>9</v>
      </c>
      <c r="J239" s="287" t="s">
        <v>159</v>
      </c>
      <c r="K239" s="280" t="s">
        <v>10</v>
      </c>
      <c r="L239" s="280" t="s">
        <v>11</v>
      </c>
      <c r="M239" s="280" t="s">
        <v>12</v>
      </c>
      <c r="N239" s="280" t="s">
        <v>13</v>
      </c>
      <c r="O239" s="280" t="s">
        <v>14</v>
      </c>
      <c r="P239" s="280" t="s">
        <v>15</v>
      </c>
      <c r="Q239" s="280" t="s">
        <v>9</v>
      </c>
      <c r="R239" s="93"/>
      <c r="S239" s="93"/>
      <c r="T239" s="93"/>
    </row>
    <row r="240" spans="1:20" ht="18.75" customHeight="1">
      <c r="A240" s="281"/>
      <c r="B240" s="281"/>
      <c r="C240" s="286"/>
      <c r="D240" s="191" t="s">
        <v>146</v>
      </c>
      <c r="E240" s="191" t="s">
        <v>164</v>
      </c>
      <c r="F240" s="288"/>
      <c r="G240" s="288"/>
      <c r="H240" s="288"/>
      <c r="I240" s="288"/>
      <c r="J240" s="288"/>
      <c r="K240" s="282"/>
      <c r="L240" s="282"/>
      <c r="M240" s="282"/>
      <c r="N240" s="282"/>
      <c r="O240" s="282"/>
      <c r="P240" s="282"/>
      <c r="Q240" s="282"/>
      <c r="R240" s="93"/>
      <c r="S240" s="93"/>
      <c r="T240" s="93"/>
    </row>
    <row r="241" spans="1:20">
      <c r="A241" s="282"/>
      <c r="B241" s="282"/>
      <c r="C241" s="289" t="s">
        <v>16</v>
      </c>
      <c r="D241" s="290"/>
      <c r="E241" s="290"/>
      <c r="F241" s="290"/>
      <c r="G241" s="290"/>
      <c r="H241" s="290"/>
      <c r="I241" s="290"/>
      <c r="J241" s="290"/>
      <c r="K241" s="290"/>
      <c r="L241" s="290"/>
      <c r="M241" s="290"/>
      <c r="N241" s="290"/>
      <c r="O241" s="290"/>
      <c r="P241" s="290"/>
      <c r="Q241" s="291"/>
      <c r="R241" s="93"/>
      <c r="S241" s="93"/>
      <c r="T241" s="93"/>
    </row>
    <row r="242" spans="1:20" ht="21">
      <c r="A242" s="265">
        <v>1</v>
      </c>
      <c r="B242" s="262" t="s">
        <v>18</v>
      </c>
      <c r="C242" s="78" t="s">
        <v>21</v>
      </c>
      <c r="D242" s="80">
        <v>1</v>
      </c>
      <c r="E242" s="80">
        <v>1</v>
      </c>
      <c r="F242" s="79">
        <v>0</v>
      </c>
      <c r="G242" s="79">
        <v>1662</v>
      </c>
      <c r="H242" s="79">
        <v>0</v>
      </c>
      <c r="I242" s="80">
        <f t="shared" ref="I242:I248" si="57">SUM(G242:H242)</f>
        <v>1662</v>
      </c>
      <c r="J242" s="145">
        <f>ROUND(I242*0.64,0)</f>
        <v>1064</v>
      </c>
      <c r="K242" s="79">
        <v>0</v>
      </c>
      <c r="L242" s="79">
        <v>0</v>
      </c>
      <c r="M242" s="79">
        <v>0</v>
      </c>
      <c r="N242" s="79">
        <v>0</v>
      </c>
      <c r="O242" s="79">
        <v>0</v>
      </c>
      <c r="P242" s="79">
        <v>0</v>
      </c>
      <c r="Q242" s="80">
        <f t="shared" ref="Q242:Q248" si="58">SUM(F242+I242+J242+K242+L242+M242+N242+O242+P242)</f>
        <v>2726</v>
      </c>
    </row>
    <row r="243" spans="1:20" ht="21">
      <c r="A243" s="274"/>
      <c r="B243" s="276"/>
      <c r="C243" s="78" t="s">
        <v>22</v>
      </c>
      <c r="D243" s="80">
        <v>0</v>
      </c>
      <c r="E243" s="80">
        <v>0</v>
      </c>
      <c r="F243" s="79">
        <v>0</v>
      </c>
      <c r="G243" s="79">
        <v>0</v>
      </c>
      <c r="H243" s="79">
        <v>0</v>
      </c>
      <c r="I243" s="80">
        <f t="shared" si="57"/>
        <v>0</v>
      </c>
      <c r="J243" s="145">
        <f t="shared" ref="J243:J255" si="59">ROUND(I243*0.64,0)</f>
        <v>0</v>
      </c>
      <c r="K243" s="79">
        <v>0</v>
      </c>
      <c r="L243" s="79">
        <v>0</v>
      </c>
      <c r="M243" s="79">
        <v>0</v>
      </c>
      <c r="N243" s="79">
        <v>0</v>
      </c>
      <c r="O243" s="79">
        <v>0</v>
      </c>
      <c r="P243" s="79">
        <v>0</v>
      </c>
      <c r="Q243" s="80">
        <f t="shared" si="58"/>
        <v>0</v>
      </c>
    </row>
    <row r="244" spans="1:20" ht="21">
      <c r="A244" s="274"/>
      <c r="B244" s="276"/>
      <c r="C244" s="78" t="s">
        <v>23</v>
      </c>
      <c r="D244" s="80">
        <v>1</v>
      </c>
      <c r="E244" s="80">
        <v>1</v>
      </c>
      <c r="F244" s="79">
        <v>0</v>
      </c>
      <c r="G244" s="79">
        <v>1217</v>
      </c>
      <c r="H244" s="79">
        <v>0</v>
      </c>
      <c r="I244" s="80">
        <f t="shared" si="57"/>
        <v>1217</v>
      </c>
      <c r="J244" s="145">
        <f t="shared" si="59"/>
        <v>779</v>
      </c>
      <c r="K244" s="79">
        <v>0</v>
      </c>
      <c r="L244" s="79">
        <v>0</v>
      </c>
      <c r="M244" s="79">
        <v>32</v>
      </c>
      <c r="N244" s="79">
        <v>0</v>
      </c>
      <c r="O244" s="79">
        <v>0</v>
      </c>
      <c r="P244" s="79">
        <v>0</v>
      </c>
      <c r="Q244" s="80">
        <f t="shared" si="58"/>
        <v>2028</v>
      </c>
    </row>
    <row r="245" spans="1:20" ht="21">
      <c r="A245" s="274"/>
      <c r="B245" s="276"/>
      <c r="C245" s="78" t="s">
        <v>24</v>
      </c>
      <c r="D245" s="80">
        <v>12</v>
      </c>
      <c r="E245" s="80">
        <v>12</v>
      </c>
      <c r="F245" s="79">
        <v>0</v>
      </c>
      <c r="G245" s="79">
        <v>11748</v>
      </c>
      <c r="H245" s="79">
        <v>0</v>
      </c>
      <c r="I245" s="80">
        <f t="shared" si="57"/>
        <v>11748</v>
      </c>
      <c r="J245" s="145">
        <f t="shared" si="59"/>
        <v>7519</v>
      </c>
      <c r="K245" s="79">
        <v>0</v>
      </c>
      <c r="L245" s="79">
        <v>1175</v>
      </c>
      <c r="M245" s="79">
        <v>49</v>
      </c>
      <c r="N245" s="79">
        <v>0</v>
      </c>
      <c r="O245" s="79">
        <v>0</v>
      </c>
      <c r="P245" s="79">
        <v>0</v>
      </c>
      <c r="Q245" s="80">
        <f t="shared" si="58"/>
        <v>20491</v>
      </c>
    </row>
    <row r="246" spans="1:20" ht="21">
      <c r="A246" s="274"/>
      <c r="B246" s="276"/>
      <c r="C246" s="78" t="s">
        <v>25</v>
      </c>
      <c r="D246" s="80">
        <v>9</v>
      </c>
      <c r="E246" s="80">
        <v>9</v>
      </c>
      <c r="F246" s="79">
        <v>0</v>
      </c>
      <c r="G246" s="79">
        <v>7333</v>
      </c>
      <c r="H246" s="79">
        <v>0</v>
      </c>
      <c r="I246" s="80">
        <f t="shared" si="57"/>
        <v>7333</v>
      </c>
      <c r="J246" s="145">
        <f t="shared" si="59"/>
        <v>4693</v>
      </c>
      <c r="K246" s="79">
        <v>0</v>
      </c>
      <c r="L246" s="79">
        <v>733</v>
      </c>
      <c r="M246" s="79">
        <v>146</v>
      </c>
      <c r="N246" s="79">
        <v>0</v>
      </c>
      <c r="O246" s="79">
        <v>0</v>
      </c>
      <c r="P246" s="79">
        <v>0</v>
      </c>
      <c r="Q246" s="80">
        <f t="shared" si="58"/>
        <v>12905</v>
      </c>
    </row>
    <row r="247" spans="1:20" ht="21">
      <c r="A247" s="274"/>
      <c r="B247" s="276"/>
      <c r="C247" s="78" t="s">
        <v>26</v>
      </c>
      <c r="D247" s="80">
        <v>0</v>
      </c>
      <c r="E247" s="80">
        <v>0</v>
      </c>
      <c r="F247" s="79">
        <v>0</v>
      </c>
      <c r="G247" s="79">
        <v>0</v>
      </c>
      <c r="H247" s="79">
        <v>0</v>
      </c>
      <c r="I247" s="80">
        <f t="shared" si="57"/>
        <v>0</v>
      </c>
      <c r="J247" s="145">
        <f t="shared" si="59"/>
        <v>0</v>
      </c>
      <c r="K247" s="79">
        <v>0</v>
      </c>
      <c r="L247" s="79">
        <v>0</v>
      </c>
      <c r="M247" s="79">
        <v>0</v>
      </c>
      <c r="N247" s="79">
        <v>0</v>
      </c>
      <c r="O247" s="79">
        <v>0</v>
      </c>
      <c r="P247" s="79">
        <v>0</v>
      </c>
      <c r="Q247" s="80">
        <f t="shared" si="58"/>
        <v>0</v>
      </c>
    </row>
    <row r="248" spans="1:20" ht="21">
      <c r="A248" s="274"/>
      <c r="B248" s="276"/>
      <c r="C248" s="146" t="s">
        <v>27</v>
      </c>
      <c r="D248" s="80">
        <v>0</v>
      </c>
      <c r="E248" s="80">
        <v>0</v>
      </c>
      <c r="F248" s="79">
        <v>0</v>
      </c>
      <c r="G248" s="79">
        <v>0</v>
      </c>
      <c r="H248" s="79">
        <v>0</v>
      </c>
      <c r="I248" s="80">
        <f t="shared" si="57"/>
        <v>0</v>
      </c>
      <c r="J248" s="145">
        <f t="shared" si="59"/>
        <v>0</v>
      </c>
      <c r="K248" s="79">
        <v>0</v>
      </c>
      <c r="L248" s="79">
        <v>0</v>
      </c>
      <c r="M248" s="79">
        <v>0</v>
      </c>
      <c r="N248" s="79">
        <v>0</v>
      </c>
      <c r="O248" s="79">
        <v>0</v>
      </c>
      <c r="P248" s="79">
        <v>0</v>
      </c>
      <c r="Q248" s="80">
        <f t="shared" si="58"/>
        <v>0</v>
      </c>
    </row>
    <row r="249" spans="1:20" ht="21">
      <c r="A249" s="265">
        <v>2</v>
      </c>
      <c r="B249" s="262" t="s">
        <v>19</v>
      </c>
      <c r="C249" s="81" t="s">
        <v>28</v>
      </c>
      <c r="D249" s="80">
        <v>0</v>
      </c>
      <c r="E249" s="80">
        <v>0</v>
      </c>
      <c r="F249" s="79">
        <v>0</v>
      </c>
      <c r="G249" s="79">
        <v>0</v>
      </c>
      <c r="H249" s="79">
        <v>0</v>
      </c>
      <c r="I249" s="80">
        <f t="shared" ref="I249:I255" si="60">SUM(G249:H249)</f>
        <v>0</v>
      </c>
      <c r="J249" s="145">
        <f t="shared" si="59"/>
        <v>0</v>
      </c>
      <c r="K249" s="79">
        <v>0</v>
      </c>
      <c r="L249" s="79">
        <v>0</v>
      </c>
      <c r="M249" s="79">
        <v>0</v>
      </c>
      <c r="N249" s="79">
        <v>0</v>
      </c>
      <c r="O249" s="79">
        <v>0</v>
      </c>
      <c r="P249" s="79">
        <v>0</v>
      </c>
      <c r="Q249" s="80">
        <f t="shared" ref="Q249:Q255" si="61">SUM(F249+I249+J249+K249+L249+M249+N249+O249+P249)</f>
        <v>0</v>
      </c>
    </row>
    <row r="250" spans="1:20" ht="21">
      <c r="A250" s="266"/>
      <c r="B250" s="263"/>
      <c r="C250" s="81" t="s">
        <v>29</v>
      </c>
      <c r="D250" s="91">
        <v>1</v>
      </c>
      <c r="E250" s="91">
        <v>1</v>
      </c>
      <c r="F250" s="79">
        <v>0</v>
      </c>
      <c r="G250" s="79">
        <v>1198</v>
      </c>
      <c r="H250" s="79">
        <v>0</v>
      </c>
      <c r="I250" s="80">
        <f t="shared" si="60"/>
        <v>1198</v>
      </c>
      <c r="J250" s="145">
        <f t="shared" si="59"/>
        <v>767</v>
      </c>
      <c r="K250" s="79">
        <v>0</v>
      </c>
      <c r="L250" s="79">
        <v>120</v>
      </c>
      <c r="M250" s="79">
        <v>16</v>
      </c>
      <c r="N250" s="79">
        <v>0</v>
      </c>
      <c r="O250" s="79">
        <v>0</v>
      </c>
      <c r="P250" s="79">
        <v>0</v>
      </c>
      <c r="Q250" s="80">
        <f t="shared" si="61"/>
        <v>2101</v>
      </c>
    </row>
    <row r="251" spans="1:20" ht="36.75" customHeight="1">
      <c r="A251" s="266"/>
      <c r="B251" s="263"/>
      <c r="C251" s="81" t="s">
        <v>45</v>
      </c>
      <c r="D251" s="80">
        <v>0</v>
      </c>
      <c r="E251" s="80">
        <v>0</v>
      </c>
      <c r="F251" s="79">
        <v>0</v>
      </c>
      <c r="G251" s="79">
        <v>0</v>
      </c>
      <c r="H251" s="79">
        <v>0</v>
      </c>
      <c r="I251" s="80">
        <f t="shared" si="60"/>
        <v>0</v>
      </c>
      <c r="J251" s="145">
        <f t="shared" si="59"/>
        <v>0</v>
      </c>
      <c r="K251" s="79">
        <v>0</v>
      </c>
      <c r="L251" s="79">
        <v>0</v>
      </c>
      <c r="M251" s="79">
        <v>0</v>
      </c>
      <c r="N251" s="79">
        <v>0</v>
      </c>
      <c r="O251" s="79">
        <v>0</v>
      </c>
      <c r="P251" s="79">
        <v>0</v>
      </c>
      <c r="Q251" s="80">
        <f t="shared" si="61"/>
        <v>0</v>
      </c>
    </row>
    <row r="252" spans="1:20" ht="21">
      <c r="A252" s="266"/>
      <c r="B252" s="263"/>
      <c r="C252" s="81" t="s">
        <v>31</v>
      </c>
      <c r="D252" s="91">
        <v>17</v>
      </c>
      <c r="E252" s="91">
        <v>17</v>
      </c>
      <c r="F252" s="79">
        <v>0</v>
      </c>
      <c r="G252" s="79">
        <v>10282</v>
      </c>
      <c r="H252" s="79">
        <v>0</v>
      </c>
      <c r="I252" s="80">
        <f t="shared" si="60"/>
        <v>10282</v>
      </c>
      <c r="J252" s="145">
        <f t="shared" si="59"/>
        <v>6580</v>
      </c>
      <c r="K252" s="79">
        <v>0</v>
      </c>
      <c r="L252" s="79">
        <v>1028</v>
      </c>
      <c r="M252" s="79">
        <v>275</v>
      </c>
      <c r="N252" s="79">
        <v>0</v>
      </c>
      <c r="O252" s="79">
        <v>0</v>
      </c>
      <c r="P252" s="79">
        <v>0</v>
      </c>
      <c r="Q252" s="80">
        <f t="shared" si="61"/>
        <v>18165</v>
      </c>
    </row>
    <row r="253" spans="1:20" ht="21">
      <c r="A253" s="266"/>
      <c r="B253" s="263"/>
      <c r="C253" s="81" t="s">
        <v>32</v>
      </c>
      <c r="D253" s="91">
        <v>67</v>
      </c>
      <c r="E253" s="91">
        <v>67</v>
      </c>
      <c r="F253" s="79">
        <v>0</v>
      </c>
      <c r="G253" s="79">
        <v>28447</v>
      </c>
      <c r="H253" s="79">
        <v>0</v>
      </c>
      <c r="I253" s="80">
        <f t="shared" si="60"/>
        <v>28447</v>
      </c>
      <c r="J253" s="145">
        <f t="shared" si="59"/>
        <v>18206</v>
      </c>
      <c r="K253" s="79">
        <v>0</v>
      </c>
      <c r="L253" s="79">
        <v>2845</v>
      </c>
      <c r="M253" s="79">
        <v>1085</v>
      </c>
      <c r="N253" s="79">
        <v>0</v>
      </c>
      <c r="O253" s="79">
        <v>0</v>
      </c>
      <c r="P253" s="79">
        <v>0</v>
      </c>
      <c r="Q253" s="80">
        <f t="shared" si="61"/>
        <v>50583</v>
      </c>
    </row>
    <row r="254" spans="1:20" ht="21">
      <c r="A254" s="267"/>
      <c r="B254" s="264"/>
      <c r="C254" s="81" t="s">
        <v>33</v>
      </c>
      <c r="D254" s="80">
        <v>7</v>
      </c>
      <c r="E254" s="80">
        <v>7</v>
      </c>
      <c r="F254" s="79">
        <v>0</v>
      </c>
      <c r="G254" s="79">
        <v>2902</v>
      </c>
      <c r="H254" s="79">
        <v>0</v>
      </c>
      <c r="I254" s="80">
        <f t="shared" si="60"/>
        <v>2902</v>
      </c>
      <c r="J254" s="145">
        <f t="shared" si="59"/>
        <v>1857</v>
      </c>
      <c r="K254" s="79">
        <v>0</v>
      </c>
      <c r="L254" s="79">
        <v>290</v>
      </c>
      <c r="M254" s="79">
        <v>113</v>
      </c>
      <c r="N254" s="79">
        <v>0</v>
      </c>
      <c r="O254" s="79">
        <v>0</v>
      </c>
      <c r="P254" s="79">
        <v>0</v>
      </c>
      <c r="Q254" s="80">
        <f t="shared" si="61"/>
        <v>5162</v>
      </c>
    </row>
    <row r="255" spans="1:20" ht="21">
      <c r="A255" s="141">
        <v>3</v>
      </c>
      <c r="B255" s="142" t="s">
        <v>20</v>
      </c>
      <c r="C255" s="82" t="s">
        <v>34</v>
      </c>
      <c r="D255" s="91">
        <v>46</v>
      </c>
      <c r="E255" s="91">
        <v>46</v>
      </c>
      <c r="F255" s="79">
        <v>0</v>
      </c>
      <c r="G255" s="79">
        <v>19302</v>
      </c>
      <c r="H255" s="79">
        <v>0</v>
      </c>
      <c r="I255" s="80">
        <f t="shared" si="60"/>
        <v>19302</v>
      </c>
      <c r="J255" s="145">
        <f t="shared" si="59"/>
        <v>12353</v>
      </c>
      <c r="K255" s="79">
        <v>0</v>
      </c>
      <c r="L255" s="79">
        <v>1930</v>
      </c>
      <c r="M255" s="79">
        <v>745</v>
      </c>
      <c r="N255" s="79">
        <v>0</v>
      </c>
      <c r="O255" s="79">
        <v>0</v>
      </c>
      <c r="P255" s="79">
        <v>0</v>
      </c>
      <c r="Q255" s="80">
        <f t="shared" si="61"/>
        <v>34330</v>
      </c>
    </row>
    <row r="256" spans="1:20" s="149" customFormat="1" ht="21.6" thickBot="1">
      <c r="A256" s="83" t="s">
        <v>36</v>
      </c>
      <c r="B256" s="83" t="s">
        <v>36</v>
      </c>
      <c r="C256" s="84" t="s">
        <v>9</v>
      </c>
      <c r="D256" s="147">
        <f t="shared" ref="D256:Q256" si="62">SUM(D242:D255)</f>
        <v>161</v>
      </c>
      <c r="E256" s="147">
        <f t="shared" si="62"/>
        <v>161</v>
      </c>
      <c r="F256" s="147">
        <f t="shared" si="62"/>
        <v>0</v>
      </c>
      <c r="G256" s="147">
        <f t="shared" si="62"/>
        <v>84091</v>
      </c>
      <c r="H256" s="147">
        <f t="shared" si="62"/>
        <v>0</v>
      </c>
      <c r="I256" s="147">
        <f t="shared" si="62"/>
        <v>84091</v>
      </c>
      <c r="J256" s="147">
        <f t="shared" si="62"/>
        <v>53818</v>
      </c>
      <c r="K256" s="147">
        <f t="shared" si="62"/>
        <v>0</v>
      </c>
      <c r="L256" s="147">
        <f t="shared" si="62"/>
        <v>8121</v>
      </c>
      <c r="M256" s="147">
        <f t="shared" si="62"/>
        <v>2461</v>
      </c>
      <c r="N256" s="147">
        <f t="shared" si="62"/>
        <v>0</v>
      </c>
      <c r="O256" s="147">
        <f t="shared" si="62"/>
        <v>0</v>
      </c>
      <c r="P256" s="147">
        <f t="shared" si="62"/>
        <v>0</v>
      </c>
      <c r="Q256" s="147">
        <f t="shared" si="62"/>
        <v>148491</v>
      </c>
      <c r="R256" s="148"/>
      <c r="S256" s="148"/>
      <c r="T256" s="148"/>
    </row>
    <row r="257" spans="1:20" s="149" customFormat="1" ht="21.6" thickTop="1">
      <c r="A257" s="85"/>
      <c r="B257" s="85"/>
      <c r="C257" s="86"/>
      <c r="D257" s="150">
        <f>E242+E243+E244+E245+E246+E247+E248</f>
        <v>23</v>
      </c>
      <c r="E257" s="150">
        <f>E250+E251+E252+E253+E254</f>
        <v>92</v>
      </c>
      <c r="F257" s="150"/>
      <c r="G257" s="150"/>
      <c r="H257" s="150"/>
      <c r="I257" s="150"/>
      <c r="J257" s="150"/>
      <c r="K257" s="150"/>
      <c r="L257" s="150"/>
      <c r="M257" s="150"/>
      <c r="N257" s="150"/>
      <c r="O257" s="150"/>
      <c r="P257" s="150"/>
      <c r="Q257" s="150"/>
      <c r="R257" s="148"/>
      <c r="S257" s="148"/>
      <c r="T257" s="148"/>
    </row>
    <row r="258" spans="1:20">
      <c r="A258" s="278" t="s">
        <v>156</v>
      </c>
      <c r="B258" s="279"/>
      <c r="C258" s="279"/>
      <c r="D258" s="279"/>
      <c r="E258" s="279"/>
      <c r="F258" s="279"/>
      <c r="G258" s="279"/>
      <c r="H258" s="279"/>
      <c r="I258" s="279"/>
      <c r="J258" s="279"/>
      <c r="K258" s="279"/>
      <c r="L258" s="279"/>
      <c r="M258" s="279"/>
      <c r="N258" s="279"/>
      <c r="O258" s="279"/>
      <c r="P258" s="279"/>
      <c r="Q258" s="279"/>
      <c r="R258" s="93"/>
      <c r="S258" s="93"/>
      <c r="T258" s="93"/>
    </row>
    <row r="259" spans="1:20">
      <c r="A259" s="278" t="s">
        <v>17</v>
      </c>
      <c r="B259" s="279"/>
      <c r="C259" s="279"/>
      <c r="D259" s="279"/>
      <c r="E259" s="279"/>
      <c r="F259" s="279"/>
      <c r="G259" s="279"/>
      <c r="H259" s="279"/>
      <c r="I259" s="279"/>
      <c r="J259" s="279"/>
      <c r="K259" s="279"/>
      <c r="L259" s="279"/>
      <c r="M259" s="279"/>
      <c r="N259" s="279"/>
      <c r="O259" s="279"/>
      <c r="P259" s="279"/>
      <c r="Q259" s="279"/>
      <c r="R259" s="93"/>
      <c r="S259" s="93"/>
      <c r="T259" s="93"/>
    </row>
    <row r="260" spans="1:20" ht="22.8">
      <c r="A260" s="74" t="s">
        <v>50</v>
      </c>
      <c r="B260" s="75"/>
      <c r="C260" s="75"/>
      <c r="D260" s="77"/>
      <c r="E260" s="77"/>
      <c r="F260" s="77"/>
      <c r="G260" s="77"/>
      <c r="H260" s="77"/>
      <c r="I260" s="77"/>
      <c r="J260" s="77"/>
      <c r="K260" s="77"/>
      <c r="L260" s="77"/>
      <c r="M260" s="77"/>
      <c r="N260" s="77"/>
      <c r="O260" s="283" t="s">
        <v>2</v>
      </c>
      <c r="P260" s="284"/>
      <c r="Q260" s="284"/>
      <c r="R260" s="93"/>
      <c r="S260" s="93"/>
      <c r="T260" s="93"/>
    </row>
    <row r="261" spans="1:20" ht="18.75" customHeight="1">
      <c r="A261" s="280" t="s">
        <v>35</v>
      </c>
      <c r="B261" s="280" t="s">
        <v>3</v>
      </c>
      <c r="C261" s="285" t="s">
        <v>4</v>
      </c>
      <c r="D261" s="190" t="s">
        <v>5</v>
      </c>
      <c r="E261" s="190" t="s">
        <v>5</v>
      </c>
      <c r="F261" s="287" t="s">
        <v>6</v>
      </c>
      <c r="G261" s="287" t="s">
        <v>7</v>
      </c>
      <c r="H261" s="287" t="s">
        <v>8</v>
      </c>
      <c r="I261" s="287" t="s">
        <v>9</v>
      </c>
      <c r="J261" s="287" t="s">
        <v>159</v>
      </c>
      <c r="K261" s="280" t="s">
        <v>10</v>
      </c>
      <c r="L261" s="280" t="s">
        <v>11</v>
      </c>
      <c r="M261" s="280" t="s">
        <v>12</v>
      </c>
      <c r="N261" s="280" t="s">
        <v>13</v>
      </c>
      <c r="O261" s="280" t="s">
        <v>14</v>
      </c>
      <c r="P261" s="280" t="s">
        <v>15</v>
      </c>
      <c r="Q261" s="280" t="s">
        <v>9</v>
      </c>
      <c r="R261" s="93"/>
      <c r="S261" s="93"/>
      <c r="T261" s="93"/>
    </row>
    <row r="262" spans="1:20" ht="18.75" customHeight="1">
      <c r="A262" s="281"/>
      <c r="B262" s="281"/>
      <c r="C262" s="286"/>
      <c r="D262" s="191" t="s">
        <v>146</v>
      </c>
      <c r="E262" s="191" t="s">
        <v>164</v>
      </c>
      <c r="F262" s="288"/>
      <c r="G262" s="288"/>
      <c r="H262" s="288"/>
      <c r="I262" s="288"/>
      <c r="J262" s="288"/>
      <c r="K262" s="282"/>
      <c r="L262" s="282"/>
      <c r="M262" s="282"/>
      <c r="N262" s="282"/>
      <c r="O262" s="282"/>
      <c r="P262" s="282"/>
      <c r="Q262" s="282"/>
      <c r="R262" s="93"/>
      <c r="S262" s="93"/>
      <c r="T262" s="93"/>
    </row>
    <row r="263" spans="1:20">
      <c r="A263" s="282"/>
      <c r="B263" s="282"/>
      <c r="C263" s="289" t="s">
        <v>37</v>
      </c>
      <c r="D263" s="290"/>
      <c r="E263" s="290"/>
      <c r="F263" s="290"/>
      <c r="G263" s="290"/>
      <c r="H263" s="290"/>
      <c r="I263" s="290"/>
      <c r="J263" s="290"/>
      <c r="K263" s="290"/>
      <c r="L263" s="290"/>
      <c r="M263" s="290"/>
      <c r="N263" s="290"/>
      <c r="O263" s="290"/>
      <c r="P263" s="290"/>
      <c r="Q263" s="291"/>
      <c r="R263" s="93"/>
      <c r="S263" s="93"/>
      <c r="T263" s="93"/>
    </row>
    <row r="264" spans="1:20" ht="20.399999999999999">
      <c r="A264" s="265">
        <v>1</v>
      </c>
      <c r="B264" s="262" t="s">
        <v>18</v>
      </c>
      <c r="C264" s="78" t="s">
        <v>109</v>
      </c>
      <c r="D264" s="90">
        <v>0</v>
      </c>
      <c r="E264" s="90">
        <v>0</v>
      </c>
      <c r="F264" s="79">
        <v>0</v>
      </c>
      <c r="G264" s="79">
        <v>0</v>
      </c>
      <c r="H264" s="79">
        <v>0</v>
      </c>
      <c r="I264" s="90">
        <f t="shared" ref="I264:I272" si="63">SUM(G264:H264)</f>
        <v>0</v>
      </c>
      <c r="J264" s="145">
        <f>ROUND(I264*0.64,0)</f>
        <v>0</v>
      </c>
      <c r="K264" s="89">
        <v>0</v>
      </c>
      <c r="L264" s="89">
        <v>0</v>
      </c>
      <c r="M264" s="89">
        <v>0</v>
      </c>
      <c r="N264" s="89">
        <v>0</v>
      </c>
      <c r="O264" s="89">
        <v>0</v>
      </c>
      <c r="P264" s="89">
        <v>0</v>
      </c>
      <c r="Q264" s="91">
        <f t="shared" ref="Q264:Q270" si="64">SUM(F264+I264+J264+K264+L264+M264+N264+O264+P264)</f>
        <v>0</v>
      </c>
    </row>
    <row r="265" spans="1:20" ht="20.399999999999999">
      <c r="A265" s="274"/>
      <c r="B265" s="276"/>
      <c r="C265" s="78" t="s">
        <v>22</v>
      </c>
      <c r="D265" s="88">
        <v>1</v>
      </c>
      <c r="E265" s="88">
        <v>1</v>
      </c>
      <c r="F265" s="79">
        <v>0</v>
      </c>
      <c r="G265" s="79">
        <v>1390</v>
      </c>
      <c r="H265" s="79">
        <v>0</v>
      </c>
      <c r="I265" s="90">
        <f t="shared" si="63"/>
        <v>1390</v>
      </c>
      <c r="J265" s="145">
        <f>ROUND(I265*0.64,0)</f>
        <v>890</v>
      </c>
      <c r="K265" s="89">
        <v>0</v>
      </c>
      <c r="L265" s="89">
        <v>0</v>
      </c>
      <c r="M265" s="89">
        <v>0</v>
      </c>
      <c r="N265" s="89">
        <v>0</v>
      </c>
      <c r="O265" s="89">
        <v>0</v>
      </c>
      <c r="P265" s="89">
        <v>0</v>
      </c>
      <c r="Q265" s="91">
        <f t="shared" si="64"/>
        <v>2280</v>
      </c>
    </row>
    <row r="266" spans="1:20" ht="36" customHeight="1">
      <c r="A266" s="274"/>
      <c r="B266" s="276"/>
      <c r="C266" s="78" t="s">
        <v>38</v>
      </c>
      <c r="D266" s="88">
        <v>1</v>
      </c>
      <c r="E266" s="88">
        <v>1</v>
      </c>
      <c r="F266" s="79">
        <v>0</v>
      </c>
      <c r="G266" s="79">
        <v>1217</v>
      </c>
      <c r="H266" s="79">
        <v>0</v>
      </c>
      <c r="I266" s="90">
        <f t="shared" si="63"/>
        <v>1217</v>
      </c>
      <c r="J266" s="145">
        <f t="shared" ref="J266:J280" si="65">ROUND(I266*0.64,0)</f>
        <v>779</v>
      </c>
      <c r="K266" s="89">
        <v>0</v>
      </c>
      <c r="L266" s="89">
        <v>122</v>
      </c>
      <c r="M266" s="89">
        <v>32</v>
      </c>
      <c r="N266" s="89">
        <v>0</v>
      </c>
      <c r="O266" s="89">
        <v>0</v>
      </c>
      <c r="P266" s="89">
        <v>0</v>
      </c>
      <c r="Q266" s="91">
        <f t="shared" si="64"/>
        <v>2150</v>
      </c>
    </row>
    <row r="267" spans="1:20" ht="30">
      <c r="A267" s="274"/>
      <c r="B267" s="276"/>
      <c r="C267" s="78" t="s">
        <v>39</v>
      </c>
      <c r="D267" s="88">
        <v>2</v>
      </c>
      <c r="E267" s="88">
        <v>2</v>
      </c>
      <c r="F267" s="79">
        <v>0</v>
      </c>
      <c r="G267" s="79">
        <v>2004</v>
      </c>
      <c r="H267" s="79">
        <v>0</v>
      </c>
      <c r="I267" s="90">
        <f t="shared" si="63"/>
        <v>2004</v>
      </c>
      <c r="J267" s="145">
        <f t="shared" si="65"/>
        <v>1283</v>
      </c>
      <c r="K267" s="89">
        <v>0</v>
      </c>
      <c r="L267" s="89">
        <v>200</v>
      </c>
      <c r="M267" s="89">
        <v>32</v>
      </c>
      <c r="N267" s="89">
        <v>0</v>
      </c>
      <c r="O267" s="89">
        <v>0</v>
      </c>
      <c r="P267" s="89">
        <v>0</v>
      </c>
      <c r="Q267" s="91">
        <f t="shared" si="64"/>
        <v>3519</v>
      </c>
    </row>
    <row r="268" spans="1:20" ht="18.75" customHeight="1">
      <c r="A268" s="274"/>
      <c r="B268" s="276"/>
      <c r="C268" s="78" t="s">
        <v>40</v>
      </c>
      <c r="D268" s="88">
        <v>12</v>
      </c>
      <c r="E268" s="88">
        <v>12</v>
      </c>
      <c r="F268" s="79">
        <v>0</v>
      </c>
      <c r="G268" s="79">
        <v>9394</v>
      </c>
      <c r="H268" s="79">
        <v>0</v>
      </c>
      <c r="I268" s="90">
        <f t="shared" si="63"/>
        <v>9394</v>
      </c>
      <c r="J268" s="145">
        <f t="shared" si="65"/>
        <v>6012</v>
      </c>
      <c r="K268" s="89">
        <v>0</v>
      </c>
      <c r="L268" s="89">
        <v>939</v>
      </c>
      <c r="M268" s="89">
        <v>194</v>
      </c>
      <c r="N268" s="89">
        <v>0</v>
      </c>
      <c r="O268" s="89">
        <v>0</v>
      </c>
      <c r="P268" s="89">
        <v>0</v>
      </c>
      <c r="Q268" s="91">
        <f t="shared" si="64"/>
        <v>16539</v>
      </c>
    </row>
    <row r="269" spans="1:20" ht="20.399999999999999">
      <c r="A269" s="274"/>
      <c r="B269" s="276"/>
      <c r="C269" s="78" t="s">
        <v>26</v>
      </c>
      <c r="D269" s="88">
        <v>2</v>
      </c>
      <c r="E269" s="88">
        <v>2</v>
      </c>
      <c r="F269" s="79">
        <v>0</v>
      </c>
      <c r="G269" s="79">
        <v>1680</v>
      </c>
      <c r="H269" s="79">
        <v>0</v>
      </c>
      <c r="I269" s="90">
        <f t="shared" si="63"/>
        <v>1680</v>
      </c>
      <c r="J269" s="145">
        <f t="shared" si="65"/>
        <v>1075</v>
      </c>
      <c r="K269" s="89">
        <v>0</v>
      </c>
      <c r="L269" s="89">
        <v>168</v>
      </c>
      <c r="M269" s="89">
        <v>32</v>
      </c>
      <c r="N269" s="89">
        <v>0</v>
      </c>
      <c r="O269" s="89">
        <v>0</v>
      </c>
      <c r="P269" s="89">
        <v>0</v>
      </c>
      <c r="Q269" s="91">
        <f t="shared" si="64"/>
        <v>2955</v>
      </c>
    </row>
    <row r="270" spans="1:20" ht="20.399999999999999">
      <c r="A270" s="274"/>
      <c r="B270" s="276"/>
      <c r="C270" s="78" t="s">
        <v>27</v>
      </c>
      <c r="D270" s="88">
        <v>1</v>
      </c>
      <c r="E270" s="88">
        <v>1</v>
      </c>
      <c r="F270" s="79">
        <v>0</v>
      </c>
      <c r="G270" s="79">
        <v>582</v>
      </c>
      <c r="H270" s="79">
        <v>0</v>
      </c>
      <c r="I270" s="90">
        <f t="shared" si="63"/>
        <v>582</v>
      </c>
      <c r="J270" s="145">
        <f t="shared" si="65"/>
        <v>372</v>
      </c>
      <c r="K270" s="89">
        <v>0</v>
      </c>
      <c r="L270" s="89">
        <v>58</v>
      </c>
      <c r="M270" s="89">
        <v>16</v>
      </c>
      <c r="N270" s="89">
        <v>0</v>
      </c>
      <c r="O270" s="89">
        <v>0</v>
      </c>
      <c r="P270" s="89">
        <v>0</v>
      </c>
      <c r="Q270" s="91">
        <f t="shared" si="64"/>
        <v>1028</v>
      </c>
    </row>
    <row r="271" spans="1:20">
      <c r="A271" s="275"/>
      <c r="B271" s="277"/>
      <c r="C271" s="78" t="s">
        <v>41</v>
      </c>
      <c r="D271" s="88">
        <v>1</v>
      </c>
      <c r="E271" s="88">
        <v>1</v>
      </c>
      <c r="F271" s="89">
        <v>0</v>
      </c>
      <c r="G271" s="89">
        <v>0</v>
      </c>
      <c r="H271" s="89">
        <v>0</v>
      </c>
      <c r="I271" s="90">
        <f t="shared" si="63"/>
        <v>0</v>
      </c>
      <c r="J271" s="145">
        <f t="shared" si="65"/>
        <v>0</v>
      </c>
      <c r="K271" s="89">
        <v>0</v>
      </c>
      <c r="L271" s="89">
        <v>0</v>
      </c>
      <c r="M271" s="89">
        <v>0</v>
      </c>
      <c r="N271" s="89">
        <v>0</v>
      </c>
      <c r="O271" s="89">
        <v>0</v>
      </c>
      <c r="P271" s="89">
        <v>0</v>
      </c>
      <c r="Q271" s="91">
        <f t="shared" ref="Q271:Q280" si="66">SUM(F271+I271+J271+K271+L271+M271+N271+O271+P271)</f>
        <v>0</v>
      </c>
      <c r="R271" s="92">
        <f>Q271+Q270+Q269+Q268+Q267+Q266+Q265+Q264</f>
        <v>28471</v>
      </c>
    </row>
    <row r="272" spans="1:20" ht="20.399999999999999">
      <c r="A272" s="265">
        <v>2</v>
      </c>
      <c r="B272" s="262" t="s">
        <v>19</v>
      </c>
      <c r="C272" s="81" t="s">
        <v>28</v>
      </c>
      <c r="D272" s="88">
        <v>1</v>
      </c>
      <c r="E272" s="88">
        <v>1</v>
      </c>
      <c r="F272" s="79">
        <v>0</v>
      </c>
      <c r="G272" s="79">
        <v>464</v>
      </c>
      <c r="H272" s="79">
        <v>0</v>
      </c>
      <c r="I272" s="90">
        <f t="shared" si="63"/>
        <v>464</v>
      </c>
      <c r="J272" s="145">
        <f t="shared" si="65"/>
        <v>297</v>
      </c>
      <c r="K272" s="89">
        <v>0</v>
      </c>
      <c r="L272" s="89">
        <v>46</v>
      </c>
      <c r="M272" s="89">
        <v>16</v>
      </c>
      <c r="N272" s="89">
        <v>0</v>
      </c>
      <c r="O272" s="89">
        <v>0</v>
      </c>
      <c r="P272" s="89">
        <v>0</v>
      </c>
      <c r="Q272" s="91">
        <f t="shared" si="66"/>
        <v>823</v>
      </c>
    </row>
    <row r="273" spans="1:20" ht="20.399999999999999">
      <c r="A273" s="266"/>
      <c r="B273" s="263"/>
      <c r="C273" s="81" t="s">
        <v>42</v>
      </c>
      <c r="D273" s="88">
        <v>60</v>
      </c>
      <c r="E273" s="88">
        <v>60</v>
      </c>
      <c r="F273" s="79">
        <v>0</v>
      </c>
      <c r="G273" s="79">
        <v>36144</v>
      </c>
      <c r="H273" s="79">
        <v>0</v>
      </c>
      <c r="I273" s="90">
        <f t="shared" ref="I273:I280" si="67">SUM(G273:H273)</f>
        <v>36144</v>
      </c>
      <c r="J273" s="145">
        <f t="shared" si="65"/>
        <v>23132</v>
      </c>
      <c r="K273" s="89">
        <v>0</v>
      </c>
      <c r="L273" s="89">
        <v>3614</v>
      </c>
      <c r="M273" s="89">
        <v>972</v>
      </c>
      <c r="N273" s="89">
        <v>0</v>
      </c>
      <c r="O273" s="89">
        <v>0</v>
      </c>
      <c r="P273" s="89">
        <v>0</v>
      </c>
      <c r="Q273" s="91">
        <f t="shared" si="66"/>
        <v>63862</v>
      </c>
    </row>
    <row r="274" spans="1:20" ht="20.399999999999999">
      <c r="A274" s="266"/>
      <c r="B274" s="263"/>
      <c r="C274" s="81" t="s">
        <v>43</v>
      </c>
      <c r="D274" s="88">
        <v>0</v>
      </c>
      <c r="E274" s="88">
        <v>0</v>
      </c>
      <c r="F274" s="79">
        <v>0</v>
      </c>
      <c r="G274" s="79">
        <v>0</v>
      </c>
      <c r="H274" s="79">
        <v>0</v>
      </c>
      <c r="I274" s="90">
        <f t="shared" si="67"/>
        <v>0</v>
      </c>
      <c r="J274" s="145">
        <f t="shared" si="65"/>
        <v>0</v>
      </c>
      <c r="K274" s="89">
        <v>0</v>
      </c>
      <c r="L274" s="89">
        <v>0</v>
      </c>
      <c r="M274" s="89">
        <v>0</v>
      </c>
      <c r="N274" s="89">
        <v>0</v>
      </c>
      <c r="O274" s="89">
        <v>0</v>
      </c>
      <c r="P274" s="89">
        <v>0</v>
      </c>
      <c r="Q274" s="91">
        <f t="shared" si="66"/>
        <v>0</v>
      </c>
    </row>
    <row r="275" spans="1:20" ht="20.399999999999999">
      <c r="A275" s="266"/>
      <c r="B275" s="263"/>
      <c r="C275" s="81" t="s">
        <v>44</v>
      </c>
      <c r="D275" s="88">
        <v>80</v>
      </c>
      <c r="E275" s="88">
        <v>80</v>
      </c>
      <c r="F275" s="79">
        <v>0</v>
      </c>
      <c r="G275" s="79">
        <v>31968</v>
      </c>
      <c r="H275" s="79">
        <v>0</v>
      </c>
      <c r="I275" s="90">
        <f t="shared" si="67"/>
        <v>31968</v>
      </c>
      <c r="J275" s="145">
        <f t="shared" si="65"/>
        <v>20460</v>
      </c>
      <c r="K275" s="89">
        <v>0</v>
      </c>
      <c r="L275" s="89">
        <v>3197</v>
      </c>
      <c r="M275" s="89">
        <v>1296</v>
      </c>
      <c r="N275" s="89">
        <v>0</v>
      </c>
      <c r="O275" s="89">
        <v>0</v>
      </c>
      <c r="P275" s="89">
        <v>0</v>
      </c>
      <c r="Q275" s="91">
        <f t="shared" si="66"/>
        <v>56921</v>
      </c>
    </row>
    <row r="276" spans="1:20" ht="20.399999999999999">
      <c r="A276" s="266"/>
      <c r="B276" s="263"/>
      <c r="C276" s="81" t="s">
        <v>29</v>
      </c>
      <c r="D276" s="88">
        <v>0</v>
      </c>
      <c r="E276" s="88">
        <v>0</v>
      </c>
      <c r="F276" s="79">
        <v>0</v>
      </c>
      <c r="G276" s="79">
        <v>0</v>
      </c>
      <c r="H276" s="79">
        <v>0</v>
      </c>
      <c r="I276" s="90">
        <f t="shared" si="67"/>
        <v>0</v>
      </c>
      <c r="J276" s="145">
        <f t="shared" si="65"/>
        <v>0</v>
      </c>
      <c r="K276" s="89">
        <v>0</v>
      </c>
      <c r="L276" s="89">
        <v>0</v>
      </c>
      <c r="M276" s="89">
        <v>0</v>
      </c>
      <c r="N276" s="89">
        <v>0</v>
      </c>
      <c r="O276" s="89">
        <v>0</v>
      </c>
      <c r="P276" s="89">
        <v>0</v>
      </c>
      <c r="Q276" s="91">
        <f t="shared" si="66"/>
        <v>0</v>
      </c>
    </row>
    <row r="277" spans="1:20" ht="36" customHeight="1">
      <c r="A277" s="266"/>
      <c r="B277" s="263"/>
      <c r="C277" s="81" t="s">
        <v>45</v>
      </c>
      <c r="D277" s="88">
        <v>4</v>
      </c>
      <c r="E277" s="88">
        <v>4</v>
      </c>
      <c r="F277" s="79">
        <v>0</v>
      </c>
      <c r="G277" s="79">
        <v>2467</v>
      </c>
      <c r="H277" s="79">
        <v>0</v>
      </c>
      <c r="I277" s="90">
        <f t="shared" si="67"/>
        <v>2467</v>
      </c>
      <c r="J277" s="145">
        <f t="shared" si="65"/>
        <v>1579</v>
      </c>
      <c r="K277" s="89">
        <v>0</v>
      </c>
      <c r="L277" s="89">
        <v>246</v>
      </c>
      <c r="M277" s="89">
        <v>64</v>
      </c>
      <c r="N277" s="89">
        <v>0</v>
      </c>
      <c r="O277" s="89">
        <v>0</v>
      </c>
      <c r="P277" s="89">
        <v>0</v>
      </c>
      <c r="Q277" s="91">
        <f t="shared" si="66"/>
        <v>4356</v>
      </c>
    </row>
    <row r="278" spans="1:20" ht="20.399999999999999">
      <c r="A278" s="266"/>
      <c r="B278" s="263"/>
      <c r="C278" s="81" t="s">
        <v>33</v>
      </c>
      <c r="D278" s="88">
        <v>4</v>
      </c>
      <c r="E278" s="88">
        <v>4</v>
      </c>
      <c r="F278" s="79">
        <v>0</v>
      </c>
      <c r="G278" s="79">
        <v>1687</v>
      </c>
      <c r="H278" s="79">
        <v>0</v>
      </c>
      <c r="I278" s="90">
        <f t="shared" si="67"/>
        <v>1687</v>
      </c>
      <c r="J278" s="145">
        <f t="shared" si="65"/>
        <v>1080</v>
      </c>
      <c r="K278" s="89">
        <v>0</v>
      </c>
      <c r="L278" s="89">
        <v>169</v>
      </c>
      <c r="M278" s="89">
        <v>65</v>
      </c>
      <c r="N278" s="89">
        <v>0</v>
      </c>
      <c r="O278" s="89">
        <v>0</v>
      </c>
      <c r="P278" s="89">
        <v>0</v>
      </c>
      <c r="Q278" s="91">
        <f t="shared" si="66"/>
        <v>3001</v>
      </c>
    </row>
    <row r="279" spans="1:20" ht="21.75" customHeight="1">
      <c r="A279" s="267"/>
      <c r="B279" s="264"/>
      <c r="C279" s="81" t="s">
        <v>46</v>
      </c>
      <c r="D279" s="88">
        <v>1</v>
      </c>
      <c r="E279" s="88">
        <v>1</v>
      </c>
      <c r="F279" s="79">
        <v>0</v>
      </c>
      <c r="G279" s="79">
        <v>335</v>
      </c>
      <c r="H279" s="79">
        <v>0</v>
      </c>
      <c r="I279" s="90">
        <f t="shared" si="67"/>
        <v>335</v>
      </c>
      <c r="J279" s="145">
        <f t="shared" si="65"/>
        <v>214</v>
      </c>
      <c r="K279" s="89">
        <v>0</v>
      </c>
      <c r="L279" s="89">
        <v>34</v>
      </c>
      <c r="M279" s="89">
        <v>16</v>
      </c>
      <c r="N279" s="89">
        <v>0</v>
      </c>
      <c r="O279" s="89">
        <v>0</v>
      </c>
      <c r="P279" s="89">
        <v>0</v>
      </c>
      <c r="Q279" s="91">
        <f t="shared" si="66"/>
        <v>599</v>
      </c>
      <c r="R279" s="92">
        <f>Q279+Q278+Q277+Q276+Q275+Q274+Q273+Q272</f>
        <v>129562</v>
      </c>
    </row>
    <row r="280" spans="1:20" ht="19.5" customHeight="1">
      <c r="A280" s="143">
        <v>3</v>
      </c>
      <c r="B280" s="144" t="s">
        <v>20</v>
      </c>
      <c r="C280" s="82" t="s">
        <v>34</v>
      </c>
      <c r="D280" s="88">
        <v>28</v>
      </c>
      <c r="E280" s="88">
        <v>28</v>
      </c>
      <c r="F280" s="79">
        <v>0</v>
      </c>
      <c r="G280" s="79">
        <v>11263</v>
      </c>
      <c r="H280" s="79">
        <v>0</v>
      </c>
      <c r="I280" s="90">
        <f t="shared" si="67"/>
        <v>11263</v>
      </c>
      <c r="J280" s="145">
        <f t="shared" si="65"/>
        <v>7208</v>
      </c>
      <c r="K280" s="89">
        <v>0</v>
      </c>
      <c r="L280" s="89">
        <v>1126</v>
      </c>
      <c r="M280" s="89">
        <v>454</v>
      </c>
      <c r="N280" s="89">
        <v>0</v>
      </c>
      <c r="O280" s="89">
        <v>0</v>
      </c>
      <c r="P280" s="89">
        <v>0</v>
      </c>
      <c r="Q280" s="91">
        <f t="shared" si="66"/>
        <v>20051</v>
      </c>
    </row>
    <row r="281" spans="1:20" ht="18" thickBot="1">
      <c r="A281" s="83" t="s">
        <v>36</v>
      </c>
      <c r="B281" s="83" t="s">
        <v>36</v>
      </c>
      <c r="C281" s="84" t="s">
        <v>9</v>
      </c>
      <c r="D281" s="151">
        <f t="shared" ref="D281:Q281" si="68">SUM(D264:D280)</f>
        <v>198</v>
      </c>
      <c r="E281" s="151">
        <f t="shared" si="68"/>
        <v>198</v>
      </c>
      <c r="F281" s="151">
        <f t="shared" si="68"/>
        <v>0</v>
      </c>
      <c r="G281" s="151">
        <f t="shared" si="68"/>
        <v>100595</v>
      </c>
      <c r="H281" s="151">
        <f t="shared" si="68"/>
        <v>0</v>
      </c>
      <c r="I281" s="151">
        <f t="shared" si="68"/>
        <v>100595</v>
      </c>
      <c r="J281" s="151">
        <f t="shared" si="68"/>
        <v>64381</v>
      </c>
      <c r="K281" s="151">
        <f t="shared" si="68"/>
        <v>0</v>
      </c>
      <c r="L281" s="151">
        <f t="shared" si="68"/>
        <v>9919</v>
      </c>
      <c r="M281" s="151">
        <f t="shared" si="68"/>
        <v>3189</v>
      </c>
      <c r="N281" s="151">
        <f t="shared" si="68"/>
        <v>0</v>
      </c>
      <c r="O281" s="151">
        <f t="shared" si="68"/>
        <v>0</v>
      </c>
      <c r="P281" s="151">
        <f t="shared" si="68"/>
        <v>0</v>
      </c>
      <c r="Q281" s="151">
        <f t="shared" si="68"/>
        <v>178084</v>
      </c>
    </row>
    <row r="282" spans="1:20" ht="18" thickTop="1">
      <c r="A282" s="85"/>
      <c r="B282" s="85"/>
      <c r="C282" s="86"/>
      <c r="D282" s="152">
        <f>E264+E265+E266+E267+E268+E269+E270+E271</f>
        <v>20</v>
      </c>
      <c r="E282" s="152">
        <f>E272+E273+E274+E275+E276+E277+E278+E279</f>
        <v>150</v>
      </c>
      <c r="F282" s="152"/>
      <c r="G282" s="152"/>
      <c r="H282" s="152"/>
      <c r="I282" s="152"/>
      <c r="J282" s="152"/>
      <c r="K282" s="152"/>
      <c r="L282" s="152"/>
      <c r="M282" s="152"/>
      <c r="N282" s="152"/>
      <c r="O282" s="152"/>
      <c r="P282" s="152"/>
      <c r="Q282" s="152"/>
    </row>
    <row r="283" spans="1:20">
      <c r="A283" s="278" t="s">
        <v>156</v>
      </c>
      <c r="B283" s="279"/>
      <c r="C283" s="279"/>
      <c r="D283" s="279"/>
      <c r="E283" s="279"/>
      <c r="F283" s="279"/>
      <c r="G283" s="279"/>
      <c r="H283" s="279"/>
      <c r="I283" s="279"/>
      <c r="J283" s="279"/>
      <c r="K283" s="279"/>
      <c r="L283" s="279"/>
      <c r="M283" s="279"/>
      <c r="N283" s="279"/>
      <c r="O283" s="279"/>
      <c r="P283" s="279"/>
      <c r="Q283" s="279"/>
      <c r="R283" s="93"/>
      <c r="S283" s="93"/>
      <c r="T283" s="93"/>
    </row>
    <row r="284" spans="1:20">
      <c r="A284" s="278" t="s">
        <v>17</v>
      </c>
      <c r="B284" s="279"/>
      <c r="C284" s="279"/>
      <c r="D284" s="279"/>
      <c r="E284" s="279"/>
      <c r="F284" s="279"/>
      <c r="G284" s="279"/>
      <c r="H284" s="279"/>
      <c r="I284" s="279"/>
      <c r="J284" s="279"/>
      <c r="K284" s="279"/>
      <c r="L284" s="279"/>
      <c r="M284" s="279"/>
      <c r="N284" s="279"/>
      <c r="O284" s="279"/>
      <c r="P284" s="279"/>
      <c r="Q284" s="279"/>
      <c r="R284" s="93"/>
      <c r="S284" s="93"/>
      <c r="T284" s="93"/>
    </row>
    <row r="285" spans="1:20" ht="22.8">
      <c r="A285" s="74" t="s">
        <v>51</v>
      </c>
      <c r="B285" s="75"/>
      <c r="C285" s="75"/>
      <c r="D285" s="77"/>
      <c r="E285" s="77"/>
      <c r="F285" s="77"/>
      <c r="G285" s="77"/>
      <c r="H285" s="77"/>
      <c r="I285" s="77"/>
      <c r="J285" s="77"/>
      <c r="K285" s="77"/>
      <c r="L285" s="77"/>
      <c r="M285" s="77"/>
      <c r="N285" s="77"/>
      <c r="O285" s="283" t="s">
        <v>2</v>
      </c>
      <c r="P285" s="284"/>
      <c r="Q285" s="284"/>
      <c r="R285" s="93"/>
      <c r="S285" s="93"/>
      <c r="T285" s="93"/>
    </row>
    <row r="286" spans="1:20" ht="18.75" customHeight="1">
      <c r="A286" s="280" t="s">
        <v>35</v>
      </c>
      <c r="B286" s="280" t="s">
        <v>3</v>
      </c>
      <c r="C286" s="285" t="s">
        <v>4</v>
      </c>
      <c r="D286" s="190" t="s">
        <v>5</v>
      </c>
      <c r="E286" s="190" t="s">
        <v>5</v>
      </c>
      <c r="F286" s="287" t="s">
        <v>6</v>
      </c>
      <c r="G286" s="287" t="s">
        <v>7</v>
      </c>
      <c r="H286" s="287" t="s">
        <v>8</v>
      </c>
      <c r="I286" s="287" t="s">
        <v>9</v>
      </c>
      <c r="J286" s="287" t="s">
        <v>159</v>
      </c>
      <c r="K286" s="280" t="s">
        <v>10</v>
      </c>
      <c r="L286" s="280" t="s">
        <v>11</v>
      </c>
      <c r="M286" s="280" t="s">
        <v>12</v>
      </c>
      <c r="N286" s="280" t="s">
        <v>13</v>
      </c>
      <c r="O286" s="280" t="s">
        <v>14</v>
      </c>
      <c r="P286" s="280" t="s">
        <v>15</v>
      </c>
      <c r="Q286" s="280" t="s">
        <v>9</v>
      </c>
      <c r="R286" s="93"/>
      <c r="S286" s="93"/>
      <c r="T286" s="93"/>
    </row>
    <row r="287" spans="1:20" ht="18.75" customHeight="1">
      <c r="A287" s="281"/>
      <c r="B287" s="281"/>
      <c r="C287" s="286"/>
      <c r="D287" s="191" t="s">
        <v>146</v>
      </c>
      <c r="E287" s="191" t="s">
        <v>164</v>
      </c>
      <c r="F287" s="288"/>
      <c r="G287" s="288"/>
      <c r="H287" s="288"/>
      <c r="I287" s="288"/>
      <c r="J287" s="288"/>
      <c r="K287" s="282"/>
      <c r="L287" s="282"/>
      <c r="M287" s="282"/>
      <c r="N287" s="282"/>
      <c r="O287" s="282"/>
      <c r="P287" s="282"/>
      <c r="Q287" s="282"/>
      <c r="R287" s="93"/>
      <c r="S287" s="93"/>
      <c r="T287" s="93"/>
    </row>
    <row r="288" spans="1:20">
      <c r="A288" s="282"/>
      <c r="B288" s="282"/>
      <c r="C288" s="289" t="s">
        <v>16</v>
      </c>
      <c r="D288" s="290"/>
      <c r="E288" s="290"/>
      <c r="F288" s="290"/>
      <c r="G288" s="290"/>
      <c r="H288" s="290"/>
      <c r="I288" s="290"/>
      <c r="J288" s="290"/>
      <c r="K288" s="290"/>
      <c r="L288" s="290"/>
      <c r="M288" s="290"/>
      <c r="N288" s="290"/>
      <c r="O288" s="290"/>
      <c r="P288" s="290"/>
      <c r="Q288" s="291"/>
      <c r="R288" s="93"/>
      <c r="S288" s="93"/>
      <c r="T288" s="93"/>
    </row>
    <row r="289" spans="1:20" ht="21">
      <c r="A289" s="265">
        <v>1</v>
      </c>
      <c r="B289" s="262" t="s">
        <v>18</v>
      </c>
      <c r="C289" s="78" t="s">
        <v>21</v>
      </c>
      <c r="D289" s="79">
        <v>0</v>
      </c>
      <c r="E289" s="80">
        <v>0</v>
      </c>
      <c r="F289" s="79">
        <v>0</v>
      </c>
      <c r="G289" s="79">
        <v>0</v>
      </c>
      <c r="H289" s="79">
        <v>0</v>
      </c>
      <c r="I289" s="80">
        <f t="shared" ref="I289:I295" si="69">SUM(G289:H289)</f>
        <v>0</v>
      </c>
      <c r="J289" s="145">
        <f>ROUND(I289*0.64,0)</f>
        <v>0</v>
      </c>
      <c r="K289" s="79">
        <v>0</v>
      </c>
      <c r="L289" s="79">
        <v>0</v>
      </c>
      <c r="M289" s="79">
        <v>0</v>
      </c>
      <c r="N289" s="79">
        <v>0</v>
      </c>
      <c r="O289" s="79">
        <v>0</v>
      </c>
      <c r="P289" s="79">
        <v>0</v>
      </c>
      <c r="Q289" s="80">
        <f t="shared" ref="Q289:Q295" si="70">SUM(F289+I289+J289+K289+L289+M289+N289+O289+P289)</f>
        <v>0</v>
      </c>
    </row>
    <row r="290" spans="1:20" ht="21">
      <c r="A290" s="274"/>
      <c r="B290" s="276"/>
      <c r="C290" s="78" t="s">
        <v>22</v>
      </c>
      <c r="D290" s="79">
        <v>0</v>
      </c>
      <c r="E290" s="80">
        <v>0</v>
      </c>
      <c r="F290" s="79">
        <v>0</v>
      </c>
      <c r="G290" s="79">
        <v>0</v>
      </c>
      <c r="H290" s="79">
        <v>0</v>
      </c>
      <c r="I290" s="80">
        <f t="shared" si="69"/>
        <v>0</v>
      </c>
      <c r="J290" s="145">
        <f t="shared" ref="J290:J297" si="71">ROUND(I290*0.64,0)</f>
        <v>0</v>
      </c>
      <c r="K290" s="79">
        <v>0</v>
      </c>
      <c r="L290" s="79">
        <v>0</v>
      </c>
      <c r="M290" s="79">
        <v>0</v>
      </c>
      <c r="N290" s="79">
        <v>0</v>
      </c>
      <c r="O290" s="79">
        <v>0</v>
      </c>
      <c r="P290" s="79">
        <v>0</v>
      </c>
      <c r="Q290" s="80">
        <f t="shared" si="70"/>
        <v>0</v>
      </c>
    </row>
    <row r="291" spans="1:20" ht="21">
      <c r="A291" s="274"/>
      <c r="B291" s="276"/>
      <c r="C291" s="78" t="s">
        <v>23</v>
      </c>
      <c r="D291" s="79">
        <v>0</v>
      </c>
      <c r="E291" s="80">
        <v>0</v>
      </c>
      <c r="F291" s="79">
        <v>0</v>
      </c>
      <c r="G291" s="79">
        <v>0</v>
      </c>
      <c r="H291" s="79">
        <v>0</v>
      </c>
      <c r="I291" s="80">
        <f t="shared" si="69"/>
        <v>0</v>
      </c>
      <c r="J291" s="145">
        <f t="shared" si="71"/>
        <v>0</v>
      </c>
      <c r="K291" s="79">
        <v>0</v>
      </c>
      <c r="L291" s="79">
        <v>0</v>
      </c>
      <c r="M291" s="79">
        <v>0</v>
      </c>
      <c r="N291" s="79">
        <v>0</v>
      </c>
      <c r="O291" s="79">
        <v>0</v>
      </c>
      <c r="P291" s="79">
        <v>0</v>
      </c>
      <c r="Q291" s="80">
        <f t="shared" si="70"/>
        <v>0</v>
      </c>
    </row>
    <row r="292" spans="1:20" ht="21">
      <c r="A292" s="274"/>
      <c r="B292" s="276"/>
      <c r="C292" s="78" t="s">
        <v>24</v>
      </c>
      <c r="D292" s="79">
        <v>8</v>
      </c>
      <c r="E292" s="80">
        <v>8</v>
      </c>
      <c r="F292" s="79">
        <v>0</v>
      </c>
      <c r="G292" s="79">
        <v>7254</v>
      </c>
      <c r="H292" s="79">
        <v>0</v>
      </c>
      <c r="I292" s="80">
        <f t="shared" si="69"/>
        <v>7254</v>
      </c>
      <c r="J292" s="145">
        <v>4642</v>
      </c>
      <c r="K292" s="79">
        <v>0</v>
      </c>
      <c r="L292" s="79">
        <v>726</v>
      </c>
      <c r="M292" s="79">
        <v>130</v>
      </c>
      <c r="N292" s="79">
        <v>0</v>
      </c>
      <c r="O292" s="79">
        <v>0</v>
      </c>
      <c r="P292" s="79">
        <v>1666</v>
      </c>
      <c r="Q292" s="80">
        <f t="shared" si="70"/>
        <v>14418</v>
      </c>
    </row>
    <row r="293" spans="1:20" ht="21">
      <c r="A293" s="274"/>
      <c r="B293" s="276"/>
      <c r="C293" s="78" t="s">
        <v>25</v>
      </c>
      <c r="D293" s="79">
        <v>7</v>
      </c>
      <c r="E293" s="80">
        <v>7</v>
      </c>
      <c r="F293" s="79">
        <v>0</v>
      </c>
      <c r="G293" s="79">
        <v>4843</v>
      </c>
      <c r="H293" s="79">
        <v>0</v>
      </c>
      <c r="I293" s="80">
        <f t="shared" si="69"/>
        <v>4843</v>
      </c>
      <c r="J293" s="145">
        <f t="shared" si="71"/>
        <v>3100</v>
      </c>
      <c r="K293" s="79">
        <v>0</v>
      </c>
      <c r="L293" s="79">
        <v>484</v>
      </c>
      <c r="M293" s="79">
        <v>113</v>
      </c>
      <c r="N293" s="79">
        <v>0</v>
      </c>
      <c r="O293" s="79">
        <v>0</v>
      </c>
      <c r="P293" s="79">
        <v>1112</v>
      </c>
      <c r="Q293" s="80">
        <f t="shared" si="70"/>
        <v>9652</v>
      </c>
    </row>
    <row r="294" spans="1:20" ht="21">
      <c r="A294" s="274"/>
      <c r="B294" s="276"/>
      <c r="C294" s="78" t="s">
        <v>26</v>
      </c>
      <c r="D294" s="79">
        <v>0</v>
      </c>
      <c r="E294" s="80">
        <v>0</v>
      </c>
      <c r="F294" s="79">
        <v>0</v>
      </c>
      <c r="G294" s="79">
        <v>0</v>
      </c>
      <c r="H294" s="79">
        <v>0</v>
      </c>
      <c r="I294" s="80">
        <f t="shared" si="69"/>
        <v>0</v>
      </c>
      <c r="J294" s="145">
        <f t="shared" si="71"/>
        <v>0</v>
      </c>
      <c r="K294" s="79">
        <v>0</v>
      </c>
      <c r="L294" s="79">
        <v>0</v>
      </c>
      <c r="M294" s="79">
        <v>0</v>
      </c>
      <c r="N294" s="79">
        <v>0</v>
      </c>
      <c r="O294" s="79">
        <v>0</v>
      </c>
      <c r="P294" s="79">
        <v>0</v>
      </c>
      <c r="Q294" s="80">
        <f t="shared" si="70"/>
        <v>0</v>
      </c>
    </row>
    <row r="295" spans="1:20" ht="21">
      <c r="A295" s="274"/>
      <c r="B295" s="276"/>
      <c r="C295" s="146" t="s">
        <v>27</v>
      </c>
      <c r="D295" s="79">
        <v>0</v>
      </c>
      <c r="E295" s="80">
        <v>0</v>
      </c>
      <c r="F295" s="79">
        <v>0</v>
      </c>
      <c r="G295" s="79">
        <v>0</v>
      </c>
      <c r="H295" s="79">
        <v>0</v>
      </c>
      <c r="I295" s="80">
        <f t="shared" si="69"/>
        <v>0</v>
      </c>
      <c r="J295" s="145">
        <f t="shared" si="71"/>
        <v>0</v>
      </c>
      <c r="K295" s="79">
        <v>0</v>
      </c>
      <c r="L295" s="79">
        <v>0</v>
      </c>
      <c r="M295" s="79">
        <v>0</v>
      </c>
      <c r="N295" s="79">
        <v>0</v>
      </c>
      <c r="O295" s="79">
        <v>0</v>
      </c>
      <c r="P295" s="79">
        <v>0</v>
      </c>
      <c r="Q295" s="80">
        <f t="shared" si="70"/>
        <v>0</v>
      </c>
    </row>
    <row r="296" spans="1:20" ht="21">
      <c r="A296" s="265">
        <v>2</v>
      </c>
      <c r="B296" s="262" t="s">
        <v>19</v>
      </c>
      <c r="C296" s="81" t="s">
        <v>28</v>
      </c>
      <c r="D296" s="79">
        <v>0</v>
      </c>
      <c r="E296" s="80">
        <v>0</v>
      </c>
      <c r="F296" s="79">
        <v>0</v>
      </c>
      <c r="G296" s="79">
        <v>0</v>
      </c>
      <c r="H296" s="79">
        <v>0</v>
      </c>
      <c r="I296" s="80">
        <f t="shared" ref="I296:I302" si="72">SUM(G296:H296)</f>
        <v>0</v>
      </c>
      <c r="J296" s="145">
        <f t="shared" si="71"/>
        <v>0</v>
      </c>
      <c r="K296" s="79">
        <v>0</v>
      </c>
      <c r="L296" s="79">
        <v>0</v>
      </c>
      <c r="M296" s="79">
        <v>0</v>
      </c>
      <c r="N296" s="79">
        <v>0</v>
      </c>
      <c r="O296" s="79">
        <v>0</v>
      </c>
      <c r="P296" s="79">
        <v>0</v>
      </c>
      <c r="Q296" s="80">
        <f t="shared" ref="Q296:Q302" si="73">SUM(F296+I296+J296+K296+L296+M296+N296+O296+P296)</f>
        <v>0</v>
      </c>
    </row>
    <row r="297" spans="1:20" ht="21">
      <c r="A297" s="266"/>
      <c r="B297" s="263"/>
      <c r="C297" s="81" t="s">
        <v>29</v>
      </c>
      <c r="D297" s="252">
        <v>1</v>
      </c>
      <c r="E297" s="91">
        <v>1</v>
      </c>
      <c r="F297" s="79">
        <v>0</v>
      </c>
      <c r="G297" s="79">
        <v>1137</v>
      </c>
      <c r="H297" s="79">
        <v>0</v>
      </c>
      <c r="I297" s="80">
        <f t="shared" si="72"/>
        <v>1137</v>
      </c>
      <c r="J297" s="145">
        <f t="shared" si="71"/>
        <v>728</v>
      </c>
      <c r="K297" s="79">
        <v>0</v>
      </c>
      <c r="L297" s="79">
        <v>114</v>
      </c>
      <c r="M297" s="79">
        <v>16</v>
      </c>
      <c r="N297" s="79">
        <v>0</v>
      </c>
      <c r="O297" s="79">
        <v>0</v>
      </c>
      <c r="P297" s="79">
        <v>262</v>
      </c>
      <c r="Q297" s="80">
        <f t="shared" si="73"/>
        <v>2257</v>
      </c>
    </row>
    <row r="298" spans="1:20" ht="36.75" customHeight="1">
      <c r="A298" s="266"/>
      <c r="B298" s="263"/>
      <c r="C298" s="81" t="s">
        <v>45</v>
      </c>
      <c r="D298" s="79">
        <v>0</v>
      </c>
      <c r="E298" s="80">
        <v>0</v>
      </c>
      <c r="F298" s="79">
        <v>0</v>
      </c>
      <c r="G298" s="79">
        <v>0</v>
      </c>
      <c r="H298" s="79">
        <v>0</v>
      </c>
      <c r="I298" s="80">
        <f t="shared" si="72"/>
        <v>0</v>
      </c>
      <c r="J298" s="145">
        <f>ROUND(I298*0.58,0)</f>
        <v>0</v>
      </c>
      <c r="K298" s="79">
        <v>0</v>
      </c>
      <c r="L298" s="79">
        <v>0</v>
      </c>
      <c r="M298" s="79">
        <v>0</v>
      </c>
      <c r="N298" s="79">
        <v>0</v>
      </c>
      <c r="O298" s="79">
        <v>0</v>
      </c>
      <c r="P298" s="79">
        <v>0</v>
      </c>
      <c r="Q298" s="80">
        <f t="shared" si="73"/>
        <v>0</v>
      </c>
    </row>
    <row r="299" spans="1:20" ht="21">
      <c r="A299" s="266"/>
      <c r="B299" s="263"/>
      <c r="C299" s="81" t="s">
        <v>31</v>
      </c>
      <c r="D299" s="252">
        <v>12</v>
      </c>
      <c r="E299" s="91">
        <v>12</v>
      </c>
      <c r="F299" s="79">
        <v>0</v>
      </c>
      <c r="G299" s="79">
        <v>6844</v>
      </c>
      <c r="H299" s="79">
        <v>0</v>
      </c>
      <c r="I299" s="80">
        <f t="shared" si="72"/>
        <v>6844</v>
      </c>
      <c r="J299" s="145">
        <v>4381</v>
      </c>
      <c r="K299" s="79">
        <v>0</v>
      </c>
      <c r="L299" s="79">
        <v>684</v>
      </c>
      <c r="M299" s="79">
        <v>194</v>
      </c>
      <c r="N299" s="79">
        <v>0</v>
      </c>
      <c r="O299" s="79">
        <v>0</v>
      </c>
      <c r="P299" s="79">
        <v>1572</v>
      </c>
      <c r="Q299" s="80">
        <f t="shared" si="73"/>
        <v>13675</v>
      </c>
    </row>
    <row r="300" spans="1:20" ht="21">
      <c r="A300" s="266"/>
      <c r="B300" s="263"/>
      <c r="C300" s="81" t="s">
        <v>32</v>
      </c>
      <c r="D300" s="252">
        <v>50</v>
      </c>
      <c r="E300" s="91">
        <v>50</v>
      </c>
      <c r="F300" s="79">
        <v>0</v>
      </c>
      <c r="G300" s="79">
        <v>15529</v>
      </c>
      <c r="H300" s="79">
        <v>0</v>
      </c>
      <c r="I300" s="80">
        <f t="shared" si="72"/>
        <v>15529</v>
      </c>
      <c r="J300" s="145">
        <v>9938</v>
      </c>
      <c r="K300" s="79">
        <v>0</v>
      </c>
      <c r="L300" s="79">
        <v>1553</v>
      </c>
      <c r="M300" s="79">
        <v>810</v>
      </c>
      <c r="N300" s="79">
        <v>0</v>
      </c>
      <c r="O300" s="79">
        <v>0</v>
      </c>
      <c r="P300" s="79">
        <v>3566</v>
      </c>
      <c r="Q300" s="80">
        <f t="shared" si="73"/>
        <v>31396</v>
      </c>
    </row>
    <row r="301" spans="1:20" ht="21">
      <c r="A301" s="267"/>
      <c r="B301" s="264"/>
      <c r="C301" s="81" t="s">
        <v>33</v>
      </c>
      <c r="D301" s="79">
        <v>6</v>
      </c>
      <c r="E301" s="80">
        <v>6</v>
      </c>
      <c r="F301" s="79">
        <v>0</v>
      </c>
      <c r="G301" s="79">
        <v>2776</v>
      </c>
      <c r="H301" s="79">
        <v>0</v>
      </c>
      <c r="I301" s="80">
        <f t="shared" si="72"/>
        <v>2776</v>
      </c>
      <c r="J301" s="145">
        <f>ROUND(I301*0.64,0)</f>
        <v>1777</v>
      </c>
      <c r="K301" s="79">
        <v>0</v>
      </c>
      <c r="L301" s="79">
        <v>278</v>
      </c>
      <c r="M301" s="79">
        <v>97</v>
      </c>
      <c r="N301" s="79">
        <v>6</v>
      </c>
      <c r="O301" s="79">
        <v>0</v>
      </c>
      <c r="P301" s="79">
        <v>638</v>
      </c>
      <c r="Q301" s="80">
        <f t="shared" si="73"/>
        <v>5572</v>
      </c>
    </row>
    <row r="302" spans="1:20" ht="21">
      <c r="A302" s="141">
        <v>3</v>
      </c>
      <c r="B302" s="142" t="s">
        <v>20</v>
      </c>
      <c r="C302" s="82" t="s">
        <v>34</v>
      </c>
      <c r="D302" s="252">
        <v>43</v>
      </c>
      <c r="E302" s="91">
        <v>43</v>
      </c>
      <c r="F302" s="79">
        <v>0</v>
      </c>
      <c r="G302" s="79">
        <v>11807</v>
      </c>
      <c r="H302" s="79">
        <v>0</v>
      </c>
      <c r="I302" s="80">
        <f t="shared" si="72"/>
        <v>11807</v>
      </c>
      <c r="J302" s="145">
        <v>7557</v>
      </c>
      <c r="K302" s="79">
        <v>0</v>
      </c>
      <c r="L302" s="79">
        <v>1181</v>
      </c>
      <c r="M302" s="79">
        <v>697</v>
      </c>
      <c r="N302" s="79">
        <v>43</v>
      </c>
      <c r="O302" s="79">
        <v>0</v>
      </c>
      <c r="P302" s="79">
        <v>2712</v>
      </c>
      <c r="Q302" s="80">
        <f t="shared" si="73"/>
        <v>23997</v>
      </c>
    </row>
    <row r="303" spans="1:20" s="149" customFormat="1" ht="21.6" thickBot="1">
      <c r="A303" s="83" t="s">
        <v>36</v>
      </c>
      <c r="B303" s="83" t="s">
        <v>36</v>
      </c>
      <c r="C303" s="84" t="s">
        <v>9</v>
      </c>
      <c r="D303" s="147">
        <f t="shared" ref="D303:Q303" si="74">SUM(D289:D302)</f>
        <v>127</v>
      </c>
      <c r="E303" s="147">
        <f t="shared" si="74"/>
        <v>127</v>
      </c>
      <c r="F303" s="147">
        <f t="shared" si="74"/>
        <v>0</v>
      </c>
      <c r="G303" s="147">
        <f t="shared" si="74"/>
        <v>50190</v>
      </c>
      <c r="H303" s="147">
        <f t="shared" si="74"/>
        <v>0</v>
      </c>
      <c r="I303" s="147">
        <f t="shared" si="74"/>
        <v>50190</v>
      </c>
      <c r="J303" s="147">
        <f t="shared" si="74"/>
        <v>32123</v>
      </c>
      <c r="K303" s="147">
        <f t="shared" si="74"/>
        <v>0</v>
      </c>
      <c r="L303" s="147">
        <f t="shared" si="74"/>
        <v>5020</v>
      </c>
      <c r="M303" s="147">
        <f t="shared" si="74"/>
        <v>2057</v>
      </c>
      <c r="N303" s="147">
        <f t="shared" si="74"/>
        <v>49</v>
      </c>
      <c r="O303" s="147">
        <f t="shared" si="74"/>
        <v>0</v>
      </c>
      <c r="P303" s="147">
        <f t="shared" si="74"/>
        <v>11528</v>
      </c>
      <c r="Q303" s="147">
        <f t="shared" si="74"/>
        <v>100967</v>
      </c>
      <c r="R303" s="148"/>
      <c r="S303" s="148"/>
      <c r="T303" s="148"/>
    </row>
    <row r="304" spans="1:20" s="149" customFormat="1" ht="21.6" thickTop="1">
      <c r="A304" s="85"/>
      <c r="B304" s="85"/>
      <c r="C304" s="86"/>
      <c r="D304" s="150">
        <f>E289+E290+E291+E292+E293+E294+E295</f>
        <v>15</v>
      </c>
      <c r="E304" s="150">
        <f>E297+E298+E299+E300+E301</f>
        <v>69</v>
      </c>
      <c r="F304" s="150"/>
      <c r="G304" s="150"/>
      <c r="H304" s="150"/>
      <c r="I304" s="150"/>
      <c r="J304" s="150"/>
      <c r="K304" s="150"/>
      <c r="L304" s="150"/>
      <c r="M304" s="150"/>
      <c r="N304" s="150"/>
      <c r="O304" s="150"/>
      <c r="P304" s="150"/>
      <c r="Q304" s="150"/>
      <c r="R304" s="148"/>
      <c r="S304" s="148"/>
      <c r="T304" s="148"/>
    </row>
    <row r="305" spans="1:20">
      <c r="A305" s="278" t="s">
        <v>156</v>
      </c>
      <c r="B305" s="279"/>
      <c r="C305" s="279"/>
      <c r="D305" s="279"/>
      <c r="E305" s="279"/>
      <c r="F305" s="279"/>
      <c r="G305" s="279"/>
      <c r="H305" s="279"/>
      <c r="I305" s="279"/>
      <c r="J305" s="279"/>
      <c r="K305" s="279"/>
      <c r="L305" s="279"/>
      <c r="M305" s="279"/>
      <c r="N305" s="279"/>
      <c r="O305" s="279"/>
      <c r="P305" s="279"/>
      <c r="Q305" s="279"/>
      <c r="R305" s="93"/>
      <c r="S305" s="93"/>
      <c r="T305" s="93"/>
    </row>
    <row r="306" spans="1:20">
      <c r="A306" s="278" t="s">
        <v>17</v>
      </c>
      <c r="B306" s="279"/>
      <c r="C306" s="279"/>
      <c r="D306" s="279"/>
      <c r="E306" s="279"/>
      <c r="F306" s="279"/>
      <c r="G306" s="279"/>
      <c r="H306" s="279"/>
      <c r="I306" s="279"/>
      <c r="J306" s="279"/>
      <c r="K306" s="279"/>
      <c r="L306" s="279"/>
      <c r="M306" s="279"/>
      <c r="N306" s="279"/>
      <c r="O306" s="279"/>
      <c r="P306" s="279"/>
      <c r="Q306" s="279"/>
      <c r="R306" s="93"/>
      <c r="S306" s="93"/>
      <c r="T306" s="93"/>
    </row>
    <row r="307" spans="1:20" ht="22.8">
      <c r="A307" s="74" t="s">
        <v>51</v>
      </c>
      <c r="B307" s="75"/>
      <c r="C307" s="75"/>
      <c r="D307" s="77"/>
      <c r="E307" s="77"/>
      <c r="F307" s="77"/>
      <c r="G307" s="77"/>
      <c r="H307" s="77"/>
      <c r="I307" s="77"/>
      <c r="J307" s="77"/>
      <c r="K307" s="77"/>
      <c r="L307" s="77"/>
      <c r="M307" s="77"/>
      <c r="N307" s="77"/>
      <c r="O307" s="283" t="s">
        <v>2</v>
      </c>
      <c r="P307" s="284"/>
      <c r="Q307" s="284"/>
      <c r="R307" s="93"/>
      <c r="S307" s="93"/>
      <c r="T307" s="93"/>
    </row>
    <row r="308" spans="1:20" ht="18.75" customHeight="1">
      <c r="A308" s="280" t="s">
        <v>35</v>
      </c>
      <c r="B308" s="280" t="s">
        <v>3</v>
      </c>
      <c r="C308" s="285" t="s">
        <v>4</v>
      </c>
      <c r="D308" s="190" t="s">
        <v>5</v>
      </c>
      <c r="E308" s="190" t="s">
        <v>5</v>
      </c>
      <c r="F308" s="287" t="s">
        <v>6</v>
      </c>
      <c r="G308" s="287" t="s">
        <v>7</v>
      </c>
      <c r="H308" s="287" t="s">
        <v>8</v>
      </c>
      <c r="I308" s="287" t="s">
        <v>9</v>
      </c>
      <c r="J308" s="287" t="s">
        <v>159</v>
      </c>
      <c r="K308" s="280" t="s">
        <v>10</v>
      </c>
      <c r="L308" s="280" t="s">
        <v>11</v>
      </c>
      <c r="M308" s="280" t="s">
        <v>12</v>
      </c>
      <c r="N308" s="280" t="s">
        <v>13</v>
      </c>
      <c r="O308" s="280" t="s">
        <v>14</v>
      </c>
      <c r="P308" s="280" t="s">
        <v>15</v>
      </c>
      <c r="Q308" s="280" t="s">
        <v>9</v>
      </c>
      <c r="R308" s="93"/>
      <c r="S308" s="93"/>
      <c r="T308" s="93"/>
    </row>
    <row r="309" spans="1:20" ht="18.75" customHeight="1">
      <c r="A309" s="281"/>
      <c r="B309" s="281"/>
      <c r="C309" s="286"/>
      <c r="D309" s="191" t="s">
        <v>146</v>
      </c>
      <c r="E309" s="191" t="s">
        <v>164</v>
      </c>
      <c r="F309" s="288"/>
      <c r="G309" s="288"/>
      <c r="H309" s="288"/>
      <c r="I309" s="288"/>
      <c r="J309" s="288"/>
      <c r="K309" s="282"/>
      <c r="L309" s="282"/>
      <c r="M309" s="282"/>
      <c r="N309" s="282"/>
      <c r="O309" s="282"/>
      <c r="P309" s="282"/>
      <c r="Q309" s="282"/>
      <c r="R309" s="93"/>
      <c r="S309" s="93"/>
      <c r="T309" s="93"/>
    </row>
    <row r="310" spans="1:20">
      <c r="A310" s="282"/>
      <c r="B310" s="282"/>
      <c r="C310" s="289" t="s">
        <v>37</v>
      </c>
      <c r="D310" s="290"/>
      <c r="E310" s="290"/>
      <c r="F310" s="290"/>
      <c r="G310" s="290"/>
      <c r="H310" s="290"/>
      <c r="I310" s="290"/>
      <c r="J310" s="290"/>
      <c r="K310" s="290"/>
      <c r="L310" s="290"/>
      <c r="M310" s="290"/>
      <c r="N310" s="290"/>
      <c r="O310" s="290"/>
      <c r="P310" s="290"/>
      <c r="Q310" s="291"/>
      <c r="R310" s="93"/>
      <c r="S310" s="93"/>
      <c r="T310" s="93"/>
    </row>
    <row r="311" spans="1:20" ht="20.399999999999999">
      <c r="A311" s="265">
        <v>1</v>
      </c>
      <c r="B311" s="262" t="s">
        <v>18</v>
      </c>
      <c r="C311" s="78" t="s">
        <v>21</v>
      </c>
      <c r="D311" s="90">
        <v>1</v>
      </c>
      <c r="E311" s="90">
        <v>1</v>
      </c>
      <c r="F311" s="79">
        <v>0</v>
      </c>
      <c r="G311" s="79">
        <v>2245</v>
      </c>
      <c r="H311" s="79">
        <v>0</v>
      </c>
      <c r="I311" s="90">
        <f t="shared" ref="I311:I320" si="75">SUM(G311:H311)</f>
        <v>2245</v>
      </c>
      <c r="J311" s="145">
        <f>ROUND(I311*0.64,0)</f>
        <v>1437</v>
      </c>
      <c r="K311" s="89">
        <v>0</v>
      </c>
      <c r="L311" s="89">
        <v>225</v>
      </c>
      <c r="M311" s="89">
        <v>16</v>
      </c>
      <c r="N311" s="89">
        <v>0</v>
      </c>
      <c r="O311" s="89">
        <v>0</v>
      </c>
      <c r="P311" s="89">
        <v>516</v>
      </c>
      <c r="Q311" s="91">
        <f t="shared" ref="Q311:Q317" si="76">SUM(F311+I311+J311+K311+L311+M311+N311+O311+P311)</f>
        <v>4439</v>
      </c>
    </row>
    <row r="312" spans="1:20" ht="20.399999999999999">
      <c r="A312" s="274"/>
      <c r="B312" s="276"/>
      <c r="C312" s="78" t="s">
        <v>22</v>
      </c>
      <c r="D312" s="88">
        <v>1</v>
      </c>
      <c r="E312" s="88">
        <v>1</v>
      </c>
      <c r="F312" s="79">
        <v>0</v>
      </c>
      <c r="G312" s="79">
        <v>3031</v>
      </c>
      <c r="H312" s="79">
        <v>0</v>
      </c>
      <c r="I312" s="90">
        <f t="shared" si="75"/>
        <v>3031</v>
      </c>
      <c r="J312" s="145">
        <f t="shared" ref="J312:J326" si="77">ROUND(I312*0.64,0)</f>
        <v>1940</v>
      </c>
      <c r="K312" s="89">
        <v>0</v>
      </c>
      <c r="L312" s="89">
        <v>303</v>
      </c>
      <c r="M312" s="89">
        <v>16</v>
      </c>
      <c r="N312" s="89">
        <v>0</v>
      </c>
      <c r="O312" s="89">
        <v>0</v>
      </c>
      <c r="P312" s="89">
        <v>696</v>
      </c>
      <c r="Q312" s="91">
        <f t="shared" si="76"/>
        <v>5986</v>
      </c>
    </row>
    <row r="313" spans="1:20" ht="36" customHeight="1">
      <c r="A313" s="274"/>
      <c r="B313" s="276"/>
      <c r="C313" s="78" t="s">
        <v>38</v>
      </c>
      <c r="D313" s="88">
        <v>3</v>
      </c>
      <c r="E313" s="88">
        <v>3</v>
      </c>
      <c r="F313" s="79">
        <v>0</v>
      </c>
      <c r="G313" s="79">
        <v>2307</v>
      </c>
      <c r="H313" s="79">
        <v>0</v>
      </c>
      <c r="I313" s="90">
        <f t="shared" si="75"/>
        <v>2307</v>
      </c>
      <c r="J313" s="145">
        <v>1477</v>
      </c>
      <c r="K313" s="89">
        <v>0</v>
      </c>
      <c r="L313" s="89">
        <v>231</v>
      </c>
      <c r="M313" s="89">
        <v>49</v>
      </c>
      <c r="N313" s="89">
        <v>0</v>
      </c>
      <c r="O313" s="89">
        <v>0</v>
      </c>
      <c r="P313" s="89">
        <v>530</v>
      </c>
      <c r="Q313" s="91">
        <f t="shared" si="76"/>
        <v>4594</v>
      </c>
    </row>
    <row r="314" spans="1:20" ht="30">
      <c r="A314" s="274"/>
      <c r="B314" s="276"/>
      <c r="C314" s="78" t="s">
        <v>39</v>
      </c>
      <c r="D314" s="88">
        <v>1</v>
      </c>
      <c r="E314" s="88">
        <v>1</v>
      </c>
      <c r="F314" s="79">
        <v>0</v>
      </c>
      <c r="G314" s="79">
        <v>845</v>
      </c>
      <c r="H314" s="79">
        <v>0</v>
      </c>
      <c r="I314" s="90">
        <f t="shared" si="75"/>
        <v>845</v>
      </c>
      <c r="J314" s="145">
        <f t="shared" si="77"/>
        <v>541</v>
      </c>
      <c r="K314" s="89">
        <v>0</v>
      </c>
      <c r="L314" s="89">
        <v>84</v>
      </c>
      <c r="M314" s="89">
        <v>16</v>
      </c>
      <c r="N314" s="89">
        <v>0</v>
      </c>
      <c r="O314" s="89">
        <v>0</v>
      </c>
      <c r="P314" s="89">
        <v>194</v>
      </c>
      <c r="Q314" s="91">
        <f t="shared" si="76"/>
        <v>1680</v>
      </c>
    </row>
    <row r="315" spans="1:20" ht="18.75" customHeight="1">
      <c r="A315" s="274"/>
      <c r="B315" s="276"/>
      <c r="C315" s="78" t="s">
        <v>40</v>
      </c>
      <c r="D315" s="88">
        <v>12</v>
      </c>
      <c r="E315" s="88">
        <v>12</v>
      </c>
      <c r="F315" s="79">
        <v>0</v>
      </c>
      <c r="G315" s="79">
        <v>8418</v>
      </c>
      <c r="H315" s="79">
        <v>0</v>
      </c>
      <c r="I315" s="90">
        <f t="shared" si="75"/>
        <v>8418</v>
      </c>
      <c r="J315" s="145">
        <v>5387</v>
      </c>
      <c r="K315" s="89">
        <v>0</v>
      </c>
      <c r="L315" s="89">
        <v>842</v>
      </c>
      <c r="M315" s="89">
        <v>194</v>
      </c>
      <c r="N315" s="89">
        <v>0</v>
      </c>
      <c r="O315" s="89">
        <v>0</v>
      </c>
      <c r="P315" s="89">
        <v>1933</v>
      </c>
      <c r="Q315" s="91">
        <f t="shared" si="76"/>
        <v>16774</v>
      </c>
    </row>
    <row r="316" spans="1:20" ht="20.399999999999999">
      <c r="A316" s="274"/>
      <c r="B316" s="276"/>
      <c r="C316" s="78" t="s">
        <v>26</v>
      </c>
      <c r="D316" s="88">
        <v>2</v>
      </c>
      <c r="E316" s="88">
        <v>2</v>
      </c>
      <c r="F316" s="79">
        <v>0</v>
      </c>
      <c r="G316" s="79">
        <v>1962</v>
      </c>
      <c r="H316" s="79">
        <v>0</v>
      </c>
      <c r="I316" s="90">
        <f t="shared" si="75"/>
        <v>1962</v>
      </c>
      <c r="J316" s="145">
        <v>1255</v>
      </c>
      <c r="K316" s="89">
        <v>0</v>
      </c>
      <c r="L316" s="89">
        <v>196</v>
      </c>
      <c r="M316" s="89">
        <v>32</v>
      </c>
      <c r="N316" s="89">
        <v>0</v>
      </c>
      <c r="O316" s="89">
        <v>0</v>
      </c>
      <c r="P316" s="89">
        <v>451</v>
      </c>
      <c r="Q316" s="91">
        <f t="shared" si="76"/>
        <v>3896</v>
      </c>
    </row>
    <row r="317" spans="1:20" ht="20.399999999999999">
      <c r="A317" s="274"/>
      <c r="B317" s="276"/>
      <c r="C317" s="78" t="s">
        <v>27</v>
      </c>
      <c r="D317" s="88">
        <v>1</v>
      </c>
      <c r="E317" s="88">
        <v>1</v>
      </c>
      <c r="F317" s="79">
        <v>0</v>
      </c>
      <c r="G317" s="79">
        <v>680</v>
      </c>
      <c r="H317" s="79">
        <v>0</v>
      </c>
      <c r="I317" s="90">
        <f t="shared" si="75"/>
        <v>680</v>
      </c>
      <c r="J317" s="145">
        <f t="shared" si="77"/>
        <v>435</v>
      </c>
      <c r="K317" s="89">
        <v>0</v>
      </c>
      <c r="L317" s="89">
        <v>68</v>
      </c>
      <c r="M317" s="89">
        <v>16</v>
      </c>
      <c r="N317" s="89">
        <v>0</v>
      </c>
      <c r="O317" s="89">
        <v>0</v>
      </c>
      <c r="P317" s="89">
        <v>157</v>
      </c>
      <c r="Q317" s="91">
        <f t="shared" si="76"/>
        <v>1356</v>
      </c>
    </row>
    <row r="318" spans="1:20">
      <c r="A318" s="275"/>
      <c r="B318" s="277"/>
      <c r="C318" s="78" t="s">
        <v>41</v>
      </c>
      <c r="D318" s="88">
        <v>1</v>
      </c>
      <c r="E318" s="88">
        <v>1</v>
      </c>
      <c r="F318" s="89">
        <v>0</v>
      </c>
      <c r="G318" s="89">
        <v>0</v>
      </c>
      <c r="H318" s="89">
        <v>0</v>
      </c>
      <c r="I318" s="90">
        <f t="shared" si="75"/>
        <v>0</v>
      </c>
      <c r="J318" s="145">
        <f t="shared" si="77"/>
        <v>0</v>
      </c>
      <c r="K318" s="89">
        <v>0</v>
      </c>
      <c r="L318" s="89">
        <v>0</v>
      </c>
      <c r="M318" s="89">
        <v>0</v>
      </c>
      <c r="N318" s="89">
        <v>0</v>
      </c>
      <c r="O318" s="89">
        <v>0</v>
      </c>
      <c r="P318" s="89">
        <v>0</v>
      </c>
      <c r="Q318" s="91">
        <f t="shared" ref="Q318:Q327" si="78">SUM(F318+I318+J318+K318+L318+M318+N318+O318+P318)</f>
        <v>0</v>
      </c>
    </row>
    <row r="319" spans="1:20" ht="20.399999999999999">
      <c r="A319" s="265">
        <v>2</v>
      </c>
      <c r="B319" s="262" t="s">
        <v>19</v>
      </c>
      <c r="C319" s="81" t="s">
        <v>28</v>
      </c>
      <c r="D319" s="88">
        <v>1</v>
      </c>
      <c r="E319" s="88">
        <v>1</v>
      </c>
      <c r="F319" s="79">
        <v>0</v>
      </c>
      <c r="G319" s="89">
        <v>680</v>
      </c>
      <c r="H319" s="89">
        <v>0</v>
      </c>
      <c r="I319" s="90">
        <f t="shared" si="75"/>
        <v>680</v>
      </c>
      <c r="J319" s="145">
        <f t="shared" si="77"/>
        <v>435</v>
      </c>
      <c r="K319" s="89">
        <v>0</v>
      </c>
      <c r="L319" s="89">
        <v>68</v>
      </c>
      <c r="M319" s="89">
        <v>16</v>
      </c>
      <c r="N319" s="89">
        <v>0</v>
      </c>
      <c r="O319" s="89">
        <v>0</v>
      </c>
      <c r="P319" s="89">
        <v>157</v>
      </c>
      <c r="Q319" s="91">
        <f t="shared" si="78"/>
        <v>1356</v>
      </c>
    </row>
    <row r="320" spans="1:20" ht="20.399999999999999">
      <c r="A320" s="266"/>
      <c r="B320" s="263"/>
      <c r="C320" s="81" t="s">
        <v>42</v>
      </c>
      <c r="D320" s="88">
        <v>34</v>
      </c>
      <c r="E320" s="88">
        <v>34</v>
      </c>
      <c r="F320" s="79">
        <v>0</v>
      </c>
      <c r="G320" s="79">
        <v>15100</v>
      </c>
      <c r="H320" s="79">
        <v>0</v>
      </c>
      <c r="I320" s="90">
        <f t="shared" si="75"/>
        <v>15100</v>
      </c>
      <c r="J320" s="145">
        <f t="shared" si="77"/>
        <v>9664</v>
      </c>
      <c r="K320" s="79">
        <v>0</v>
      </c>
      <c r="L320" s="79">
        <v>1510</v>
      </c>
      <c r="M320" s="79">
        <v>551</v>
      </c>
      <c r="N320" s="79">
        <v>0</v>
      </c>
      <c r="O320" s="79">
        <v>0</v>
      </c>
      <c r="P320" s="79">
        <v>3467</v>
      </c>
      <c r="Q320" s="91">
        <f t="shared" si="78"/>
        <v>30292</v>
      </c>
    </row>
    <row r="321" spans="1:20" ht="20.399999999999999">
      <c r="A321" s="266"/>
      <c r="B321" s="263"/>
      <c r="C321" s="81" t="s">
        <v>43</v>
      </c>
      <c r="D321" s="88">
        <v>0</v>
      </c>
      <c r="E321" s="88">
        <v>0</v>
      </c>
      <c r="F321" s="79">
        <v>0</v>
      </c>
      <c r="G321" s="79">
        <v>0</v>
      </c>
      <c r="H321" s="79">
        <v>0</v>
      </c>
      <c r="I321" s="90">
        <f t="shared" ref="I321:I327" si="79">SUM(G321:H321)</f>
        <v>0</v>
      </c>
      <c r="J321" s="145">
        <f t="shared" si="77"/>
        <v>0</v>
      </c>
      <c r="K321" s="89">
        <v>0</v>
      </c>
      <c r="L321" s="89">
        <v>0</v>
      </c>
      <c r="M321" s="89">
        <v>0</v>
      </c>
      <c r="N321" s="89">
        <v>0</v>
      </c>
      <c r="O321" s="89">
        <v>0</v>
      </c>
      <c r="P321" s="89">
        <v>0</v>
      </c>
      <c r="Q321" s="91">
        <f t="shared" si="78"/>
        <v>0</v>
      </c>
    </row>
    <row r="322" spans="1:20" ht="19.5" customHeight="1">
      <c r="A322" s="266"/>
      <c r="B322" s="263"/>
      <c r="C322" s="81" t="s">
        <v>44</v>
      </c>
      <c r="D322" s="88">
        <v>51</v>
      </c>
      <c r="E322" s="88">
        <v>51</v>
      </c>
      <c r="F322" s="79">
        <v>0</v>
      </c>
      <c r="G322" s="79">
        <v>16438</v>
      </c>
      <c r="H322" s="79">
        <v>0</v>
      </c>
      <c r="I322" s="90">
        <f t="shared" si="79"/>
        <v>16438</v>
      </c>
      <c r="J322" s="145">
        <v>10521</v>
      </c>
      <c r="K322" s="89">
        <v>0</v>
      </c>
      <c r="L322" s="89">
        <v>1644</v>
      </c>
      <c r="M322" s="89">
        <v>826</v>
      </c>
      <c r="N322" s="89">
        <v>0</v>
      </c>
      <c r="O322" s="89">
        <v>0</v>
      </c>
      <c r="P322" s="89">
        <v>3775</v>
      </c>
      <c r="Q322" s="91">
        <f t="shared" si="78"/>
        <v>33204</v>
      </c>
    </row>
    <row r="323" spans="1:20" ht="20.399999999999999">
      <c r="A323" s="266"/>
      <c r="B323" s="263"/>
      <c r="C323" s="81" t="s">
        <v>29</v>
      </c>
      <c r="D323" s="88">
        <v>0</v>
      </c>
      <c r="E323" s="88">
        <v>0</v>
      </c>
      <c r="F323" s="79">
        <v>0</v>
      </c>
      <c r="G323" s="79">
        <v>0</v>
      </c>
      <c r="H323" s="79">
        <v>0</v>
      </c>
      <c r="I323" s="90">
        <f t="shared" si="79"/>
        <v>0</v>
      </c>
      <c r="J323" s="145">
        <f t="shared" si="77"/>
        <v>0</v>
      </c>
      <c r="K323" s="89">
        <v>0</v>
      </c>
      <c r="L323" s="89">
        <v>0</v>
      </c>
      <c r="M323" s="89">
        <v>0</v>
      </c>
      <c r="N323" s="89">
        <v>0</v>
      </c>
      <c r="O323" s="89">
        <v>0</v>
      </c>
      <c r="P323" s="89">
        <v>0</v>
      </c>
      <c r="Q323" s="91">
        <f t="shared" si="78"/>
        <v>0</v>
      </c>
    </row>
    <row r="324" spans="1:20" ht="38.25" customHeight="1">
      <c r="A324" s="266"/>
      <c r="B324" s="263"/>
      <c r="C324" s="81" t="s">
        <v>30</v>
      </c>
      <c r="D324" s="88">
        <v>2</v>
      </c>
      <c r="E324" s="88">
        <v>2</v>
      </c>
      <c r="F324" s="79">
        <v>0</v>
      </c>
      <c r="G324" s="79">
        <v>1361</v>
      </c>
      <c r="H324" s="79">
        <v>0</v>
      </c>
      <c r="I324" s="90">
        <f t="shared" si="79"/>
        <v>1361</v>
      </c>
      <c r="J324" s="145">
        <f t="shared" si="77"/>
        <v>871</v>
      </c>
      <c r="K324" s="89">
        <v>0</v>
      </c>
      <c r="L324" s="89">
        <v>136</v>
      </c>
      <c r="M324" s="89">
        <v>32</v>
      </c>
      <c r="N324" s="89">
        <v>0</v>
      </c>
      <c r="O324" s="89">
        <v>0</v>
      </c>
      <c r="P324" s="89">
        <v>313</v>
      </c>
      <c r="Q324" s="91">
        <f t="shared" si="78"/>
        <v>2713</v>
      </c>
    </row>
    <row r="325" spans="1:20" ht="20.399999999999999">
      <c r="A325" s="266"/>
      <c r="B325" s="263"/>
      <c r="C325" s="81" t="s">
        <v>33</v>
      </c>
      <c r="D325" s="88">
        <v>4</v>
      </c>
      <c r="E325" s="88">
        <v>4</v>
      </c>
      <c r="F325" s="79">
        <v>0</v>
      </c>
      <c r="G325" s="79">
        <v>2051</v>
      </c>
      <c r="H325" s="79">
        <v>0</v>
      </c>
      <c r="I325" s="90">
        <f>SUM(G325:H325)</f>
        <v>2051</v>
      </c>
      <c r="J325" s="145">
        <f t="shared" si="77"/>
        <v>1313</v>
      </c>
      <c r="K325" s="79">
        <f>K329-K319</f>
        <v>0</v>
      </c>
      <c r="L325" s="79">
        <v>205</v>
      </c>
      <c r="M325" s="79">
        <v>65</v>
      </c>
      <c r="N325" s="79">
        <v>4</v>
      </c>
      <c r="O325" s="79">
        <v>0</v>
      </c>
      <c r="P325" s="79">
        <v>471</v>
      </c>
      <c r="Q325" s="91">
        <f t="shared" si="78"/>
        <v>4109</v>
      </c>
    </row>
    <row r="326" spans="1:20" ht="21.75" customHeight="1">
      <c r="A326" s="267"/>
      <c r="B326" s="264"/>
      <c r="C326" s="81" t="s">
        <v>46</v>
      </c>
      <c r="D326" s="88">
        <v>1</v>
      </c>
      <c r="E326" s="88">
        <v>1</v>
      </c>
      <c r="F326" s="79">
        <v>0</v>
      </c>
      <c r="G326" s="79">
        <v>337</v>
      </c>
      <c r="H326" s="79">
        <v>0</v>
      </c>
      <c r="I326" s="90">
        <f t="shared" si="79"/>
        <v>337</v>
      </c>
      <c r="J326" s="145">
        <f t="shared" si="77"/>
        <v>216</v>
      </c>
      <c r="K326" s="89">
        <v>0</v>
      </c>
      <c r="L326" s="89">
        <v>34</v>
      </c>
      <c r="M326" s="89">
        <v>16</v>
      </c>
      <c r="N326" s="89">
        <v>0</v>
      </c>
      <c r="O326" s="89">
        <v>0</v>
      </c>
      <c r="P326" s="89">
        <v>78</v>
      </c>
      <c r="Q326" s="91">
        <f t="shared" si="78"/>
        <v>681</v>
      </c>
    </row>
    <row r="327" spans="1:20" ht="19.5" customHeight="1">
      <c r="A327" s="143">
        <v>3</v>
      </c>
      <c r="B327" s="144" t="s">
        <v>20</v>
      </c>
      <c r="C327" s="82" t="s">
        <v>34</v>
      </c>
      <c r="D327" s="88">
        <v>34</v>
      </c>
      <c r="E327" s="88">
        <v>34</v>
      </c>
      <c r="F327" s="79">
        <v>0</v>
      </c>
      <c r="G327" s="79">
        <v>10569</v>
      </c>
      <c r="H327" s="79">
        <v>0</v>
      </c>
      <c r="I327" s="90">
        <f t="shared" si="79"/>
        <v>10569</v>
      </c>
      <c r="J327" s="145">
        <v>6765</v>
      </c>
      <c r="K327" s="89">
        <v>0</v>
      </c>
      <c r="L327" s="89">
        <v>1057</v>
      </c>
      <c r="M327" s="89">
        <v>551</v>
      </c>
      <c r="N327" s="89">
        <v>34</v>
      </c>
      <c r="O327" s="89">
        <v>0</v>
      </c>
      <c r="P327" s="89">
        <v>2428</v>
      </c>
      <c r="Q327" s="91">
        <f t="shared" si="78"/>
        <v>21404</v>
      </c>
    </row>
    <row r="328" spans="1:20" ht="18" thickBot="1">
      <c r="A328" s="83" t="s">
        <v>36</v>
      </c>
      <c r="B328" s="83" t="s">
        <v>36</v>
      </c>
      <c r="C328" s="84" t="s">
        <v>9</v>
      </c>
      <c r="D328" s="151">
        <f t="shared" ref="D328:Q328" si="80">SUM(D311:D327)</f>
        <v>149</v>
      </c>
      <c r="E328" s="151">
        <f t="shared" si="80"/>
        <v>149</v>
      </c>
      <c r="F328" s="151">
        <f t="shared" si="80"/>
        <v>0</v>
      </c>
      <c r="G328" s="151">
        <f t="shared" si="80"/>
        <v>66024</v>
      </c>
      <c r="H328" s="151">
        <f t="shared" si="80"/>
        <v>0</v>
      </c>
      <c r="I328" s="151">
        <f t="shared" si="80"/>
        <v>66024</v>
      </c>
      <c r="J328" s="151">
        <f t="shared" si="80"/>
        <v>42257</v>
      </c>
      <c r="K328" s="151">
        <f t="shared" si="80"/>
        <v>0</v>
      </c>
      <c r="L328" s="151">
        <f t="shared" si="80"/>
        <v>6603</v>
      </c>
      <c r="M328" s="151">
        <f t="shared" si="80"/>
        <v>2396</v>
      </c>
      <c r="N328" s="151">
        <f t="shared" si="80"/>
        <v>38</v>
      </c>
      <c r="O328" s="151">
        <f t="shared" si="80"/>
        <v>0</v>
      </c>
      <c r="P328" s="151">
        <f t="shared" si="80"/>
        <v>15166</v>
      </c>
      <c r="Q328" s="151">
        <f t="shared" si="80"/>
        <v>132484</v>
      </c>
    </row>
    <row r="329" spans="1:20" ht="18" thickTop="1">
      <c r="C329" s="99"/>
      <c r="D329" s="152">
        <f>E311+E312+E313+E314+E315+E316+E317+E318</f>
        <v>22</v>
      </c>
      <c r="E329" s="152">
        <f>E319+E320+E321+E322+E323+E324+E325+E326</f>
        <v>93</v>
      </c>
      <c r="F329" s="152"/>
      <c r="G329" s="152"/>
      <c r="H329" s="152"/>
      <c r="I329" s="154"/>
      <c r="J329" s="253"/>
      <c r="K329" s="152"/>
      <c r="L329" s="152"/>
      <c r="M329" s="152"/>
      <c r="N329" s="152"/>
      <c r="O329" s="152"/>
      <c r="P329" s="152"/>
      <c r="Q329" s="254"/>
    </row>
    <row r="330" spans="1:20">
      <c r="C330" s="99"/>
      <c r="D330" s="152"/>
      <c r="E330" s="152"/>
      <c r="F330" s="152"/>
      <c r="G330" s="152"/>
      <c r="H330" s="152"/>
      <c r="I330" s="154"/>
      <c r="J330" s="253"/>
      <c r="K330" s="152"/>
      <c r="L330" s="152"/>
      <c r="M330" s="152"/>
      <c r="N330" s="152"/>
      <c r="O330" s="152"/>
      <c r="P330" s="152"/>
      <c r="Q330" s="254"/>
    </row>
    <row r="331" spans="1:20">
      <c r="A331" s="297" t="s">
        <v>156</v>
      </c>
      <c r="B331" s="297"/>
      <c r="C331" s="297"/>
      <c r="D331" s="297"/>
      <c r="E331" s="297"/>
      <c r="F331" s="297"/>
      <c r="G331" s="297"/>
      <c r="H331" s="297"/>
      <c r="I331" s="297"/>
      <c r="J331" s="297"/>
      <c r="K331" s="297"/>
      <c r="L331" s="297"/>
      <c r="M331" s="297"/>
      <c r="N331" s="297"/>
      <c r="O331" s="297"/>
      <c r="P331" s="297"/>
      <c r="Q331" s="297"/>
      <c r="R331" s="93"/>
      <c r="S331" s="93"/>
      <c r="T331" s="93"/>
    </row>
    <row r="332" spans="1:20">
      <c r="A332" s="297" t="s">
        <v>17</v>
      </c>
      <c r="B332" s="298"/>
      <c r="C332" s="298"/>
      <c r="D332" s="298"/>
      <c r="E332" s="298"/>
      <c r="F332" s="298"/>
      <c r="G332" s="298"/>
      <c r="H332" s="298"/>
      <c r="I332" s="298"/>
      <c r="J332" s="298"/>
      <c r="K332" s="298"/>
      <c r="L332" s="298"/>
      <c r="M332" s="298"/>
      <c r="N332" s="298"/>
      <c r="O332" s="298"/>
      <c r="P332" s="298"/>
      <c r="Q332" s="298"/>
      <c r="R332" s="93"/>
      <c r="S332" s="93"/>
      <c r="T332" s="93"/>
    </row>
    <row r="333" spans="1:20" ht="22.8">
      <c r="A333" s="194" t="s">
        <v>52</v>
      </c>
      <c r="B333" s="195"/>
      <c r="C333" s="195"/>
      <c r="D333" s="196"/>
      <c r="E333" s="196"/>
      <c r="F333" s="196"/>
      <c r="G333" s="196"/>
      <c r="H333" s="196"/>
      <c r="I333" s="196"/>
      <c r="J333" s="196"/>
      <c r="K333" s="196"/>
      <c r="L333" s="196"/>
      <c r="M333" s="196"/>
      <c r="N333" s="196"/>
      <c r="O333" s="299" t="s">
        <v>2</v>
      </c>
      <c r="P333" s="300"/>
      <c r="Q333" s="300"/>
      <c r="R333" s="93"/>
      <c r="S333" s="93"/>
      <c r="T333" s="93"/>
    </row>
    <row r="334" spans="1:20" ht="18.75" customHeight="1">
      <c r="A334" s="301" t="s">
        <v>35</v>
      </c>
      <c r="B334" s="301" t="s">
        <v>3</v>
      </c>
      <c r="C334" s="304" t="s">
        <v>4</v>
      </c>
      <c r="D334" s="197" t="s">
        <v>5</v>
      </c>
      <c r="E334" s="197" t="s">
        <v>5</v>
      </c>
      <c r="F334" s="301" t="s">
        <v>6</v>
      </c>
      <c r="G334" s="301" t="s">
        <v>7</v>
      </c>
      <c r="H334" s="301" t="s">
        <v>8</v>
      </c>
      <c r="I334" s="301" t="s">
        <v>9</v>
      </c>
      <c r="J334" s="301" t="s">
        <v>159</v>
      </c>
      <c r="K334" s="301" t="s">
        <v>10</v>
      </c>
      <c r="L334" s="301" t="s">
        <v>11</v>
      </c>
      <c r="M334" s="301" t="s">
        <v>12</v>
      </c>
      <c r="N334" s="301" t="s">
        <v>13</v>
      </c>
      <c r="O334" s="301" t="s">
        <v>14</v>
      </c>
      <c r="P334" s="301" t="s">
        <v>15</v>
      </c>
      <c r="Q334" s="301" t="s">
        <v>9</v>
      </c>
      <c r="R334" s="93"/>
      <c r="S334" s="93"/>
      <c r="T334" s="93"/>
    </row>
    <row r="335" spans="1:20" ht="18.75" customHeight="1">
      <c r="A335" s="302"/>
      <c r="B335" s="302"/>
      <c r="C335" s="305"/>
      <c r="D335" s="198" t="s">
        <v>145</v>
      </c>
      <c r="E335" s="198" t="s">
        <v>146</v>
      </c>
      <c r="F335" s="303"/>
      <c r="G335" s="303"/>
      <c r="H335" s="303"/>
      <c r="I335" s="303"/>
      <c r="J335" s="303"/>
      <c r="K335" s="303"/>
      <c r="L335" s="303"/>
      <c r="M335" s="303"/>
      <c r="N335" s="303"/>
      <c r="O335" s="303"/>
      <c r="P335" s="303"/>
      <c r="Q335" s="303"/>
      <c r="R335" s="93"/>
      <c r="S335" s="93"/>
      <c r="T335" s="93"/>
    </row>
    <row r="336" spans="1:20">
      <c r="A336" s="303"/>
      <c r="B336" s="303"/>
      <c r="C336" s="306" t="s">
        <v>16</v>
      </c>
      <c r="D336" s="307"/>
      <c r="E336" s="307"/>
      <c r="F336" s="307"/>
      <c r="G336" s="307"/>
      <c r="H336" s="307"/>
      <c r="I336" s="307"/>
      <c r="J336" s="307"/>
      <c r="K336" s="307"/>
      <c r="L336" s="307"/>
      <c r="M336" s="307"/>
      <c r="N336" s="307"/>
      <c r="O336" s="307"/>
      <c r="P336" s="307"/>
      <c r="Q336" s="308"/>
      <c r="R336" s="93"/>
      <c r="S336" s="93"/>
      <c r="T336" s="93"/>
    </row>
    <row r="337" spans="1:20" ht="21">
      <c r="A337" s="271">
        <v>1</v>
      </c>
      <c r="B337" s="268" t="s">
        <v>18</v>
      </c>
      <c r="C337" s="199" t="s">
        <v>21</v>
      </c>
      <c r="D337" s="200">
        <v>0</v>
      </c>
      <c r="E337" s="201">
        <v>0</v>
      </c>
      <c r="F337" s="200">
        <v>0</v>
      </c>
      <c r="G337" s="200">
        <v>0</v>
      </c>
      <c r="H337" s="200">
        <v>0</v>
      </c>
      <c r="I337" s="201">
        <f t="shared" ref="I337:I343" si="81">SUM(G337:H337)</f>
        <v>0</v>
      </c>
      <c r="J337" s="202">
        <f>ROUND(I337*0.25,0)</f>
        <v>0</v>
      </c>
      <c r="K337" s="200">
        <v>0</v>
      </c>
      <c r="L337" s="200">
        <v>0</v>
      </c>
      <c r="M337" s="200">
        <v>0</v>
      </c>
      <c r="N337" s="200">
        <v>0</v>
      </c>
      <c r="O337" s="200">
        <v>0</v>
      </c>
      <c r="P337" s="200">
        <v>0</v>
      </c>
      <c r="Q337" s="201">
        <f t="shared" ref="Q337:Q343" si="82">SUM(F337+I337+J337+K337+L337+M337+N337+O337+P337)</f>
        <v>0</v>
      </c>
    </row>
    <row r="338" spans="1:20" ht="21">
      <c r="A338" s="309"/>
      <c r="B338" s="310"/>
      <c r="C338" s="199" t="s">
        <v>22</v>
      </c>
      <c r="D338" s="200">
        <v>0</v>
      </c>
      <c r="E338" s="201">
        <v>0</v>
      </c>
      <c r="F338" s="200">
        <v>0</v>
      </c>
      <c r="G338" s="200">
        <v>0</v>
      </c>
      <c r="H338" s="200">
        <v>0</v>
      </c>
      <c r="I338" s="201">
        <f t="shared" si="81"/>
        <v>0</v>
      </c>
      <c r="J338" s="202">
        <f t="shared" ref="J338:J350" si="83">ROUND(I338*0.25,0)</f>
        <v>0</v>
      </c>
      <c r="K338" s="200">
        <v>0</v>
      </c>
      <c r="L338" s="200">
        <v>0</v>
      </c>
      <c r="M338" s="200">
        <v>0</v>
      </c>
      <c r="N338" s="200">
        <v>0</v>
      </c>
      <c r="O338" s="200">
        <v>0</v>
      </c>
      <c r="P338" s="200">
        <v>0</v>
      </c>
      <c r="Q338" s="201">
        <f t="shared" si="82"/>
        <v>0</v>
      </c>
    </row>
    <row r="339" spans="1:20" ht="21">
      <c r="A339" s="309"/>
      <c r="B339" s="310"/>
      <c r="C339" s="199" t="s">
        <v>23</v>
      </c>
      <c r="D339" s="200">
        <v>0</v>
      </c>
      <c r="E339" s="201">
        <v>0</v>
      </c>
      <c r="F339" s="200">
        <v>0</v>
      </c>
      <c r="G339" s="200">
        <v>0</v>
      </c>
      <c r="H339" s="200">
        <v>0</v>
      </c>
      <c r="I339" s="201">
        <f t="shared" si="81"/>
        <v>0</v>
      </c>
      <c r="J339" s="202">
        <f t="shared" si="83"/>
        <v>0</v>
      </c>
      <c r="K339" s="200">
        <v>0</v>
      </c>
      <c r="L339" s="200">
        <v>0</v>
      </c>
      <c r="M339" s="200">
        <v>0</v>
      </c>
      <c r="N339" s="200">
        <v>0</v>
      </c>
      <c r="O339" s="200">
        <v>0</v>
      </c>
      <c r="P339" s="200">
        <v>0</v>
      </c>
      <c r="Q339" s="201">
        <f t="shared" si="82"/>
        <v>0</v>
      </c>
    </row>
    <row r="340" spans="1:20" ht="21">
      <c r="A340" s="309"/>
      <c r="B340" s="310"/>
      <c r="C340" s="199" t="s">
        <v>24</v>
      </c>
      <c r="D340" s="200">
        <v>0</v>
      </c>
      <c r="E340" s="201">
        <v>0</v>
      </c>
      <c r="F340" s="200">
        <v>0</v>
      </c>
      <c r="G340" s="200">
        <v>0</v>
      </c>
      <c r="H340" s="200">
        <v>0</v>
      </c>
      <c r="I340" s="201">
        <f t="shared" si="81"/>
        <v>0</v>
      </c>
      <c r="J340" s="202">
        <f t="shared" si="83"/>
        <v>0</v>
      </c>
      <c r="K340" s="200">
        <v>0</v>
      </c>
      <c r="L340" s="200">
        <v>0</v>
      </c>
      <c r="M340" s="200">
        <v>0</v>
      </c>
      <c r="N340" s="200">
        <v>0</v>
      </c>
      <c r="O340" s="200">
        <v>0</v>
      </c>
      <c r="P340" s="200">
        <v>0</v>
      </c>
      <c r="Q340" s="201">
        <f t="shared" si="82"/>
        <v>0</v>
      </c>
    </row>
    <row r="341" spans="1:20" ht="21">
      <c r="A341" s="309"/>
      <c r="B341" s="310"/>
      <c r="C341" s="199" t="s">
        <v>25</v>
      </c>
      <c r="D341" s="200">
        <v>0</v>
      </c>
      <c r="E341" s="201">
        <v>0</v>
      </c>
      <c r="F341" s="200">
        <v>0</v>
      </c>
      <c r="G341" s="200">
        <v>0</v>
      </c>
      <c r="H341" s="200">
        <v>0</v>
      </c>
      <c r="I341" s="201">
        <f t="shared" si="81"/>
        <v>0</v>
      </c>
      <c r="J341" s="202">
        <f t="shared" si="83"/>
        <v>0</v>
      </c>
      <c r="K341" s="200">
        <v>0</v>
      </c>
      <c r="L341" s="200">
        <v>0</v>
      </c>
      <c r="M341" s="200">
        <v>0</v>
      </c>
      <c r="N341" s="200">
        <v>0</v>
      </c>
      <c r="O341" s="200">
        <v>0</v>
      </c>
      <c r="P341" s="200">
        <v>0</v>
      </c>
      <c r="Q341" s="201">
        <f t="shared" si="82"/>
        <v>0</v>
      </c>
    </row>
    <row r="342" spans="1:20" ht="21">
      <c r="A342" s="309"/>
      <c r="B342" s="310"/>
      <c r="C342" s="199" t="s">
        <v>26</v>
      </c>
      <c r="D342" s="200">
        <v>0</v>
      </c>
      <c r="E342" s="201">
        <v>0</v>
      </c>
      <c r="F342" s="200">
        <v>0</v>
      </c>
      <c r="G342" s="200">
        <v>0</v>
      </c>
      <c r="H342" s="200">
        <v>0</v>
      </c>
      <c r="I342" s="201">
        <f t="shared" si="81"/>
        <v>0</v>
      </c>
      <c r="J342" s="202">
        <f t="shared" si="83"/>
        <v>0</v>
      </c>
      <c r="K342" s="200">
        <v>0</v>
      </c>
      <c r="L342" s="200">
        <v>0</v>
      </c>
      <c r="M342" s="200">
        <v>0</v>
      </c>
      <c r="N342" s="200">
        <v>0</v>
      </c>
      <c r="O342" s="200">
        <v>0</v>
      </c>
      <c r="P342" s="200">
        <v>0</v>
      </c>
      <c r="Q342" s="201">
        <f t="shared" si="82"/>
        <v>0</v>
      </c>
    </row>
    <row r="343" spans="1:20" ht="21">
      <c r="A343" s="309"/>
      <c r="B343" s="310"/>
      <c r="C343" s="203" t="s">
        <v>27</v>
      </c>
      <c r="D343" s="200">
        <v>0</v>
      </c>
      <c r="E343" s="201">
        <v>0</v>
      </c>
      <c r="F343" s="200">
        <v>0</v>
      </c>
      <c r="G343" s="200">
        <v>0</v>
      </c>
      <c r="H343" s="200">
        <v>0</v>
      </c>
      <c r="I343" s="201">
        <f t="shared" si="81"/>
        <v>0</v>
      </c>
      <c r="J343" s="202">
        <f t="shared" si="83"/>
        <v>0</v>
      </c>
      <c r="K343" s="200">
        <v>0</v>
      </c>
      <c r="L343" s="200">
        <v>0</v>
      </c>
      <c r="M343" s="200">
        <v>0</v>
      </c>
      <c r="N343" s="200">
        <v>0</v>
      </c>
      <c r="O343" s="200">
        <v>0</v>
      </c>
      <c r="P343" s="200">
        <v>0</v>
      </c>
      <c r="Q343" s="201">
        <f t="shared" si="82"/>
        <v>0</v>
      </c>
    </row>
    <row r="344" spans="1:20" ht="21">
      <c r="A344" s="271">
        <v>2</v>
      </c>
      <c r="B344" s="268" t="s">
        <v>19</v>
      </c>
      <c r="C344" s="204" t="s">
        <v>28</v>
      </c>
      <c r="D344" s="200">
        <v>0</v>
      </c>
      <c r="E344" s="201">
        <v>0</v>
      </c>
      <c r="F344" s="200">
        <v>0</v>
      </c>
      <c r="G344" s="200">
        <v>0</v>
      </c>
      <c r="H344" s="200">
        <v>0</v>
      </c>
      <c r="I344" s="201">
        <f t="shared" ref="I344:I350" si="84">SUM(G344:H344)</f>
        <v>0</v>
      </c>
      <c r="J344" s="202">
        <f t="shared" si="83"/>
        <v>0</v>
      </c>
      <c r="K344" s="200">
        <v>0</v>
      </c>
      <c r="L344" s="200">
        <v>0</v>
      </c>
      <c r="M344" s="200">
        <v>0</v>
      </c>
      <c r="N344" s="200">
        <v>0</v>
      </c>
      <c r="O344" s="200">
        <v>0</v>
      </c>
      <c r="P344" s="200">
        <v>0</v>
      </c>
      <c r="Q344" s="201">
        <f t="shared" ref="Q344:Q350" si="85">SUM(F344+I344+J344+K344+L344+M344+N344+O344+P344)</f>
        <v>0</v>
      </c>
    </row>
    <row r="345" spans="1:20" ht="21">
      <c r="A345" s="272"/>
      <c r="B345" s="269"/>
      <c r="C345" s="204" t="s">
        <v>29</v>
      </c>
      <c r="D345" s="200">
        <v>0</v>
      </c>
      <c r="E345" s="205">
        <v>0</v>
      </c>
      <c r="F345" s="200">
        <v>0</v>
      </c>
      <c r="G345" s="200">
        <v>0</v>
      </c>
      <c r="H345" s="200">
        <v>0</v>
      </c>
      <c r="I345" s="201">
        <f t="shared" si="84"/>
        <v>0</v>
      </c>
      <c r="J345" s="202">
        <f t="shared" si="83"/>
        <v>0</v>
      </c>
      <c r="K345" s="200">
        <v>0</v>
      </c>
      <c r="L345" s="200">
        <v>0</v>
      </c>
      <c r="M345" s="200">
        <v>0</v>
      </c>
      <c r="N345" s="200">
        <v>0</v>
      </c>
      <c r="O345" s="200">
        <v>0</v>
      </c>
      <c r="P345" s="200">
        <v>0</v>
      </c>
      <c r="Q345" s="201">
        <f t="shared" si="85"/>
        <v>0</v>
      </c>
    </row>
    <row r="346" spans="1:20" ht="32.25" customHeight="1">
      <c r="A346" s="272"/>
      <c r="B346" s="269"/>
      <c r="C346" s="204" t="s">
        <v>45</v>
      </c>
      <c r="D346" s="200">
        <v>0</v>
      </c>
      <c r="E346" s="201">
        <v>0</v>
      </c>
      <c r="F346" s="200">
        <v>0</v>
      </c>
      <c r="G346" s="200">
        <v>0</v>
      </c>
      <c r="H346" s="200">
        <v>0</v>
      </c>
      <c r="I346" s="201">
        <f t="shared" si="84"/>
        <v>0</v>
      </c>
      <c r="J346" s="202">
        <f t="shared" si="83"/>
        <v>0</v>
      </c>
      <c r="K346" s="200">
        <v>0</v>
      </c>
      <c r="L346" s="200">
        <v>0</v>
      </c>
      <c r="M346" s="200">
        <v>0</v>
      </c>
      <c r="N346" s="200">
        <v>0</v>
      </c>
      <c r="O346" s="200">
        <v>0</v>
      </c>
      <c r="P346" s="200">
        <v>0</v>
      </c>
      <c r="Q346" s="201">
        <f t="shared" si="85"/>
        <v>0</v>
      </c>
    </row>
    <row r="347" spans="1:20" ht="21">
      <c r="A347" s="272"/>
      <c r="B347" s="269"/>
      <c r="C347" s="204" t="s">
        <v>31</v>
      </c>
      <c r="D347" s="200">
        <v>0</v>
      </c>
      <c r="E347" s="205">
        <v>0</v>
      </c>
      <c r="F347" s="200">
        <v>0</v>
      </c>
      <c r="G347" s="200">
        <v>0</v>
      </c>
      <c r="H347" s="200">
        <v>0</v>
      </c>
      <c r="I347" s="201">
        <f t="shared" si="84"/>
        <v>0</v>
      </c>
      <c r="J347" s="202">
        <f t="shared" si="83"/>
        <v>0</v>
      </c>
      <c r="K347" s="200">
        <v>0</v>
      </c>
      <c r="L347" s="200">
        <v>0</v>
      </c>
      <c r="M347" s="200">
        <v>0</v>
      </c>
      <c r="N347" s="200">
        <v>0</v>
      </c>
      <c r="O347" s="200">
        <v>0</v>
      </c>
      <c r="P347" s="200">
        <v>0</v>
      </c>
      <c r="Q347" s="201">
        <f t="shared" si="85"/>
        <v>0</v>
      </c>
    </row>
    <row r="348" spans="1:20" ht="21">
      <c r="A348" s="272"/>
      <c r="B348" s="269"/>
      <c r="C348" s="204" t="s">
        <v>32</v>
      </c>
      <c r="D348" s="206">
        <v>0</v>
      </c>
      <c r="E348" s="205">
        <v>0</v>
      </c>
      <c r="F348" s="200">
        <v>0</v>
      </c>
      <c r="G348" s="200">
        <v>0</v>
      </c>
      <c r="H348" s="200">
        <v>0</v>
      </c>
      <c r="I348" s="201">
        <f t="shared" si="84"/>
        <v>0</v>
      </c>
      <c r="J348" s="202">
        <f t="shared" si="83"/>
        <v>0</v>
      </c>
      <c r="K348" s="200">
        <v>0</v>
      </c>
      <c r="L348" s="200">
        <v>0</v>
      </c>
      <c r="M348" s="200">
        <v>0</v>
      </c>
      <c r="N348" s="200">
        <v>0</v>
      </c>
      <c r="O348" s="200">
        <v>0</v>
      </c>
      <c r="P348" s="200">
        <v>0</v>
      </c>
      <c r="Q348" s="201">
        <f t="shared" si="85"/>
        <v>0</v>
      </c>
    </row>
    <row r="349" spans="1:20" ht="21">
      <c r="A349" s="273"/>
      <c r="B349" s="270"/>
      <c r="C349" s="204" t="s">
        <v>33</v>
      </c>
      <c r="D349" s="200">
        <v>0</v>
      </c>
      <c r="E349" s="201">
        <v>0</v>
      </c>
      <c r="F349" s="200">
        <v>0</v>
      </c>
      <c r="G349" s="200">
        <v>0</v>
      </c>
      <c r="H349" s="200">
        <v>0</v>
      </c>
      <c r="I349" s="201">
        <f t="shared" si="84"/>
        <v>0</v>
      </c>
      <c r="J349" s="202">
        <f t="shared" si="83"/>
        <v>0</v>
      </c>
      <c r="K349" s="200">
        <v>0</v>
      </c>
      <c r="L349" s="200">
        <v>0</v>
      </c>
      <c r="M349" s="200">
        <v>0</v>
      </c>
      <c r="N349" s="200">
        <v>0</v>
      </c>
      <c r="O349" s="200">
        <v>0</v>
      </c>
      <c r="P349" s="200">
        <v>0</v>
      </c>
      <c r="Q349" s="201">
        <f t="shared" si="85"/>
        <v>0</v>
      </c>
    </row>
    <row r="350" spans="1:20" ht="21">
      <c r="A350" s="207">
        <v>3</v>
      </c>
      <c r="B350" s="208" t="s">
        <v>20</v>
      </c>
      <c r="C350" s="209" t="s">
        <v>34</v>
      </c>
      <c r="D350" s="206">
        <v>0</v>
      </c>
      <c r="E350" s="205">
        <v>0</v>
      </c>
      <c r="F350" s="200">
        <v>0</v>
      </c>
      <c r="G350" s="200">
        <v>0</v>
      </c>
      <c r="H350" s="200">
        <v>0</v>
      </c>
      <c r="I350" s="201">
        <f t="shared" si="84"/>
        <v>0</v>
      </c>
      <c r="J350" s="202">
        <f t="shared" si="83"/>
        <v>0</v>
      </c>
      <c r="K350" s="200">
        <v>0</v>
      </c>
      <c r="L350" s="200">
        <v>0</v>
      </c>
      <c r="M350" s="200">
        <v>0</v>
      </c>
      <c r="N350" s="200">
        <v>0</v>
      </c>
      <c r="O350" s="200">
        <v>0</v>
      </c>
      <c r="P350" s="200">
        <v>0</v>
      </c>
      <c r="Q350" s="201">
        <f t="shared" si="85"/>
        <v>0</v>
      </c>
    </row>
    <row r="351" spans="1:20" s="149" customFormat="1" ht="21.6" thickBot="1">
      <c r="A351" s="210" t="s">
        <v>36</v>
      </c>
      <c r="B351" s="210" t="s">
        <v>36</v>
      </c>
      <c r="C351" s="211" t="s">
        <v>9</v>
      </c>
      <c r="D351" s="212">
        <f t="shared" ref="D351:Q351" si="86">SUM(D337:D350)</f>
        <v>0</v>
      </c>
      <c r="E351" s="212">
        <f t="shared" si="86"/>
        <v>0</v>
      </c>
      <c r="F351" s="212">
        <f t="shared" si="86"/>
        <v>0</v>
      </c>
      <c r="G351" s="212">
        <f t="shared" si="86"/>
        <v>0</v>
      </c>
      <c r="H351" s="212">
        <f t="shared" si="86"/>
        <v>0</v>
      </c>
      <c r="I351" s="212">
        <f t="shared" si="86"/>
        <v>0</v>
      </c>
      <c r="J351" s="212">
        <f t="shared" si="86"/>
        <v>0</v>
      </c>
      <c r="K351" s="212">
        <f t="shared" si="86"/>
        <v>0</v>
      </c>
      <c r="L351" s="212">
        <f t="shared" si="86"/>
        <v>0</v>
      </c>
      <c r="M351" s="212">
        <f t="shared" si="86"/>
        <v>0</v>
      </c>
      <c r="N351" s="212">
        <f t="shared" si="86"/>
        <v>0</v>
      </c>
      <c r="O351" s="212">
        <f t="shared" si="86"/>
        <v>0</v>
      </c>
      <c r="P351" s="212">
        <f t="shared" si="86"/>
        <v>0</v>
      </c>
      <c r="Q351" s="212">
        <f t="shared" si="86"/>
        <v>0</v>
      </c>
      <c r="R351" s="148"/>
      <c r="S351" s="148"/>
      <c r="T351" s="148"/>
    </row>
    <row r="352" spans="1:20" s="149" customFormat="1" ht="21.6" thickTop="1">
      <c r="A352" s="213"/>
      <c r="B352" s="213"/>
      <c r="C352" s="214"/>
      <c r="D352" s="215"/>
      <c r="E352" s="215"/>
      <c r="F352" s="215"/>
      <c r="G352" s="215"/>
      <c r="H352" s="215"/>
      <c r="I352" s="215"/>
      <c r="J352" s="215"/>
      <c r="K352" s="215"/>
      <c r="L352" s="215"/>
      <c r="M352" s="215"/>
      <c r="N352" s="215"/>
      <c r="O352" s="215"/>
      <c r="P352" s="215"/>
      <c r="Q352" s="215"/>
      <c r="R352" s="148"/>
      <c r="S352" s="148"/>
      <c r="T352" s="148"/>
    </row>
    <row r="353" spans="1:20">
      <c r="A353" s="297" t="s">
        <v>138</v>
      </c>
      <c r="B353" s="297"/>
      <c r="C353" s="297"/>
      <c r="D353" s="297"/>
      <c r="E353" s="297"/>
      <c r="F353" s="297"/>
      <c r="G353" s="297"/>
      <c r="H353" s="297"/>
      <c r="I353" s="297"/>
      <c r="J353" s="297"/>
      <c r="K353" s="297"/>
      <c r="L353" s="297"/>
      <c r="M353" s="297"/>
      <c r="N353" s="297"/>
      <c r="O353" s="297"/>
      <c r="P353" s="297"/>
      <c r="Q353" s="297"/>
      <c r="R353" s="93"/>
      <c r="S353" s="93"/>
      <c r="T353" s="93"/>
    </row>
    <row r="354" spans="1:20">
      <c r="A354" s="297" t="s">
        <v>17</v>
      </c>
      <c r="B354" s="298"/>
      <c r="C354" s="298"/>
      <c r="D354" s="298"/>
      <c r="E354" s="298"/>
      <c r="F354" s="298"/>
      <c r="G354" s="298"/>
      <c r="H354" s="298"/>
      <c r="I354" s="298"/>
      <c r="J354" s="298"/>
      <c r="K354" s="298"/>
      <c r="L354" s="298"/>
      <c r="M354" s="298"/>
      <c r="N354" s="298"/>
      <c r="O354" s="298"/>
      <c r="P354" s="298"/>
      <c r="Q354" s="298"/>
      <c r="R354" s="93"/>
      <c r="S354" s="93"/>
      <c r="T354" s="93"/>
    </row>
    <row r="355" spans="1:20" ht="22.8">
      <c r="A355" s="194" t="s">
        <v>52</v>
      </c>
      <c r="B355" s="195"/>
      <c r="C355" s="195"/>
      <c r="D355" s="196"/>
      <c r="E355" s="196"/>
      <c r="F355" s="196"/>
      <c r="G355" s="196"/>
      <c r="H355" s="196"/>
      <c r="I355" s="196"/>
      <c r="J355" s="196"/>
      <c r="K355" s="196"/>
      <c r="L355" s="196"/>
      <c r="M355" s="196"/>
      <c r="N355" s="196"/>
      <c r="O355" s="299" t="s">
        <v>2</v>
      </c>
      <c r="P355" s="300"/>
      <c r="Q355" s="300"/>
      <c r="R355" s="93"/>
      <c r="S355" s="93"/>
      <c r="T355" s="93"/>
    </row>
    <row r="356" spans="1:20" ht="18.75" customHeight="1">
      <c r="A356" s="301" t="s">
        <v>35</v>
      </c>
      <c r="B356" s="301" t="s">
        <v>3</v>
      </c>
      <c r="C356" s="304" t="s">
        <v>4</v>
      </c>
      <c r="D356" s="197" t="s">
        <v>5</v>
      </c>
      <c r="E356" s="197" t="s">
        <v>5</v>
      </c>
      <c r="F356" s="301" t="s">
        <v>6</v>
      </c>
      <c r="G356" s="301" t="s">
        <v>7</v>
      </c>
      <c r="H356" s="301" t="s">
        <v>8</v>
      </c>
      <c r="I356" s="301" t="s">
        <v>9</v>
      </c>
      <c r="J356" s="301" t="s">
        <v>159</v>
      </c>
      <c r="K356" s="301" t="s">
        <v>10</v>
      </c>
      <c r="L356" s="301" t="s">
        <v>11</v>
      </c>
      <c r="M356" s="301" t="s">
        <v>12</v>
      </c>
      <c r="N356" s="301" t="s">
        <v>13</v>
      </c>
      <c r="O356" s="301" t="s">
        <v>14</v>
      </c>
      <c r="P356" s="301" t="s">
        <v>15</v>
      </c>
      <c r="Q356" s="301" t="s">
        <v>9</v>
      </c>
      <c r="R356" s="93"/>
      <c r="S356" s="93"/>
      <c r="T356" s="93"/>
    </row>
    <row r="357" spans="1:20" ht="18.75" customHeight="1">
      <c r="A357" s="302"/>
      <c r="B357" s="302"/>
      <c r="C357" s="305"/>
      <c r="D357" s="198" t="s">
        <v>124</v>
      </c>
      <c r="E357" s="198" t="s">
        <v>137</v>
      </c>
      <c r="F357" s="303"/>
      <c r="G357" s="303"/>
      <c r="H357" s="303"/>
      <c r="I357" s="303"/>
      <c r="J357" s="303"/>
      <c r="K357" s="303"/>
      <c r="L357" s="303"/>
      <c r="M357" s="303"/>
      <c r="N357" s="303"/>
      <c r="O357" s="303"/>
      <c r="P357" s="303"/>
      <c r="Q357" s="303"/>
      <c r="R357" s="93"/>
      <c r="S357" s="93"/>
      <c r="T357" s="93"/>
    </row>
    <row r="358" spans="1:20">
      <c r="A358" s="303"/>
      <c r="B358" s="303"/>
      <c r="C358" s="306" t="s">
        <v>37</v>
      </c>
      <c r="D358" s="307"/>
      <c r="E358" s="307"/>
      <c r="F358" s="307"/>
      <c r="G358" s="307"/>
      <c r="H358" s="307"/>
      <c r="I358" s="307"/>
      <c r="J358" s="307"/>
      <c r="K358" s="307"/>
      <c r="L358" s="307"/>
      <c r="M358" s="307"/>
      <c r="N358" s="307"/>
      <c r="O358" s="307"/>
      <c r="P358" s="307"/>
      <c r="Q358" s="308"/>
      <c r="R358" s="93"/>
      <c r="S358" s="93"/>
      <c r="T358" s="93"/>
    </row>
    <row r="359" spans="1:20" ht="20.399999999999999">
      <c r="A359" s="271">
        <v>1</v>
      </c>
      <c r="B359" s="268" t="s">
        <v>18</v>
      </c>
      <c r="C359" s="199" t="s">
        <v>21</v>
      </c>
      <c r="D359" s="216">
        <v>0</v>
      </c>
      <c r="E359" s="217">
        <v>0</v>
      </c>
      <c r="F359" s="200">
        <v>0</v>
      </c>
      <c r="G359" s="200">
        <v>0</v>
      </c>
      <c r="H359" s="200">
        <v>0</v>
      </c>
      <c r="I359" s="217">
        <f t="shared" ref="I359:I367" si="87">SUM(G359:H359)</f>
        <v>0</v>
      </c>
      <c r="J359" s="202">
        <f t="shared" ref="J359:J375" si="88">ROUND(I359*0.25,0)</f>
        <v>0</v>
      </c>
      <c r="K359" s="216">
        <v>0</v>
      </c>
      <c r="L359" s="216">
        <v>0</v>
      </c>
      <c r="M359" s="216">
        <v>0</v>
      </c>
      <c r="N359" s="216">
        <v>0</v>
      </c>
      <c r="O359" s="216">
        <v>0</v>
      </c>
      <c r="P359" s="216">
        <v>0</v>
      </c>
      <c r="Q359" s="205">
        <f t="shared" ref="Q359:Q365" si="89">SUM(F359+I359+J359+K359+L359+M359+N359+O359+P359)</f>
        <v>0</v>
      </c>
    </row>
    <row r="360" spans="1:20" ht="20.399999999999999">
      <c r="A360" s="309"/>
      <c r="B360" s="310"/>
      <c r="C360" s="199" t="s">
        <v>22</v>
      </c>
      <c r="D360" s="216">
        <v>0</v>
      </c>
      <c r="E360" s="218">
        <v>0</v>
      </c>
      <c r="F360" s="200">
        <v>0</v>
      </c>
      <c r="G360" s="200">
        <v>0</v>
      </c>
      <c r="H360" s="200">
        <v>0</v>
      </c>
      <c r="I360" s="217">
        <f t="shared" si="87"/>
        <v>0</v>
      </c>
      <c r="J360" s="202">
        <f t="shared" si="88"/>
        <v>0</v>
      </c>
      <c r="K360" s="216">
        <v>0</v>
      </c>
      <c r="L360" s="216">
        <v>0</v>
      </c>
      <c r="M360" s="216">
        <v>0</v>
      </c>
      <c r="N360" s="216">
        <v>0</v>
      </c>
      <c r="O360" s="216">
        <v>0</v>
      </c>
      <c r="P360" s="216">
        <v>0</v>
      </c>
      <c r="Q360" s="205">
        <f t="shared" si="89"/>
        <v>0</v>
      </c>
    </row>
    <row r="361" spans="1:20" ht="36" customHeight="1">
      <c r="A361" s="309"/>
      <c r="B361" s="310"/>
      <c r="C361" s="199" t="s">
        <v>38</v>
      </c>
      <c r="D361" s="216">
        <v>0</v>
      </c>
      <c r="E361" s="218">
        <v>0</v>
      </c>
      <c r="F361" s="200">
        <v>0</v>
      </c>
      <c r="G361" s="200">
        <v>0</v>
      </c>
      <c r="H361" s="200">
        <v>0</v>
      </c>
      <c r="I361" s="217">
        <f t="shared" si="87"/>
        <v>0</v>
      </c>
      <c r="J361" s="202">
        <f t="shared" si="88"/>
        <v>0</v>
      </c>
      <c r="K361" s="216">
        <v>0</v>
      </c>
      <c r="L361" s="216">
        <v>0</v>
      </c>
      <c r="M361" s="216">
        <v>0</v>
      </c>
      <c r="N361" s="216">
        <v>0</v>
      </c>
      <c r="O361" s="216">
        <v>0</v>
      </c>
      <c r="P361" s="216">
        <v>0</v>
      </c>
      <c r="Q361" s="205">
        <f t="shared" si="89"/>
        <v>0</v>
      </c>
    </row>
    <row r="362" spans="1:20" ht="30">
      <c r="A362" s="309"/>
      <c r="B362" s="310"/>
      <c r="C362" s="199" t="s">
        <v>39</v>
      </c>
      <c r="D362" s="216">
        <v>0</v>
      </c>
      <c r="E362" s="218">
        <v>0</v>
      </c>
      <c r="F362" s="200">
        <v>0</v>
      </c>
      <c r="G362" s="200">
        <v>0</v>
      </c>
      <c r="H362" s="200">
        <v>0</v>
      </c>
      <c r="I362" s="217">
        <f t="shared" si="87"/>
        <v>0</v>
      </c>
      <c r="J362" s="202">
        <f t="shared" si="88"/>
        <v>0</v>
      </c>
      <c r="K362" s="216">
        <v>0</v>
      </c>
      <c r="L362" s="216">
        <v>0</v>
      </c>
      <c r="M362" s="216">
        <v>0</v>
      </c>
      <c r="N362" s="216">
        <v>0</v>
      </c>
      <c r="O362" s="216">
        <v>0</v>
      </c>
      <c r="P362" s="216">
        <v>0</v>
      </c>
      <c r="Q362" s="205">
        <f t="shared" si="89"/>
        <v>0</v>
      </c>
    </row>
    <row r="363" spans="1:20" ht="18.75" customHeight="1">
      <c r="A363" s="309"/>
      <c r="B363" s="310"/>
      <c r="C363" s="199" t="s">
        <v>40</v>
      </c>
      <c r="D363" s="216">
        <v>0</v>
      </c>
      <c r="E363" s="218">
        <v>0</v>
      </c>
      <c r="F363" s="200">
        <v>0</v>
      </c>
      <c r="G363" s="200">
        <v>0</v>
      </c>
      <c r="H363" s="200">
        <v>0</v>
      </c>
      <c r="I363" s="217">
        <f t="shared" si="87"/>
        <v>0</v>
      </c>
      <c r="J363" s="202">
        <f t="shared" si="88"/>
        <v>0</v>
      </c>
      <c r="K363" s="216">
        <v>0</v>
      </c>
      <c r="L363" s="216">
        <v>0</v>
      </c>
      <c r="M363" s="216">
        <v>0</v>
      </c>
      <c r="N363" s="216">
        <v>0</v>
      </c>
      <c r="O363" s="216">
        <v>0</v>
      </c>
      <c r="P363" s="216">
        <v>0</v>
      </c>
      <c r="Q363" s="205">
        <f t="shared" si="89"/>
        <v>0</v>
      </c>
    </row>
    <row r="364" spans="1:20" ht="20.399999999999999">
      <c r="A364" s="309"/>
      <c r="B364" s="310"/>
      <c r="C364" s="199" t="s">
        <v>26</v>
      </c>
      <c r="D364" s="216">
        <v>0</v>
      </c>
      <c r="E364" s="218">
        <v>0</v>
      </c>
      <c r="F364" s="200">
        <v>0</v>
      </c>
      <c r="G364" s="200">
        <v>0</v>
      </c>
      <c r="H364" s="200">
        <v>0</v>
      </c>
      <c r="I364" s="217">
        <f t="shared" si="87"/>
        <v>0</v>
      </c>
      <c r="J364" s="202">
        <f t="shared" si="88"/>
        <v>0</v>
      </c>
      <c r="K364" s="216">
        <v>0</v>
      </c>
      <c r="L364" s="216">
        <v>0</v>
      </c>
      <c r="M364" s="216">
        <v>0</v>
      </c>
      <c r="N364" s="216">
        <v>0</v>
      </c>
      <c r="O364" s="216">
        <v>0</v>
      </c>
      <c r="P364" s="216">
        <v>0</v>
      </c>
      <c r="Q364" s="205">
        <f t="shared" si="89"/>
        <v>0</v>
      </c>
    </row>
    <row r="365" spans="1:20" ht="20.399999999999999">
      <c r="A365" s="309"/>
      <c r="B365" s="310"/>
      <c r="C365" s="199" t="s">
        <v>27</v>
      </c>
      <c r="D365" s="216">
        <v>0</v>
      </c>
      <c r="E365" s="218">
        <v>0</v>
      </c>
      <c r="F365" s="200">
        <v>0</v>
      </c>
      <c r="G365" s="200">
        <v>0</v>
      </c>
      <c r="H365" s="200">
        <v>0</v>
      </c>
      <c r="I365" s="217">
        <f t="shared" si="87"/>
        <v>0</v>
      </c>
      <c r="J365" s="202">
        <f t="shared" si="88"/>
        <v>0</v>
      </c>
      <c r="K365" s="216">
        <v>0</v>
      </c>
      <c r="L365" s="216">
        <v>0</v>
      </c>
      <c r="M365" s="216">
        <v>0</v>
      </c>
      <c r="N365" s="216">
        <v>0</v>
      </c>
      <c r="O365" s="216">
        <v>0</v>
      </c>
      <c r="P365" s="216">
        <v>0</v>
      </c>
      <c r="Q365" s="205">
        <f t="shared" si="89"/>
        <v>0</v>
      </c>
    </row>
    <row r="366" spans="1:20" ht="20.399999999999999">
      <c r="A366" s="312"/>
      <c r="B366" s="313"/>
      <c r="C366" s="199" t="s">
        <v>41</v>
      </c>
      <c r="D366" s="216">
        <v>0</v>
      </c>
      <c r="E366" s="218">
        <v>0</v>
      </c>
      <c r="F366" s="200">
        <v>0</v>
      </c>
      <c r="G366" s="200">
        <v>0</v>
      </c>
      <c r="H366" s="200">
        <v>0</v>
      </c>
      <c r="I366" s="200">
        <f t="shared" si="87"/>
        <v>0</v>
      </c>
      <c r="J366" s="202">
        <f t="shared" si="88"/>
        <v>0</v>
      </c>
      <c r="K366" s="216">
        <v>0</v>
      </c>
      <c r="L366" s="216">
        <v>0</v>
      </c>
      <c r="M366" s="216">
        <v>0</v>
      </c>
      <c r="N366" s="216">
        <v>0</v>
      </c>
      <c r="O366" s="216">
        <v>0</v>
      </c>
      <c r="P366" s="216">
        <v>0</v>
      </c>
      <c r="Q366" s="205">
        <f t="shared" ref="Q366:Q375" si="90">SUM(F366+I366+J366+K366+L366+M366+N366+O366+P366)</f>
        <v>0</v>
      </c>
    </row>
    <row r="367" spans="1:20" ht="20.399999999999999">
      <c r="A367" s="271">
        <v>2</v>
      </c>
      <c r="B367" s="268" t="s">
        <v>19</v>
      </c>
      <c r="C367" s="204" t="s">
        <v>28</v>
      </c>
      <c r="D367" s="216">
        <v>0</v>
      </c>
      <c r="E367" s="218">
        <v>0</v>
      </c>
      <c r="F367" s="200">
        <v>0</v>
      </c>
      <c r="G367" s="200">
        <v>0</v>
      </c>
      <c r="H367" s="200">
        <v>0</v>
      </c>
      <c r="I367" s="217">
        <f t="shared" si="87"/>
        <v>0</v>
      </c>
      <c r="J367" s="202">
        <f t="shared" si="88"/>
        <v>0</v>
      </c>
      <c r="K367" s="216">
        <v>0</v>
      </c>
      <c r="L367" s="216">
        <v>0</v>
      </c>
      <c r="M367" s="216">
        <v>0</v>
      </c>
      <c r="N367" s="216">
        <v>0</v>
      </c>
      <c r="O367" s="216">
        <v>0</v>
      </c>
      <c r="P367" s="216">
        <v>0</v>
      </c>
      <c r="Q367" s="205">
        <f t="shared" si="90"/>
        <v>0</v>
      </c>
    </row>
    <row r="368" spans="1:20" ht="20.399999999999999">
      <c r="A368" s="272"/>
      <c r="B368" s="269"/>
      <c r="C368" s="204" t="s">
        <v>42</v>
      </c>
      <c r="D368" s="216">
        <v>0</v>
      </c>
      <c r="E368" s="218">
        <v>0</v>
      </c>
      <c r="F368" s="200">
        <v>0</v>
      </c>
      <c r="G368" s="200">
        <v>0</v>
      </c>
      <c r="H368" s="200">
        <v>0</v>
      </c>
      <c r="I368" s="217">
        <f t="shared" ref="I368:I375" si="91">SUM(G368:H368)</f>
        <v>0</v>
      </c>
      <c r="J368" s="202">
        <f t="shared" si="88"/>
        <v>0</v>
      </c>
      <c r="K368" s="216">
        <v>0</v>
      </c>
      <c r="L368" s="216">
        <v>0</v>
      </c>
      <c r="M368" s="216">
        <v>0</v>
      </c>
      <c r="N368" s="216">
        <v>0</v>
      </c>
      <c r="O368" s="216">
        <v>0</v>
      </c>
      <c r="P368" s="216">
        <v>0</v>
      </c>
      <c r="Q368" s="205">
        <f t="shared" si="90"/>
        <v>0</v>
      </c>
    </row>
    <row r="369" spans="1:20" ht="20.399999999999999">
      <c r="A369" s="272"/>
      <c r="B369" s="269"/>
      <c r="C369" s="204" t="s">
        <v>43</v>
      </c>
      <c r="D369" s="216">
        <v>0</v>
      </c>
      <c r="E369" s="218">
        <v>0</v>
      </c>
      <c r="F369" s="200">
        <v>0</v>
      </c>
      <c r="G369" s="200">
        <v>0</v>
      </c>
      <c r="H369" s="200">
        <v>0</v>
      </c>
      <c r="I369" s="217">
        <f t="shared" si="91"/>
        <v>0</v>
      </c>
      <c r="J369" s="202">
        <f t="shared" si="88"/>
        <v>0</v>
      </c>
      <c r="K369" s="216">
        <v>0</v>
      </c>
      <c r="L369" s="216">
        <v>0</v>
      </c>
      <c r="M369" s="216">
        <v>0</v>
      </c>
      <c r="N369" s="216">
        <v>0</v>
      </c>
      <c r="O369" s="216">
        <v>0</v>
      </c>
      <c r="P369" s="216">
        <v>0</v>
      </c>
      <c r="Q369" s="205">
        <f t="shared" si="90"/>
        <v>0</v>
      </c>
    </row>
    <row r="370" spans="1:20" ht="20.399999999999999">
      <c r="A370" s="272"/>
      <c r="B370" s="269"/>
      <c r="C370" s="204" t="s">
        <v>44</v>
      </c>
      <c r="D370" s="216">
        <v>0</v>
      </c>
      <c r="E370" s="218">
        <v>0</v>
      </c>
      <c r="F370" s="200">
        <v>0</v>
      </c>
      <c r="G370" s="200">
        <v>0</v>
      </c>
      <c r="H370" s="200">
        <v>0</v>
      </c>
      <c r="I370" s="217">
        <f t="shared" si="91"/>
        <v>0</v>
      </c>
      <c r="J370" s="202">
        <f t="shared" si="88"/>
        <v>0</v>
      </c>
      <c r="K370" s="216">
        <v>0</v>
      </c>
      <c r="L370" s="216">
        <v>0</v>
      </c>
      <c r="M370" s="216">
        <v>0</v>
      </c>
      <c r="N370" s="216">
        <v>0</v>
      </c>
      <c r="O370" s="216">
        <v>0</v>
      </c>
      <c r="P370" s="216">
        <v>0</v>
      </c>
      <c r="Q370" s="205">
        <f t="shared" si="90"/>
        <v>0</v>
      </c>
    </row>
    <row r="371" spans="1:20" ht="20.399999999999999">
      <c r="A371" s="272"/>
      <c r="B371" s="269"/>
      <c r="C371" s="204" t="s">
        <v>29</v>
      </c>
      <c r="D371" s="216">
        <v>0</v>
      </c>
      <c r="E371" s="218">
        <v>0</v>
      </c>
      <c r="F371" s="200">
        <v>0</v>
      </c>
      <c r="G371" s="200">
        <v>0</v>
      </c>
      <c r="H371" s="200">
        <v>0</v>
      </c>
      <c r="I371" s="217">
        <f t="shared" si="91"/>
        <v>0</v>
      </c>
      <c r="J371" s="202">
        <f t="shared" si="88"/>
        <v>0</v>
      </c>
      <c r="K371" s="216">
        <v>0</v>
      </c>
      <c r="L371" s="216">
        <v>0</v>
      </c>
      <c r="M371" s="216">
        <v>0</v>
      </c>
      <c r="N371" s="216">
        <v>0</v>
      </c>
      <c r="O371" s="216">
        <v>0</v>
      </c>
      <c r="P371" s="216">
        <v>0</v>
      </c>
      <c r="Q371" s="205">
        <f t="shared" si="90"/>
        <v>0</v>
      </c>
    </row>
    <row r="372" spans="1:20" ht="18.75" customHeight="1">
      <c r="A372" s="272"/>
      <c r="B372" s="269"/>
      <c r="C372" s="204" t="s">
        <v>30</v>
      </c>
      <c r="D372" s="216">
        <v>0</v>
      </c>
      <c r="E372" s="218">
        <v>0</v>
      </c>
      <c r="F372" s="200">
        <v>0</v>
      </c>
      <c r="G372" s="200">
        <v>0</v>
      </c>
      <c r="H372" s="200">
        <v>0</v>
      </c>
      <c r="I372" s="217">
        <f t="shared" si="91"/>
        <v>0</v>
      </c>
      <c r="J372" s="202">
        <f t="shared" si="88"/>
        <v>0</v>
      </c>
      <c r="K372" s="216">
        <v>0</v>
      </c>
      <c r="L372" s="216">
        <v>0</v>
      </c>
      <c r="M372" s="216">
        <v>0</v>
      </c>
      <c r="N372" s="216">
        <v>0</v>
      </c>
      <c r="O372" s="216">
        <v>0</v>
      </c>
      <c r="P372" s="216">
        <v>0</v>
      </c>
      <c r="Q372" s="205">
        <f t="shared" si="90"/>
        <v>0</v>
      </c>
    </row>
    <row r="373" spans="1:20" ht="20.399999999999999">
      <c r="A373" s="272"/>
      <c r="B373" s="269"/>
      <c r="C373" s="204" t="s">
        <v>33</v>
      </c>
      <c r="D373" s="216">
        <v>0</v>
      </c>
      <c r="E373" s="218">
        <v>0</v>
      </c>
      <c r="F373" s="200">
        <v>0</v>
      </c>
      <c r="G373" s="200">
        <v>0</v>
      </c>
      <c r="H373" s="200">
        <v>0</v>
      </c>
      <c r="I373" s="217">
        <f t="shared" si="91"/>
        <v>0</v>
      </c>
      <c r="J373" s="202">
        <f t="shared" si="88"/>
        <v>0</v>
      </c>
      <c r="K373" s="216">
        <v>0</v>
      </c>
      <c r="L373" s="216">
        <v>0</v>
      </c>
      <c r="M373" s="216">
        <v>0</v>
      </c>
      <c r="N373" s="216">
        <v>0</v>
      </c>
      <c r="O373" s="216">
        <v>0</v>
      </c>
      <c r="P373" s="216">
        <v>0</v>
      </c>
      <c r="Q373" s="205">
        <f t="shared" si="90"/>
        <v>0</v>
      </c>
    </row>
    <row r="374" spans="1:20" ht="21.75" customHeight="1">
      <c r="A374" s="273"/>
      <c r="B374" s="270"/>
      <c r="C374" s="204" t="s">
        <v>46</v>
      </c>
      <c r="D374" s="216">
        <v>0</v>
      </c>
      <c r="E374" s="218">
        <v>0</v>
      </c>
      <c r="F374" s="200">
        <v>0</v>
      </c>
      <c r="G374" s="200">
        <v>0</v>
      </c>
      <c r="H374" s="200">
        <v>0</v>
      </c>
      <c r="I374" s="217">
        <f t="shared" si="91"/>
        <v>0</v>
      </c>
      <c r="J374" s="202">
        <f t="shared" si="88"/>
        <v>0</v>
      </c>
      <c r="K374" s="216">
        <v>0</v>
      </c>
      <c r="L374" s="216">
        <v>0</v>
      </c>
      <c r="M374" s="216">
        <v>0</v>
      </c>
      <c r="N374" s="216">
        <v>0</v>
      </c>
      <c r="O374" s="216">
        <v>0</v>
      </c>
      <c r="P374" s="216">
        <v>0</v>
      </c>
      <c r="Q374" s="205">
        <f t="shared" si="90"/>
        <v>0</v>
      </c>
    </row>
    <row r="375" spans="1:20" ht="19.5" customHeight="1">
      <c r="A375" s="219">
        <v>3</v>
      </c>
      <c r="B375" s="220" t="s">
        <v>20</v>
      </c>
      <c r="C375" s="209" t="s">
        <v>34</v>
      </c>
      <c r="D375" s="216">
        <v>0</v>
      </c>
      <c r="E375" s="218">
        <v>0</v>
      </c>
      <c r="F375" s="200">
        <v>0</v>
      </c>
      <c r="G375" s="200">
        <v>0</v>
      </c>
      <c r="H375" s="200">
        <v>0</v>
      </c>
      <c r="I375" s="217">
        <f t="shared" si="91"/>
        <v>0</v>
      </c>
      <c r="J375" s="202">
        <f t="shared" si="88"/>
        <v>0</v>
      </c>
      <c r="K375" s="216">
        <v>0</v>
      </c>
      <c r="L375" s="216">
        <v>0</v>
      </c>
      <c r="M375" s="216">
        <v>0</v>
      </c>
      <c r="N375" s="216">
        <v>0</v>
      </c>
      <c r="O375" s="216">
        <v>0</v>
      </c>
      <c r="P375" s="216">
        <v>0</v>
      </c>
      <c r="Q375" s="205">
        <f t="shared" si="90"/>
        <v>0</v>
      </c>
    </row>
    <row r="376" spans="1:20" ht="18" thickBot="1">
      <c r="A376" s="210" t="s">
        <v>36</v>
      </c>
      <c r="B376" s="210" t="s">
        <v>36</v>
      </c>
      <c r="C376" s="211" t="s">
        <v>9</v>
      </c>
      <c r="D376" s="221">
        <f t="shared" ref="D376:Q376" si="92">SUM(D359:D375)</f>
        <v>0</v>
      </c>
      <c r="E376" s="221">
        <f t="shared" si="92"/>
        <v>0</v>
      </c>
      <c r="F376" s="221">
        <f t="shared" si="92"/>
        <v>0</v>
      </c>
      <c r="G376" s="221">
        <f t="shared" si="92"/>
        <v>0</v>
      </c>
      <c r="H376" s="221">
        <f t="shared" si="92"/>
        <v>0</v>
      </c>
      <c r="I376" s="221">
        <f t="shared" si="92"/>
        <v>0</v>
      </c>
      <c r="J376" s="221">
        <f t="shared" si="92"/>
        <v>0</v>
      </c>
      <c r="K376" s="221">
        <f t="shared" si="92"/>
        <v>0</v>
      </c>
      <c r="L376" s="221">
        <f t="shared" si="92"/>
        <v>0</v>
      </c>
      <c r="M376" s="221">
        <f t="shared" si="92"/>
        <v>0</v>
      </c>
      <c r="N376" s="221">
        <f t="shared" si="92"/>
        <v>0</v>
      </c>
      <c r="O376" s="221">
        <f t="shared" si="92"/>
        <v>0</v>
      </c>
      <c r="P376" s="221">
        <f t="shared" si="92"/>
        <v>0</v>
      </c>
      <c r="Q376" s="221">
        <f t="shared" si="92"/>
        <v>0</v>
      </c>
    </row>
    <row r="377" spans="1:20" ht="18" thickTop="1">
      <c r="A377" s="85"/>
      <c r="B377" s="85"/>
      <c r="C377" s="86"/>
      <c r="D377" s="152"/>
      <c r="E377" s="152"/>
      <c r="F377" s="152"/>
      <c r="G377" s="152"/>
      <c r="H377" s="152"/>
      <c r="I377" s="152"/>
      <c r="J377" s="152"/>
      <c r="K377" s="152"/>
      <c r="L377" s="152"/>
      <c r="M377" s="152"/>
      <c r="N377" s="152"/>
      <c r="O377" s="152"/>
      <c r="P377" s="152"/>
      <c r="Q377" s="152"/>
    </row>
    <row r="378" spans="1:20">
      <c r="A378" s="278" t="s">
        <v>156</v>
      </c>
      <c r="B378" s="279"/>
      <c r="C378" s="279"/>
      <c r="D378" s="279"/>
      <c r="E378" s="279"/>
      <c r="F378" s="279"/>
      <c r="G378" s="279"/>
      <c r="H378" s="279"/>
      <c r="I378" s="279"/>
      <c r="J378" s="279"/>
      <c r="K378" s="279"/>
      <c r="L378" s="279"/>
      <c r="M378" s="279"/>
      <c r="N378" s="279"/>
      <c r="O378" s="279"/>
      <c r="P378" s="279"/>
      <c r="Q378" s="279"/>
      <c r="R378" s="93"/>
      <c r="S378" s="93"/>
      <c r="T378" s="93"/>
    </row>
    <row r="379" spans="1:20">
      <c r="A379" s="278" t="s">
        <v>17</v>
      </c>
      <c r="B379" s="278"/>
      <c r="C379" s="278"/>
      <c r="D379" s="278"/>
      <c r="E379" s="278"/>
      <c r="F379" s="278"/>
      <c r="G379" s="278"/>
      <c r="H379" s="278"/>
      <c r="I379" s="278"/>
      <c r="J379" s="278"/>
      <c r="K379" s="278"/>
      <c r="L379" s="278"/>
      <c r="M379" s="278"/>
      <c r="N379" s="278"/>
      <c r="O379" s="278"/>
      <c r="P379" s="278"/>
      <c r="Q379" s="278"/>
      <c r="R379" s="93"/>
      <c r="S379" s="93"/>
      <c r="T379" s="93"/>
    </row>
    <row r="380" spans="1:20" ht="22.8">
      <c r="A380" s="74" t="s">
        <v>53</v>
      </c>
      <c r="B380" s="75"/>
      <c r="C380" s="75"/>
      <c r="D380" s="77"/>
      <c r="E380" s="77"/>
      <c r="F380" s="77"/>
      <c r="G380" s="77"/>
      <c r="H380" s="77"/>
      <c r="I380" s="77"/>
      <c r="J380" s="77"/>
      <c r="K380" s="77"/>
      <c r="L380" s="77"/>
      <c r="M380" s="77"/>
      <c r="N380" s="77"/>
      <c r="O380" s="283" t="s">
        <v>2</v>
      </c>
      <c r="P380" s="283"/>
      <c r="Q380" s="283"/>
      <c r="R380" s="93"/>
      <c r="S380" s="93"/>
      <c r="T380" s="93"/>
    </row>
    <row r="381" spans="1:20" ht="18.75" customHeight="1">
      <c r="A381" s="280" t="s">
        <v>35</v>
      </c>
      <c r="B381" s="280" t="s">
        <v>3</v>
      </c>
      <c r="C381" s="285" t="s">
        <v>4</v>
      </c>
      <c r="D381" s="190" t="s">
        <v>5</v>
      </c>
      <c r="E381" s="190" t="s">
        <v>5</v>
      </c>
      <c r="F381" s="287" t="s">
        <v>6</v>
      </c>
      <c r="G381" s="287" t="s">
        <v>7</v>
      </c>
      <c r="H381" s="287" t="s">
        <v>8</v>
      </c>
      <c r="I381" s="287" t="s">
        <v>9</v>
      </c>
      <c r="J381" s="287" t="s">
        <v>159</v>
      </c>
      <c r="K381" s="280" t="s">
        <v>10</v>
      </c>
      <c r="L381" s="280" t="s">
        <v>11</v>
      </c>
      <c r="M381" s="280" t="s">
        <v>12</v>
      </c>
      <c r="N381" s="280" t="s">
        <v>13</v>
      </c>
      <c r="O381" s="280" t="s">
        <v>14</v>
      </c>
      <c r="P381" s="280" t="s">
        <v>15</v>
      </c>
      <c r="Q381" s="280" t="s">
        <v>9</v>
      </c>
      <c r="R381" s="93"/>
      <c r="S381" s="93"/>
      <c r="T381" s="93"/>
    </row>
    <row r="382" spans="1:20" ht="18.75" customHeight="1">
      <c r="A382" s="314"/>
      <c r="B382" s="314"/>
      <c r="C382" s="315"/>
      <c r="D382" s="191" t="s">
        <v>146</v>
      </c>
      <c r="E382" s="191" t="s">
        <v>164</v>
      </c>
      <c r="F382" s="288"/>
      <c r="G382" s="288"/>
      <c r="H382" s="288"/>
      <c r="I382" s="288"/>
      <c r="J382" s="288"/>
      <c r="K382" s="311"/>
      <c r="L382" s="311"/>
      <c r="M382" s="311"/>
      <c r="N382" s="311"/>
      <c r="O382" s="311"/>
      <c r="P382" s="311"/>
      <c r="Q382" s="311"/>
      <c r="R382" s="93"/>
      <c r="S382" s="93"/>
      <c r="T382" s="93"/>
    </row>
    <row r="383" spans="1:20">
      <c r="A383" s="311"/>
      <c r="B383" s="311"/>
      <c r="C383" s="289" t="s">
        <v>16</v>
      </c>
      <c r="D383" s="316"/>
      <c r="E383" s="316"/>
      <c r="F383" s="316"/>
      <c r="G383" s="316"/>
      <c r="H383" s="316"/>
      <c r="I383" s="316"/>
      <c r="J383" s="316"/>
      <c r="K383" s="316"/>
      <c r="L383" s="316"/>
      <c r="M383" s="316"/>
      <c r="N383" s="316"/>
      <c r="O383" s="316"/>
      <c r="P383" s="316"/>
      <c r="Q383" s="317"/>
      <c r="R383" s="93"/>
      <c r="S383" s="93"/>
      <c r="T383" s="93"/>
    </row>
    <row r="384" spans="1:20" ht="19.2">
      <c r="A384" s="265">
        <v>1</v>
      </c>
      <c r="B384" s="262" t="s">
        <v>18</v>
      </c>
      <c r="C384" s="78" t="s">
        <v>21</v>
      </c>
      <c r="D384" s="100">
        <f t="shared" ref="D384:H397" si="93">SUM(D7+D54+D101+D148+D195+D242+D289+D337)</f>
        <v>5</v>
      </c>
      <c r="E384" s="101">
        <f t="shared" si="93"/>
        <v>5</v>
      </c>
      <c r="F384" s="100">
        <f t="shared" si="93"/>
        <v>10</v>
      </c>
      <c r="G384" s="100">
        <f t="shared" si="93"/>
        <v>10525</v>
      </c>
      <c r="H384" s="100">
        <f t="shared" si="93"/>
        <v>0</v>
      </c>
      <c r="I384" s="101">
        <f>SUM(G384:H384)</f>
        <v>10525</v>
      </c>
      <c r="J384" s="100">
        <f t="shared" ref="J384:P397" si="94">SUM(J7+J54+J101+J148+J195+J242+J289+J337)</f>
        <v>6737</v>
      </c>
      <c r="K384" s="100">
        <f t="shared" si="94"/>
        <v>15</v>
      </c>
      <c r="L384" s="100">
        <f t="shared" si="94"/>
        <v>738</v>
      </c>
      <c r="M384" s="100">
        <f t="shared" si="94"/>
        <v>0</v>
      </c>
      <c r="N384" s="100">
        <f t="shared" si="94"/>
        <v>0</v>
      </c>
      <c r="O384" s="100">
        <f t="shared" si="94"/>
        <v>0</v>
      </c>
      <c r="P384" s="100">
        <f t="shared" si="94"/>
        <v>0</v>
      </c>
      <c r="Q384" s="101">
        <f>SUM(F384+I384+J384+K384+L384+M384+N384+O384+P384)</f>
        <v>18025</v>
      </c>
    </row>
    <row r="385" spans="1:20" ht="19.2">
      <c r="A385" s="266"/>
      <c r="B385" s="263"/>
      <c r="C385" s="78" t="s">
        <v>22</v>
      </c>
      <c r="D385" s="100">
        <f t="shared" si="93"/>
        <v>1</v>
      </c>
      <c r="E385" s="101">
        <f t="shared" si="93"/>
        <v>1</v>
      </c>
      <c r="F385" s="100">
        <f t="shared" si="93"/>
        <v>0</v>
      </c>
      <c r="G385" s="100">
        <f t="shared" si="93"/>
        <v>1390</v>
      </c>
      <c r="H385" s="100">
        <f t="shared" si="93"/>
        <v>0</v>
      </c>
      <c r="I385" s="101">
        <f t="shared" ref="I385:I397" si="95">SUM(G385:H385)</f>
        <v>1390</v>
      </c>
      <c r="J385" s="100">
        <f t="shared" si="94"/>
        <v>890</v>
      </c>
      <c r="K385" s="100">
        <f t="shared" si="94"/>
        <v>4</v>
      </c>
      <c r="L385" s="100">
        <f t="shared" si="94"/>
        <v>417</v>
      </c>
      <c r="M385" s="100">
        <f t="shared" si="94"/>
        <v>65</v>
      </c>
      <c r="N385" s="100">
        <f t="shared" si="94"/>
        <v>0</v>
      </c>
      <c r="O385" s="100">
        <f t="shared" si="94"/>
        <v>0</v>
      </c>
      <c r="P385" s="100">
        <f t="shared" si="94"/>
        <v>0</v>
      </c>
      <c r="Q385" s="101">
        <f t="shared" ref="Q385:Q397" si="96">SUM(F385+I385+J385+K385+L385+M385+N385+O385+P385)</f>
        <v>2766</v>
      </c>
    </row>
    <row r="386" spans="1:20" ht="19.2">
      <c r="A386" s="266"/>
      <c r="B386" s="263"/>
      <c r="C386" s="78" t="s">
        <v>23</v>
      </c>
      <c r="D386" s="100">
        <f t="shared" si="93"/>
        <v>6</v>
      </c>
      <c r="E386" s="101">
        <f t="shared" si="93"/>
        <v>6</v>
      </c>
      <c r="F386" s="100">
        <f t="shared" si="93"/>
        <v>0</v>
      </c>
      <c r="G386" s="100">
        <f t="shared" si="93"/>
        <v>7723</v>
      </c>
      <c r="H386" s="100">
        <f t="shared" si="93"/>
        <v>0</v>
      </c>
      <c r="I386" s="101">
        <f t="shared" si="95"/>
        <v>7723</v>
      </c>
      <c r="J386" s="100">
        <f t="shared" si="94"/>
        <v>4943</v>
      </c>
      <c r="K386" s="100">
        <f t="shared" si="94"/>
        <v>15</v>
      </c>
      <c r="L386" s="100">
        <f t="shared" si="94"/>
        <v>1731</v>
      </c>
      <c r="M386" s="100">
        <f t="shared" si="94"/>
        <v>288</v>
      </c>
      <c r="N386" s="100">
        <f t="shared" si="94"/>
        <v>0</v>
      </c>
      <c r="O386" s="100">
        <f t="shared" si="94"/>
        <v>0</v>
      </c>
      <c r="P386" s="100">
        <f t="shared" si="94"/>
        <v>0</v>
      </c>
      <c r="Q386" s="101">
        <f t="shared" si="96"/>
        <v>14700</v>
      </c>
    </row>
    <row r="387" spans="1:20" ht="19.2">
      <c r="A387" s="266"/>
      <c r="B387" s="263"/>
      <c r="C387" s="78" t="s">
        <v>24</v>
      </c>
      <c r="D387" s="100">
        <f t="shared" si="93"/>
        <v>58</v>
      </c>
      <c r="E387" s="101">
        <f t="shared" si="93"/>
        <v>58</v>
      </c>
      <c r="F387" s="100">
        <f t="shared" si="93"/>
        <v>0</v>
      </c>
      <c r="G387" s="100">
        <f t="shared" si="93"/>
        <v>53373</v>
      </c>
      <c r="H387" s="100">
        <f t="shared" si="93"/>
        <v>0</v>
      </c>
      <c r="I387" s="101">
        <f t="shared" si="95"/>
        <v>53373</v>
      </c>
      <c r="J387" s="100">
        <f t="shared" si="94"/>
        <v>34160</v>
      </c>
      <c r="K387" s="100">
        <f t="shared" si="94"/>
        <v>148</v>
      </c>
      <c r="L387" s="100">
        <f t="shared" si="94"/>
        <v>7925</v>
      </c>
      <c r="M387" s="100">
        <f t="shared" si="94"/>
        <v>1014</v>
      </c>
      <c r="N387" s="100">
        <f t="shared" si="94"/>
        <v>0</v>
      </c>
      <c r="O387" s="100">
        <f t="shared" si="94"/>
        <v>0</v>
      </c>
      <c r="P387" s="100">
        <f t="shared" si="94"/>
        <v>1792</v>
      </c>
      <c r="Q387" s="101">
        <f t="shared" si="96"/>
        <v>98412</v>
      </c>
    </row>
    <row r="388" spans="1:20" ht="19.2">
      <c r="A388" s="266"/>
      <c r="B388" s="263"/>
      <c r="C388" s="78" t="s">
        <v>25</v>
      </c>
      <c r="D388" s="100">
        <f t="shared" si="93"/>
        <v>45</v>
      </c>
      <c r="E388" s="101">
        <f t="shared" si="93"/>
        <v>45</v>
      </c>
      <c r="F388" s="100">
        <f t="shared" si="93"/>
        <v>0</v>
      </c>
      <c r="G388" s="100">
        <f t="shared" si="93"/>
        <v>34454</v>
      </c>
      <c r="H388" s="100">
        <f t="shared" si="93"/>
        <v>0</v>
      </c>
      <c r="I388" s="101">
        <f t="shared" si="95"/>
        <v>34454</v>
      </c>
      <c r="J388" s="100">
        <f t="shared" si="94"/>
        <v>22051</v>
      </c>
      <c r="K388" s="100">
        <f t="shared" si="94"/>
        <v>127</v>
      </c>
      <c r="L388" s="100">
        <f t="shared" si="94"/>
        <v>4816</v>
      </c>
      <c r="M388" s="100">
        <f t="shared" si="94"/>
        <v>808</v>
      </c>
      <c r="N388" s="100">
        <f t="shared" si="94"/>
        <v>0</v>
      </c>
      <c r="O388" s="100">
        <f t="shared" si="94"/>
        <v>0</v>
      </c>
      <c r="P388" s="100">
        <f t="shared" si="94"/>
        <v>1252</v>
      </c>
      <c r="Q388" s="101">
        <f t="shared" si="96"/>
        <v>63508</v>
      </c>
    </row>
    <row r="389" spans="1:20" ht="19.2">
      <c r="A389" s="266"/>
      <c r="B389" s="263"/>
      <c r="C389" s="78" t="s">
        <v>26</v>
      </c>
      <c r="D389" s="100">
        <f t="shared" si="93"/>
        <v>1</v>
      </c>
      <c r="E389" s="101">
        <f t="shared" si="93"/>
        <v>1</v>
      </c>
      <c r="F389" s="100">
        <f t="shared" si="93"/>
        <v>0</v>
      </c>
      <c r="G389" s="100">
        <f t="shared" si="93"/>
        <v>850</v>
      </c>
      <c r="H389" s="100">
        <f t="shared" si="93"/>
        <v>0</v>
      </c>
      <c r="I389" s="101">
        <f t="shared" si="95"/>
        <v>850</v>
      </c>
      <c r="J389" s="100">
        <f t="shared" si="94"/>
        <v>544</v>
      </c>
      <c r="K389" s="100">
        <f t="shared" si="94"/>
        <v>4</v>
      </c>
      <c r="L389" s="100">
        <f t="shared" si="94"/>
        <v>255</v>
      </c>
      <c r="M389" s="100">
        <f t="shared" si="94"/>
        <v>14</v>
      </c>
      <c r="N389" s="100">
        <f t="shared" si="94"/>
        <v>0</v>
      </c>
      <c r="O389" s="100">
        <f t="shared" si="94"/>
        <v>0</v>
      </c>
      <c r="P389" s="100">
        <f t="shared" si="94"/>
        <v>0</v>
      </c>
      <c r="Q389" s="101">
        <f t="shared" si="96"/>
        <v>1667</v>
      </c>
    </row>
    <row r="390" spans="1:20" ht="19.2">
      <c r="A390" s="267"/>
      <c r="B390" s="264"/>
      <c r="C390" s="146" t="s">
        <v>27</v>
      </c>
      <c r="D390" s="100">
        <f t="shared" si="93"/>
        <v>1</v>
      </c>
      <c r="E390" s="101">
        <f t="shared" si="93"/>
        <v>1</v>
      </c>
      <c r="F390" s="100">
        <f t="shared" si="93"/>
        <v>0</v>
      </c>
      <c r="G390" s="100">
        <f t="shared" si="93"/>
        <v>700</v>
      </c>
      <c r="H390" s="100">
        <f t="shared" si="93"/>
        <v>0</v>
      </c>
      <c r="I390" s="101">
        <f t="shared" si="95"/>
        <v>700</v>
      </c>
      <c r="J390" s="100">
        <f t="shared" si="94"/>
        <v>448</v>
      </c>
      <c r="K390" s="100">
        <f t="shared" si="94"/>
        <v>4</v>
      </c>
      <c r="L390" s="100">
        <f t="shared" si="94"/>
        <v>210</v>
      </c>
      <c r="M390" s="100">
        <f t="shared" si="94"/>
        <v>5</v>
      </c>
      <c r="N390" s="100">
        <f t="shared" si="94"/>
        <v>0</v>
      </c>
      <c r="O390" s="100">
        <f t="shared" si="94"/>
        <v>0</v>
      </c>
      <c r="P390" s="100">
        <f t="shared" si="94"/>
        <v>0</v>
      </c>
      <c r="Q390" s="101">
        <f t="shared" si="96"/>
        <v>1367</v>
      </c>
    </row>
    <row r="391" spans="1:20" ht="19.2">
      <c r="A391" s="265">
        <v>2</v>
      </c>
      <c r="B391" s="262" t="s">
        <v>19</v>
      </c>
      <c r="C391" s="81" t="s">
        <v>28</v>
      </c>
      <c r="D391" s="100">
        <f t="shared" si="93"/>
        <v>1</v>
      </c>
      <c r="E391" s="101">
        <f t="shared" si="93"/>
        <v>1</v>
      </c>
      <c r="F391" s="100">
        <f t="shared" si="93"/>
        <v>0</v>
      </c>
      <c r="G391" s="100">
        <f t="shared" si="93"/>
        <v>700</v>
      </c>
      <c r="H391" s="100">
        <f t="shared" si="93"/>
        <v>0</v>
      </c>
      <c r="I391" s="101">
        <f t="shared" si="95"/>
        <v>700</v>
      </c>
      <c r="J391" s="100">
        <f t="shared" si="94"/>
        <v>448</v>
      </c>
      <c r="K391" s="100">
        <f t="shared" si="94"/>
        <v>4</v>
      </c>
      <c r="L391" s="100">
        <f t="shared" si="94"/>
        <v>210</v>
      </c>
      <c r="M391" s="100">
        <f t="shared" si="94"/>
        <v>5</v>
      </c>
      <c r="N391" s="100">
        <f t="shared" si="94"/>
        <v>0</v>
      </c>
      <c r="O391" s="100">
        <f t="shared" si="94"/>
        <v>0</v>
      </c>
      <c r="P391" s="100">
        <f t="shared" si="94"/>
        <v>0</v>
      </c>
      <c r="Q391" s="101">
        <f t="shared" si="96"/>
        <v>1367</v>
      </c>
    </row>
    <row r="392" spans="1:20" ht="19.2">
      <c r="A392" s="266"/>
      <c r="B392" s="263"/>
      <c r="C392" s="81" t="s">
        <v>29</v>
      </c>
      <c r="D392" s="100">
        <f t="shared" si="93"/>
        <v>5</v>
      </c>
      <c r="E392" s="101">
        <f t="shared" si="93"/>
        <v>5</v>
      </c>
      <c r="F392" s="100">
        <f t="shared" si="93"/>
        <v>0</v>
      </c>
      <c r="G392" s="100">
        <f t="shared" si="93"/>
        <v>4645</v>
      </c>
      <c r="H392" s="100">
        <f t="shared" si="93"/>
        <v>0</v>
      </c>
      <c r="I392" s="101">
        <f t="shared" si="95"/>
        <v>4645</v>
      </c>
      <c r="J392" s="100">
        <f t="shared" si="94"/>
        <v>2973</v>
      </c>
      <c r="K392" s="100">
        <f t="shared" si="94"/>
        <v>7</v>
      </c>
      <c r="L392" s="100">
        <f t="shared" si="94"/>
        <v>818</v>
      </c>
      <c r="M392" s="100">
        <f t="shared" si="94"/>
        <v>112</v>
      </c>
      <c r="N392" s="100">
        <f t="shared" si="94"/>
        <v>0</v>
      </c>
      <c r="O392" s="100">
        <f t="shared" si="94"/>
        <v>0</v>
      </c>
      <c r="P392" s="100">
        <f t="shared" si="94"/>
        <v>262</v>
      </c>
      <c r="Q392" s="101">
        <f t="shared" si="96"/>
        <v>8817</v>
      </c>
    </row>
    <row r="393" spans="1:20" ht="34.5" customHeight="1">
      <c r="A393" s="266"/>
      <c r="B393" s="263"/>
      <c r="C393" s="81" t="s">
        <v>45</v>
      </c>
      <c r="D393" s="100">
        <f t="shared" si="93"/>
        <v>1</v>
      </c>
      <c r="E393" s="101">
        <f t="shared" si="93"/>
        <v>1</v>
      </c>
      <c r="F393" s="100">
        <f t="shared" si="93"/>
        <v>0</v>
      </c>
      <c r="G393" s="100">
        <f t="shared" si="93"/>
        <v>661</v>
      </c>
      <c r="H393" s="100">
        <f t="shared" si="93"/>
        <v>0</v>
      </c>
      <c r="I393" s="101">
        <f t="shared" si="95"/>
        <v>661</v>
      </c>
      <c r="J393" s="100">
        <f t="shared" si="94"/>
        <v>423</v>
      </c>
      <c r="K393" s="100">
        <f t="shared" si="94"/>
        <v>4</v>
      </c>
      <c r="L393" s="100">
        <f t="shared" si="94"/>
        <v>198</v>
      </c>
      <c r="M393" s="100">
        <f t="shared" si="94"/>
        <v>32</v>
      </c>
      <c r="N393" s="100">
        <f t="shared" si="94"/>
        <v>0</v>
      </c>
      <c r="O393" s="100">
        <f t="shared" si="94"/>
        <v>0</v>
      </c>
      <c r="P393" s="100">
        <f t="shared" si="94"/>
        <v>0</v>
      </c>
      <c r="Q393" s="101">
        <f t="shared" si="96"/>
        <v>1318</v>
      </c>
    </row>
    <row r="394" spans="1:20" ht="19.2">
      <c r="A394" s="266"/>
      <c r="B394" s="263"/>
      <c r="C394" s="81" t="s">
        <v>31</v>
      </c>
      <c r="D394" s="100">
        <f t="shared" si="93"/>
        <v>76</v>
      </c>
      <c r="E394" s="101">
        <f t="shared" si="93"/>
        <v>76</v>
      </c>
      <c r="F394" s="100">
        <f t="shared" si="93"/>
        <v>0</v>
      </c>
      <c r="G394" s="100">
        <f t="shared" si="93"/>
        <v>44561</v>
      </c>
      <c r="H394" s="100">
        <f t="shared" si="93"/>
        <v>0</v>
      </c>
      <c r="I394" s="101">
        <f t="shared" si="95"/>
        <v>44561</v>
      </c>
      <c r="J394" s="100">
        <f t="shared" si="94"/>
        <v>28520</v>
      </c>
      <c r="K394" s="100">
        <f t="shared" si="94"/>
        <v>152</v>
      </c>
      <c r="L394" s="100">
        <f t="shared" si="94"/>
        <v>8094</v>
      </c>
      <c r="M394" s="100">
        <f t="shared" si="94"/>
        <v>1454</v>
      </c>
      <c r="N394" s="100">
        <f t="shared" si="94"/>
        <v>0</v>
      </c>
      <c r="O394" s="100">
        <f t="shared" si="94"/>
        <v>17</v>
      </c>
      <c r="P394" s="100">
        <f t="shared" si="94"/>
        <v>1612</v>
      </c>
      <c r="Q394" s="101">
        <f t="shared" si="96"/>
        <v>84410</v>
      </c>
    </row>
    <row r="395" spans="1:20" ht="19.2">
      <c r="A395" s="266"/>
      <c r="B395" s="263"/>
      <c r="C395" s="81" t="s">
        <v>32</v>
      </c>
      <c r="D395" s="100">
        <f t="shared" si="93"/>
        <v>301</v>
      </c>
      <c r="E395" s="101">
        <f t="shared" si="93"/>
        <v>301</v>
      </c>
      <c r="F395" s="100">
        <f t="shared" si="93"/>
        <v>0</v>
      </c>
      <c r="G395" s="100">
        <f t="shared" si="93"/>
        <v>113984</v>
      </c>
      <c r="H395" s="100">
        <f t="shared" si="93"/>
        <v>0</v>
      </c>
      <c r="I395" s="101">
        <f t="shared" si="95"/>
        <v>113984</v>
      </c>
      <c r="J395" s="100">
        <f t="shared" si="94"/>
        <v>72950</v>
      </c>
      <c r="K395" s="100">
        <f t="shared" si="94"/>
        <v>537</v>
      </c>
      <c r="L395" s="100">
        <f t="shared" si="94"/>
        <v>18312</v>
      </c>
      <c r="M395" s="100">
        <f t="shared" si="94"/>
        <v>5579</v>
      </c>
      <c r="N395" s="100">
        <f t="shared" si="94"/>
        <v>0</v>
      </c>
      <c r="O395" s="100">
        <f t="shared" si="94"/>
        <v>0</v>
      </c>
      <c r="P395" s="100">
        <f t="shared" si="94"/>
        <v>3760</v>
      </c>
      <c r="Q395" s="101">
        <f t="shared" si="96"/>
        <v>215122</v>
      </c>
    </row>
    <row r="396" spans="1:20" ht="19.2">
      <c r="A396" s="267"/>
      <c r="B396" s="264"/>
      <c r="C396" s="81" t="s">
        <v>33</v>
      </c>
      <c r="D396" s="100">
        <f t="shared" si="93"/>
        <v>38</v>
      </c>
      <c r="E396" s="101">
        <f t="shared" si="93"/>
        <v>38</v>
      </c>
      <c r="F396" s="100">
        <f t="shared" si="93"/>
        <v>0</v>
      </c>
      <c r="G396" s="100">
        <f t="shared" si="93"/>
        <v>15725</v>
      </c>
      <c r="H396" s="100">
        <f t="shared" si="93"/>
        <v>0</v>
      </c>
      <c r="I396" s="101">
        <f t="shared" si="95"/>
        <v>15725</v>
      </c>
      <c r="J396" s="100">
        <f t="shared" si="94"/>
        <v>10064</v>
      </c>
      <c r="K396" s="100">
        <f t="shared" si="94"/>
        <v>90</v>
      </c>
      <c r="L396" s="100">
        <f t="shared" si="94"/>
        <v>2057</v>
      </c>
      <c r="M396" s="100">
        <f t="shared" si="94"/>
        <v>743</v>
      </c>
      <c r="N396" s="100">
        <f t="shared" si="94"/>
        <v>14</v>
      </c>
      <c r="O396" s="100">
        <f t="shared" si="94"/>
        <v>0</v>
      </c>
      <c r="P396" s="100">
        <f t="shared" si="94"/>
        <v>701</v>
      </c>
      <c r="Q396" s="101">
        <f t="shared" si="96"/>
        <v>29394</v>
      </c>
    </row>
    <row r="397" spans="1:20" ht="19.2">
      <c r="A397" s="141">
        <v>3</v>
      </c>
      <c r="B397" s="142" t="s">
        <v>20</v>
      </c>
      <c r="C397" s="82" t="s">
        <v>34</v>
      </c>
      <c r="D397" s="100">
        <f t="shared" si="93"/>
        <v>290</v>
      </c>
      <c r="E397" s="101">
        <f t="shared" si="93"/>
        <v>290</v>
      </c>
      <c r="F397" s="100">
        <f t="shared" si="93"/>
        <v>0</v>
      </c>
      <c r="G397" s="100">
        <f t="shared" si="93"/>
        <v>94434</v>
      </c>
      <c r="H397" s="100">
        <f t="shared" si="93"/>
        <v>0</v>
      </c>
      <c r="I397" s="101">
        <f t="shared" si="95"/>
        <v>94434</v>
      </c>
      <c r="J397" s="100">
        <f t="shared" si="94"/>
        <v>60438</v>
      </c>
      <c r="K397" s="100">
        <f t="shared" si="94"/>
        <v>255</v>
      </c>
      <c r="L397" s="100">
        <f t="shared" si="94"/>
        <v>15262</v>
      </c>
      <c r="M397" s="100">
        <f t="shared" si="94"/>
        <v>4642</v>
      </c>
      <c r="N397" s="100">
        <f t="shared" si="94"/>
        <v>214</v>
      </c>
      <c r="O397" s="100">
        <f t="shared" si="94"/>
        <v>0</v>
      </c>
      <c r="P397" s="100">
        <f t="shared" si="94"/>
        <v>2858</v>
      </c>
      <c r="Q397" s="101">
        <f t="shared" si="96"/>
        <v>178103</v>
      </c>
    </row>
    <row r="398" spans="1:20" s="17" customFormat="1" ht="21.6" thickBot="1">
      <c r="A398" s="83" t="s">
        <v>36</v>
      </c>
      <c r="B398" s="83" t="s">
        <v>36</v>
      </c>
      <c r="C398" s="84" t="s">
        <v>9</v>
      </c>
      <c r="D398" s="147">
        <f>SUM(D384:D397)</f>
        <v>829</v>
      </c>
      <c r="E398" s="147">
        <f t="shared" ref="E398:Q398" si="97">SUM(E384:E397)</f>
        <v>829</v>
      </c>
      <c r="F398" s="147">
        <f t="shared" si="97"/>
        <v>10</v>
      </c>
      <c r="G398" s="147">
        <f t="shared" si="97"/>
        <v>383725</v>
      </c>
      <c r="H398" s="147">
        <f t="shared" si="97"/>
        <v>0</v>
      </c>
      <c r="I398" s="147">
        <f t="shared" si="97"/>
        <v>383725</v>
      </c>
      <c r="J398" s="147">
        <f t="shared" si="97"/>
        <v>245589</v>
      </c>
      <c r="K398" s="147">
        <f t="shared" si="97"/>
        <v>1366</v>
      </c>
      <c r="L398" s="147">
        <f t="shared" si="97"/>
        <v>61043</v>
      </c>
      <c r="M398" s="147">
        <f t="shared" si="97"/>
        <v>14761</v>
      </c>
      <c r="N398" s="147">
        <f t="shared" si="97"/>
        <v>228</v>
      </c>
      <c r="O398" s="147">
        <f t="shared" si="97"/>
        <v>17</v>
      </c>
      <c r="P398" s="147">
        <f t="shared" si="97"/>
        <v>12237</v>
      </c>
      <c r="Q398" s="147">
        <f t="shared" si="97"/>
        <v>718976</v>
      </c>
      <c r="R398" s="155"/>
      <c r="S398" s="155"/>
      <c r="T398" s="155"/>
    </row>
    <row r="399" spans="1:20" s="17" customFormat="1" ht="21.6" thickTop="1">
      <c r="A399" s="85"/>
      <c r="B399" s="85"/>
      <c r="C399" s="86"/>
      <c r="D399" s="150"/>
      <c r="E399" s="150"/>
      <c r="F399" s="150"/>
      <c r="G399" s="150"/>
      <c r="H399" s="150"/>
      <c r="I399" s="150"/>
      <c r="J399" s="150"/>
      <c r="K399" s="150"/>
      <c r="L399" s="150"/>
      <c r="M399" s="150"/>
      <c r="N399" s="150"/>
      <c r="O399" s="150"/>
      <c r="P399" s="150"/>
      <c r="Q399" s="150"/>
      <c r="R399" s="155"/>
      <c r="S399" s="155"/>
      <c r="T399" s="155"/>
    </row>
    <row r="400" spans="1:20" s="17" customFormat="1" ht="21">
      <c r="A400" s="85"/>
      <c r="B400" s="85"/>
      <c r="C400" s="86"/>
      <c r="D400" s="150"/>
      <c r="E400" s="150"/>
      <c r="F400" s="150"/>
      <c r="G400" s="150"/>
      <c r="H400" s="150"/>
      <c r="I400" s="150"/>
      <c r="J400" s="150"/>
      <c r="K400" s="150"/>
      <c r="L400" s="150"/>
      <c r="M400" s="150"/>
      <c r="N400" s="150"/>
      <c r="O400" s="150"/>
      <c r="P400" s="150"/>
      <c r="Q400" s="150"/>
      <c r="R400" s="155"/>
      <c r="S400" s="155"/>
      <c r="T400" s="155"/>
    </row>
    <row r="401" spans="1:20" s="17" customFormat="1" ht="21">
      <c r="A401" s="85"/>
      <c r="B401" s="85"/>
      <c r="C401" s="86"/>
      <c r="D401" s="150"/>
      <c r="E401" s="150"/>
      <c r="F401" s="150"/>
      <c r="G401" s="150"/>
      <c r="H401" s="150"/>
      <c r="I401" s="150"/>
      <c r="J401" s="150"/>
      <c r="K401" s="150"/>
      <c r="L401" s="150"/>
      <c r="M401" s="150"/>
      <c r="N401" s="150"/>
      <c r="O401" s="150"/>
      <c r="P401" s="150"/>
      <c r="Q401" s="150"/>
      <c r="R401" s="155"/>
      <c r="S401" s="155"/>
      <c r="T401" s="155"/>
    </row>
    <row r="402" spans="1:20">
      <c r="A402" s="93"/>
      <c r="B402" s="125"/>
      <c r="C402" s="93"/>
      <c r="D402" s="93"/>
      <c r="E402" s="93"/>
      <c r="F402" s="93"/>
      <c r="G402" s="93"/>
      <c r="H402" s="93"/>
      <c r="I402" s="93"/>
      <c r="J402" s="93"/>
      <c r="K402" s="93"/>
      <c r="L402" s="93"/>
      <c r="M402" s="126" t="s">
        <v>153</v>
      </c>
      <c r="N402" s="126"/>
      <c r="O402" s="126"/>
      <c r="P402" s="93"/>
      <c r="Q402" s="93"/>
      <c r="R402" s="93"/>
      <c r="S402" s="93"/>
      <c r="T402" s="93"/>
    </row>
    <row r="403" spans="1:20">
      <c r="A403" s="278" t="s">
        <v>156</v>
      </c>
      <c r="B403" s="279"/>
      <c r="C403" s="279"/>
      <c r="D403" s="279"/>
      <c r="E403" s="279"/>
      <c r="F403" s="279"/>
      <c r="G403" s="279"/>
      <c r="H403" s="279"/>
      <c r="I403" s="279"/>
      <c r="J403" s="279"/>
      <c r="K403" s="279"/>
      <c r="L403" s="279"/>
      <c r="M403" s="279"/>
      <c r="N403" s="279"/>
      <c r="O403" s="279"/>
      <c r="P403" s="279"/>
      <c r="Q403" s="279"/>
      <c r="R403" s="93"/>
      <c r="S403" s="93"/>
      <c r="T403" s="93"/>
    </row>
    <row r="404" spans="1:20">
      <c r="A404" s="278" t="s">
        <v>17</v>
      </c>
      <c r="B404" s="278"/>
      <c r="C404" s="278"/>
      <c r="D404" s="278"/>
      <c r="E404" s="278"/>
      <c r="F404" s="278"/>
      <c r="G404" s="278"/>
      <c r="H404" s="278"/>
      <c r="I404" s="278"/>
      <c r="J404" s="278"/>
      <c r="K404" s="278"/>
      <c r="L404" s="278"/>
      <c r="M404" s="278"/>
      <c r="N404" s="278"/>
      <c r="O404" s="278"/>
      <c r="P404" s="278"/>
      <c r="Q404" s="278"/>
      <c r="R404" s="93"/>
      <c r="S404" s="93"/>
      <c r="T404" s="93"/>
    </row>
    <row r="405" spans="1:20" ht="22.8">
      <c r="A405" s="74" t="s">
        <v>53</v>
      </c>
      <c r="B405" s="75"/>
      <c r="C405" s="75"/>
      <c r="D405" s="77"/>
      <c r="E405" s="77"/>
      <c r="F405" s="77"/>
      <c r="G405" s="77"/>
      <c r="H405" s="77"/>
      <c r="I405" s="77"/>
      <c r="J405" s="77"/>
      <c r="K405" s="77"/>
      <c r="L405" s="77"/>
      <c r="M405" s="77"/>
      <c r="N405" s="77"/>
      <c r="O405" s="283" t="s">
        <v>2</v>
      </c>
      <c r="P405" s="283"/>
      <c r="Q405" s="283"/>
      <c r="R405" s="93"/>
      <c r="S405" s="93"/>
      <c r="T405" s="93"/>
    </row>
    <row r="406" spans="1:20" ht="18.75" customHeight="1">
      <c r="A406" s="137" t="s">
        <v>35</v>
      </c>
      <c r="B406" s="137" t="s">
        <v>3</v>
      </c>
      <c r="C406" s="285" t="s">
        <v>4</v>
      </c>
      <c r="D406" s="190" t="s">
        <v>5</v>
      </c>
      <c r="E406" s="190" t="s">
        <v>5</v>
      </c>
      <c r="F406" s="287" t="s">
        <v>6</v>
      </c>
      <c r="G406" s="287" t="s">
        <v>7</v>
      </c>
      <c r="H406" s="287" t="s">
        <v>8</v>
      </c>
      <c r="I406" s="287" t="s">
        <v>9</v>
      </c>
      <c r="J406" s="287" t="s">
        <v>159</v>
      </c>
      <c r="K406" s="280" t="s">
        <v>10</v>
      </c>
      <c r="L406" s="280" t="s">
        <v>11</v>
      </c>
      <c r="M406" s="280" t="s">
        <v>12</v>
      </c>
      <c r="N406" s="280" t="s">
        <v>13</v>
      </c>
      <c r="O406" s="280" t="s">
        <v>14</v>
      </c>
      <c r="P406" s="280" t="s">
        <v>15</v>
      </c>
      <c r="Q406" s="280" t="s">
        <v>9</v>
      </c>
      <c r="R406" s="93"/>
      <c r="S406" s="93"/>
      <c r="T406" s="93"/>
    </row>
    <row r="407" spans="1:20" ht="18.75" customHeight="1">
      <c r="A407" s="138"/>
      <c r="B407" s="138"/>
      <c r="C407" s="315"/>
      <c r="D407" s="191" t="s">
        <v>146</v>
      </c>
      <c r="E407" s="191" t="s">
        <v>164</v>
      </c>
      <c r="F407" s="288"/>
      <c r="G407" s="288"/>
      <c r="H407" s="288"/>
      <c r="I407" s="288"/>
      <c r="J407" s="288"/>
      <c r="K407" s="311"/>
      <c r="L407" s="311"/>
      <c r="M407" s="311"/>
      <c r="N407" s="311"/>
      <c r="O407" s="311"/>
      <c r="P407" s="311"/>
      <c r="Q407" s="311"/>
      <c r="R407" s="93"/>
      <c r="S407" s="93"/>
      <c r="T407" s="93"/>
    </row>
    <row r="408" spans="1:20">
      <c r="A408" s="139"/>
      <c r="B408" s="139"/>
      <c r="C408" s="289" t="s">
        <v>37</v>
      </c>
      <c r="D408" s="316"/>
      <c r="E408" s="316"/>
      <c r="F408" s="316"/>
      <c r="G408" s="316"/>
      <c r="H408" s="316"/>
      <c r="I408" s="316"/>
      <c r="J408" s="316"/>
      <c r="K408" s="316"/>
      <c r="L408" s="316"/>
      <c r="M408" s="316"/>
      <c r="N408" s="316"/>
      <c r="O408" s="316"/>
      <c r="P408" s="316"/>
      <c r="Q408" s="317"/>
      <c r="R408" s="93"/>
      <c r="S408" s="93"/>
      <c r="T408" s="93"/>
    </row>
    <row r="409" spans="1:20" ht="19.2">
      <c r="A409" s="265">
        <v>1</v>
      </c>
      <c r="B409" s="262" t="s">
        <v>18</v>
      </c>
      <c r="C409" s="78" t="s">
        <v>109</v>
      </c>
      <c r="D409" s="101">
        <f t="shared" ref="D409:D425" si="98">SUM(D29+D76+D123+D170+D217+D264+D311+D359)</f>
        <v>2</v>
      </c>
      <c r="E409" s="101">
        <f t="shared" ref="E409:H418" si="99">SUM(E29+E76+E123+E170+E217+E264+E311+E359)</f>
        <v>2</v>
      </c>
      <c r="F409" s="100">
        <f t="shared" si="99"/>
        <v>0</v>
      </c>
      <c r="G409" s="100">
        <f t="shared" si="99"/>
        <v>4687</v>
      </c>
      <c r="H409" s="100">
        <f t="shared" si="99"/>
        <v>0</v>
      </c>
      <c r="I409" s="102">
        <f>SUM(G409:H409)</f>
        <v>4687</v>
      </c>
      <c r="J409" s="100">
        <f t="shared" ref="J409:P418" si="100">SUM(J29+J76+J123+J170+J217+J264+J311+J359)</f>
        <v>3000</v>
      </c>
      <c r="K409" s="100">
        <f t="shared" si="100"/>
        <v>34</v>
      </c>
      <c r="L409" s="100">
        <f t="shared" si="100"/>
        <v>225</v>
      </c>
      <c r="M409" s="100">
        <f t="shared" si="100"/>
        <v>16</v>
      </c>
      <c r="N409" s="100">
        <f t="shared" si="100"/>
        <v>0</v>
      </c>
      <c r="O409" s="100">
        <f t="shared" si="100"/>
        <v>0</v>
      </c>
      <c r="P409" s="100">
        <f t="shared" si="100"/>
        <v>534</v>
      </c>
      <c r="Q409" s="101">
        <f>SUM(F409+I409+J409+K409+L409+M409+N409+O409+P409)</f>
        <v>8496</v>
      </c>
    </row>
    <row r="410" spans="1:20" ht="19.2">
      <c r="A410" s="274"/>
      <c r="B410" s="276"/>
      <c r="C410" s="78" t="s">
        <v>22</v>
      </c>
      <c r="D410" s="101">
        <f t="shared" si="98"/>
        <v>6</v>
      </c>
      <c r="E410" s="101">
        <f t="shared" si="99"/>
        <v>6</v>
      </c>
      <c r="F410" s="100">
        <f t="shared" si="99"/>
        <v>0</v>
      </c>
      <c r="G410" s="100">
        <f t="shared" si="99"/>
        <v>10290</v>
      </c>
      <c r="H410" s="100">
        <f t="shared" si="99"/>
        <v>0</v>
      </c>
      <c r="I410" s="102">
        <f t="shared" ref="I410:I425" si="101">SUM(G410:H410)</f>
        <v>10290</v>
      </c>
      <c r="J410" s="100">
        <f t="shared" si="100"/>
        <v>6587</v>
      </c>
      <c r="K410" s="100">
        <f t="shared" si="100"/>
        <v>42</v>
      </c>
      <c r="L410" s="100">
        <f t="shared" si="100"/>
        <v>1311</v>
      </c>
      <c r="M410" s="100">
        <f t="shared" si="100"/>
        <v>77</v>
      </c>
      <c r="N410" s="100">
        <f t="shared" si="100"/>
        <v>0</v>
      </c>
      <c r="O410" s="100">
        <f t="shared" si="100"/>
        <v>0</v>
      </c>
      <c r="P410" s="100">
        <f t="shared" si="100"/>
        <v>714</v>
      </c>
      <c r="Q410" s="101">
        <f t="shared" ref="Q410:Q425" si="102">SUM(F410+I410+J410+K410+L410+M410+N410+O410+P410)</f>
        <v>19021</v>
      </c>
    </row>
    <row r="411" spans="1:20" ht="36.75" customHeight="1">
      <c r="A411" s="274"/>
      <c r="B411" s="276"/>
      <c r="C411" s="78" t="s">
        <v>38</v>
      </c>
      <c r="D411" s="101">
        <f t="shared" si="98"/>
        <v>11</v>
      </c>
      <c r="E411" s="101">
        <f t="shared" si="99"/>
        <v>11</v>
      </c>
      <c r="F411" s="100">
        <f t="shared" si="99"/>
        <v>0</v>
      </c>
      <c r="G411" s="100">
        <f t="shared" si="99"/>
        <v>12652</v>
      </c>
      <c r="H411" s="100">
        <f t="shared" si="99"/>
        <v>0</v>
      </c>
      <c r="I411" s="102">
        <f t="shared" si="101"/>
        <v>12652</v>
      </c>
      <c r="J411" s="100">
        <f t="shared" si="100"/>
        <v>8098</v>
      </c>
      <c r="K411" s="100">
        <f t="shared" si="100"/>
        <v>57</v>
      </c>
      <c r="L411" s="100">
        <f t="shared" si="100"/>
        <v>2094</v>
      </c>
      <c r="M411" s="100">
        <f t="shared" si="100"/>
        <v>361</v>
      </c>
      <c r="N411" s="100">
        <f t="shared" si="100"/>
        <v>0</v>
      </c>
      <c r="O411" s="100">
        <f t="shared" si="100"/>
        <v>0</v>
      </c>
      <c r="P411" s="100">
        <f t="shared" si="100"/>
        <v>584</v>
      </c>
      <c r="Q411" s="101">
        <f t="shared" si="102"/>
        <v>23846</v>
      </c>
    </row>
    <row r="412" spans="1:20" ht="40.5" customHeight="1">
      <c r="A412" s="274"/>
      <c r="B412" s="276"/>
      <c r="C412" s="78" t="s">
        <v>39</v>
      </c>
      <c r="D412" s="101">
        <f t="shared" si="98"/>
        <v>28</v>
      </c>
      <c r="E412" s="101">
        <f t="shared" si="99"/>
        <v>29</v>
      </c>
      <c r="F412" s="100">
        <f t="shared" si="99"/>
        <v>0</v>
      </c>
      <c r="G412" s="100">
        <f t="shared" si="99"/>
        <v>26521</v>
      </c>
      <c r="H412" s="100">
        <f t="shared" si="99"/>
        <v>0</v>
      </c>
      <c r="I412" s="102">
        <f t="shared" si="101"/>
        <v>26521</v>
      </c>
      <c r="J412" s="100">
        <f t="shared" si="100"/>
        <v>16975</v>
      </c>
      <c r="K412" s="100">
        <f t="shared" si="100"/>
        <v>161</v>
      </c>
      <c r="L412" s="100">
        <f t="shared" si="100"/>
        <v>5195</v>
      </c>
      <c r="M412" s="100">
        <f t="shared" si="100"/>
        <v>736</v>
      </c>
      <c r="N412" s="100">
        <f t="shared" si="100"/>
        <v>0</v>
      </c>
      <c r="O412" s="100">
        <f t="shared" si="100"/>
        <v>0</v>
      </c>
      <c r="P412" s="100">
        <f t="shared" si="100"/>
        <v>338</v>
      </c>
      <c r="Q412" s="101">
        <f t="shared" si="102"/>
        <v>49926</v>
      </c>
    </row>
    <row r="413" spans="1:20" ht="24" customHeight="1">
      <c r="A413" s="274"/>
      <c r="B413" s="276"/>
      <c r="C413" s="78" t="s">
        <v>40</v>
      </c>
      <c r="D413" s="101">
        <f t="shared" si="98"/>
        <v>77</v>
      </c>
      <c r="E413" s="101">
        <f t="shared" si="99"/>
        <v>77</v>
      </c>
      <c r="F413" s="100">
        <f t="shared" si="99"/>
        <v>0</v>
      </c>
      <c r="G413" s="100">
        <f t="shared" si="99"/>
        <v>55964</v>
      </c>
      <c r="H413" s="100">
        <f t="shared" si="99"/>
        <v>0</v>
      </c>
      <c r="I413" s="102">
        <f t="shared" si="101"/>
        <v>55964</v>
      </c>
      <c r="J413" s="100">
        <f t="shared" si="100"/>
        <v>35816</v>
      </c>
      <c r="K413" s="100">
        <f t="shared" si="100"/>
        <v>248</v>
      </c>
      <c r="L413" s="100">
        <f t="shared" si="100"/>
        <v>8312</v>
      </c>
      <c r="M413" s="100">
        <f t="shared" si="100"/>
        <v>1597</v>
      </c>
      <c r="N413" s="100">
        <f t="shared" si="100"/>
        <v>0</v>
      </c>
      <c r="O413" s="100">
        <f t="shared" si="100"/>
        <v>0</v>
      </c>
      <c r="P413" s="100">
        <f t="shared" si="100"/>
        <v>2167</v>
      </c>
      <c r="Q413" s="101">
        <f t="shared" si="102"/>
        <v>104104</v>
      </c>
    </row>
    <row r="414" spans="1:20" ht="19.2">
      <c r="A414" s="274"/>
      <c r="B414" s="276"/>
      <c r="C414" s="78" t="s">
        <v>26</v>
      </c>
      <c r="D414" s="101">
        <f t="shared" si="98"/>
        <v>13</v>
      </c>
      <c r="E414" s="101">
        <f t="shared" si="99"/>
        <v>13</v>
      </c>
      <c r="F414" s="100">
        <f t="shared" si="99"/>
        <v>0</v>
      </c>
      <c r="G414" s="100">
        <f t="shared" si="99"/>
        <v>10818</v>
      </c>
      <c r="H414" s="100">
        <f t="shared" si="99"/>
        <v>0</v>
      </c>
      <c r="I414" s="102">
        <f t="shared" si="101"/>
        <v>10818</v>
      </c>
      <c r="J414" s="100">
        <f t="shared" si="100"/>
        <v>6923</v>
      </c>
      <c r="K414" s="100">
        <f t="shared" si="100"/>
        <v>45</v>
      </c>
      <c r="L414" s="100">
        <f t="shared" si="100"/>
        <v>1918</v>
      </c>
      <c r="M414" s="100">
        <f t="shared" si="100"/>
        <v>305</v>
      </c>
      <c r="N414" s="100">
        <f t="shared" si="100"/>
        <v>0</v>
      </c>
      <c r="O414" s="100">
        <f t="shared" si="100"/>
        <v>0</v>
      </c>
      <c r="P414" s="100">
        <f t="shared" si="100"/>
        <v>509</v>
      </c>
      <c r="Q414" s="101">
        <f t="shared" si="102"/>
        <v>20518</v>
      </c>
    </row>
    <row r="415" spans="1:20" ht="19.2">
      <c r="A415" s="274"/>
      <c r="B415" s="276"/>
      <c r="C415" s="78" t="s">
        <v>27</v>
      </c>
      <c r="D415" s="101">
        <f t="shared" si="98"/>
        <v>6</v>
      </c>
      <c r="E415" s="101">
        <f t="shared" si="99"/>
        <v>6</v>
      </c>
      <c r="F415" s="100">
        <f t="shared" si="99"/>
        <v>0</v>
      </c>
      <c r="G415" s="100">
        <f t="shared" si="99"/>
        <v>3974</v>
      </c>
      <c r="H415" s="100">
        <f t="shared" si="99"/>
        <v>0</v>
      </c>
      <c r="I415" s="102">
        <f t="shared" si="101"/>
        <v>3974</v>
      </c>
      <c r="J415" s="100">
        <f t="shared" si="100"/>
        <v>2543</v>
      </c>
      <c r="K415" s="100">
        <f t="shared" si="100"/>
        <v>21</v>
      </c>
      <c r="L415" s="100">
        <f t="shared" si="100"/>
        <v>683</v>
      </c>
      <c r="M415" s="100">
        <f t="shared" si="100"/>
        <v>144</v>
      </c>
      <c r="N415" s="100">
        <f t="shared" si="100"/>
        <v>0</v>
      </c>
      <c r="O415" s="100">
        <f t="shared" si="100"/>
        <v>0</v>
      </c>
      <c r="P415" s="100">
        <f t="shared" si="100"/>
        <v>186</v>
      </c>
      <c r="Q415" s="101">
        <f t="shared" si="102"/>
        <v>7551</v>
      </c>
    </row>
    <row r="416" spans="1:20" ht="19.2">
      <c r="A416" s="275"/>
      <c r="B416" s="277"/>
      <c r="C416" s="78" t="s">
        <v>41</v>
      </c>
      <c r="D416" s="101">
        <f t="shared" si="98"/>
        <v>7</v>
      </c>
      <c r="E416" s="101">
        <f t="shared" si="99"/>
        <v>7</v>
      </c>
      <c r="F416" s="100">
        <f t="shared" si="99"/>
        <v>0</v>
      </c>
      <c r="G416" s="100">
        <f t="shared" si="99"/>
        <v>0</v>
      </c>
      <c r="H416" s="100">
        <f t="shared" si="99"/>
        <v>0</v>
      </c>
      <c r="I416" s="102">
        <f t="shared" si="101"/>
        <v>0</v>
      </c>
      <c r="J416" s="100">
        <f t="shared" si="100"/>
        <v>0</v>
      </c>
      <c r="K416" s="100">
        <f t="shared" si="100"/>
        <v>0</v>
      </c>
      <c r="L416" s="100">
        <f t="shared" si="100"/>
        <v>0</v>
      </c>
      <c r="M416" s="100">
        <f t="shared" si="100"/>
        <v>0</v>
      </c>
      <c r="N416" s="100">
        <f t="shared" si="100"/>
        <v>0</v>
      </c>
      <c r="O416" s="100">
        <f t="shared" si="100"/>
        <v>0</v>
      </c>
      <c r="P416" s="100">
        <f t="shared" si="100"/>
        <v>0</v>
      </c>
      <c r="Q416" s="101">
        <f t="shared" si="102"/>
        <v>0</v>
      </c>
    </row>
    <row r="417" spans="1:20" ht="19.2">
      <c r="A417" s="265">
        <v>2</v>
      </c>
      <c r="B417" s="262" t="s">
        <v>19</v>
      </c>
      <c r="C417" s="81" t="s">
        <v>28</v>
      </c>
      <c r="D417" s="101">
        <f t="shared" si="98"/>
        <v>6</v>
      </c>
      <c r="E417" s="101">
        <f t="shared" si="99"/>
        <v>6</v>
      </c>
      <c r="F417" s="100">
        <f t="shared" si="99"/>
        <v>0</v>
      </c>
      <c r="G417" s="100">
        <f t="shared" si="99"/>
        <v>3619</v>
      </c>
      <c r="H417" s="100">
        <f t="shared" si="99"/>
        <v>0</v>
      </c>
      <c r="I417" s="102">
        <f t="shared" si="101"/>
        <v>3619</v>
      </c>
      <c r="J417" s="100">
        <f t="shared" si="100"/>
        <v>2317</v>
      </c>
      <c r="K417" s="100">
        <f t="shared" si="100"/>
        <v>19</v>
      </c>
      <c r="L417" s="100">
        <f t="shared" si="100"/>
        <v>586</v>
      </c>
      <c r="M417" s="100">
        <f t="shared" si="100"/>
        <v>128</v>
      </c>
      <c r="N417" s="100">
        <f t="shared" si="100"/>
        <v>0</v>
      </c>
      <c r="O417" s="100">
        <f t="shared" si="100"/>
        <v>0</v>
      </c>
      <c r="P417" s="100">
        <f t="shared" si="100"/>
        <v>186</v>
      </c>
      <c r="Q417" s="101">
        <f t="shared" si="102"/>
        <v>6855</v>
      </c>
    </row>
    <row r="418" spans="1:20" ht="19.2">
      <c r="A418" s="266"/>
      <c r="B418" s="263"/>
      <c r="C418" s="81" t="s">
        <v>42</v>
      </c>
      <c r="D418" s="101">
        <f t="shared" si="98"/>
        <v>308</v>
      </c>
      <c r="E418" s="101">
        <f t="shared" si="99"/>
        <v>307</v>
      </c>
      <c r="F418" s="100">
        <f t="shared" si="99"/>
        <v>0</v>
      </c>
      <c r="G418" s="100">
        <f t="shared" si="99"/>
        <v>173516</v>
      </c>
      <c r="H418" s="100">
        <f t="shared" si="99"/>
        <v>0</v>
      </c>
      <c r="I418" s="102">
        <f t="shared" si="101"/>
        <v>173516</v>
      </c>
      <c r="J418" s="100">
        <f t="shared" si="100"/>
        <v>111050</v>
      </c>
      <c r="K418" s="100">
        <f t="shared" si="100"/>
        <v>947</v>
      </c>
      <c r="L418" s="100">
        <f t="shared" si="100"/>
        <v>28851</v>
      </c>
      <c r="M418" s="100">
        <f t="shared" si="100"/>
        <v>5727</v>
      </c>
      <c r="N418" s="100">
        <f t="shared" si="100"/>
        <v>0</v>
      </c>
      <c r="O418" s="100">
        <f t="shared" si="100"/>
        <v>168</v>
      </c>
      <c r="P418" s="100">
        <f t="shared" si="100"/>
        <v>3971</v>
      </c>
      <c r="Q418" s="101">
        <f t="shared" si="102"/>
        <v>324230</v>
      </c>
    </row>
    <row r="419" spans="1:20" ht="19.2">
      <c r="A419" s="266"/>
      <c r="B419" s="263"/>
      <c r="C419" s="81" t="s">
        <v>43</v>
      </c>
      <c r="D419" s="101">
        <f t="shared" si="98"/>
        <v>1</v>
      </c>
      <c r="E419" s="101">
        <f t="shared" ref="E419:H425" si="103">SUM(E39+E86+E133+E180+E227+E274+E321+E369)</f>
        <v>1</v>
      </c>
      <c r="F419" s="100">
        <f t="shared" si="103"/>
        <v>0</v>
      </c>
      <c r="G419" s="100">
        <f t="shared" si="103"/>
        <v>656</v>
      </c>
      <c r="H419" s="100">
        <f t="shared" si="103"/>
        <v>0</v>
      </c>
      <c r="I419" s="102">
        <f t="shared" si="101"/>
        <v>656</v>
      </c>
      <c r="J419" s="100">
        <f t="shared" ref="J419:P425" si="104">SUM(J39+J86+J133+J180+J227+J274+J321+J369)</f>
        <v>420</v>
      </c>
      <c r="K419" s="100">
        <f t="shared" si="104"/>
        <v>11</v>
      </c>
      <c r="L419" s="100">
        <f t="shared" si="104"/>
        <v>66</v>
      </c>
      <c r="M419" s="100">
        <f t="shared" si="104"/>
        <v>16</v>
      </c>
      <c r="N419" s="100">
        <f t="shared" si="104"/>
        <v>0</v>
      </c>
      <c r="O419" s="100">
        <f t="shared" si="104"/>
        <v>0</v>
      </c>
      <c r="P419" s="100">
        <f t="shared" si="104"/>
        <v>9</v>
      </c>
      <c r="Q419" s="101">
        <f t="shared" si="102"/>
        <v>1178</v>
      </c>
    </row>
    <row r="420" spans="1:20" ht="19.2">
      <c r="A420" s="266"/>
      <c r="B420" s="263"/>
      <c r="C420" s="81" t="s">
        <v>44</v>
      </c>
      <c r="D420" s="101">
        <f t="shared" si="98"/>
        <v>463</v>
      </c>
      <c r="E420" s="101">
        <f t="shared" si="103"/>
        <v>464</v>
      </c>
      <c r="F420" s="100">
        <f t="shared" si="103"/>
        <v>0</v>
      </c>
      <c r="G420" s="100">
        <f t="shared" si="103"/>
        <v>187752</v>
      </c>
      <c r="H420" s="100">
        <f t="shared" si="103"/>
        <v>0</v>
      </c>
      <c r="I420" s="102">
        <f t="shared" si="101"/>
        <v>187752</v>
      </c>
      <c r="J420" s="100">
        <f t="shared" si="104"/>
        <v>120162</v>
      </c>
      <c r="K420" s="100">
        <f t="shared" si="104"/>
        <v>1370</v>
      </c>
      <c r="L420" s="100">
        <f t="shared" si="104"/>
        <v>30874</v>
      </c>
      <c r="M420" s="100">
        <f t="shared" si="104"/>
        <v>8774</v>
      </c>
      <c r="N420" s="100">
        <f t="shared" si="104"/>
        <v>0</v>
      </c>
      <c r="O420" s="100">
        <f t="shared" si="104"/>
        <v>3</v>
      </c>
      <c r="P420" s="100">
        <f t="shared" si="104"/>
        <v>4558</v>
      </c>
      <c r="Q420" s="101">
        <f t="shared" si="102"/>
        <v>353493</v>
      </c>
    </row>
    <row r="421" spans="1:20" ht="19.2">
      <c r="A421" s="266"/>
      <c r="B421" s="263"/>
      <c r="C421" s="81" t="s">
        <v>29</v>
      </c>
      <c r="D421" s="101">
        <f t="shared" si="98"/>
        <v>2</v>
      </c>
      <c r="E421" s="101">
        <f t="shared" si="103"/>
        <v>2</v>
      </c>
      <c r="F421" s="100">
        <f t="shared" si="103"/>
        <v>0</v>
      </c>
      <c r="G421" s="100">
        <f t="shared" si="103"/>
        <v>1939</v>
      </c>
      <c r="H421" s="100">
        <f t="shared" si="103"/>
        <v>0</v>
      </c>
      <c r="I421" s="102">
        <f t="shared" si="101"/>
        <v>1939</v>
      </c>
      <c r="J421" s="100">
        <f t="shared" si="104"/>
        <v>1241</v>
      </c>
      <c r="K421" s="100">
        <f t="shared" si="104"/>
        <v>15</v>
      </c>
      <c r="L421" s="100">
        <f t="shared" si="104"/>
        <v>439</v>
      </c>
      <c r="M421" s="100">
        <f t="shared" si="104"/>
        <v>30</v>
      </c>
      <c r="N421" s="100">
        <f t="shared" si="104"/>
        <v>0</v>
      </c>
      <c r="O421" s="100">
        <f t="shared" si="104"/>
        <v>0</v>
      </c>
      <c r="P421" s="100">
        <f t="shared" si="104"/>
        <v>9</v>
      </c>
      <c r="Q421" s="101">
        <f t="shared" si="102"/>
        <v>3673</v>
      </c>
    </row>
    <row r="422" spans="1:20" ht="37.5" customHeight="1">
      <c r="A422" s="266"/>
      <c r="B422" s="263"/>
      <c r="C422" s="81" t="s">
        <v>30</v>
      </c>
      <c r="D422" s="101">
        <f t="shared" si="98"/>
        <v>39</v>
      </c>
      <c r="E422" s="101">
        <f t="shared" si="103"/>
        <v>39</v>
      </c>
      <c r="F422" s="100">
        <f t="shared" si="103"/>
        <v>0</v>
      </c>
      <c r="G422" s="100">
        <f t="shared" si="103"/>
        <v>21261</v>
      </c>
      <c r="H422" s="100">
        <f t="shared" si="103"/>
        <v>0</v>
      </c>
      <c r="I422" s="102">
        <f t="shared" si="101"/>
        <v>21261</v>
      </c>
      <c r="J422" s="100">
        <f t="shared" si="104"/>
        <v>13607</v>
      </c>
      <c r="K422" s="100">
        <f t="shared" si="104"/>
        <v>143</v>
      </c>
      <c r="L422" s="100">
        <f t="shared" si="104"/>
        <v>4462</v>
      </c>
      <c r="M422" s="100">
        <f t="shared" si="104"/>
        <v>442</v>
      </c>
      <c r="N422" s="100">
        <f t="shared" si="104"/>
        <v>0</v>
      </c>
      <c r="O422" s="100">
        <f t="shared" si="104"/>
        <v>0</v>
      </c>
      <c r="P422" s="100">
        <f t="shared" si="104"/>
        <v>389</v>
      </c>
      <c r="Q422" s="101">
        <f t="shared" si="102"/>
        <v>40304</v>
      </c>
    </row>
    <row r="423" spans="1:20" ht="19.2">
      <c r="A423" s="266"/>
      <c r="B423" s="263"/>
      <c r="C423" s="81" t="s">
        <v>33</v>
      </c>
      <c r="D423" s="101">
        <f t="shared" si="98"/>
        <v>28</v>
      </c>
      <c r="E423" s="101">
        <f t="shared" si="103"/>
        <v>28</v>
      </c>
      <c r="F423" s="100">
        <f t="shared" si="103"/>
        <v>0</v>
      </c>
      <c r="G423" s="100">
        <f t="shared" si="103"/>
        <v>13078</v>
      </c>
      <c r="H423" s="100">
        <f t="shared" si="103"/>
        <v>0</v>
      </c>
      <c r="I423" s="102">
        <f t="shared" si="101"/>
        <v>13078</v>
      </c>
      <c r="J423" s="100">
        <f t="shared" si="104"/>
        <v>8370</v>
      </c>
      <c r="K423" s="100">
        <f t="shared" si="104"/>
        <v>75</v>
      </c>
      <c r="L423" s="100">
        <f t="shared" si="104"/>
        <v>2307</v>
      </c>
      <c r="M423" s="100">
        <f t="shared" si="104"/>
        <v>490</v>
      </c>
      <c r="N423" s="100">
        <f t="shared" si="104"/>
        <v>8</v>
      </c>
      <c r="O423" s="100">
        <f t="shared" si="104"/>
        <v>0</v>
      </c>
      <c r="P423" s="100">
        <f t="shared" si="104"/>
        <v>513</v>
      </c>
      <c r="Q423" s="101">
        <f t="shared" si="102"/>
        <v>24841</v>
      </c>
    </row>
    <row r="424" spans="1:20" ht="20.25" customHeight="1">
      <c r="A424" s="267"/>
      <c r="B424" s="264"/>
      <c r="C424" s="81" t="s">
        <v>46</v>
      </c>
      <c r="D424" s="101">
        <f t="shared" si="98"/>
        <v>7</v>
      </c>
      <c r="E424" s="101">
        <f t="shared" si="103"/>
        <v>7</v>
      </c>
      <c r="F424" s="100">
        <f t="shared" si="103"/>
        <v>0</v>
      </c>
      <c r="G424" s="100">
        <f t="shared" si="103"/>
        <v>2986</v>
      </c>
      <c r="H424" s="100">
        <f t="shared" si="103"/>
        <v>0</v>
      </c>
      <c r="I424" s="102">
        <f t="shared" si="101"/>
        <v>2986</v>
      </c>
      <c r="J424" s="100">
        <f t="shared" si="104"/>
        <v>1912</v>
      </c>
      <c r="K424" s="100">
        <f t="shared" si="104"/>
        <v>14</v>
      </c>
      <c r="L424" s="100">
        <f t="shared" si="104"/>
        <v>667</v>
      </c>
      <c r="M424" s="100">
        <f t="shared" si="104"/>
        <v>155</v>
      </c>
      <c r="N424" s="100">
        <f t="shared" si="104"/>
        <v>0</v>
      </c>
      <c r="O424" s="100">
        <f t="shared" si="104"/>
        <v>0</v>
      </c>
      <c r="P424" s="100">
        <f t="shared" si="104"/>
        <v>78</v>
      </c>
      <c r="Q424" s="101">
        <f t="shared" si="102"/>
        <v>5812</v>
      </c>
    </row>
    <row r="425" spans="1:20" s="17" customFormat="1" ht="21">
      <c r="A425" s="143">
        <v>3</v>
      </c>
      <c r="B425" s="144" t="s">
        <v>20</v>
      </c>
      <c r="C425" s="82" t="s">
        <v>34</v>
      </c>
      <c r="D425" s="101">
        <f t="shared" si="98"/>
        <v>254</v>
      </c>
      <c r="E425" s="101">
        <f t="shared" si="103"/>
        <v>254</v>
      </c>
      <c r="F425" s="100">
        <f t="shared" si="103"/>
        <v>0</v>
      </c>
      <c r="G425" s="100">
        <f t="shared" si="103"/>
        <v>82597</v>
      </c>
      <c r="H425" s="100">
        <f t="shared" si="103"/>
        <v>0</v>
      </c>
      <c r="I425" s="102">
        <f t="shared" si="101"/>
        <v>82597</v>
      </c>
      <c r="J425" s="100">
        <f t="shared" si="104"/>
        <v>52864</v>
      </c>
      <c r="K425" s="100">
        <f t="shared" si="104"/>
        <v>383</v>
      </c>
      <c r="L425" s="100">
        <f t="shared" si="104"/>
        <v>13537</v>
      </c>
      <c r="M425" s="100">
        <f t="shared" si="104"/>
        <v>3734</v>
      </c>
      <c r="N425" s="100">
        <f t="shared" si="104"/>
        <v>118</v>
      </c>
      <c r="O425" s="100">
        <f t="shared" si="104"/>
        <v>0</v>
      </c>
      <c r="P425" s="100">
        <f t="shared" si="104"/>
        <v>2696</v>
      </c>
      <c r="Q425" s="101">
        <f t="shared" si="102"/>
        <v>155929</v>
      </c>
      <c r="R425" s="155"/>
      <c r="S425" s="155"/>
      <c r="T425" s="155"/>
    </row>
    <row r="426" spans="1:20" ht="21.6" thickBot="1">
      <c r="A426" s="83" t="s">
        <v>36</v>
      </c>
      <c r="B426" s="83" t="s">
        <v>36</v>
      </c>
      <c r="C426" s="84" t="s">
        <v>9</v>
      </c>
      <c r="D426" s="156">
        <f>SUM(D409:D425)</f>
        <v>1258</v>
      </c>
      <c r="E426" s="156">
        <f>SUM(E409:E425)</f>
        <v>1259</v>
      </c>
      <c r="F426" s="156">
        <f t="shared" ref="F426:Q426" si="105">SUM(F409:F425)</f>
        <v>0</v>
      </c>
      <c r="G426" s="156">
        <f t="shared" si="105"/>
        <v>612310</v>
      </c>
      <c r="H426" s="156">
        <f t="shared" si="105"/>
        <v>0</v>
      </c>
      <c r="I426" s="156">
        <f t="shared" si="105"/>
        <v>612310</v>
      </c>
      <c r="J426" s="156">
        <f t="shared" si="105"/>
        <v>391885</v>
      </c>
      <c r="K426" s="156">
        <f t="shared" si="105"/>
        <v>3585</v>
      </c>
      <c r="L426" s="156">
        <f t="shared" si="105"/>
        <v>101527</v>
      </c>
      <c r="M426" s="156">
        <f t="shared" si="105"/>
        <v>22732</v>
      </c>
      <c r="N426" s="156">
        <f t="shared" si="105"/>
        <v>126</v>
      </c>
      <c r="O426" s="156">
        <f t="shared" si="105"/>
        <v>171</v>
      </c>
      <c r="P426" s="156">
        <f t="shared" si="105"/>
        <v>17441</v>
      </c>
      <c r="Q426" s="156">
        <f t="shared" si="105"/>
        <v>1149777</v>
      </c>
    </row>
    <row r="427" spans="1:20" ht="49.5" customHeight="1" thickTop="1">
      <c r="A427" s="324" t="s">
        <v>165</v>
      </c>
      <c r="B427" s="324"/>
      <c r="C427" s="324"/>
      <c r="D427" s="324"/>
      <c r="E427" s="324"/>
      <c r="F427" s="324"/>
      <c r="G427" s="324"/>
      <c r="H427" s="324"/>
      <c r="I427" s="324"/>
      <c r="J427" s="324"/>
      <c r="K427" s="324"/>
      <c r="L427" s="324"/>
      <c r="M427" s="324"/>
      <c r="N427" s="324"/>
      <c r="O427" s="324"/>
      <c r="P427" s="324"/>
      <c r="Q427" s="324"/>
    </row>
    <row r="430" spans="1:20">
      <c r="A430" s="93"/>
      <c r="B430" s="125"/>
      <c r="C430" s="93"/>
      <c r="D430" s="93"/>
      <c r="E430" s="93"/>
      <c r="F430" s="93"/>
      <c r="G430" s="93"/>
      <c r="H430" s="93"/>
      <c r="I430" s="93"/>
      <c r="J430" s="93"/>
      <c r="K430" s="93"/>
      <c r="L430" s="93"/>
      <c r="M430" s="126" t="s">
        <v>153</v>
      </c>
      <c r="N430" s="126"/>
      <c r="O430" s="126"/>
      <c r="P430" s="93"/>
      <c r="Q430" s="93"/>
      <c r="R430" s="93"/>
      <c r="S430" s="93"/>
      <c r="T430" s="93"/>
    </row>
    <row r="431" spans="1:20">
      <c r="A431" s="278" t="s">
        <v>156</v>
      </c>
      <c r="B431" s="279"/>
      <c r="C431" s="279"/>
      <c r="D431" s="279"/>
      <c r="E431" s="279"/>
      <c r="F431" s="279"/>
      <c r="G431" s="279"/>
      <c r="H431" s="279"/>
      <c r="I431" s="279"/>
      <c r="J431" s="279"/>
      <c r="K431" s="279"/>
      <c r="L431" s="279"/>
      <c r="M431" s="279"/>
      <c r="N431" s="279"/>
      <c r="O431" s="279"/>
      <c r="P431" s="279"/>
      <c r="Q431" s="279"/>
      <c r="R431" s="93"/>
      <c r="S431" s="93"/>
      <c r="T431" s="93"/>
    </row>
    <row r="432" spans="1:20">
      <c r="A432" s="278" t="s">
        <v>17</v>
      </c>
      <c r="B432" s="278"/>
      <c r="C432" s="278"/>
      <c r="D432" s="278"/>
      <c r="E432" s="278"/>
      <c r="F432" s="278"/>
      <c r="G432" s="278"/>
      <c r="H432" s="278"/>
      <c r="I432" s="278"/>
      <c r="J432" s="278"/>
      <c r="K432" s="278"/>
      <c r="L432" s="278"/>
      <c r="M432" s="278"/>
      <c r="N432" s="278"/>
      <c r="O432" s="278"/>
      <c r="P432" s="278"/>
      <c r="Q432" s="278"/>
      <c r="R432" s="93"/>
      <c r="S432" s="93"/>
      <c r="T432" s="93"/>
    </row>
    <row r="433" spans="1:20">
      <c r="A433" s="322" t="s">
        <v>113</v>
      </c>
      <c r="B433" s="322"/>
      <c r="C433" s="322"/>
      <c r="D433" s="322"/>
      <c r="E433" s="322"/>
      <c r="F433" s="322"/>
      <c r="G433" s="322"/>
      <c r="H433" s="322"/>
      <c r="I433" s="322"/>
      <c r="J433" s="322"/>
      <c r="K433" s="322"/>
      <c r="L433" s="322"/>
      <c r="M433" s="322"/>
      <c r="N433" s="322"/>
      <c r="O433" s="322"/>
      <c r="P433" s="322"/>
      <c r="Q433" s="322"/>
      <c r="R433" s="93"/>
      <c r="S433" s="93"/>
      <c r="T433" s="93"/>
    </row>
    <row r="434" spans="1:20" ht="22.8">
      <c r="A434" s="136" t="s">
        <v>53</v>
      </c>
      <c r="B434" s="75"/>
      <c r="C434" s="75"/>
      <c r="D434" s="77"/>
      <c r="E434" s="77"/>
      <c r="F434" s="77"/>
      <c r="G434" s="77"/>
      <c r="H434" s="77"/>
      <c r="I434" s="77"/>
      <c r="J434" s="77"/>
      <c r="K434" s="77"/>
      <c r="L434" s="77"/>
      <c r="M434" s="77"/>
      <c r="N434" s="77"/>
      <c r="O434" s="283" t="s">
        <v>2</v>
      </c>
      <c r="P434" s="283"/>
      <c r="Q434" s="283"/>
      <c r="R434" s="93"/>
      <c r="S434" s="93"/>
      <c r="T434" s="93"/>
    </row>
    <row r="435" spans="1:20" ht="18.75" customHeight="1">
      <c r="A435" s="140"/>
      <c r="B435" s="323" t="s">
        <v>4</v>
      </c>
      <c r="C435" s="323"/>
      <c r="D435" s="190" t="s">
        <v>5</v>
      </c>
      <c r="E435" s="190" t="s">
        <v>5</v>
      </c>
      <c r="F435" s="287" t="s">
        <v>6</v>
      </c>
      <c r="G435" s="287" t="s">
        <v>7</v>
      </c>
      <c r="H435" s="287" t="s">
        <v>8</v>
      </c>
      <c r="I435" s="287" t="s">
        <v>9</v>
      </c>
      <c r="J435" s="287" t="s">
        <v>159</v>
      </c>
      <c r="K435" s="280" t="s">
        <v>10</v>
      </c>
      <c r="L435" s="280" t="s">
        <v>11</v>
      </c>
      <c r="M435" s="280" t="s">
        <v>12</v>
      </c>
      <c r="N435" s="280" t="s">
        <v>13</v>
      </c>
      <c r="O435" s="280" t="s">
        <v>14</v>
      </c>
      <c r="P435" s="280" t="s">
        <v>15</v>
      </c>
      <c r="Q435" s="280" t="s">
        <v>9</v>
      </c>
      <c r="R435" s="93"/>
      <c r="S435" s="93"/>
      <c r="T435" s="93"/>
    </row>
    <row r="436" spans="1:20" ht="18.75" customHeight="1">
      <c r="A436" s="140"/>
      <c r="B436" s="323"/>
      <c r="C436" s="323"/>
      <c r="D436" s="191" t="s">
        <v>145</v>
      </c>
      <c r="E436" s="191" t="s">
        <v>146</v>
      </c>
      <c r="F436" s="288"/>
      <c r="G436" s="288"/>
      <c r="H436" s="288"/>
      <c r="I436" s="288"/>
      <c r="J436" s="288"/>
      <c r="K436" s="311"/>
      <c r="L436" s="311"/>
      <c r="M436" s="311"/>
      <c r="N436" s="311"/>
      <c r="O436" s="311"/>
      <c r="P436" s="311"/>
      <c r="Q436" s="311"/>
      <c r="R436" s="93"/>
      <c r="S436" s="93"/>
      <c r="T436" s="93"/>
    </row>
    <row r="437" spans="1:20">
      <c r="B437" s="293" t="s">
        <v>16</v>
      </c>
      <c r="C437" s="123" t="s">
        <v>18</v>
      </c>
      <c r="D437" s="90">
        <f t="shared" ref="D437:Q437" si="106">D384+D385+D386+D387+D388+D389+D390</f>
        <v>117</v>
      </c>
      <c r="E437" s="90">
        <f t="shared" si="106"/>
        <v>117</v>
      </c>
      <c r="F437" s="90">
        <f t="shared" si="106"/>
        <v>10</v>
      </c>
      <c r="G437" s="90">
        <f t="shared" si="106"/>
        <v>109015</v>
      </c>
      <c r="H437" s="90">
        <f t="shared" si="106"/>
        <v>0</v>
      </c>
      <c r="I437" s="90">
        <f t="shared" si="106"/>
        <v>109015</v>
      </c>
      <c r="J437" s="90">
        <f t="shared" si="106"/>
        <v>69773</v>
      </c>
      <c r="K437" s="90">
        <f t="shared" si="106"/>
        <v>317</v>
      </c>
      <c r="L437" s="90">
        <f t="shared" si="106"/>
        <v>16092</v>
      </c>
      <c r="M437" s="90">
        <f t="shared" si="106"/>
        <v>2194</v>
      </c>
      <c r="N437" s="90">
        <f t="shared" si="106"/>
        <v>0</v>
      </c>
      <c r="O437" s="90">
        <f t="shared" si="106"/>
        <v>0</v>
      </c>
      <c r="P437" s="90">
        <f t="shared" si="106"/>
        <v>3044</v>
      </c>
      <c r="Q437" s="90">
        <f t="shared" si="106"/>
        <v>200445</v>
      </c>
    </row>
    <row r="438" spans="1:20">
      <c r="B438" s="293"/>
      <c r="C438" s="123" t="s">
        <v>19</v>
      </c>
      <c r="D438" s="90">
        <f t="shared" ref="D438:Q438" si="107">D391+D392+D393+D394+D395+D396</f>
        <v>422</v>
      </c>
      <c r="E438" s="90">
        <f t="shared" si="107"/>
        <v>422</v>
      </c>
      <c r="F438" s="90">
        <f t="shared" si="107"/>
        <v>0</v>
      </c>
      <c r="G438" s="90">
        <f t="shared" si="107"/>
        <v>180276</v>
      </c>
      <c r="H438" s="90">
        <f t="shared" si="107"/>
        <v>0</v>
      </c>
      <c r="I438" s="90">
        <f t="shared" si="107"/>
        <v>180276</v>
      </c>
      <c r="J438" s="90">
        <f t="shared" si="107"/>
        <v>115378</v>
      </c>
      <c r="K438" s="90">
        <f t="shared" si="107"/>
        <v>794</v>
      </c>
      <c r="L438" s="90">
        <f t="shared" si="107"/>
        <v>29689</v>
      </c>
      <c r="M438" s="90">
        <f t="shared" si="107"/>
        <v>7925</v>
      </c>
      <c r="N438" s="90">
        <f t="shared" si="107"/>
        <v>14</v>
      </c>
      <c r="O438" s="90">
        <f t="shared" si="107"/>
        <v>17</v>
      </c>
      <c r="P438" s="90">
        <f t="shared" si="107"/>
        <v>6335</v>
      </c>
      <c r="Q438" s="90">
        <f t="shared" si="107"/>
        <v>340428</v>
      </c>
    </row>
    <row r="439" spans="1:20">
      <c r="B439" s="293"/>
      <c r="C439" s="123" t="s">
        <v>20</v>
      </c>
      <c r="D439" s="90">
        <f t="shared" ref="D439:Q439" si="108">D397</f>
        <v>290</v>
      </c>
      <c r="E439" s="90">
        <f t="shared" si="108"/>
        <v>290</v>
      </c>
      <c r="F439" s="90">
        <f t="shared" si="108"/>
        <v>0</v>
      </c>
      <c r="G439" s="90">
        <f t="shared" si="108"/>
        <v>94434</v>
      </c>
      <c r="H439" s="90">
        <f t="shared" si="108"/>
        <v>0</v>
      </c>
      <c r="I439" s="90">
        <f t="shared" si="108"/>
        <v>94434</v>
      </c>
      <c r="J439" s="90">
        <f t="shared" si="108"/>
        <v>60438</v>
      </c>
      <c r="K439" s="90">
        <f t="shared" si="108"/>
        <v>255</v>
      </c>
      <c r="L439" s="90">
        <f t="shared" si="108"/>
        <v>15262</v>
      </c>
      <c r="M439" s="90">
        <f t="shared" si="108"/>
        <v>4642</v>
      </c>
      <c r="N439" s="90">
        <f t="shared" si="108"/>
        <v>214</v>
      </c>
      <c r="O439" s="90">
        <f t="shared" si="108"/>
        <v>0</v>
      </c>
      <c r="P439" s="90">
        <f t="shared" si="108"/>
        <v>2858</v>
      </c>
      <c r="Q439" s="90">
        <f t="shared" si="108"/>
        <v>178103</v>
      </c>
    </row>
    <row r="440" spans="1:20">
      <c r="B440" s="293"/>
      <c r="C440" s="124" t="s">
        <v>112</v>
      </c>
      <c r="D440" s="157">
        <f>D437+D438+D439</f>
        <v>829</v>
      </c>
      <c r="E440" s="157">
        <f t="shared" ref="E440:Q440" si="109">E437+E438+E439</f>
        <v>829</v>
      </c>
      <c r="F440" s="157">
        <f t="shared" si="109"/>
        <v>10</v>
      </c>
      <c r="G440" s="157">
        <f t="shared" si="109"/>
        <v>383725</v>
      </c>
      <c r="H440" s="157">
        <f t="shared" si="109"/>
        <v>0</v>
      </c>
      <c r="I440" s="157">
        <f t="shared" si="109"/>
        <v>383725</v>
      </c>
      <c r="J440" s="157">
        <f t="shared" si="109"/>
        <v>245589</v>
      </c>
      <c r="K440" s="157">
        <f t="shared" si="109"/>
        <v>1366</v>
      </c>
      <c r="L440" s="157">
        <f t="shared" si="109"/>
        <v>61043</v>
      </c>
      <c r="M440" s="157">
        <f t="shared" si="109"/>
        <v>14761</v>
      </c>
      <c r="N440" s="157">
        <f t="shared" si="109"/>
        <v>228</v>
      </c>
      <c r="O440" s="157">
        <f t="shared" si="109"/>
        <v>17</v>
      </c>
      <c r="P440" s="157">
        <f t="shared" si="109"/>
        <v>12237</v>
      </c>
      <c r="Q440" s="157">
        <f t="shared" si="109"/>
        <v>718976</v>
      </c>
    </row>
    <row r="441" spans="1:20">
      <c r="B441" s="119"/>
      <c r="C441" s="122"/>
    </row>
    <row r="442" spans="1:20">
      <c r="B442" s="294" t="s">
        <v>37</v>
      </c>
      <c r="C442" s="123" t="s">
        <v>18</v>
      </c>
      <c r="D442" s="90">
        <f t="shared" ref="D442:Q442" si="110">D409+D410+D411+D412+D413+D414+D415+D416</f>
        <v>150</v>
      </c>
      <c r="E442" s="90">
        <f t="shared" si="110"/>
        <v>151</v>
      </c>
      <c r="F442" s="90">
        <f t="shared" si="110"/>
        <v>0</v>
      </c>
      <c r="G442" s="90">
        <f t="shared" si="110"/>
        <v>124906</v>
      </c>
      <c r="H442" s="90">
        <f t="shared" si="110"/>
        <v>0</v>
      </c>
      <c r="I442" s="90">
        <f t="shared" si="110"/>
        <v>124906</v>
      </c>
      <c r="J442" s="90">
        <f t="shared" si="110"/>
        <v>79942</v>
      </c>
      <c r="K442" s="90">
        <f t="shared" si="110"/>
        <v>608</v>
      </c>
      <c r="L442" s="90">
        <f t="shared" si="110"/>
        <v>19738</v>
      </c>
      <c r="M442" s="90">
        <f t="shared" si="110"/>
        <v>3236</v>
      </c>
      <c r="N442" s="90">
        <f t="shared" si="110"/>
        <v>0</v>
      </c>
      <c r="O442" s="90">
        <f t="shared" si="110"/>
        <v>0</v>
      </c>
      <c r="P442" s="90">
        <f t="shared" si="110"/>
        <v>5032</v>
      </c>
      <c r="Q442" s="90">
        <f t="shared" si="110"/>
        <v>233462</v>
      </c>
    </row>
    <row r="443" spans="1:20">
      <c r="B443" s="295"/>
      <c r="C443" s="123" t="s">
        <v>19</v>
      </c>
      <c r="D443" s="90">
        <f t="shared" ref="D443:Q443" si="111">D417+D418+D419+D420+D421+D422+D423+D424</f>
        <v>854</v>
      </c>
      <c r="E443" s="90">
        <f t="shared" si="111"/>
        <v>854</v>
      </c>
      <c r="F443" s="90">
        <f t="shared" si="111"/>
        <v>0</v>
      </c>
      <c r="G443" s="90">
        <f t="shared" si="111"/>
        <v>404807</v>
      </c>
      <c r="H443" s="90">
        <f t="shared" si="111"/>
        <v>0</v>
      </c>
      <c r="I443" s="90">
        <f t="shared" si="111"/>
        <v>404807</v>
      </c>
      <c r="J443" s="90">
        <f t="shared" si="111"/>
        <v>259079</v>
      </c>
      <c r="K443" s="90">
        <f t="shared" si="111"/>
        <v>2594</v>
      </c>
      <c r="L443" s="90">
        <f t="shared" si="111"/>
        <v>68252</v>
      </c>
      <c r="M443" s="90">
        <f t="shared" si="111"/>
        <v>15762</v>
      </c>
      <c r="N443" s="90">
        <f t="shared" si="111"/>
        <v>8</v>
      </c>
      <c r="O443" s="90">
        <f t="shared" si="111"/>
        <v>171</v>
      </c>
      <c r="P443" s="90">
        <f t="shared" si="111"/>
        <v>9713</v>
      </c>
      <c r="Q443" s="90">
        <f t="shared" si="111"/>
        <v>760386</v>
      </c>
    </row>
    <row r="444" spans="1:20">
      <c r="B444" s="295"/>
      <c r="C444" s="123" t="s">
        <v>20</v>
      </c>
      <c r="D444" s="90">
        <f t="shared" ref="D444:Q444" si="112">D425</f>
        <v>254</v>
      </c>
      <c r="E444" s="90">
        <f t="shared" si="112"/>
        <v>254</v>
      </c>
      <c r="F444" s="90">
        <f t="shared" si="112"/>
        <v>0</v>
      </c>
      <c r="G444" s="90">
        <f t="shared" si="112"/>
        <v>82597</v>
      </c>
      <c r="H444" s="90">
        <f t="shared" si="112"/>
        <v>0</v>
      </c>
      <c r="I444" s="90">
        <f t="shared" si="112"/>
        <v>82597</v>
      </c>
      <c r="J444" s="90">
        <f t="shared" si="112"/>
        <v>52864</v>
      </c>
      <c r="K444" s="90">
        <f t="shared" si="112"/>
        <v>383</v>
      </c>
      <c r="L444" s="90">
        <f t="shared" si="112"/>
        <v>13537</v>
      </c>
      <c r="M444" s="90">
        <f t="shared" si="112"/>
        <v>3734</v>
      </c>
      <c r="N444" s="90">
        <f t="shared" si="112"/>
        <v>118</v>
      </c>
      <c r="O444" s="90">
        <f t="shared" si="112"/>
        <v>0</v>
      </c>
      <c r="P444" s="90">
        <f t="shared" si="112"/>
        <v>2696</v>
      </c>
      <c r="Q444" s="90">
        <f t="shared" si="112"/>
        <v>155929</v>
      </c>
    </row>
    <row r="445" spans="1:20">
      <c r="B445" s="296"/>
      <c r="C445" s="124" t="s">
        <v>112</v>
      </c>
      <c r="D445" s="157">
        <f>D442+D443+D444</f>
        <v>1258</v>
      </c>
      <c r="E445" s="157">
        <f t="shared" ref="E445:Q445" si="113">E442+E443+E444</f>
        <v>1259</v>
      </c>
      <c r="F445" s="157">
        <f t="shared" si="113"/>
        <v>0</v>
      </c>
      <c r="G445" s="157">
        <f t="shared" si="113"/>
        <v>612310</v>
      </c>
      <c r="H445" s="157">
        <f t="shared" si="113"/>
        <v>0</v>
      </c>
      <c r="I445" s="157">
        <f t="shared" si="113"/>
        <v>612310</v>
      </c>
      <c r="J445" s="157">
        <f t="shared" si="113"/>
        <v>391885</v>
      </c>
      <c r="K445" s="157">
        <f t="shared" si="113"/>
        <v>3585</v>
      </c>
      <c r="L445" s="157">
        <f t="shared" si="113"/>
        <v>101527</v>
      </c>
      <c r="M445" s="157">
        <f t="shared" si="113"/>
        <v>22732</v>
      </c>
      <c r="N445" s="157">
        <f t="shared" si="113"/>
        <v>126</v>
      </c>
      <c r="O445" s="157">
        <f t="shared" si="113"/>
        <v>171</v>
      </c>
      <c r="P445" s="157">
        <f t="shared" si="113"/>
        <v>17441</v>
      </c>
      <c r="Q445" s="157">
        <f t="shared" si="113"/>
        <v>1149777</v>
      </c>
    </row>
    <row r="446" spans="1:20">
      <c r="B446" s="120"/>
      <c r="C446" s="121"/>
    </row>
    <row r="447" spans="1:20" ht="21">
      <c r="B447" s="292" t="s">
        <v>111</v>
      </c>
      <c r="C447" s="292"/>
      <c r="D447" s="158">
        <f>D440+D445</f>
        <v>2087</v>
      </c>
      <c r="E447" s="158">
        <f t="shared" ref="E447:Q447" si="114">E440+E445</f>
        <v>2088</v>
      </c>
      <c r="F447" s="158">
        <f t="shared" si="114"/>
        <v>10</v>
      </c>
      <c r="G447" s="158">
        <f t="shared" si="114"/>
        <v>996035</v>
      </c>
      <c r="H447" s="158">
        <f t="shared" si="114"/>
        <v>0</v>
      </c>
      <c r="I447" s="158">
        <f t="shared" si="114"/>
        <v>996035</v>
      </c>
      <c r="J447" s="158">
        <f t="shared" si="114"/>
        <v>637474</v>
      </c>
      <c r="K447" s="158">
        <f t="shared" si="114"/>
        <v>4951</v>
      </c>
      <c r="L447" s="158">
        <f t="shared" si="114"/>
        <v>162570</v>
      </c>
      <c r="M447" s="158">
        <f t="shared" si="114"/>
        <v>37493</v>
      </c>
      <c r="N447" s="158">
        <f t="shared" si="114"/>
        <v>354</v>
      </c>
      <c r="O447" s="158">
        <f t="shared" si="114"/>
        <v>188</v>
      </c>
      <c r="P447" s="158">
        <f t="shared" si="114"/>
        <v>29678</v>
      </c>
      <c r="Q447" s="158">
        <f t="shared" si="114"/>
        <v>1868753</v>
      </c>
    </row>
  </sheetData>
  <mergeCells count="433">
    <mergeCell ref="A319:A326"/>
    <mergeCell ref="F167:F168"/>
    <mergeCell ref="G167:G168"/>
    <mergeCell ref="H167:H168"/>
    <mergeCell ref="A170:A177"/>
    <mergeCell ref="A433:Q433"/>
    <mergeCell ref="O434:Q434"/>
    <mergeCell ref="Q435:Q436"/>
    <mergeCell ref="B435:C436"/>
    <mergeCell ref="K435:K436"/>
    <mergeCell ref="L435:L436"/>
    <mergeCell ref="M435:M436"/>
    <mergeCell ref="N435:N436"/>
    <mergeCell ref="A427:Q427"/>
    <mergeCell ref="O435:O436"/>
    <mergeCell ref="P435:P436"/>
    <mergeCell ref="F435:F436"/>
    <mergeCell ref="G435:G436"/>
    <mergeCell ref="H435:H436"/>
    <mergeCell ref="I435:I436"/>
    <mergeCell ref="J435:J436"/>
    <mergeCell ref="A431:Q431"/>
    <mergeCell ref="A432:Q432"/>
    <mergeCell ref="A164:Q164"/>
    <mergeCell ref="A165:Q165"/>
    <mergeCell ref="O166:Q166"/>
    <mergeCell ref="A167:A169"/>
    <mergeCell ref="B167:B169"/>
    <mergeCell ref="P167:P168"/>
    <mergeCell ref="Q167:Q168"/>
    <mergeCell ref="C169:Q169"/>
    <mergeCell ref="A148:A154"/>
    <mergeCell ref="B148:B154"/>
    <mergeCell ref="L167:L168"/>
    <mergeCell ref="A142:Q142"/>
    <mergeCell ref="A143:Q143"/>
    <mergeCell ref="O144:Q144"/>
    <mergeCell ref="A145:A147"/>
    <mergeCell ref="B145:B147"/>
    <mergeCell ref="C145:C146"/>
    <mergeCell ref="F145:F146"/>
    <mergeCell ref="G145:G146"/>
    <mergeCell ref="H145:H146"/>
    <mergeCell ref="I145:I146"/>
    <mergeCell ref="P145:P146"/>
    <mergeCell ref="Q145:Q146"/>
    <mergeCell ref="C147:Q147"/>
    <mergeCell ref="L145:L146"/>
    <mergeCell ref="M145:M146"/>
    <mergeCell ref="N145:N146"/>
    <mergeCell ref="O145:O146"/>
    <mergeCell ref="J145:J146"/>
    <mergeCell ref="K145:K146"/>
    <mergeCell ref="Q308:Q309"/>
    <mergeCell ref="I308:I309"/>
    <mergeCell ref="M308:M309"/>
    <mergeCell ref="A296:A301"/>
    <mergeCell ref="C167:C168"/>
    <mergeCell ref="A286:A288"/>
    <mergeCell ref="B286:B288"/>
    <mergeCell ref="J261:J262"/>
    <mergeCell ref="B170:B177"/>
    <mergeCell ref="J167:J168"/>
    <mergeCell ref="K167:K168"/>
    <mergeCell ref="A217:A224"/>
    <mergeCell ref="B217:B224"/>
    <mergeCell ref="A249:A254"/>
    <mergeCell ref="A272:A279"/>
    <mergeCell ref="A236:Q236"/>
    <mergeCell ref="A237:Q237"/>
    <mergeCell ref="M167:M168"/>
    <mergeCell ref="N167:N168"/>
    <mergeCell ref="I167:I168"/>
    <mergeCell ref="O167:O168"/>
    <mergeCell ref="O238:Q238"/>
    <mergeCell ref="K239:K240"/>
    <mergeCell ref="Q286:Q287"/>
    <mergeCell ref="B261:B263"/>
    <mergeCell ref="M286:M287"/>
    <mergeCell ref="I261:I262"/>
    <mergeCell ref="L261:L262"/>
    <mergeCell ref="M261:M262"/>
    <mergeCell ref="C263:Q263"/>
    <mergeCell ref="O285:Q285"/>
    <mergeCell ref="C261:C262"/>
    <mergeCell ref="H261:H262"/>
    <mergeCell ref="K261:K262"/>
    <mergeCell ref="F261:F262"/>
    <mergeCell ref="A284:Q284"/>
    <mergeCell ref="J286:J287"/>
    <mergeCell ref="P286:P287"/>
    <mergeCell ref="K286:K287"/>
    <mergeCell ref="F239:F240"/>
    <mergeCell ref="H286:H287"/>
    <mergeCell ref="A258:Q258"/>
    <mergeCell ref="O260:Q260"/>
    <mergeCell ref="A261:A263"/>
    <mergeCell ref="P261:P262"/>
    <mergeCell ref="Q214:Q215"/>
    <mergeCell ref="C216:Q216"/>
    <mergeCell ref="I214:I215"/>
    <mergeCell ref="J214:J215"/>
    <mergeCell ref="O214:O215"/>
    <mergeCell ref="P214:P215"/>
    <mergeCell ref="K214:K215"/>
    <mergeCell ref="L214:L215"/>
    <mergeCell ref="A212:Q212"/>
    <mergeCell ref="O213:Q213"/>
    <mergeCell ref="A214:A216"/>
    <mergeCell ref="B214:B216"/>
    <mergeCell ref="C214:C215"/>
    <mergeCell ref="F214:F215"/>
    <mergeCell ref="M214:M215"/>
    <mergeCell ref="N214:N215"/>
    <mergeCell ref="G214:G215"/>
    <mergeCell ref="H214:H215"/>
    <mergeCell ref="A186:A187"/>
    <mergeCell ref="B186:B187"/>
    <mergeCell ref="A211:Q211"/>
    <mergeCell ref="A190:Q190"/>
    <mergeCell ref="O191:Q191"/>
    <mergeCell ref="A192:A194"/>
    <mergeCell ref="A189:Q189"/>
    <mergeCell ref="P192:P193"/>
    <mergeCell ref="L192:L193"/>
    <mergeCell ref="C192:C193"/>
    <mergeCell ref="A242:A248"/>
    <mergeCell ref="B242:B248"/>
    <mergeCell ref="L286:L287"/>
    <mergeCell ref="C286:C287"/>
    <mergeCell ref="F286:F287"/>
    <mergeCell ref="G261:G262"/>
    <mergeCell ref="N308:N309"/>
    <mergeCell ref="P308:P309"/>
    <mergeCell ref="A311:A318"/>
    <mergeCell ref="B311:B318"/>
    <mergeCell ref="B308:B310"/>
    <mergeCell ref="C308:C309"/>
    <mergeCell ref="F308:F309"/>
    <mergeCell ref="C310:Q310"/>
    <mergeCell ref="J308:J309"/>
    <mergeCell ref="O308:O309"/>
    <mergeCell ref="G308:G309"/>
    <mergeCell ref="A305:Q305"/>
    <mergeCell ref="O307:Q307"/>
    <mergeCell ref="A289:A295"/>
    <mergeCell ref="B289:B295"/>
    <mergeCell ref="K308:K309"/>
    <mergeCell ref="L308:L309"/>
    <mergeCell ref="A308:A310"/>
    <mergeCell ref="C408:Q408"/>
    <mergeCell ref="C383:Q383"/>
    <mergeCell ref="Q406:Q407"/>
    <mergeCell ref="L381:L382"/>
    <mergeCell ref="M381:M382"/>
    <mergeCell ref="J406:J407"/>
    <mergeCell ref="K406:K407"/>
    <mergeCell ref="L406:L407"/>
    <mergeCell ref="A404:Q404"/>
    <mergeCell ref="N381:N382"/>
    <mergeCell ref="F381:F382"/>
    <mergeCell ref="G381:G382"/>
    <mergeCell ref="O381:O382"/>
    <mergeCell ref="H381:H382"/>
    <mergeCell ref="I381:I382"/>
    <mergeCell ref="C406:C407"/>
    <mergeCell ref="F406:F407"/>
    <mergeCell ref="G406:G407"/>
    <mergeCell ref="A403:Q403"/>
    <mergeCell ref="N406:N407"/>
    <mergeCell ref="O406:O407"/>
    <mergeCell ref="P406:P407"/>
    <mergeCell ref="H406:H407"/>
    <mergeCell ref="O405:Q405"/>
    <mergeCell ref="M406:M407"/>
    <mergeCell ref="J381:J382"/>
    <mergeCell ref="K381:K382"/>
    <mergeCell ref="A378:Q378"/>
    <mergeCell ref="A379:Q379"/>
    <mergeCell ref="O380:Q380"/>
    <mergeCell ref="A381:A383"/>
    <mergeCell ref="B381:B383"/>
    <mergeCell ref="C381:C382"/>
    <mergeCell ref="I406:I407"/>
    <mergeCell ref="C356:C357"/>
    <mergeCell ref="P356:P357"/>
    <mergeCell ref="Q356:Q357"/>
    <mergeCell ref="P381:P382"/>
    <mergeCell ref="Q381:Q382"/>
    <mergeCell ref="C358:Q358"/>
    <mergeCell ref="A359:A366"/>
    <mergeCell ref="B359:B366"/>
    <mergeCell ref="L356:L357"/>
    <mergeCell ref="M356:M357"/>
    <mergeCell ref="N356:N357"/>
    <mergeCell ref="O356:O357"/>
    <mergeCell ref="F356:F357"/>
    <mergeCell ref="G356:G357"/>
    <mergeCell ref="H356:H357"/>
    <mergeCell ref="I356:I357"/>
    <mergeCell ref="J356:J357"/>
    <mergeCell ref="K356:K357"/>
    <mergeCell ref="A356:A358"/>
    <mergeCell ref="A337:A343"/>
    <mergeCell ref="B337:B343"/>
    <mergeCell ref="M334:M335"/>
    <mergeCell ref="N334:N335"/>
    <mergeCell ref="O334:O335"/>
    <mergeCell ref="P334:P335"/>
    <mergeCell ref="L334:L335"/>
    <mergeCell ref="I334:I335"/>
    <mergeCell ref="J334:J335"/>
    <mergeCell ref="K334:K335"/>
    <mergeCell ref="A332:Q332"/>
    <mergeCell ref="O333:Q333"/>
    <mergeCell ref="A334:A336"/>
    <mergeCell ref="B334:B336"/>
    <mergeCell ref="C334:C335"/>
    <mergeCell ref="Q334:Q335"/>
    <mergeCell ref="C336:Q336"/>
    <mergeCell ref="F334:F335"/>
    <mergeCell ref="G334:G335"/>
    <mergeCell ref="H334:H335"/>
    <mergeCell ref="A23:Q23"/>
    <mergeCell ref="A24:Q24"/>
    <mergeCell ref="O25:Q25"/>
    <mergeCell ref="A48:Q48"/>
    <mergeCell ref="A29:A36"/>
    <mergeCell ref="H120:H121"/>
    <mergeCell ref="I120:I121"/>
    <mergeCell ref="K120:K121"/>
    <mergeCell ref="C28:Q28"/>
    <mergeCell ref="G26:G27"/>
    <mergeCell ref="L120:L121"/>
    <mergeCell ref="N26:N27"/>
    <mergeCell ref="H26:H27"/>
    <mergeCell ref="I26:I27"/>
    <mergeCell ref="J26:J27"/>
    <mergeCell ref="P51:P52"/>
    <mergeCell ref="O50:Q50"/>
    <mergeCell ref="I51:I52"/>
    <mergeCell ref="L51:L52"/>
    <mergeCell ref="K26:K27"/>
    <mergeCell ref="M51:M52"/>
    <mergeCell ref="N51:N52"/>
    <mergeCell ref="J51:J52"/>
    <mergeCell ref="O51:O52"/>
    <mergeCell ref="A331:Q331"/>
    <mergeCell ref="K51:K52"/>
    <mergeCell ref="B29:B36"/>
    <mergeCell ref="O26:O27"/>
    <mergeCell ref="P26:P27"/>
    <mergeCell ref="A49:Q49"/>
    <mergeCell ref="L26:L27"/>
    <mergeCell ref="H51:H52"/>
    <mergeCell ref="A178:A185"/>
    <mergeCell ref="M26:M27"/>
    <mergeCell ref="A123:A130"/>
    <mergeCell ref="B123:B130"/>
    <mergeCell ref="H308:H309"/>
    <mergeCell ref="C288:Q288"/>
    <mergeCell ref="A264:A271"/>
    <mergeCell ref="B264:B271"/>
    <mergeCell ref="N286:N287"/>
    <mergeCell ref="O286:O287"/>
    <mergeCell ref="A283:Q283"/>
    <mergeCell ref="I286:I287"/>
    <mergeCell ref="A239:A241"/>
    <mergeCell ref="G286:G287"/>
    <mergeCell ref="B178:B185"/>
    <mergeCell ref="M239:M240"/>
    <mergeCell ref="A51:A53"/>
    <mergeCell ref="B51:B53"/>
    <mergeCell ref="C51:C52"/>
    <mergeCell ref="F51:F52"/>
    <mergeCell ref="G51:G52"/>
    <mergeCell ref="C53:Q53"/>
    <mergeCell ref="Q51:Q52"/>
    <mergeCell ref="G73:G74"/>
    <mergeCell ref="B84:B91"/>
    <mergeCell ref="A54:A60"/>
    <mergeCell ref="B54:B60"/>
    <mergeCell ref="L73:L74"/>
    <mergeCell ref="M73:M74"/>
    <mergeCell ref="A70:Q70"/>
    <mergeCell ref="A71:Q71"/>
    <mergeCell ref="B61:B66"/>
    <mergeCell ref="A61:A66"/>
    <mergeCell ref="O72:Q72"/>
    <mergeCell ref="L98:L99"/>
    <mergeCell ref="M98:M99"/>
    <mergeCell ref="O97:Q97"/>
    <mergeCell ref="N73:N74"/>
    <mergeCell ref="O73:O74"/>
    <mergeCell ref="P73:P74"/>
    <mergeCell ref="Q73:Q74"/>
    <mergeCell ref="C75:Q75"/>
    <mergeCell ref="K73:K74"/>
    <mergeCell ref="H73:H74"/>
    <mergeCell ref="I73:I74"/>
    <mergeCell ref="J73:J74"/>
    <mergeCell ref="A95:Q95"/>
    <mergeCell ref="A96:Q96"/>
    <mergeCell ref="A76:A83"/>
    <mergeCell ref="B76:B83"/>
    <mergeCell ref="A73:A75"/>
    <mergeCell ref="B73:B75"/>
    <mergeCell ref="C73:C74"/>
    <mergeCell ref="F73:F74"/>
    <mergeCell ref="A26:A28"/>
    <mergeCell ref="B26:B28"/>
    <mergeCell ref="C26:C27"/>
    <mergeCell ref="F26:F27"/>
    <mergeCell ref="A259:Q259"/>
    <mergeCell ref="B239:B241"/>
    <mergeCell ref="C239:C240"/>
    <mergeCell ref="Q26:Q27"/>
    <mergeCell ref="A120:A122"/>
    <mergeCell ref="C100:Q100"/>
    <mergeCell ref="G239:G240"/>
    <mergeCell ref="H239:H240"/>
    <mergeCell ref="I239:I240"/>
    <mergeCell ref="C241:Q241"/>
    <mergeCell ref="N239:N240"/>
    <mergeCell ref="O239:O240"/>
    <mergeCell ref="P239:P240"/>
    <mergeCell ref="Q239:Q240"/>
    <mergeCell ref="J239:J240"/>
    <mergeCell ref="L239:L240"/>
    <mergeCell ref="J120:J121"/>
    <mergeCell ref="Q120:Q121"/>
    <mergeCell ref="B98:B100"/>
    <mergeCell ref="A101:A107"/>
    <mergeCell ref="A1:Q1"/>
    <mergeCell ref="A2:Q2"/>
    <mergeCell ref="O3:Q3"/>
    <mergeCell ref="A4:A6"/>
    <mergeCell ref="B4:B6"/>
    <mergeCell ref="C4:C5"/>
    <mergeCell ref="F4:F5"/>
    <mergeCell ref="I4:I5"/>
    <mergeCell ref="J4:J5"/>
    <mergeCell ref="O4:O5"/>
    <mergeCell ref="G4:G5"/>
    <mergeCell ref="H4:H5"/>
    <mergeCell ref="Q261:Q262"/>
    <mergeCell ref="K192:K193"/>
    <mergeCell ref="Q4:Q5"/>
    <mergeCell ref="C6:Q6"/>
    <mergeCell ref="P4:P5"/>
    <mergeCell ref="K4:K5"/>
    <mergeCell ref="L4:L5"/>
    <mergeCell ref="M192:M193"/>
    <mergeCell ref="N192:N193"/>
    <mergeCell ref="O192:O193"/>
    <mergeCell ref="M4:M5"/>
    <mergeCell ref="N4:N5"/>
    <mergeCell ref="Q192:Q193"/>
    <mergeCell ref="I98:I99"/>
    <mergeCell ref="C98:C99"/>
    <mergeCell ref="F98:F99"/>
    <mergeCell ref="G98:G99"/>
    <mergeCell ref="H98:H99"/>
    <mergeCell ref="N98:N99"/>
    <mergeCell ref="O98:O99"/>
    <mergeCell ref="P98:P99"/>
    <mergeCell ref="Q98:Q99"/>
    <mergeCell ref="J98:J99"/>
    <mergeCell ref="K98:K99"/>
    <mergeCell ref="A7:A13"/>
    <mergeCell ref="B7:B13"/>
    <mergeCell ref="B14:B19"/>
    <mergeCell ref="A14:A19"/>
    <mergeCell ref="N120:N121"/>
    <mergeCell ref="O120:O121"/>
    <mergeCell ref="P120:P121"/>
    <mergeCell ref="A98:A100"/>
    <mergeCell ref="B447:C447"/>
    <mergeCell ref="C194:Q194"/>
    <mergeCell ref="A195:A201"/>
    <mergeCell ref="B195:B201"/>
    <mergeCell ref="J192:J193"/>
    <mergeCell ref="B202:B207"/>
    <mergeCell ref="A202:A207"/>
    <mergeCell ref="B225:B232"/>
    <mergeCell ref="A225:A232"/>
    <mergeCell ref="F192:F193"/>
    <mergeCell ref="G192:G193"/>
    <mergeCell ref="H192:H193"/>
    <mergeCell ref="I192:I193"/>
    <mergeCell ref="B437:B440"/>
    <mergeCell ref="B442:B445"/>
    <mergeCell ref="B249:B254"/>
    <mergeCell ref="B272:B279"/>
    <mergeCell ref="B296:B301"/>
    <mergeCell ref="B319:B326"/>
    <mergeCell ref="A306:Q306"/>
    <mergeCell ref="B192:B194"/>
    <mergeCell ref="N261:N262"/>
    <mergeCell ref="O261:O262"/>
    <mergeCell ref="A84:A91"/>
    <mergeCell ref="B108:B113"/>
    <mergeCell ref="A108:A113"/>
    <mergeCell ref="B131:B138"/>
    <mergeCell ref="A131:A138"/>
    <mergeCell ref="B155:B160"/>
    <mergeCell ref="A155:A160"/>
    <mergeCell ref="A117:Q117"/>
    <mergeCell ref="A118:Q118"/>
    <mergeCell ref="O119:Q119"/>
    <mergeCell ref="B120:B122"/>
    <mergeCell ref="C120:C121"/>
    <mergeCell ref="F120:F121"/>
    <mergeCell ref="G120:G121"/>
    <mergeCell ref="M120:M121"/>
    <mergeCell ref="C122:Q122"/>
    <mergeCell ref="B101:B107"/>
    <mergeCell ref="B417:B424"/>
    <mergeCell ref="A417:A424"/>
    <mergeCell ref="B344:B349"/>
    <mergeCell ref="A344:A349"/>
    <mergeCell ref="B367:B374"/>
    <mergeCell ref="A367:A374"/>
    <mergeCell ref="B391:B396"/>
    <mergeCell ref="A391:A396"/>
    <mergeCell ref="A384:A390"/>
    <mergeCell ref="B384:B390"/>
    <mergeCell ref="A409:A416"/>
    <mergeCell ref="B409:B416"/>
    <mergeCell ref="B356:B358"/>
    <mergeCell ref="A353:Q353"/>
    <mergeCell ref="A354:Q354"/>
    <mergeCell ref="O355:Q355"/>
  </mergeCells>
  <phoneticPr fontId="0" type="noConversion"/>
  <pageMargins left="0.78740157480314965" right="0.15748031496062992" top="0.39370078740157483" bottom="0.39370078740157483" header="0.31496062992125984" footer="0.15748031496062992"/>
  <pageSetup paperSize="5" scale="84" orientation="landscape" r:id="rId1"/>
  <headerFooter>
    <oddFooter>&amp;Z&amp;F&amp;RPage &amp;P</oddFooter>
  </headerFooter>
  <rowBreaks count="18" manualBreakCount="18">
    <brk id="22" max="16383" man="1"/>
    <brk id="47" max="16" man="1"/>
    <brk id="69" max="16" man="1"/>
    <brk id="94" max="16" man="1"/>
    <brk id="116" max="16" man="1"/>
    <brk id="140" max="16" man="1"/>
    <brk id="163" max="16" man="1"/>
    <brk id="188" max="16" man="1"/>
    <brk id="210" max="16" man="1"/>
    <brk id="235" max="16" man="1"/>
    <brk id="257" max="16" man="1"/>
    <brk id="282" max="16" man="1"/>
    <brk id="304" max="16" man="1"/>
    <brk id="330" max="16" man="1"/>
    <brk id="352" max="16" man="1"/>
    <brk id="377" max="16" man="1"/>
    <brk id="402" max="16" man="1"/>
    <brk id="430"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4"/>
  <sheetViews>
    <sheetView view="pageBreakPreview" zoomScaleNormal="100" zoomScaleSheetLayoutView="100" workbookViewId="0">
      <selection activeCell="N187" sqref="N187"/>
    </sheetView>
  </sheetViews>
  <sheetFormatPr defaultColWidth="9.109375" defaultRowHeight="20.399999999999999"/>
  <cols>
    <col min="1" max="1" width="9.6640625" style="19" customWidth="1"/>
    <col min="2" max="2" width="14.5546875" style="19" customWidth="1"/>
    <col min="3" max="3" width="11.88671875" style="19" customWidth="1"/>
    <col min="4" max="4" width="12.33203125" style="19" customWidth="1"/>
    <col min="5" max="5" width="12.44140625" style="19" customWidth="1"/>
    <col min="6" max="6" width="13.6640625" style="19" customWidth="1"/>
    <col min="7" max="7" width="12.5546875" style="19" customWidth="1"/>
    <col min="8" max="8" width="13" style="19" customWidth="1"/>
    <col min="9" max="9" width="12.6640625" style="19" customWidth="1"/>
    <col min="10" max="10" width="12.33203125" style="19" customWidth="1"/>
    <col min="11" max="11" width="12.88671875" style="19" bestFit="1" customWidth="1"/>
    <col min="12" max="12" width="2.6640625" style="19" customWidth="1"/>
    <col min="13" max="13" width="13.109375" style="19" customWidth="1"/>
    <col min="14" max="14" width="13.33203125" style="19" customWidth="1"/>
    <col min="15" max="16" width="12.88671875" style="19" bestFit="1" customWidth="1"/>
    <col min="17" max="16384" width="9.109375" style="19"/>
  </cols>
  <sheetData>
    <row r="1" spans="1:17">
      <c r="A1" s="335" t="s">
        <v>156</v>
      </c>
      <c r="B1" s="336"/>
      <c r="C1" s="336"/>
      <c r="D1" s="336"/>
      <c r="E1" s="336"/>
      <c r="F1" s="336"/>
      <c r="G1" s="336"/>
      <c r="H1" s="336"/>
      <c r="I1" s="336"/>
      <c r="J1" s="336"/>
      <c r="K1" s="336"/>
      <c r="L1" s="336"/>
      <c r="M1" s="336"/>
      <c r="N1" s="336"/>
      <c r="O1" s="336"/>
      <c r="P1" s="336"/>
    </row>
    <row r="2" spans="1:17" ht="24" customHeight="1">
      <c r="A2" s="337" t="s">
        <v>17</v>
      </c>
      <c r="B2" s="338"/>
      <c r="C2" s="338"/>
      <c r="D2" s="338"/>
      <c r="E2" s="338"/>
      <c r="F2" s="338"/>
      <c r="G2" s="338"/>
      <c r="H2" s="338"/>
      <c r="I2" s="338"/>
      <c r="J2" s="338"/>
      <c r="K2" s="338"/>
      <c r="L2" s="338"/>
      <c r="M2" s="338"/>
      <c r="N2" s="338"/>
      <c r="O2" s="338"/>
      <c r="P2" s="338"/>
      <c r="Q2" s="103"/>
    </row>
    <row r="3" spans="1:17" ht="21" customHeight="1">
      <c r="A3" s="327" t="s">
        <v>2</v>
      </c>
      <c r="B3" s="328"/>
      <c r="C3" s="328"/>
      <c r="D3" s="328"/>
      <c r="E3" s="328"/>
      <c r="F3" s="328"/>
      <c r="G3" s="328"/>
      <c r="H3" s="328"/>
      <c r="I3" s="328"/>
      <c r="J3" s="328"/>
      <c r="K3" s="328"/>
    </row>
    <row r="4" spans="1:17">
      <c r="A4" s="325" t="s">
        <v>55</v>
      </c>
      <c r="B4" s="329" t="s">
        <v>56</v>
      </c>
      <c r="C4" s="330"/>
      <c r="D4" s="330"/>
      <c r="E4" s="330"/>
      <c r="F4" s="330"/>
      <c r="G4" s="330"/>
      <c r="H4" s="330"/>
      <c r="I4" s="330"/>
      <c r="J4" s="330"/>
      <c r="K4" s="331"/>
    </row>
    <row r="5" spans="1:17">
      <c r="A5" s="326"/>
      <c r="B5" s="104"/>
      <c r="C5" s="325" t="s">
        <v>57</v>
      </c>
      <c r="D5" s="326"/>
      <c r="E5" s="326"/>
      <c r="F5" s="326"/>
      <c r="G5" s="325" t="s">
        <v>58</v>
      </c>
      <c r="H5" s="326"/>
      <c r="I5" s="326"/>
      <c r="J5" s="326"/>
      <c r="K5" s="105" t="s">
        <v>9</v>
      </c>
    </row>
    <row r="6" spans="1:17">
      <c r="A6" s="332" t="s">
        <v>59</v>
      </c>
      <c r="B6" s="106" t="s">
        <v>3</v>
      </c>
      <c r="C6" s="107" t="s">
        <v>18</v>
      </c>
      <c r="D6" s="107" t="s">
        <v>19</v>
      </c>
      <c r="E6" s="107" t="s">
        <v>20</v>
      </c>
      <c r="F6" s="107" t="s">
        <v>9</v>
      </c>
      <c r="G6" s="107" t="s">
        <v>18</v>
      </c>
      <c r="H6" s="107" t="s">
        <v>19</v>
      </c>
      <c r="I6" s="107" t="s">
        <v>20</v>
      </c>
      <c r="J6" s="107" t="s">
        <v>9</v>
      </c>
      <c r="K6" s="107" t="s">
        <v>9</v>
      </c>
    </row>
    <row r="7" spans="1:17" ht="21">
      <c r="A7" s="333"/>
      <c r="B7" s="108" t="s">
        <v>60</v>
      </c>
      <c r="C7" s="192">
        <v>3</v>
      </c>
      <c r="D7" s="192">
        <v>25</v>
      </c>
      <c r="E7" s="192">
        <v>21</v>
      </c>
      <c r="F7" s="193">
        <f t="shared" ref="F7:F16" si="0">SUM(C7:E7)</f>
        <v>49</v>
      </c>
      <c r="G7" s="192">
        <v>0</v>
      </c>
      <c r="H7" s="192">
        <v>1</v>
      </c>
      <c r="I7" s="192">
        <v>11</v>
      </c>
      <c r="J7" s="193">
        <f>SUM(G7:I7)</f>
        <v>12</v>
      </c>
      <c r="K7" s="109">
        <f>SUM(J7,F7)</f>
        <v>61</v>
      </c>
      <c r="M7" s="38"/>
      <c r="N7" s="38"/>
    </row>
    <row r="8" spans="1:17" ht="21">
      <c r="A8" s="333"/>
      <c r="B8" s="106" t="s">
        <v>61</v>
      </c>
      <c r="C8" s="192">
        <v>4463</v>
      </c>
      <c r="D8" s="192">
        <v>7950</v>
      </c>
      <c r="E8" s="192">
        <v>5442</v>
      </c>
      <c r="F8" s="193">
        <f t="shared" si="0"/>
        <v>17855</v>
      </c>
      <c r="G8" s="192">
        <v>0</v>
      </c>
      <c r="H8" s="192">
        <v>312</v>
      </c>
      <c r="I8" s="192">
        <v>3511</v>
      </c>
      <c r="J8" s="193">
        <f>SUM(G8:I8)</f>
        <v>3823</v>
      </c>
      <c r="K8" s="109">
        <f t="shared" ref="K8:K16" si="1">SUM(J8,F8)</f>
        <v>21678</v>
      </c>
      <c r="M8" s="38"/>
      <c r="N8" s="38"/>
    </row>
    <row r="9" spans="1:17" ht="21">
      <c r="A9" s="333"/>
      <c r="B9" s="106" t="s">
        <v>62</v>
      </c>
      <c r="C9" s="192">
        <v>0</v>
      </c>
      <c r="D9" s="192">
        <v>0</v>
      </c>
      <c r="E9" s="192">
        <v>0</v>
      </c>
      <c r="F9" s="193">
        <f t="shared" si="0"/>
        <v>0</v>
      </c>
      <c r="G9" s="192">
        <v>0</v>
      </c>
      <c r="H9" s="192">
        <v>0</v>
      </c>
      <c r="I9" s="192">
        <v>0</v>
      </c>
      <c r="J9" s="193">
        <f>SUM(G9:I9)</f>
        <v>0</v>
      </c>
      <c r="K9" s="109">
        <f t="shared" si="1"/>
        <v>0</v>
      </c>
      <c r="M9" s="38"/>
      <c r="N9" s="38"/>
    </row>
    <row r="10" spans="1:17" ht="21.6" thickBot="1">
      <c r="A10" s="333"/>
      <c r="B10" s="110" t="s">
        <v>9</v>
      </c>
      <c r="C10" s="2">
        <f>SUM(C8:C9)</f>
        <v>4463</v>
      </c>
      <c r="D10" s="2">
        <f>SUM(D8:D9)</f>
        <v>7950</v>
      </c>
      <c r="E10" s="2">
        <f>SUM(E8:E9)</f>
        <v>5442</v>
      </c>
      <c r="F10" s="2">
        <f t="shared" si="0"/>
        <v>17855</v>
      </c>
      <c r="G10" s="2">
        <f>SUM(G8:G9)</f>
        <v>0</v>
      </c>
      <c r="H10" s="2">
        <f>SUM(H8:H9)</f>
        <v>312</v>
      </c>
      <c r="I10" s="2">
        <f>SUM(I8:I9)</f>
        <v>3511</v>
      </c>
      <c r="J10" s="2">
        <f>SUM(J8:J9)</f>
        <v>3823</v>
      </c>
      <c r="K10" s="111">
        <f>SUM(K8:K9)</f>
        <v>21678</v>
      </c>
      <c r="M10" s="38"/>
      <c r="N10" s="38"/>
    </row>
    <row r="11" spans="1:17" ht="21.6" thickTop="1">
      <c r="A11" s="333"/>
      <c r="B11" s="112" t="s">
        <v>6</v>
      </c>
      <c r="C11" s="192">
        <v>0</v>
      </c>
      <c r="D11" s="192">
        <v>0</v>
      </c>
      <c r="E11" s="192">
        <v>0</v>
      </c>
      <c r="F11" s="193">
        <f t="shared" si="0"/>
        <v>0</v>
      </c>
      <c r="G11" s="192">
        <v>0</v>
      </c>
      <c r="H11" s="192">
        <v>0</v>
      </c>
      <c r="I11" s="192">
        <v>0</v>
      </c>
      <c r="J11" s="193">
        <f t="shared" ref="J11:J16" si="2">SUM(G11:I11)</f>
        <v>0</v>
      </c>
      <c r="K11" s="109">
        <f t="shared" si="1"/>
        <v>0</v>
      </c>
      <c r="M11" s="38"/>
      <c r="N11" s="38"/>
    </row>
    <row r="12" spans="1:17" ht="21">
      <c r="A12" s="333"/>
      <c r="B12" s="106" t="s">
        <v>63</v>
      </c>
      <c r="C12" s="192">
        <v>2857</v>
      </c>
      <c r="D12" s="192">
        <v>5088</v>
      </c>
      <c r="E12" s="192">
        <v>3483</v>
      </c>
      <c r="F12" s="193">
        <f t="shared" si="0"/>
        <v>11428</v>
      </c>
      <c r="G12" s="192">
        <v>0</v>
      </c>
      <c r="H12" s="192">
        <v>200</v>
      </c>
      <c r="I12" s="192">
        <v>2247</v>
      </c>
      <c r="J12" s="193">
        <f t="shared" si="2"/>
        <v>2447</v>
      </c>
      <c r="K12" s="109">
        <f t="shared" si="1"/>
        <v>13875</v>
      </c>
      <c r="M12" s="38"/>
      <c r="N12" s="38"/>
    </row>
    <row r="13" spans="1:17" ht="21">
      <c r="A13" s="333"/>
      <c r="B13" s="106" t="s">
        <v>64</v>
      </c>
      <c r="C13" s="192">
        <v>11</v>
      </c>
      <c r="D13" s="192">
        <v>64</v>
      </c>
      <c r="E13" s="192">
        <v>32</v>
      </c>
      <c r="F13" s="193">
        <f t="shared" si="0"/>
        <v>107</v>
      </c>
      <c r="G13" s="192">
        <v>0</v>
      </c>
      <c r="H13" s="192">
        <v>2</v>
      </c>
      <c r="I13" s="192">
        <v>17</v>
      </c>
      <c r="J13" s="193">
        <f t="shared" si="2"/>
        <v>19</v>
      </c>
      <c r="K13" s="109">
        <f t="shared" si="1"/>
        <v>126</v>
      </c>
      <c r="M13" s="38"/>
      <c r="N13" s="38"/>
    </row>
    <row r="14" spans="1:17" ht="21">
      <c r="A14" s="333"/>
      <c r="B14" s="106" t="s">
        <v>65</v>
      </c>
      <c r="C14" s="192">
        <v>606</v>
      </c>
      <c r="D14" s="192">
        <v>2386</v>
      </c>
      <c r="E14" s="192">
        <v>1633</v>
      </c>
      <c r="F14" s="193">
        <f t="shared" si="0"/>
        <v>4625</v>
      </c>
      <c r="G14" s="192">
        <v>0</v>
      </c>
      <c r="H14" s="192">
        <v>94</v>
      </c>
      <c r="I14" s="192">
        <v>1053</v>
      </c>
      <c r="J14" s="193">
        <f t="shared" si="2"/>
        <v>1147</v>
      </c>
      <c r="K14" s="109">
        <f t="shared" si="1"/>
        <v>5772</v>
      </c>
      <c r="M14" s="38"/>
      <c r="N14" s="38"/>
    </row>
    <row r="15" spans="1:17" ht="21">
      <c r="A15" s="333"/>
      <c r="B15" s="106" t="s">
        <v>66</v>
      </c>
      <c r="C15" s="192">
        <v>130</v>
      </c>
      <c r="D15" s="192">
        <v>504</v>
      </c>
      <c r="E15" s="192">
        <v>298</v>
      </c>
      <c r="F15" s="193">
        <f t="shared" si="0"/>
        <v>932</v>
      </c>
      <c r="G15" s="192">
        <v>0</v>
      </c>
      <c r="H15" s="192">
        <v>32</v>
      </c>
      <c r="I15" s="192">
        <v>254</v>
      </c>
      <c r="J15" s="193">
        <f t="shared" si="2"/>
        <v>286</v>
      </c>
      <c r="K15" s="109">
        <f t="shared" si="1"/>
        <v>1218</v>
      </c>
      <c r="M15" s="38"/>
      <c r="N15" s="38"/>
    </row>
    <row r="16" spans="1:17" ht="21">
      <c r="A16" s="333"/>
      <c r="B16" s="106" t="s">
        <v>67</v>
      </c>
      <c r="C16" s="192">
        <v>0</v>
      </c>
      <c r="D16" s="192">
        <v>17</v>
      </c>
      <c r="E16" s="192">
        <v>63</v>
      </c>
      <c r="F16" s="193">
        <f t="shared" si="0"/>
        <v>80</v>
      </c>
      <c r="G16" s="192">
        <v>0</v>
      </c>
      <c r="H16" s="192">
        <v>0</v>
      </c>
      <c r="I16" s="192">
        <v>33</v>
      </c>
      <c r="J16" s="193">
        <f t="shared" si="2"/>
        <v>33</v>
      </c>
      <c r="K16" s="109">
        <f t="shared" si="1"/>
        <v>113</v>
      </c>
      <c r="M16" s="38"/>
      <c r="N16" s="38"/>
    </row>
    <row r="17" spans="1:16" ht="21.6" thickBot="1">
      <c r="A17" s="334"/>
      <c r="B17" s="113" t="s">
        <v>9</v>
      </c>
      <c r="C17" s="111">
        <f>SUM(C10:C16)</f>
        <v>8067</v>
      </c>
      <c r="D17" s="111">
        <f t="shared" ref="D17:K17" si="3">SUM(D10:D16)</f>
        <v>16009</v>
      </c>
      <c r="E17" s="111">
        <f t="shared" si="3"/>
        <v>10951</v>
      </c>
      <c r="F17" s="111">
        <f t="shared" si="3"/>
        <v>35027</v>
      </c>
      <c r="G17" s="111">
        <f t="shared" si="3"/>
        <v>0</v>
      </c>
      <c r="H17" s="111">
        <f t="shared" si="3"/>
        <v>640</v>
      </c>
      <c r="I17" s="111">
        <f t="shared" si="3"/>
        <v>7115</v>
      </c>
      <c r="J17" s="111">
        <f t="shared" si="3"/>
        <v>7755</v>
      </c>
      <c r="K17" s="111">
        <f t="shared" si="3"/>
        <v>42782</v>
      </c>
      <c r="M17" s="38"/>
      <c r="N17" s="38"/>
    </row>
    <row r="18" spans="1:16" ht="17.25" customHeight="1" thickTop="1"/>
    <row r="19" spans="1:16">
      <c r="A19" s="325" t="s">
        <v>55</v>
      </c>
      <c r="B19" s="329" t="s">
        <v>68</v>
      </c>
      <c r="C19" s="330"/>
      <c r="D19" s="330"/>
      <c r="E19" s="330"/>
      <c r="F19" s="330"/>
      <c r="G19" s="330"/>
      <c r="H19" s="330"/>
      <c r="I19" s="330"/>
      <c r="J19" s="330"/>
      <c r="K19" s="331"/>
      <c r="M19" s="339" t="s">
        <v>69</v>
      </c>
      <c r="N19" s="340"/>
      <c r="O19" s="340"/>
      <c r="P19" s="341"/>
    </row>
    <row r="20" spans="1:16" ht="21" thickBot="1">
      <c r="A20" s="326"/>
      <c r="B20" s="104"/>
      <c r="C20" s="325" t="s">
        <v>57</v>
      </c>
      <c r="D20" s="326"/>
      <c r="E20" s="326"/>
      <c r="F20" s="326"/>
      <c r="G20" s="325" t="s">
        <v>58</v>
      </c>
      <c r="H20" s="326"/>
      <c r="I20" s="326"/>
      <c r="J20" s="326"/>
      <c r="K20" s="105" t="s">
        <v>9</v>
      </c>
      <c r="M20" s="106" t="s">
        <v>3</v>
      </c>
      <c r="N20" s="106" t="s">
        <v>56</v>
      </c>
      <c r="O20" s="106" t="s">
        <v>68</v>
      </c>
      <c r="P20" s="113" t="s">
        <v>9</v>
      </c>
    </row>
    <row r="21" spans="1:16" ht="21" customHeight="1" thickTop="1">
      <c r="A21" s="332" t="s">
        <v>59</v>
      </c>
      <c r="B21" s="106" t="s">
        <v>3</v>
      </c>
      <c r="C21" s="107" t="s">
        <v>18</v>
      </c>
      <c r="D21" s="107" t="s">
        <v>19</v>
      </c>
      <c r="E21" s="107" t="s">
        <v>20</v>
      </c>
      <c r="F21" s="107" t="s">
        <v>9</v>
      </c>
      <c r="G21" s="107" t="s">
        <v>18</v>
      </c>
      <c r="H21" s="107" t="s">
        <v>19</v>
      </c>
      <c r="I21" s="107" t="s">
        <v>20</v>
      </c>
      <c r="J21" s="107" t="s">
        <v>9</v>
      </c>
      <c r="K21" s="107" t="s">
        <v>9</v>
      </c>
      <c r="M21" s="108" t="s">
        <v>60</v>
      </c>
      <c r="N21" s="159">
        <f>K7</f>
        <v>61</v>
      </c>
      <c r="O21" s="159">
        <f>K22</f>
        <v>51</v>
      </c>
      <c r="P21" s="160">
        <f>SUM(N21:O21)</f>
        <v>112</v>
      </c>
    </row>
    <row r="22" spans="1:16" ht="21">
      <c r="A22" s="333"/>
      <c r="B22" s="108" t="s">
        <v>60</v>
      </c>
      <c r="C22" s="192">
        <v>8</v>
      </c>
      <c r="D22" s="192">
        <v>35</v>
      </c>
      <c r="E22" s="192">
        <v>2</v>
      </c>
      <c r="F22" s="193">
        <f t="shared" ref="F22:F31" si="4">SUM(C22:E22)</f>
        <v>45</v>
      </c>
      <c r="G22" s="192">
        <v>0</v>
      </c>
      <c r="H22" s="192">
        <v>5</v>
      </c>
      <c r="I22" s="192">
        <v>1</v>
      </c>
      <c r="J22" s="193">
        <f>SUM(G22:I22)</f>
        <v>6</v>
      </c>
      <c r="K22" s="193">
        <f>SUM(J22,F22)</f>
        <v>51</v>
      </c>
      <c r="M22" s="106" t="s">
        <v>61</v>
      </c>
      <c r="N22" s="159">
        <f t="shared" ref="N22:N30" si="5">K8</f>
        <v>21678</v>
      </c>
      <c r="O22" s="159">
        <f t="shared" ref="O22:O30" si="6">K23</f>
        <v>24289</v>
      </c>
      <c r="P22" s="160">
        <f t="shared" ref="P22:P30" si="7">SUM(N22:O22)</f>
        <v>45967</v>
      </c>
    </row>
    <row r="23" spans="1:16" ht="21">
      <c r="A23" s="333"/>
      <c r="B23" s="106" t="s">
        <v>61</v>
      </c>
      <c r="C23" s="192">
        <v>6218</v>
      </c>
      <c r="D23" s="192">
        <v>15085</v>
      </c>
      <c r="E23" s="192">
        <v>674</v>
      </c>
      <c r="F23" s="193">
        <f t="shared" si="4"/>
        <v>21977</v>
      </c>
      <c r="G23" s="192">
        <v>0</v>
      </c>
      <c r="H23" s="192">
        <v>2120</v>
      </c>
      <c r="I23" s="192">
        <v>192</v>
      </c>
      <c r="J23" s="193">
        <f t="shared" ref="J23:J31" si="8">SUM(G23:I23)</f>
        <v>2312</v>
      </c>
      <c r="K23" s="109">
        <f>SUM(J23,F23)</f>
        <v>24289</v>
      </c>
      <c r="M23" s="106" t="s">
        <v>62</v>
      </c>
      <c r="N23" s="159">
        <f t="shared" si="5"/>
        <v>0</v>
      </c>
      <c r="O23" s="159">
        <f t="shared" si="6"/>
        <v>0</v>
      </c>
      <c r="P23" s="160">
        <f t="shared" si="7"/>
        <v>0</v>
      </c>
    </row>
    <row r="24" spans="1:16" ht="21.6" thickBot="1">
      <c r="A24" s="333"/>
      <c r="B24" s="106" t="s">
        <v>62</v>
      </c>
      <c r="C24" s="192">
        <v>0</v>
      </c>
      <c r="D24" s="192">
        <v>0</v>
      </c>
      <c r="E24" s="192">
        <v>0</v>
      </c>
      <c r="F24" s="193">
        <f t="shared" si="4"/>
        <v>0</v>
      </c>
      <c r="G24" s="192">
        <v>0</v>
      </c>
      <c r="H24" s="192">
        <v>0</v>
      </c>
      <c r="I24" s="192">
        <v>0</v>
      </c>
      <c r="J24" s="193">
        <f t="shared" si="8"/>
        <v>0</v>
      </c>
      <c r="K24" s="109">
        <f>SUM(J24,F24)</f>
        <v>0</v>
      </c>
      <c r="M24" s="110" t="s">
        <v>9</v>
      </c>
      <c r="N24" s="160">
        <f t="shared" si="5"/>
        <v>21678</v>
      </c>
      <c r="O24" s="160">
        <f t="shared" si="6"/>
        <v>24289</v>
      </c>
      <c r="P24" s="161">
        <f t="shared" si="7"/>
        <v>45967</v>
      </c>
    </row>
    <row r="25" spans="1:16" ht="22.2" thickTop="1" thickBot="1">
      <c r="A25" s="333"/>
      <c r="B25" s="110" t="s">
        <v>9</v>
      </c>
      <c r="C25" s="2">
        <f>SUM(C23:C24)</f>
        <v>6218</v>
      </c>
      <c r="D25" s="2">
        <f>SUM(D23:D24)</f>
        <v>15085</v>
      </c>
      <c r="E25" s="2">
        <f>SUM(E23:E24)</f>
        <v>674</v>
      </c>
      <c r="F25" s="2">
        <f t="shared" si="4"/>
        <v>21977</v>
      </c>
      <c r="G25" s="2">
        <f>SUM(G23:G24)</f>
        <v>0</v>
      </c>
      <c r="H25" s="2">
        <f>SUM(H23:H24)</f>
        <v>2120</v>
      </c>
      <c r="I25" s="2">
        <f>SUM(I23:I24)</f>
        <v>192</v>
      </c>
      <c r="J25" s="2">
        <f>SUM(J23:J24)</f>
        <v>2312</v>
      </c>
      <c r="K25" s="111">
        <f>SUM(K23:K24)</f>
        <v>24289</v>
      </c>
      <c r="M25" s="112" t="s">
        <v>6</v>
      </c>
      <c r="N25" s="159">
        <f t="shared" si="5"/>
        <v>0</v>
      </c>
      <c r="O25" s="159">
        <f t="shared" si="6"/>
        <v>0</v>
      </c>
      <c r="P25" s="162">
        <f t="shared" si="7"/>
        <v>0</v>
      </c>
    </row>
    <row r="26" spans="1:16" ht="21.6" thickTop="1">
      <c r="A26" s="333"/>
      <c r="B26" s="112" t="s">
        <v>6</v>
      </c>
      <c r="C26" s="192">
        <v>0</v>
      </c>
      <c r="D26" s="192">
        <v>0</v>
      </c>
      <c r="E26" s="192">
        <v>0</v>
      </c>
      <c r="F26" s="193">
        <f t="shared" si="4"/>
        <v>0</v>
      </c>
      <c r="G26" s="192">
        <v>0</v>
      </c>
      <c r="H26" s="192">
        <v>0</v>
      </c>
      <c r="I26" s="192">
        <v>0</v>
      </c>
      <c r="J26" s="193">
        <f t="shared" si="8"/>
        <v>0</v>
      </c>
      <c r="K26" s="109">
        <f t="shared" ref="K26:K31" si="9">SUM(J26,F26)</f>
        <v>0</v>
      </c>
      <c r="M26" s="106" t="s">
        <v>63</v>
      </c>
      <c r="N26" s="159">
        <f t="shared" si="5"/>
        <v>13875</v>
      </c>
      <c r="O26" s="159">
        <f t="shared" si="6"/>
        <v>15547</v>
      </c>
      <c r="P26" s="162">
        <f t="shared" si="7"/>
        <v>29422</v>
      </c>
    </row>
    <row r="27" spans="1:16" ht="21">
      <c r="A27" s="333"/>
      <c r="B27" s="106" t="s">
        <v>63</v>
      </c>
      <c r="C27" s="192">
        <v>3980</v>
      </c>
      <c r="D27" s="192">
        <v>9655</v>
      </c>
      <c r="E27" s="192">
        <v>432</v>
      </c>
      <c r="F27" s="193">
        <f t="shared" si="4"/>
        <v>14067</v>
      </c>
      <c r="G27" s="192">
        <v>0</v>
      </c>
      <c r="H27" s="192">
        <v>1357</v>
      </c>
      <c r="I27" s="192">
        <v>123</v>
      </c>
      <c r="J27" s="193">
        <f t="shared" si="8"/>
        <v>1480</v>
      </c>
      <c r="K27" s="109">
        <f t="shared" si="9"/>
        <v>15547</v>
      </c>
      <c r="M27" s="106" t="s">
        <v>64</v>
      </c>
      <c r="N27" s="159">
        <f t="shared" si="5"/>
        <v>126</v>
      </c>
      <c r="O27" s="159">
        <f t="shared" si="6"/>
        <v>157</v>
      </c>
      <c r="P27" s="160">
        <f t="shared" si="7"/>
        <v>283</v>
      </c>
    </row>
    <row r="28" spans="1:16" ht="21">
      <c r="A28" s="333"/>
      <c r="B28" s="106" t="s">
        <v>64</v>
      </c>
      <c r="C28" s="192">
        <v>25</v>
      </c>
      <c r="D28" s="192">
        <v>108</v>
      </c>
      <c r="E28" s="192">
        <v>4</v>
      </c>
      <c r="F28" s="193">
        <f t="shared" si="4"/>
        <v>137</v>
      </c>
      <c r="G28" s="192">
        <v>0</v>
      </c>
      <c r="H28" s="192">
        <v>18</v>
      </c>
      <c r="I28" s="192">
        <v>2</v>
      </c>
      <c r="J28" s="193">
        <f t="shared" si="8"/>
        <v>20</v>
      </c>
      <c r="K28" s="109">
        <f t="shared" si="9"/>
        <v>157</v>
      </c>
      <c r="M28" s="106" t="s">
        <v>65</v>
      </c>
      <c r="N28" s="159">
        <f t="shared" si="5"/>
        <v>5772</v>
      </c>
      <c r="O28" s="159">
        <f t="shared" si="6"/>
        <v>7288</v>
      </c>
      <c r="P28" s="160">
        <f t="shared" si="7"/>
        <v>13060</v>
      </c>
    </row>
    <row r="29" spans="1:16" ht="21">
      <c r="A29" s="333"/>
      <c r="B29" s="106" t="s">
        <v>65</v>
      </c>
      <c r="C29" s="192">
        <v>1866</v>
      </c>
      <c r="D29" s="192">
        <v>4526</v>
      </c>
      <c r="E29" s="192">
        <v>202</v>
      </c>
      <c r="F29" s="193">
        <f t="shared" si="4"/>
        <v>6594</v>
      </c>
      <c r="G29" s="192">
        <v>0</v>
      </c>
      <c r="H29" s="192">
        <v>636</v>
      </c>
      <c r="I29" s="192">
        <v>58</v>
      </c>
      <c r="J29" s="193">
        <f t="shared" si="8"/>
        <v>694</v>
      </c>
      <c r="K29" s="109">
        <f t="shared" si="9"/>
        <v>7288</v>
      </c>
      <c r="M29" s="106" t="s">
        <v>66</v>
      </c>
      <c r="N29" s="159">
        <f t="shared" si="5"/>
        <v>1218</v>
      </c>
      <c r="O29" s="159">
        <f t="shared" si="6"/>
        <v>1566</v>
      </c>
      <c r="P29" s="160">
        <f t="shared" si="7"/>
        <v>2784</v>
      </c>
    </row>
    <row r="30" spans="1:16" ht="21">
      <c r="A30" s="333"/>
      <c r="B30" s="106" t="s">
        <v>66</v>
      </c>
      <c r="C30" s="192">
        <v>292</v>
      </c>
      <c r="D30" s="192">
        <v>1056</v>
      </c>
      <c r="E30" s="192">
        <v>44</v>
      </c>
      <c r="F30" s="193">
        <f t="shared" si="4"/>
        <v>1392</v>
      </c>
      <c r="G30" s="192">
        <v>0</v>
      </c>
      <c r="H30" s="192">
        <v>162</v>
      </c>
      <c r="I30" s="192">
        <v>12</v>
      </c>
      <c r="J30" s="193">
        <f t="shared" si="8"/>
        <v>174</v>
      </c>
      <c r="K30" s="109">
        <f t="shared" si="9"/>
        <v>1566</v>
      </c>
      <c r="M30" s="106" t="s">
        <v>67</v>
      </c>
      <c r="N30" s="159">
        <f t="shared" si="5"/>
        <v>113</v>
      </c>
      <c r="O30" s="159">
        <f t="shared" si="6"/>
        <v>179</v>
      </c>
      <c r="P30" s="160">
        <f t="shared" si="7"/>
        <v>292</v>
      </c>
    </row>
    <row r="31" spans="1:16" ht="21.6" thickBot="1">
      <c r="A31" s="333"/>
      <c r="B31" s="106" t="s">
        <v>67</v>
      </c>
      <c r="C31" s="192">
        <v>0</v>
      </c>
      <c r="D31" s="192">
        <v>136</v>
      </c>
      <c r="E31" s="192">
        <v>6</v>
      </c>
      <c r="F31" s="193">
        <f t="shared" si="4"/>
        <v>142</v>
      </c>
      <c r="G31" s="192">
        <v>0</v>
      </c>
      <c r="H31" s="192">
        <v>34</v>
      </c>
      <c r="I31" s="192">
        <v>3</v>
      </c>
      <c r="J31" s="193">
        <f t="shared" si="8"/>
        <v>37</v>
      </c>
      <c r="K31" s="109">
        <f t="shared" si="9"/>
        <v>179</v>
      </c>
      <c r="M31" s="113" t="s">
        <v>9</v>
      </c>
      <c r="N31" s="161">
        <f>SUM(N24:N30)</f>
        <v>42782</v>
      </c>
      <c r="O31" s="161">
        <f>SUM(O24:O30)</f>
        <v>49026</v>
      </c>
      <c r="P31" s="161">
        <f>SUM(P24:P30)</f>
        <v>91808</v>
      </c>
    </row>
    <row r="32" spans="1:16" ht="22.2" thickTop="1" thickBot="1">
      <c r="A32" s="334"/>
      <c r="B32" s="113" t="s">
        <v>9</v>
      </c>
      <c r="C32" s="111">
        <f>SUM(C25:C31)</f>
        <v>12381</v>
      </c>
      <c r="D32" s="111">
        <f t="shared" ref="D32:K32" si="10">SUM(D25:D31)</f>
        <v>30566</v>
      </c>
      <c r="E32" s="111">
        <f t="shared" si="10"/>
        <v>1362</v>
      </c>
      <c r="F32" s="111">
        <f t="shared" si="10"/>
        <v>44309</v>
      </c>
      <c r="G32" s="111">
        <f t="shared" si="10"/>
        <v>0</v>
      </c>
      <c r="H32" s="111">
        <f t="shared" si="10"/>
        <v>4327</v>
      </c>
      <c r="I32" s="111">
        <f t="shared" si="10"/>
        <v>390</v>
      </c>
      <c r="J32" s="111">
        <f t="shared" si="10"/>
        <v>4717</v>
      </c>
      <c r="K32" s="111">
        <f t="shared" si="10"/>
        <v>49026</v>
      </c>
    </row>
    <row r="33" spans="1:17" ht="18" customHeight="1" thickTop="1">
      <c r="A33" s="117"/>
      <c r="B33" s="18"/>
      <c r="C33" s="17"/>
      <c r="D33" s="17"/>
      <c r="E33" s="17"/>
      <c r="F33" s="17"/>
      <c r="G33" s="17"/>
      <c r="H33" s="17"/>
      <c r="I33" s="17"/>
      <c r="J33" s="17"/>
      <c r="K33" s="17"/>
    </row>
    <row r="34" spans="1:17">
      <c r="A34" s="335" t="s">
        <v>156</v>
      </c>
      <c r="B34" s="336"/>
      <c r="C34" s="336"/>
      <c r="D34" s="336"/>
      <c r="E34" s="336"/>
      <c r="F34" s="336"/>
      <c r="G34" s="336"/>
      <c r="H34" s="336"/>
      <c r="I34" s="336"/>
      <c r="J34" s="336"/>
      <c r="K34" s="336"/>
      <c r="L34" s="336"/>
      <c r="M34" s="336"/>
      <c r="N34" s="336"/>
      <c r="O34" s="336"/>
      <c r="P34" s="336"/>
    </row>
    <row r="35" spans="1:17" ht="24" customHeight="1">
      <c r="A35" s="337" t="s">
        <v>17</v>
      </c>
      <c r="B35" s="338"/>
      <c r="C35" s="338"/>
      <c r="D35" s="338"/>
      <c r="E35" s="338"/>
      <c r="F35" s="338"/>
      <c r="G35" s="338"/>
      <c r="H35" s="338"/>
      <c r="I35" s="338"/>
      <c r="J35" s="338"/>
      <c r="K35" s="338"/>
      <c r="L35" s="338"/>
      <c r="M35" s="338"/>
      <c r="N35" s="338"/>
      <c r="O35" s="338"/>
      <c r="P35" s="338"/>
      <c r="Q35" s="103"/>
    </row>
    <row r="36" spans="1:17" ht="21" customHeight="1">
      <c r="A36" s="327" t="s">
        <v>2</v>
      </c>
      <c r="B36" s="328"/>
      <c r="C36" s="328"/>
      <c r="D36" s="328"/>
      <c r="E36" s="328"/>
      <c r="F36" s="328"/>
      <c r="G36" s="328"/>
      <c r="H36" s="328"/>
      <c r="I36" s="328"/>
      <c r="J36" s="328"/>
      <c r="K36" s="328"/>
    </row>
    <row r="37" spans="1:17">
      <c r="A37" s="325" t="s">
        <v>55</v>
      </c>
      <c r="B37" s="329" t="s">
        <v>56</v>
      </c>
      <c r="C37" s="330"/>
      <c r="D37" s="330"/>
      <c r="E37" s="330"/>
      <c r="F37" s="330"/>
      <c r="G37" s="330"/>
      <c r="H37" s="330"/>
      <c r="I37" s="330"/>
      <c r="J37" s="330"/>
      <c r="K37" s="331"/>
    </row>
    <row r="38" spans="1:17">
      <c r="A38" s="326"/>
      <c r="B38" s="104"/>
      <c r="C38" s="325" t="s">
        <v>57</v>
      </c>
      <c r="D38" s="326"/>
      <c r="E38" s="326"/>
      <c r="F38" s="326"/>
      <c r="G38" s="325" t="s">
        <v>58</v>
      </c>
      <c r="H38" s="326"/>
      <c r="I38" s="326"/>
      <c r="J38" s="326"/>
      <c r="K38" s="105" t="s">
        <v>9</v>
      </c>
    </row>
    <row r="39" spans="1:17">
      <c r="A39" s="332" t="s">
        <v>70</v>
      </c>
      <c r="B39" s="106" t="s">
        <v>3</v>
      </c>
      <c r="C39" s="107" t="s">
        <v>18</v>
      </c>
      <c r="D39" s="107" t="s">
        <v>19</v>
      </c>
      <c r="E39" s="107" t="s">
        <v>20</v>
      </c>
      <c r="F39" s="107" t="s">
        <v>9</v>
      </c>
      <c r="G39" s="107" t="s">
        <v>18</v>
      </c>
      <c r="H39" s="107" t="s">
        <v>19</v>
      </c>
      <c r="I39" s="107" t="s">
        <v>20</v>
      </c>
      <c r="J39" s="107" t="s">
        <v>9</v>
      </c>
      <c r="K39" s="107" t="s">
        <v>9</v>
      </c>
    </row>
    <row r="40" spans="1:17" ht="21">
      <c r="A40" s="333"/>
      <c r="B40" s="108" t="s">
        <v>60</v>
      </c>
      <c r="C40" s="192">
        <v>11</v>
      </c>
      <c r="D40" s="192">
        <v>29</v>
      </c>
      <c r="E40" s="192">
        <v>15</v>
      </c>
      <c r="F40" s="193">
        <f t="shared" ref="F40:F49" si="11">SUM(C40:E40)</f>
        <v>55</v>
      </c>
      <c r="G40" s="192">
        <v>0</v>
      </c>
      <c r="H40" s="192">
        <v>5</v>
      </c>
      <c r="I40" s="192">
        <v>12</v>
      </c>
      <c r="J40" s="193">
        <f>SUM(G40:I40)</f>
        <v>17</v>
      </c>
      <c r="K40" s="109">
        <f>SUM(J40,F40)</f>
        <v>72</v>
      </c>
    </row>
    <row r="41" spans="1:17" ht="21">
      <c r="A41" s="333"/>
      <c r="B41" s="106" t="s">
        <v>61</v>
      </c>
      <c r="C41" s="192">
        <v>11050</v>
      </c>
      <c r="D41" s="192">
        <v>15810</v>
      </c>
      <c r="E41" s="192">
        <v>5921</v>
      </c>
      <c r="F41" s="193">
        <f t="shared" si="11"/>
        <v>32781</v>
      </c>
      <c r="G41" s="192">
        <v>0</v>
      </c>
      <c r="H41" s="192">
        <v>2340</v>
      </c>
      <c r="I41" s="192">
        <v>3029</v>
      </c>
      <c r="J41" s="193">
        <f t="shared" ref="J41:J49" si="12">SUM(G41:I41)</f>
        <v>5369</v>
      </c>
      <c r="K41" s="109">
        <f>SUM(J41,F41)</f>
        <v>38150</v>
      </c>
    </row>
    <row r="42" spans="1:17" ht="21">
      <c r="A42" s="333"/>
      <c r="B42" s="106" t="s">
        <v>62</v>
      </c>
      <c r="C42" s="192">
        <v>0</v>
      </c>
      <c r="D42" s="192">
        <v>0</v>
      </c>
      <c r="E42" s="192">
        <v>0</v>
      </c>
      <c r="F42" s="193">
        <f t="shared" si="11"/>
        <v>0</v>
      </c>
      <c r="G42" s="192">
        <v>0</v>
      </c>
      <c r="H42" s="192">
        <v>0</v>
      </c>
      <c r="I42" s="192">
        <v>0</v>
      </c>
      <c r="J42" s="193">
        <f t="shared" si="12"/>
        <v>0</v>
      </c>
      <c r="K42" s="109">
        <f>SUM(J42,F42)</f>
        <v>0</v>
      </c>
    </row>
    <row r="43" spans="1:17" ht="21.6" thickBot="1">
      <c r="A43" s="333"/>
      <c r="B43" s="110" t="s">
        <v>9</v>
      </c>
      <c r="C43" s="2">
        <f>SUM(C41:C42)</f>
        <v>11050</v>
      </c>
      <c r="D43" s="2">
        <f>SUM(D41:D42)</f>
        <v>15810</v>
      </c>
      <c r="E43" s="2">
        <f>SUM(E41:E42)</f>
        <v>5921</v>
      </c>
      <c r="F43" s="2">
        <f t="shared" si="11"/>
        <v>32781</v>
      </c>
      <c r="G43" s="2">
        <f>SUM(G41:G42)</f>
        <v>0</v>
      </c>
      <c r="H43" s="2">
        <f>SUM(H41:H42)</f>
        <v>2340</v>
      </c>
      <c r="I43" s="2">
        <f>SUM(I41:I42)</f>
        <v>3029</v>
      </c>
      <c r="J43" s="2">
        <f>SUM(J41:J42)</f>
        <v>5369</v>
      </c>
      <c r="K43" s="111">
        <f>SUM(K41:K42)</f>
        <v>38150</v>
      </c>
    </row>
    <row r="44" spans="1:17" ht="21.6" thickTop="1">
      <c r="A44" s="333"/>
      <c r="B44" s="112" t="s">
        <v>6</v>
      </c>
      <c r="C44" s="192">
        <v>10</v>
      </c>
      <c r="D44" s="192">
        <v>0</v>
      </c>
      <c r="E44" s="192">
        <v>0</v>
      </c>
      <c r="F44" s="193">
        <f t="shared" si="11"/>
        <v>10</v>
      </c>
      <c r="G44" s="192">
        <v>0</v>
      </c>
      <c r="H44" s="192">
        <v>0</v>
      </c>
      <c r="I44" s="192">
        <v>0</v>
      </c>
      <c r="J44" s="193">
        <f t="shared" si="12"/>
        <v>0</v>
      </c>
      <c r="K44" s="109">
        <f t="shared" ref="K44:K49" si="13">SUM(J44,F44)</f>
        <v>10</v>
      </c>
    </row>
    <row r="45" spans="1:17" ht="21">
      <c r="A45" s="333"/>
      <c r="B45" s="106" t="s">
        <v>63</v>
      </c>
      <c r="C45" s="192">
        <v>7072</v>
      </c>
      <c r="D45" s="192">
        <v>10118</v>
      </c>
      <c r="E45" s="192">
        <v>3789</v>
      </c>
      <c r="F45" s="193">
        <f t="shared" si="11"/>
        <v>20979</v>
      </c>
      <c r="G45" s="192">
        <v>0</v>
      </c>
      <c r="H45" s="192">
        <v>1498</v>
      </c>
      <c r="I45" s="192">
        <v>1939</v>
      </c>
      <c r="J45" s="193">
        <f t="shared" si="12"/>
        <v>3437</v>
      </c>
      <c r="K45" s="109">
        <f t="shared" si="13"/>
        <v>24416</v>
      </c>
    </row>
    <row r="46" spans="1:17" ht="21">
      <c r="A46" s="333"/>
      <c r="B46" s="106" t="s">
        <v>64</v>
      </c>
      <c r="C46" s="192">
        <v>38</v>
      </c>
      <c r="D46" s="192">
        <v>66</v>
      </c>
      <c r="E46" s="192">
        <v>25</v>
      </c>
      <c r="F46" s="193">
        <f t="shared" si="11"/>
        <v>129</v>
      </c>
      <c r="G46" s="192">
        <v>0</v>
      </c>
      <c r="H46" s="192">
        <v>14</v>
      </c>
      <c r="I46" s="192">
        <v>16</v>
      </c>
      <c r="J46" s="193">
        <f t="shared" si="12"/>
        <v>30</v>
      </c>
      <c r="K46" s="109">
        <f t="shared" si="13"/>
        <v>159</v>
      </c>
    </row>
    <row r="47" spans="1:17" ht="21">
      <c r="A47" s="333"/>
      <c r="B47" s="106" t="s">
        <v>65</v>
      </c>
      <c r="C47" s="192">
        <v>3315</v>
      </c>
      <c r="D47" s="192">
        <v>4743</v>
      </c>
      <c r="E47" s="192">
        <v>1776</v>
      </c>
      <c r="F47" s="193">
        <f t="shared" si="11"/>
        <v>9834</v>
      </c>
      <c r="G47" s="192">
        <v>0</v>
      </c>
      <c r="H47" s="192">
        <v>702</v>
      </c>
      <c r="I47" s="192">
        <v>909</v>
      </c>
      <c r="J47" s="193">
        <f t="shared" si="12"/>
        <v>1611</v>
      </c>
      <c r="K47" s="109">
        <f t="shared" si="13"/>
        <v>11445</v>
      </c>
    </row>
    <row r="48" spans="1:17" ht="21">
      <c r="A48" s="333"/>
      <c r="B48" s="106" t="s">
        <v>66</v>
      </c>
      <c r="C48" s="192">
        <v>115</v>
      </c>
      <c r="D48" s="192">
        <v>116</v>
      </c>
      <c r="E48" s="192">
        <v>61</v>
      </c>
      <c r="F48" s="193">
        <f t="shared" si="11"/>
        <v>292</v>
      </c>
      <c r="G48" s="192">
        <v>0</v>
      </c>
      <c r="H48" s="192">
        <v>19</v>
      </c>
      <c r="I48" s="192">
        <v>40</v>
      </c>
      <c r="J48" s="193">
        <f t="shared" si="12"/>
        <v>59</v>
      </c>
      <c r="K48" s="109">
        <f t="shared" si="13"/>
        <v>351</v>
      </c>
    </row>
    <row r="49" spans="1:16" ht="21">
      <c r="A49" s="333"/>
      <c r="B49" s="106" t="s">
        <v>67</v>
      </c>
      <c r="C49" s="192">
        <v>0</v>
      </c>
      <c r="D49" s="192">
        <v>0</v>
      </c>
      <c r="E49" s="192">
        <v>2</v>
      </c>
      <c r="F49" s="193">
        <f t="shared" si="11"/>
        <v>2</v>
      </c>
      <c r="G49" s="192">
        <v>0</v>
      </c>
      <c r="H49" s="192">
        <v>0</v>
      </c>
      <c r="I49" s="192">
        <v>8</v>
      </c>
      <c r="J49" s="193">
        <f t="shared" si="12"/>
        <v>8</v>
      </c>
      <c r="K49" s="109">
        <f t="shared" si="13"/>
        <v>10</v>
      </c>
    </row>
    <row r="50" spans="1:16" ht="21.6" thickBot="1">
      <c r="A50" s="334"/>
      <c r="B50" s="113" t="s">
        <v>9</v>
      </c>
      <c r="C50" s="111">
        <f>SUM(C43:C49)</f>
        <v>21600</v>
      </c>
      <c r="D50" s="111">
        <f t="shared" ref="D50:K50" si="14">SUM(D43:D49)</f>
        <v>30853</v>
      </c>
      <c r="E50" s="111">
        <f t="shared" si="14"/>
        <v>11574</v>
      </c>
      <c r="F50" s="111">
        <f t="shared" si="14"/>
        <v>64027</v>
      </c>
      <c r="G50" s="111">
        <f t="shared" si="14"/>
        <v>0</v>
      </c>
      <c r="H50" s="111">
        <f t="shared" si="14"/>
        <v>4573</v>
      </c>
      <c r="I50" s="111">
        <f t="shared" si="14"/>
        <v>5941</v>
      </c>
      <c r="J50" s="111">
        <f t="shared" si="14"/>
        <v>10514</v>
      </c>
      <c r="K50" s="111">
        <f t="shared" si="14"/>
        <v>74541</v>
      </c>
    </row>
    <row r="51" spans="1:16" ht="17.25" customHeight="1" thickTop="1"/>
    <row r="52" spans="1:16">
      <c r="A52" s="325" t="s">
        <v>55</v>
      </c>
      <c r="B52" s="329" t="s">
        <v>68</v>
      </c>
      <c r="C52" s="330"/>
      <c r="D52" s="330"/>
      <c r="E52" s="330"/>
      <c r="F52" s="330"/>
      <c r="G52" s="330"/>
      <c r="H52" s="330"/>
      <c r="I52" s="330"/>
      <c r="J52" s="330"/>
      <c r="K52" s="331"/>
      <c r="M52" s="339" t="s">
        <v>69</v>
      </c>
      <c r="N52" s="340"/>
      <c r="O52" s="340"/>
      <c r="P52" s="341"/>
    </row>
    <row r="53" spans="1:16" ht="21" thickBot="1">
      <c r="A53" s="326"/>
      <c r="B53" s="104"/>
      <c r="C53" s="325" t="s">
        <v>57</v>
      </c>
      <c r="D53" s="326"/>
      <c r="E53" s="326"/>
      <c r="F53" s="326"/>
      <c r="G53" s="325" t="s">
        <v>58</v>
      </c>
      <c r="H53" s="326"/>
      <c r="I53" s="326"/>
      <c r="J53" s="326"/>
      <c r="K53" s="105" t="s">
        <v>9</v>
      </c>
      <c r="M53" s="106" t="s">
        <v>3</v>
      </c>
      <c r="N53" s="106" t="s">
        <v>56</v>
      </c>
      <c r="O53" s="106" t="s">
        <v>68</v>
      </c>
      <c r="P53" s="113" t="s">
        <v>9</v>
      </c>
    </row>
    <row r="54" spans="1:16" ht="21" customHeight="1" thickTop="1">
      <c r="A54" s="332" t="s">
        <v>70</v>
      </c>
      <c r="B54" s="106" t="s">
        <v>3</v>
      </c>
      <c r="C54" s="107" t="s">
        <v>18</v>
      </c>
      <c r="D54" s="107" t="s">
        <v>19</v>
      </c>
      <c r="E54" s="107" t="s">
        <v>20</v>
      </c>
      <c r="F54" s="107" t="s">
        <v>9</v>
      </c>
      <c r="G54" s="107" t="s">
        <v>18</v>
      </c>
      <c r="H54" s="107" t="s">
        <v>19</v>
      </c>
      <c r="I54" s="107" t="s">
        <v>20</v>
      </c>
      <c r="J54" s="107" t="s">
        <v>9</v>
      </c>
      <c r="K54" s="107" t="s">
        <v>9</v>
      </c>
      <c r="M54" s="108" t="s">
        <v>60</v>
      </c>
      <c r="N54" s="159">
        <f>K40</f>
        <v>72</v>
      </c>
      <c r="O54" s="159">
        <f>K55</f>
        <v>175</v>
      </c>
      <c r="P54" s="160">
        <f>SUM(N54:O54)</f>
        <v>247</v>
      </c>
    </row>
    <row r="55" spans="1:16" ht="21">
      <c r="A55" s="333"/>
      <c r="B55" s="108" t="s">
        <v>60</v>
      </c>
      <c r="C55" s="192">
        <v>13</v>
      </c>
      <c r="D55" s="192">
        <v>99</v>
      </c>
      <c r="E55" s="192">
        <v>25</v>
      </c>
      <c r="F55" s="193">
        <f t="shared" ref="F55:F64" si="15">SUM(C55:E55)</f>
        <v>137</v>
      </c>
      <c r="G55" s="192">
        <v>5</v>
      </c>
      <c r="H55" s="192">
        <v>16</v>
      </c>
      <c r="I55" s="192">
        <v>17</v>
      </c>
      <c r="J55" s="193">
        <f>SUM(G55:I55)</f>
        <v>38</v>
      </c>
      <c r="K55" s="109">
        <f>SUM(J55,F55)</f>
        <v>175</v>
      </c>
      <c r="M55" s="106" t="s">
        <v>61</v>
      </c>
      <c r="N55" s="159">
        <f t="shared" ref="N55:N63" si="16">K41</f>
        <v>38150</v>
      </c>
      <c r="O55" s="159">
        <f t="shared" ref="O55:O63" si="17">K56</f>
        <v>87374</v>
      </c>
      <c r="P55" s="160">
        <f t="shared" ref="P55:P63" si="18">SUM(N55:O55)</f>
        <v>125524</v>
      </c>
    </row>
    <row r="56" spans="1:16" ht="21">
      <c r="A56" s="333"/>
      <c r="B56" s="106" t="s">
        <v>61</v>
      </c>
      <c r="C56" s="192">
        <v>10289</v>
      </c>
      <c r="D56" s="192">
        <v>51615</v>
      </c>
      <c r="E56" s="192">
        <v>7750</v>
      </c>
      <c r="F56" s="193">
        <f t="shared" si="15"/>
        <v>69654</v>
      </c>
      <c r="G56" s="192">
        <v>5000</v>
      </c>
      <c r="H56" s="192">
        <v>6370</v>
      </c>
      <c r="I56" s="192">
        <v>6350</v>
      </c>
      <c r="J56" s="193">
        <f t="shared" ref="J56:J64" si="19">SUM(G56:I56)</f>
        <v>17720</v>
      </c>
      <c r="K56" s="109">
        <f>SUM(J56,F56)</f>
        <v>87374</v>
      </c>
      <c r="M56" s="106" t="s">
        <v>62</v>
      </c>
      <c r="N56" s="159">
        <f t="shared" si="16"/>
        <v>0</v>
      </c>
      <c r="O56" s="159">
        <f t="shared" si="17"/>
        <v>0</v>
      </c>
      <c r="P56" s="160">
        <f t="shared" si="18"/>
        <v>0</v>
      </c>
    </row>
    <row r="57" spans="1:16" ht="21.6" thickBot="1">
      <c r="A57" s="333"/>
      <c r="B57" s="106" t="s">
        <v>62</v>
      </c>
      <c r="C57" s="192">
        <v>0</v>
      </c>
      <c r="D57" s="192">
        <v>0</v>
      </c>
      <c r="E57" s="192">
        <v>0</v>
      </c>
      <c r="F57" s="193">
        <f t="shared" si="15"/>
        <v>0</v>
      </c>
      <c r="G57" s="192">
        <v>0</v>
      </c>
      <c r="H57" s="192">
        <v>0</v>
      </c>
      <c r="I57" s="192">
        <v>0</v>
      </c>
      <c r="J57" s="193">
        <f t="shared" si="19"/>
        <v>0</v>
      </c>
      <c r="K57" s="109">
        <f>SUM(J57,F57)</f>
        <v>0</v>
      </c>
      <c r="M57" s="110" t="s">
        <v>9</v>
      </c>
      <c r="N57" s="160">
        <f t="shared" si="16"/>
        <v>38150</v>
      </c>
      <c r="O57" s="160">
        <f t="shared" si="17"/>
        <v>87374</v>
      </c>
      <c r="P57" s="161">
        <f t="shared" si="18"/>
        <v>125524</v>
      </c>
    </row>
    <row r="58" spans="1:16" ht="22.2" thickTop="1" thickBot="1">
      <c r="A58" s="333"/>
      <c r="B58" s="110" t="s">
        <v>9</v>
      </c>
      <c r="C58" s="2">
        <f>SUM(C56:C57)</f>
        <v>10289</v>
      </c>
      <c r="D58" s="2">
        <f>SUM(D56:D57)</f>
        <v>51615</v>
      </c>
      <c r="E58" s="2">
        <f>SUM(E56:E57)</f>
        <v>7750</v>
      </c>
      <c r="F58" s="2">
        <f t="shared" si="15"/>
        <v>69654</v>
      </c>
      <c r="G58" s="2">
        <f>SUM(G56:G57)</f>
        <v>5000</v>
      </c>
      <c r="H58" s="2">
        <f>SUM(H56:H57)</f>
        <v>6370</v>
      </c>
      <c r="I58" s="2">
        <f>SUM(I56:I57)</f>
        <v>6350</v>
      </c>
      <c r="J58" s="2">
        <f>SUM(J56:J57)</f>
        <v>17720</v>
      </c>
      <c r="K58" s="111">
        <f>SUM(K56:K57)</f>
        <v>87374</v>
      </c>
      <c r="M58" s="112" t="s">
        <v>6</v>
      </c>
      <c r="N58" s="159">
        <f t="shared" si="16"/>
        <v>10</v>
      </c>
      <c r="O58" s="159">
        <f t="shared" si="17"/>
        <v>0</v>
      </c>
      <c r="P58" s="162">
        <f t="shared" si="18"/>
        <v>10</v>
      </c>
    </row>
    <row r="59" spans="1:16" ht="21.6" thickTop="1">
      <c r="A59" s="333"/>
      <c r="B59" s="112" t="s">
        <v>6</v>
      </c>
      <c r="C59" s="192">
        <v>0</v>
      </c>
      <c r="D59" s="192">
        <v>0</v>
      </c>
      <c r="E59" s="192">
        <v>0</v>
      </c>
      <c r="F59" s="193">
        <f t="shared" si="15"/>
        <v>0</v>
      </c>
      <c r="G59" s="192">
        <v>0</v>
      </c>
      <c r="H59" s="192">
        <v>0</v>
      </c>
      <c r="I59" s="192">
        <v>0</v>
      </c>
      <c r="J59" s="193">
        <f t="shared" si="19"/>
        <v>0</v>
      </c>
      <c r="K59" s="109">
        <f t="shared" ref="K59:K64" si="20">SUM(J59,F59)</f>
        <v>0</v>
      </c>
      <c r="M59" s="106" t="s">
        <v>63</v>
      </c>
      <c r="N59" s="159">
        <f t="shared" si="16"/>
        <v>24416</v>
      </c>
      <c r="O59" s="159">
        <f t="shared" si="17"/>
        <v>55920</v>
      </c>
      <c r="P59" s="162">
        <f t="shared" si="18"/>
        <v>80336</v>
      </c>
    </row>
    <row r="60" spans="1:16" ht="21">
      <c r="A60" s="333"/>
      <c r="B60" s="106" t="s">
        <v>63</v>
      </c>
      <c r="C60" s="192">
        <v>6585</v>
      </c>
      <c r="D60" s="192">
        <v>33034</v>
      </c>
      <c r="E60" s="192">
        <v>4960</v>
      </c>
      <c r="F60" s="193">
        <f t="shared" si="15"/>
        <v>44579</v>
      </c>
      <c r="G60" s="192">
        <v>3200</v>
      </c>
      <c r="H60" s="192">
        <v>4077</v>
      </c>
      <c r="I60" s="192">
        <v>4064</v>
      </c>
      <c r="J60" s="193">
        <f t="shared" si="19"/>
        <v>11341</v>
      </c>
      <c r="K60" s="109">
        <f t="shared" si="20"/>
        <v>55920</v>
      </c>
      <c r="M60" s="106" t="s">
        <v>64</v>
      </c>
      <c r="N60" s="159">
        <f t="shared" si="16"/>
        <v>159</v>
      </c>
      <c r="O60" s="159">
        <f t="shared" si="17"/>
        <v>418</v>
      </c>
      <c r="P60" s="160">
        <f t="shared" si="18"/>
        <v>577</v>
      </c>
    </row>
    <row r="61" spans="1:16" ht="21">
      <c r="A61" s="333"/>
      <c r="B61" s="106" t="s">
        <v>64</v>
      </c>
      <c r="C61" s="192">
        <v>32</v>
      </c>
      <c r="D61" s="192">
        <v>245</v>
      </c>
      <c r="E61" s="192">
        <v>62</v>
      </c>
      <c r="F61" s="193">
        <f t="shared" si="15"/>
        <v>339</v>
      </c>
      <c r="G61" s="192">
        <v>20</v>
      </c>
      <c r="H61" s="192">
        <v>36</v>
      </c>
      <c r="I61" s="192">
        <v>23</v>
      </c>
      <c r="J61" s="193">
        <f t="shared" si="19"/>
        <v>79</v>
      </c>
      <c r="K61" s="109">
        <f t="shared" si="20"/>
        <v>418</v>
      </c>
      <c r="M61" s="106" t="s">
        <v>65</v>
      </c>
      <c r="N61" s="159">
        <f t="shared" si="16"/>
        <v>11445</v>
      </c>
      <c r="O61" s="159">
        <f t="shared" si="17"/>
        <v>26214</v>
      </c>
      <c r="P61" s="160">
        <f t="shared" si="18"/>
        <v>37659</v>
      </c>
    </row>
    <row r="62" spans="1:16" ht="21">
      <c r="A62" s="333"/>
      <c r="B62" s="106" t="s">
        <v>65</v>
      </c>
      <c r="C62" s="192">
        <v>3087</v>
      </c>
      <c r="D62" s="192">
        <v>15486</v>
      </c>
      <c r="E62" s="192">
        <v>2325</v>
      </c>
      <c r="F62" s="193">
        <f t="shared" si="15"/>
        <v>20898</v>
      </c>
      <c r="G62" s="192">
        <v>1500</v>
      </c>
      <c r="H62" s="192">
        <v>1911</v>
      </c>
      <c r="I62" s="192">
        <v>1905</v>
      </c>
      <c r="J62" s="193">
        <f t="shared" si="19"/>
        <v>5316</v>
      </c>
      <c r="K62" s="109">
        <f t="shared" si="20"/>
        <v>26214</v>
      </c>
      <c r="M62" s="106" t="s">
        <v>66</v>
      </c>
      <c r="N62" s="159">
        <f t="shared" si="16"/>
        <v>351</v>
      </c>
      <c r="O62" s="159">
        <f t="shared" si="17"/>
        <v>958</v>
      </c>
      <c r="P62" s="160">
        <f t="shared" si="18"/>
        <v>1309</v>
      </c>
    </row>
    <row r="63" spans="1:16" ht="21">
      <c r="A63" s="333"/>
      <c r="B63" s="106" t="s">
        <v>66</v>
      </c>
      <c r="C63" s="192">
        <v>200</v>
      </c>
      <c r="D63" s="192">
        <v>449</v>
      </c>
      <c r="E63" s="192">
        <v>148</v>
      </c>
      <c r="F63" s="193">
        <f t="shared" si="15"/>
        <v>797</v>
      </c>
      <c r="G63" s="192">
        <v>11</v>
      </c>
      <c r="H63" s="192">
        <v>80</v>
      </c>
      <c r="I63" s="192">
        <v>70</v>
      </c>
      <c r="J63" s="193">
        <f t="shared" si="19"/>
        <v>161</v>
      </c>
      <c r="K63" s="109">
        <f t="shared" si="20"/>
        <v>958</v>
      </c>
      <c r="M63" s="106" t="s">
        <v>67</v>
      </c>
      <c r="N63" s="159">
        <f t="shared" si="16"/>
        <v>10</v>
      </c>
      <c r="O63" s="159">
        <f t="shared" si="17"/>
        <v>35</v>
      </c>
      <c r="P63" s="160">
        <f t="shared" si="18"/>
        <v>45</v>
      </c>
    </row>
    <row r="64" spans="1:16" ht="21.6" thickBot="1">
      <c r="A64" s="333"/>
      <c r="B64" s="106" t="s">
        <v>67</v>
      </c>
      <c r="C64" s="192">
        <v>0</v>
      </c>
      <c r="D64" s="192">
        <v>9</v>
      </c>
      <c r="E64" s="192">
        <v>16</v>
      </c>
      <c r="F64" s="193">
        <f t="shared" si="15"/>
        <v>25</v>
      </c>
      <c r="G64" s="192">
        <v>0</v>
      </c>
      <c r="H64" s="192">
        <v>0</v>
      </c>
      <c r="I64" s="192">
        <v>10</v>
      </c>
      <c r="J64" s="193">
        <f t="shared" si="19"/>
        <v>10</v>
      </c>
      <c r="K64" s="109">
        <f t="shared" si="20"/>
        <v>35</v>
      </c>
      <c r="M64" s="113" t="s">
        <v>9</v>
      </c>
      <c r="N64" s="161">
        <f>SUM(N57:N63)</f>
        <v>74541</v>
      </c>
      <c r="O64" s="161">
        <f>SUM(O57:O63)</f>
        <v>170919</v>
      </c>
      <c r="P64" s="161">
        <f>SUM(P57:P63)</f>
        <v>245460</v>
      </c>
    </row>
    <row r="65" spans="1:17" ht="22.2" thickTop="1" thickBot="1">
      <c r="A65" s="334"/>
      <c r="B65" s="113" t="s">
        <v>9</v>
      </c>
      <c r="C65" s="111">
        <f>SUM(C58:C64)</f>
        <v>20193</v>
      </c>
      <c r="D65" s="111">
        <f t="shared" ref="D65:K65" si="21">SUM(D58:D64)</f>
        <v>100838</v>
      </c>
      <c r="E65" s="111">
        <f t="shared" si="21"/>
        <v>15261</v>
      </c>
      <c r="F65" s="111">
        <f t="shared" si="21"/>
        <v>136292</v>
      </c>
      <c r="G65" s="111">
        <f t="shared" si="21"/>
        <v>9731</v>
      </c>
      <c r="H65" s="111">
        <f t="shared" si="21"/>
        <v>12474</v>
      </c>
      <c r="I65" s="111">
        <f t="shared" si="21"/>
        <v>12422</v>
      </c>
      <c r="J65" s="111">
        <f t="shared" si="21"/>
        <v>34627</v>
      </c>
      <c r="K65" s="111">
        <f t="shared" si="21"/>
        <v>170919</v>
      </c>
    </row>
    <row r="66" spans="1:17" ht="21.6" thickTop="1">
      <c r="A66" s="117"/>
      <c r="B66" s="18"/>
      <c r="C66" s="17"/>
      <c r="D66" s="17"/>
      <c r="E66" s="17"/>
      <c r="F66" s="17"/>
      <c r="G66" s="17"/>
      <c r="H66" s="17"/>
      <c r="I66" s="17"/>
      <c r="J66" s="17"/>
      <c r="K66" s="17"/>
    </row>
    <row r="67" spans="1:17">
      <c r="A67" s="335" t="s">
        <v>156</v>
      </c>
      <c r="B67" s="336"/>
      <c r="C67" s="336"/>
      <c r="D67" s="336"/>
      <c r="E67" s="336"/>
      <c r="F67" s="336"/>
      <c r="G67" s="336"/>
      <c r="H67" s="336"/>
      <c r="I67" s="336"/>
      <c r="J67" s="336"/>
      <c r="K67" s="336"/>
      <c r="L67" s="336"/>
      <c r="M67" s="336"/>
      <c r="N67" s="336"/>
      <c r="O67" s="336"/>
      <c r="P67" s="336"/>
    </row>
    <row r="68" spans="1:17" ht="24" customHeight="1">
      <c r="A68" s="337" t="s">
        <v>17</v>
      </c>
      <c r="B68" s="338"/>
      <c r="C68" s="338"/>
      <c r="D68" s="338"/>
      <c r="E68" s="338"/>
      <c r="F68" s="338"/>
      <c r="G68" s="338"/>
      <c r="H68" s="338"/>
      <c r="I68" s="338"/>
      <c r="J68" s="338"/>
      <c r="K68" s="338"/>
      <c r="L68" s="338"/>
      <c r="M68" s="338"/>
      <c r="N68" s="338"/>
      <c r="O68" s="338"/>
      <c r="P68" s="338"/>
      <c r="Q68" s="103"/>
    </row>
    <row r="69" spans="1:17" ht="21" customHeight="1">
      <c r="A69" s="327" t="s">
        <v>2</v>
      </c>
      <c r="B69" s="328"/>
      <c r="C69" s="328"/>
      <c r="D69" s="328"/>
      <c r="E69" s="328"/>
      <c r="F69" s="328"/>
      <c r="G69" s="328"/>
      <c r="H69" s="328"/>
      <c r="I69" s="328"/>
      <c r="J69" s="328"/>
      <c r="K69" s="328"/>
    </row>
    <row r="70" spans="1:17">
      <c r="A70" s="325" t="s">
        <v>55</v>
      </c>
      <c r="B70" s="329" t="s">
        <v>56</v>
      </c>
      <c r="C70" s="330"/>
      <c r="D70" s="330"/>
      <c r="E70" s="330"/>
      <c r="F70" s="330"/>
      <c r="G70" s="330"/>
      <c r="H70" s="330"/>
      <c r="I70" s="330"/>
      <c r="J70" s="330"/>
      <c r="K70" s="331"/>
    </row>
    <row r="71" spans="1:17">
      <c r="A71" s="326"/>
      <c r="B71" s="104"/>
      <c r="C71" s="325" t="s">
        <v>57</v>
      </c>
      <c r="D71" s="326"/>
      <c r="E71" s="326"/>
      <c r="F71" s="326"/>
      <c r="G71" s="325" t="s">
        <v>58</v>
      </c>
      <c r="H71" s="326"/>
      <c r="I71" s="326"/>
      <c r="J71" s="326"/>
      <c r="K71" s="105" t="s">
        <v>9</v>
      </c>
    </row>
    <row r="72" spans="1:17">
      <c r="A72" s="332" t="s">
        <v>71</v>
      </c>
      <c r="B72" s="106" t="s">
        <v>3</v>
      </c>
      <c r="C72" s="107" t="s">
        <v>18</v>
      </c>
      <c r="D72" s="107" t="s">
        <v>19</v>
      </c>
      <c r="E72" s="107" t="s">
        <v>20</v>
      </c>
      <c r="F72" s="107" t="s">
        <v>9</v>
      </c>
      <c r="G72" s="107" t="s">
        <v>18</v>
      </c>
      <c r="H72" s="107" t="s">
        <v>19</v>
      </c>
      <c r="I72" s="107" t="s">
        <v>20</v>
      </c>
      <c r="J72" s="107" t="s">
        <v>9</v>
      </c>
      <c r="K72" s="107" t="s">
        <v>9</v>
      </c>
    </row>
    <row r="73" spans="1:17" ht="21">
      <c r="A73" s="333"/>
      <c r="B73" s="108" t="s">
        <v>60</v>
      </c>
      <c r="C73" s="192">
        <v>18</v>
      </c>
      <c r="D73" s="192">
        <v>67</v>
      </c>
      <c r="E73" s="192">
        <v>35</v>
      </c>
      <c r="F73" s="193">
        <f t="shared" ref="F73:F82" si="22">SUM(C73:E73)</f>
        <v>120</v>
      </c>
      <c r="G73" s="192">
        <v>1</v>
      </c>
      <c r="H73" s="192">
        <v>9</v>
      </c>
      <c r="I73" s="192">
        <v>8</v>
      </c>
      <c r="J73" s="193">
        <f>SUM(G73:I73)</f>
        <v>18</v>
      </c>
      <c r="K73" s="109">
        <f>SUM(J73,F73)</f>
        <v>138</v>
      </c>
    </row>
    <row r="74" spans="1:17" ht="21">
      <c r="A74" s="333"/>
      <c r="B74" s="106" t="s">
        <v>61</v>
      </c>
      <c r="C74" s="192">
        <v>17124</v>
      </c>
      <c r="D74" s="192">
        <v>28177</v>
      </c>
      <c r="E74" s="192">
        <v>9281</v>
      </c>
      <c r="F74" s="193">
        <f t="shared" si="22"/>
        <v>54582</v>
      </c>
      <c r="G74" s="192">
        <v>702</v>
      </c>
      <c r="H74" s="192">
        <v>2845</v>
      </c>
      <c r="I74" s="192">
        <v>1953</v>
      </c>
      <c r="J74" s="193">
        <f t="shared" ref="J74:J82" si="23">SUM(G74:I74)</f>
        <v>5500</v>
      </c>
      <c r="K74" s="109">
        <f>SUM(J74,F74)</f>
        <v>60082</v>
      </c>
    </row>
    <row r="75" spans="1:17" ht="21">
      <c r="A75" s="333"/>
      <c r="B75" s="106" t="s">
        <v>62</v>
      </c>
      <c r="C75" s="192">
        <v>0</v>
      </c>
      <c r="D75" s="192">
        <v>0</v>
      </c>
      <c r="E75" s="192">
        <v>0</v>
      </c>
      <c r="F75" s="193">
        <f t="shared" si="22"/>
        <v>0</v>
      </c>
      <c r="G75" s="192">
        <v>0</v>
      </c>
      <c r="H75" s="192">
        <v>0</v>
      </c>
      <c r="I75" s="192">
        <v>0</v>
      </c>
      <c r="J75" s="193">
        <f t="shared" si="23"/>
        <v>0</v>
      </c>
      <c r="K75" s="109">
        <f>SUM(J75,F75)</f>
        <v>0</v>
      </c>
    </row>
    <row r="76" spans="1:17" ht="21.6" thickBot="1">
      <c r="A76" s="333"/>
      <c r="B76" s="110" t="s">
        <v>9</v>
      </c>
      <c r="C76" s="2">
        <f>SUM(C74:C75)</f>
        <v>17124</v>
      </c>
      <c r="D76" s="2">
        <f>SUM(D74:D75)</f>
        <v>28177</v>
      </c>
      <c r="E76" s="2">
        <f>SUM(E74:E75)</f>
        <v>9281</v>
      </c>
      <c r="F76" s="2">
        <f t="shared" si="22"/>
        <v>54582</v>
      </c>
      <c r="G76" s="2">
        <f>SUM(G74:G75)</f>
        <v>702</v>
      </c>
      <c r="H76" s="2">
        <f>SUM(H74:H75)</f>
        <v>2845</v>
      </c>
      <c r="I76" s="2">
        <f>SUM(I74:I75)</f>
        <v>1953</v>
      </c>
      <c r="J76" s="2">
        <f>SUM(J74:J75)</f>
        <v>5500</v>
      </c>
      <c r="K76" s="111">
        <f>SUM(K74:K75)</f>
        <v>60082</v>
      </c>
    </row>
    <row r="77" spans="1:17" ht="21.6" thickTop="1">
      <c r="A77" s="333"/>
      <c r="B77" s="112" t="s">
        <v>6</v>
      </c>
      <c r="C77" s="192">
        <v>0</v>
      </c>
      <c r="D77" s="192">
        <v>0</v>
      </c>
      <c r="E77" s="192">
        <v>0</v>
      </c>
      <c r="F77" s="193">
        <f t="shared" si="22"/>
        <v>0</v>
      </c>
      <c r="G77" s="192">
        <v>0</v>
      </c>
      <c r="H77" s="192">
        <v>0</v>
      </c>
      <c r="I77" s="192">
        <v>0</v>
      </c>
      <c r="J77" s="193">
        <f t="shared" si="23"/>
        <v>0</v>
      </c>
      <c r="K77" s="109">
        <f t="shared" ref="K77:K82" si="24">SUM(J77,F77)</f>
        <v>0</v>
      </c>
    </row>
    <row r="78" spans="1:17" ht="21">
      <c r="A78" s="333"/>
      <c r="B78" s="106" t="s">
        <v>63</v>
      </c>
      <c r="C78" s="192">
        <v>10961</v>
      </c>
      <c r="D78" s="192">
        <v>18034</v>
      </c>
      <c r="E78" s="192">
        <v>5940</v>
      </c>
      <c r="F78" s="193">
        <f t="shared" si="22"/>
        <v>34935</v>
      </c>
      <c r="G78" s="192">
        <v>449</v>
      </c>
      <c r="H78" s="192">
        <v>1821</v>
      </c>
      <c r="I78" s="192">
        <v>1250</v>
      </c>
      <c r="J78" s="193">
        <f t="shared" si="23"/>
        <v>3520</v>
      </c>
      <c r="K78" s="109">
        <f t="shared" si="24"/>
        <v>38455</v>
      </c>
    </row>
    <row r="79" spans="1:17" ht="21">
      <c r="A79" s="333"/>
      <c r="B79" s="106" t="s">
        <v>64</v>
      </c>
      <c r="C79" s="192">
        <v>51</v>
      </c>
      <c r="D79" s="192">
        <v>213</v>
      </c>
      <c r="E79" s="192">
        <v>79</v>
      </c>
      <c r="F79" s="193">
        <f t="shared" si="22"/>
        <v>343</v>
      </c>
      <c r="G79" s="192">
        <v>0</v>
      </c>
      <c r="H79" s="192">
        <v>32</v>
      </c>
      <c r="I79" s="192">
        <v>17</v>
      </c>
      <c r="J79" s="193">
        <f t="shared" si="23"/>
        <v>49</v>
      </c>
      <c r="K79" s="109">
        <f t="shared" si="24"/>
        <v>392</v>
      </c>
    </row>
    <row r="80" spans="1:17" ht="21">
      <c r="A80" s="333"/>
      <c r="B80" s="106" t="s">
        <v>65</v>
      </c>
      <c r="C80" s="192">
        <v>4080</v>
      </c>
      <c r="D80" s="192">
        <v>8158</v>
      </c>
      <c r="E80" s="192">
        <v>2553</v>
      </c>
      <c r="F80" s="193">
        <f t="shared" si="22"/>
        <v>14791</v>
      </c>
      <c r="G80" s="192">
        <v>211</v>
      </c>
      <c r="H80" s="192">
        <v>680</v>
      </c>
      <c r="I80" s="192">
        <v>586</v>
      </c>
      <c r="J80" s="193">
        <f t="shared" si="23"/>
        <v>1477</v>
      </c>
      <c r="K80" s="109">
        <f t="shared" si="24"/>
        <v>16268</v>
      </c>
    </row>
    <row r="81" spans="1:16" ht="21">
      <c r="A81" s="333"/>
      <c r="B81" s="106" t="s">
        <v>66</v>
      </c>
      <c r="C81" s="192">
        <v>536</v>
      </c>
      <c r="D81" s="192">
        <v>2170</v>
      </c>
      <c r="E81" s="192">
        <v>964</v>
      </c>
      <c r="F81" s="193">
        <f t="shared" si="22"/>
        <v>3670</v>
      </c>
      <c r="G81" s="192">
        <v>16</v>
      </c>
      <c r="H81" s="192">
        <v>292</v>
      </c>
      <c r="I81" s="192">
        <v>174</v>
      </c>
      <c r="J81" s="193">
        <f t="shared" si="23"/>
        <v>482</v>
      </c>
      <c r="K81" s="109">
        <f t="shared" si="24"/>
        <v>4152</v>
      </c>
    </row>
    <row r="82" spans="1:16" ht="21">
      <c r="A82" s="333"/>
      <c r="B82" s="106" t="s">
        <v>67</v>
      </c>
      <c r="C82" s="192">
        <v>0</v>
      </c>
      <c r="D82" s="192">
        <v>0</v>
      </c>
      <c r="E82" s="192">
        <v>17</v>
      </c>
      <c r="F82" s="193">
        <f t="shared" si="22"/>
        <v>17</v>
      </c>
      <c r="G82" s="192">
        <v>0</v>
      </c>
      <c r="H82" s="192">
        <v>0</v>
      </c>
      <c r="I82" s="192">
        <v>3</v>
      </c>
      <c r="J82" s="193">
        <f t="shared" si="23"/>
        <v>3</v>
      </c>
      <c r="K82" s="109">
        <f t="shared" si="24"/>
        <v>20</v>
      </c>
    </row>
    <row r="83" spans="1:16" ht="21.6" thickBot="1">
      <c r="A83" s="334"/>
      <c r="B83" s="113" t="s">
        <v>9</v>
      </c>
      <c r="C83" s="111">
        <f>SUM(C76:C82)</f>
        <v>32752</v>
      </c>
      <c r="D83" s="111">
        <f t="shared" ref="D83:K83" si="25">SUM(D76:D82)</f>
        <v>56752</v>
      </c>
      <c r="E83" s="111">
        <f t="shared" si="25"/>
        <v>18834</v>
      </c>
      <c r="F83" s="111">
        <f t="shared" si="25"/>
        <v>108338</v>
      </c>
      <c r="G83" s="111">
        <f t="shared" si="25"/>
        <v>1378</v>
      </c>
      <c r="H83" s="111">
        <f t="shared" si="25"/>
        <v>5670</v>
      </c>
      <c r="I83" s="111">
        <f t="shared" si="25"/>
        <v>3983</v>
      </c>
      <c r="J83" s="111">
        <f t="shared" si="25"/>
        <v>11031</v>
      </c>
      <c r="K83" s="111">
        <f t="shared" si="25"/>
        <v>119369</v>
      </c>
    </row>
    <row r="84" spans="1:16" ht="17.25" customHeight="1" thickTop="1"/>
    <row r="85" spans="1:16">
      <c r="A85" s="325" t="s">
        <v>55</v>
      </c>
      <c r="B85" s="329" t="s">
        <v>68</v>
      </c>
      <c r="C85" s="330"/>
      <c r="D85" s="330"/>
      <c r="E85" s="330"/>
      <c r="F85" s="330"/>
      <c r="G85" s="330"/>
      <c r="H85" s="330"/>
      <c r="I85" s="330"/>
      <c r="J85" s="330"/>
      <c r="K85" s="331"/>
      <c r="M85" s="339" t="s">
        <v>69</v>
      </c>
      <c r="N85" s="340"/>
      <c r="O85" s="340"/>
      <c r="P85" s="341"/>
    </row>
    <row r="86" spans="1:16" ht="21" thickBot="1">
      <c r="A86" s="326"/>
      <c r="B86" s="104"/>
      <c r="C86" s="325" t="s">
        <v>57</v>
      </c>
      <c r="D86" s="326"/>
      <c r="E86" s="326"/>
      <c r="F86" s="326"/>
      <c r="G86" s="325" t="s">
        <v>58</v>
      </c>
      <c r="H86" s="326"/>
      <c r="I86" s="326"/>
      <c r="J86" s="326"/>
      <c r="K86" s="105" t="s">
        <v>9</v>
      </c>
      <c r="M86" s="106" t="s">
        <v>3</v>
      </c>
      <c r="N86" s="106" t="s">
        <v>56</v>
      </c>
      <c r="O86" s="106" t="s">
        <v>68</v>
      </c>
      <c r="P86" s="113" t="s">
        <v>9</v>
      </c>
    </row>
    <row r="87" spans="1:16" ht="21" customHeight="1" thickTop="1">
      <c r="A87" s="332" t="s">
        <v>71</v>
      </c>
      <c r="B87" s="106" t="s">
        <v>3</v>
      </c>
      <c r="C87" s="107" t="s">
        <v>18</v>
      </c>
      <c r="D87" s="107" t="s">
        <v>19</v>
      </c>
      <c r="E87" s="107" t="s">
        <v>20</v>
      </c>
      <c r="F87" s="107" t="s">
        <v>9</v>
      </c>
      <c r="G87" s="107" t="s">
        <v>18</v>
      </c>
      <c r="H87" s="107" t="s">
        <v>19</v>
      </c>
      <c r="I87" s="107" t="s">
        <v>20</v>
      </c>
      <c r="J87" s="107" t="s">
        <v>9</v>
      </c>
      <c r="K87" s="107" t="s">
        <v>9</v>
      </c>
      <c r="M87" s="108" t="s">
        <v>60</v>
      </c>
      <c r="N87" s="159">
        <f>K73</f>
        <v>138</v>
      </c>
      <c r="O87" s="159">
        <f>K88</f>
        <v>194</v>
      </c>
      <c r="P87" s="160">
        <f>SUM(N87:O87)</f>
        <v>332</v>
      </c>
    </row>
    <row r="88" spans="1:16" ht="21">
      <c r="A88" s="333"/>
      <c r="B88" s="108" t="s">
        <v>60</v>
      </c>
      <c r="C88" s="192">
        <v>23</v>
      </c>
      <c r="D88" s="192">
        <v>121</v>
      </c>
      <c r="E88" s="192">
        <v>35</v>
      </c>
      <c r="F88" s="193">
        <f t="shared" ref="F88:F97" si="26">SUM(C88:E88)</f>
        <v>179</v>
      </c>
      <c r="G88" s="192">
        <v>0</v>
      </c>
      <c r="H88" s="192">
        <v>9</v>
      </c>
      <c r="I88" s="192">
        <v>6</v>
      </c>
      <c r="J88" s="193">
        <f>SUM(G88:I88)</f>
        <v>15</v>
      </c>
      <c r="K88" s="193">
        <f>SUM(J88,F88)</f>
        <v>194</v>
      </c>
      <c r="M88" s="106" t="s">
        <v>61</v>
      </c>
      <c r="N88" s="159">
        <f t="shared" ref="N88:N96" si="27">K74</f>
        <v>60082</v>
      </c>
      <c r="O88" s="159">
        <f t="shared" ref="O88:O96" si="28">K89</f>
        <v>83888</v>
      </c>
      <c r="P88" s="160">
        <f t="shared" ref="P88:P96" si="29">SUM(N88:O88)</f>
        <v>143970</v>
      </c>
    </row>
    <row r="89" spans="1:16" ht="21">
      <c r="A89" s="333"/>
      <c r="B89" s="106" t="s">
        <v>61</v>
      </c>
      <c r="C89" s="192">
        <v>15954</v>
      </c>
      <c r="D89" s="192">
        <v>53451</v>
      </c>
      <c r="E89" s="192">
        <v>9091</v>
      </c>
      <c r="F89" s="193">
        <f t="shared" si="26"/>
        <v>78496</v>
      </c>
      <c r="G89" s="192">
        <v>0</v>
      </c>
      <c r="H89" s="192">
        <v>3596</v>
      </c>
      <c r="I89" s="192">
        <v>1796</v>
      </c>
      <c r="J89" s="193">
        <f t="shared" ref="J89:J97" si="30">SUM(G89:I89)</f>
        <v>5392</v>
      </c>
      <c r="K89" s="109">
        <f>SUM(J89,F89)</f>
        <v>83888</v>
      </c>
      <c r="M89" s="106" t="s">
        <v>62</v>
      </c>
      <c r="N89" s="159">
        <f t="shared" si="27"/>
        <v>0</v>
      </c>
      <c r="O89" s="159">
        <f t="shared" si="28"/>
        <v>0</v>
      </c>
      <c r="P89" s="160">
        <f t="shared" si="29"/>
        <v>0</v>
      </c>
    </row>
    <row r="90" spans="1:16" ht="21.6" thickBot="1">
      <c r="A90" s="333"/>
      <c r="B90" s="106" t="s">
        <v>62</v>
      </c>
      <c r="C90" s="192">
        <v>0</v>
      </c>
      <c r="D90" s="192">
        <v>0</v>
      </c>
      <c r="E90" s="192">
        <v>0</v>
      </c>
      <c r="F90" s="193">
        <f t="shared" si="26"/>
        <v>0</v>
      </c>
      <c r="G90" s="192">
        <v>0</v>
      </c>
      <c r="H90" s="192">
        <v>0</v>
      </c>
      <c r="I90" s="192">
        <v>0</v>
      </c>
      <c r="J90" s="193">
        <f t="shared" si="30"/>
        <v>0</v>
      </c>
      <c r="K90" s="109">
        <f>SUM(J90,F90)</f>
        <v>0</v>
      </c>
      <c r="M90" s="110" t="s">
        <v>9</v>
      </c>
      <c r="N90" s="160">
        <f t="shared" si="27"/>
        <v>60082</v>
      </c>
      <c r="O90" s="160">
        <f t="shared" si="28"/>
        <v>83888</v>
      </c>
      <c r="P90" s="161">
        <f t="shared" si="29"/>
        <v>143970</v>
      </c>
    </row>
    <row r="91" spans="1:16" ht="22.2" thickTop="1" thickBot="1">
      <c r="A91" s="333"/>
      <c r="B91" s="110" t="s">
        <v>9</v>
      </c>
      <c r="C91" s="2">
        <f>SUM(C89:C90)</f>
        <v>15954</v>
      </c>
      <c r="D91" s="2">
        <f>SUM(D89:D90)</f>
        <v>53451</v>
      </c>
      <c r="E91" s="2">
        <f>SUM(E89:E90)</f>
        <v>9091</v>
      </c>
      <c r="F91" s="2">
        <f t="shared" si="26"/>
        <v>78496</v>
      </c>
      <c r="G91" s="2">
        <f>SUM(G89:G90)</f>
        <v>0</v>
      </c>
      <c r="H91" s="2">
        <f>SUM(H89:H90)</f>
        <v>3596</v>
      </c>
      <c r="I91" s="2">
        <f>SUM(I89:I90)</f>
        <v>1796</v>
      </c>
      <c r="J91" s="2">
        <f>SUM(J89:J90)</f>
        <v>5392</v>
      </c>
      <c r="K91" s="111">
        <f>SUM(K89:K90)</f>
        <v>83888</v>
      </c>
      <c r="M91" s="112" t="s">
        <v>6</v>
      </c>
      <c r="N91" s="159">
        <f t="shared" si="27"/>
        <v>0</v>
      </c>
      <c r="O91" s="159">
        <f t="shared" si="28"/>
        <v>0</v>
      </c>
      <c r="P91" s="162">
        <f t="shared" si="29"/>
        <v>0</v>
      </c>
    </row>
    <row r="92" spans="1:16" ht="21.6" thickTop="1">
      <c r="A92" s="333"/>
      <c r="B92" s="112" t="s">
        <v>6</v>
      </c>
      <c r="C92" s="192">
        <v>0</v>
      </c>
      <c r="D92" s="192">
        <v>0</v>
      </c>
      <c r="E92" s="192">
        <v>0</v>
      </c>
      <c r="F92" s="193">
        <f t="shared" si="26"/>
        <v>0</v>
      </c>
      <c r="G92" s="192">
        <v>0</v>
      </c>
      <c r="H92" s="192">
        <v>0</v>
      </c>
      <c r="I92" s="192">
        <v>0</v>
      </c>
      <c r="J92" s="193">
        <f t="shared" si="30"/>
        <v>0</v>
      </c>
      <c r="K92" s="109">
        <f t="shared" ref="K92:K97" si="31">SUM(J92,F92)</f>
        <v>0</v>
      </c>
      <c r="M92" s="106" t="s">
        <v>63</v>
      </c>
      <c r="N92" s="159">
        <f t="shared" si="27"/>
        <v>38455</v>
      </c>
      <c r="O92" s="159">
        <f t="shared" si="28"/>
        <v>53689</v>
      </c>
      <c r="P92" s="162">
        <f t="shared" si="29"/>
        <v>92144</v>
      </c>
    </row>
    <row r="93" spans="1:16" ht="21">
      <c r="A93" s="333"/>
      <c r="B93" s="106" t="s">
        <v>63</v>
      </c>
      <c r="C93" s="192">
        <v>10211</v>
      </c>
      <c r="D93" s="192">
        <v>34209</v>
      </c>
      <c r="E93" s="192">
        <v>5818</v>
      </c>
      <c r="F93" s="193">
        <f t="shared" si="26"/>
        <v>50238</v>
      </c>
      <c r="G93" s="192">
        <v>0</v>
      </c>
      <c r="H93" s="192">
        <v>2301</v>
      </c>
      <c r="I93" s="192">
        <v>1150</v>
      </c>
      <c r="J93" s="193">
        <f t="shared" si="30"/>
        <v>3451</v>
      </c>
      <c r="K93" s="109">
        <f t="shared" si="31"/>
        <v>53689</v>
      </c>
      <c r="M93" s="106" t="s">
        <v>64</v>
      </c>
      <c r="N93" s="159">
        <f t="shared" si="27"/>
        <v>392</v>
      </c>
      <c r="O93" s="159">
        <f t="shared" si="28"/>
        <v>647</v>
      </c>
      <c r="P93" s="160">
        <f t="shared" si="29"/>
        <v>1039</v>
      </c>
    </row>
    <row r="94" spans="1:16" ht="21">
      <c r="A94" s="333"/>
      <c r="B94" s="106" t="s">
        <v>64</v>
      </c>
      <c r="C94" s="192">
        <v>78</v>
      </c>
      <c r="D94" s="192">
        <v>437</v>
      </c>
      <c r="E94" s="192">
        <v>86</v>
      </c>
      <c r="F94" s="193">
        <f t="shared" si="26"/>
        <v>601</v>
      </c>
      <c r="G94" s="192">
        <v>0</v>
      </c>
      <c r="H94" s="192">
        <v>32</v>
      </c>
      <c r="I94" s="192">
        <v>14</v>
      </c>
      <c r="J94" s="193">
        <f t="shared" si="30"/>
        <v>46</v>
      </c>
      <c r="K94" s="109">
        <f t="shared" si="31"/>
        <v>647</v>
      </c>
      <c r="M94" s="106" t="s">
        <v>65</v>
      </c>
      <c r="N94" s="159">
        <f t="shared" si="27"/>
        <v>16268</v>
      </c>
      <c r="O94" s="159">
        <f t="shared" si="28"/>
        <v>24832</v>
      </c>
      <c r="P94" s="160">
        <f t="shared" si="29"/>
        <v>41100</v>
      </c>
    </row>
    <row r="95" spans="1:16" ht="21">
      <c r="A95" s="333"/>
      <c r="B95" s="106" t="s">
        <v>65</v>
      </c>
      <c r="C95" s="192">
        <v>4451</v>
      </c>
      <c r="D95" s="192">
        <v>16035</v>
      </c>
      <c r="E95" s="192">
        <v>2727</v>
      </c>
      <c r="F95" s="193">
        <f t="shared" si="26"/>
        <v>23213</v>
      </c>
      <c r="G95" s="192">
        <v>0</v>
      </c>
      <c r="H95" s="192">
        <v>1080</v>
      </c>
      <c r="I95" s="192">
        <v>539</v>
      </c>
      <c r="J95" s="193">
        <f t="shared" si="30"/>
        <v>1619</v>
      </c>
      <c r="K95" s="109">
        <f t="shared" si="31"/>
        <v>24832</v>
      </c>
      <c r="M95" s="106" t="s">
        <v>66</v>
      </c>
      <c r="N95" s="159">
        <f t="shared" si="27"/>
        <v>4152</v>
      </c>
      <c r="O95" s="159">
        <f t="shared" si="28"/>
        <v>5829</v>
      </c>
      <c r="P95" s="160">
        <f t="shared" si="29"/>
        <v>9981</v>
      </c>
    </row>
    <row r="96" spans="1:16" ht="21">
      <c r="A96" s="333"/>
      <c r="B96" s="106" t="s">
        <v>66</v>
      </c>
      <c r="C96" s="192">
        <v>632</v>
      </c>
      <c r="D96" s="192">
        <v>3699</v>
      </c>
      <c r="E96" s="192">
        <v>1012</v>
      </c>
      <c r="F96" s="193">
        <f t="shared" si="26"/>
        <v>5343</v>
      </c>
      <c r="G96" s="192">
        <v>0</v>
      </c>
      <c r="H96" s="192">
        <v>292</v>
      </c>
      <c r="I96" s="192">
        <v>194</v>
      </c>
      <c r="J96" s="193">
        <f t="shared" si="30"/>
        <v>486</v>
      </c>
      <c r="K96" s="109">
        <f t="shared" si="31"/>
        <v>5829</v>
      </c>
      <c r="M96" s="106" t="s">
        <v>67</v>
      </c>
      <c r="N96" s="159">
        <f t="shared" si="27"/>
        <v>20</v>
      </c>
      <c r="O96" s="159">
        <f t="shared" si="28"/>
        <v>19</v>
      </c>
      <c r="P96" s="160">
        <f t="shared" si="29"/>
        <v>39</v>
      </c>
    </row>
    <row r="97" spans="1:17" ht="21.6" thickBot="1">
      <c r="A97" s="333"/>
      <c r="B97" s="106" t="s">
        <v>67</v>
      </c>
      <c r="C97" s="192">
        <v>0</v>
      </c>
      <c r="D97" s="192">
        <v>0</v>
      </c>
      <c r="E97" s="192">
        <v>15</v>
      </c>
      <c r="F97" s="193">
        <f t="shared" si="26"/>
        <v>15</v>
      </c>
      <c r="G97" s="192">
        <v>0</v>
      </c>
      <c r="H97" s="192">
        <v>0</v>
      </c>
      <c r="I97" s="192">
        <v>4</v>
      </c>
      <c r="J97" s="193">
        <f t="shared" si="30"/>
        <v>4</v>
      </c>
      <c r="K97" s="109">
        <f t="shared" si="31"/>
        <v>19</v>
      </c>
      <c r="M97" s="113" t="s">
        <v>9</v>
      </c>
      <c r="N97" s="161">
        <f>SUM(N90:N96)</f>
        <v>119369</v>
      </c>
      <c r="O97" s="161">
        <f>SUM(O90:O96)</f>
        <v>168904</v>
      </c>
      <c r="P97" s="161">
        <f>SUM(P90:P96)</f>
        <v>288273</v>
      </c>
    </row>
    <row r="98" spans="1:17" ht="22.2" thickTop="1" thickBot="1">
      <c r="A98" s="334"/>
      <c r="B98" s="113" t="s">
        <v>9</v>
      </c>
      <c r="C98" s="111">
        <f>SUM(C91:C97)</f>
        <v>31326</v>
      </c>
      <c r="D98" s="111">
        <f t="shared" ref="D98:K98" si="32">SUM(D91:D97)</f>
        <v>107831</v>
      </c>
      <c r="E98" s="111">
        <f t="shared" si="32"/>
        <v>18749</v>
      </c>
      <c r="F98" s="111">
        <f t="shared" si="32"/>
        <v>157906</v>
      </c>
      <c r="G98" s="111">
        <f t="shared" si="32"/>
        <v>0</v>
      </c>
      <c r="H98" s="111">
        <f t="shared" si="32"/>
        <v>7301</v>
      </c>
      <c r="I98" s="111">
        <f t="shared" si="32"/>
        <v>3697</v>
      </c>
      <c r="J98" s="111">
        <f t="shared" si="32"/>
        <v>10998</v>
      </c>
      <c r="K98" s="111">
        <f t="shared" si="32"/>
        <v>168904</v>
      </c>
    </row>
    <row r="99" spans="1:17" ht="21.6" thickTop="1">
      <c r="A99" s="117"/>
      <c r="B99" s="18"/>
      <c r="C99" s="17"/>
      <c r="D99" s="17"/>
      <c r="E99" s="17"/>
      <c r="F99" s="17"/>
      <c r="G99" s="17"/>
      <c r="H99" s="17"/>
      <c r="I99" s="17"/>
      <c r="J99" s="17"/>
      <c r="K99" s="17"/>
    </row>
    <row r="100" spans="1:17">
      <c r="A100" s="335" t="s">
        <v>156</v>
      </c>
      <c r="B100" s="336"/>
      <c r="C100" s="336"/>
      <c r="D100" s="336"/>
      <c r="E100" s="336"/>
      <c r="F100" s="336"/>
      <c r="G100" s="336"/>
      <c r="H100" s="336"/>
      <c r="I100" s="336"/>
      <c r="J100" s="336"/>
      <c r="K100" s="336"/>
      <c r="L100" s="336"/>
      <c r="M100" s="336"/>
      <c r="N100" s="336"/>
      <c r="O100" s="336"/>
      <c r="P100" s="336"/>
    </row>
    <row r="101" spans="1:17" ht="24" customHeight="1">
      <c r="A101" s="337" t="s">
        <v>17</v>
      </c>
      <c r="B101" s="338"/>
      <c r="C101" s="338"/>
      <c r="D101" s="338"/>
      <c r="E101" s="338"/>
      <c r="F101" s="338"/>
      <c r="G101" s="338"/>
      <c r="H101" s="338"/>
      <c r="I101" s="338"/>
      <c r="J101" s="338"/>
      <c r="K101" s="338"/>
      <c r="L101" s="338"/>
      <c r="M101" s="338"/>
      <c r="N101" s="338"/>
      <c r="O101" s="338"/>
      <c r="P101" s="338"/>
      <c r="Q101" s="103"/>
    </row>
    <row r="102" spans="1:17" ht="21" customHeight="1">
      <c r="A102" s="327" t="s">
        <v>2</v>
      </c>
      <c r="B102" s="328"/>
      <c r="C102" s="328"/>
      <c r="D102" s="328"/>
      <c r="E102" s="328"/>
      <c r="F102" s="328"/>
      <c r="G102" s="328"/>
      <c r="H102" s="328"/>
      <c r="I102" s="328"/>
      <c r="J102" s="328"/>
      <c r="K102" s="328"/>
    </row>
    <row r="103" spans="1:17">
      <c r="A103" s="325" t="s">
        <v>55</v>
      </c>
      <c r="B103" s="329" t="s">
        <v>56</v>
      </c>
      <c r="C103" s="330"/>
      <c r="D103" s="330"/>
      <c r="E103" s="330"/>
      <c r="F103" s="330"/>
      <c r="G103" s="330"/>
      <c r="H103" s="330"/>
      <c r="I103" s="330"/>
      <c r="J103" s="330"/>
      <c r="K103" s="331"/>
    </row>
    <row r="104" spans="1:17">
      <c r="A104" s="326"/>
      <c r="B104" s="104"/>
      <c r="C104" s="325" t="s">
        <v>57</v>
      </c>
      <c r="D104" s="326"/>
      <c r="E104" s="326"/>
      <c r="F104" s="326"/>
      <c r="G104" s="325" t="s">
        <v>58</v>
      </c>
      <c r="H104" s="326"/>
      <c r="I104" s="326"/>
      <c r="J104" s="326"/>
      <c r="K104" s="105" t="s">
        <v>9</v>
      </c>
    </row>
    <row r="105" spans="1:17">
      <c r="A105" s="332" t="s">
        <v>72</v>
      </c>
      <c r="B105" s="106" t="s">
        <v>3</v>
      </c>
      <c r="C105" s="107" t="s">
        <v>18</v>
      </c>
      <c r="D105" s="107" t="s">
        <v>19</v>
      </c>
      <c r="E105" s="107" t="s">
        <v>20</v>
      </c>
      <c r="F105" s="107" t="s">
        <v>9</v>
      </c>
      <c r="G105" s="107" t="s">
        <v>18</v>
      </c>
      <c r="H105" s="107" t="s">
        <v>19</v>
      </c>
      <c r="I105" s="107" t="s">
        <v>20</v>
      </c>
      <c r="J105" s="107" t="s">
        <v>9</v>
      </c>
      <c r="K105" s="107" t="s">
        <v>9</v>
      </c>
    </row>
    <row r="106" spans="1:17" ht="21">
      <c r="A106" s="333"/>
      <c r="B106" s="108" t="s">
        <v>60</v>
      </c>
      <c r="C106" s="192">
        <v>14</v>
      </c>
      <c r="D106" s="192">
        <v>28</v>
      </c>
      <c r="E106" s="192">
        <v>13</v>
      </c>
      <c r="F106" s="193">
        <f t="shared" ref="F106:F115" si="33">SUM(C106:E106)</f>
        <v>55</v>
      </c>
      <c r="G106" s="192">
        <v>0</v>
      </c>
      <c r="H106" s="192">
        <v>8</v>
      </c>
      <c r="I106" s="192">
        <v>11</v>
      </c>
      <c r="J106" s="193">
        <f>SUM(G106:I106)</f>
        <v>19</v>
      </c>
      <c r="K106" s="109">
        <f>SUM(J106,F106)</f>
        <v>74</v>
      </c>
    </row>
    <row r="107" spans="1:17" ht="21">
      <c r="A107" s="333"/>
      <c r="B107" s="106" t="s">
        <v>61</v>
      </c>
      <c r="C107" s="192">
        <v>15715</v>
      </c>
      <c r="D107" s="192">
        <v>16176</v>
      </c>
      <c r="E107" s="192">
        <v>5710</v>
      </c>
      <c r="F107" s="193">
        <f t="shared" si="33"/>
        <v>37601</v>
      </c>
      <c r="G107" s="192">
        <v>0</v>
      </c>
      <c r="H107" s="192">
        <v>4622</v>
      </c>
      <c r="I107" s="192">
        <v>4831</v>
      </c>
      <c r="J107" s="193">
        <f t="shared" ref="J107:J115" si="34">SUM(G107:I107)</f>
        <v>9453</v>
      </c>
      <c r="K107" s="109">
        <f>SUM(J107,F107)</f>
        <v>47054</v>
      </c>
    </row>
    <row r="108" spans="1:17" ht="21">
      <c r="A108" s="333"/>
      <c r="B108" s="106" t="s">
        <v>62</v>
      </c>
      <c r="C108" s="192">
        <v>0</v>
      </c>
      <c r="D108" s="192">
        <v>0</v>
      </c>
      <c r="E108" s="192">
        <v>0</v>
      </c>
      <c r="F108" s="193">
        <f t="shared" si="33"/>
        <v>0</v>
      </c>
      <c r="G108" s="192">
        <v>0</v>
      </c>
      <c r="H108" s="192">
        <v>0</v>
      </c>
      <c r="I108" s="192">
        <v>0</v>
      </c>
      <c r="J108" s="193">
        <f t="shared" si="34"/>
        <v>0</v>
      </c>
      <c r="K108" s="109">
        <f>SUM(J108,F108)</f>
        <v>0</v>
      </c>
    </row>
    <row r="109" spans="1:17" ht="21.6" thickBot="1">
      <c r="A109" s="333"/>
      <c r="B109" s="110" t="s">
        <v>9</v>
      </c>
      <c r="C109" s="2">
        <f>SUM(C107:C108)</f>
        <v>15715</v>
      </c>
      <c r="D109" s="2">
        <f>SUM(D107:D108)</f>
        <v>16176</v>
      </c>
      <c r="E109" s="2">
        <f>SUM(E107:E108)</f>
        <v>5710</v>
      </c>
      <c r="F109" s="2">
        <f t="shared" si="33"/>
        <v>37601</v>
      </c>
      <c r="G109" s="2">
        <f>SUM(G107:G108)</f>
        <v>0</v>
      </c>
      <c r="H109" s="2">
        <f>SUM(H107:H108)</f>
        <v>4622</v>
      </c>
      <c r="I109" s="2">
        <f>SUM(I107:I108)</f>
        <v>4831</v>
      </c>
      <c r="J109" s="2">
        <f>SUM(J107:J108)</f>
        <v>9453</v>
      </c>
      <c r="K109" s="111">
        <f>SUM(K107:K108)</f>
        <v>47054</v>
      </c>
    </row>
    <row r="110" spans="1:17" ht="21.6" thickTop="1">
      <c r="A110" s="333"/>
      <c r="B110" s="112" t="s">
        <v>6</v>
      </c>
      <c r="C110" s="192">
        <v>0</v>
      </c>
      <c r="D110" s="192">
        <v>0</v>
      </c>
      <c r="E110" s="192">
        <v>0</v>
      </c>
      <c r="F110" s="193">
        <f t="shared" si="33"/>
        <v>0</v>
      </c>
      <c r="G110" s="192">
        <v>0</v>
      </c>
      <c r="H110" s="192">
        <v>0</v>
      </c>
      <c r="I110" s="192">
        <v>0</v>
      </c>
      <c r="J110" s="193">
        <f t="shared" si="34"/>
        <v>0</v>
      </c>
      <c r="K110" s="109">
        <f t="shared" ref="K110:K115" si="35">SUM(J110,F110)</f>
        <v>0</v>
      </c>
    </row>
    <row r="111" spans="1:17" ht="21">
      <c r="A111" s="333"/>
      <c r="B111" s="106" t="s">
        <v>63</v>
      </c>
      <c r="C111" s="192">
        <v>10058</v>
      </c>
      <c r="D111" s="192">
        <v>10353</v>
      </c>
      <c r="E111" s="192">
        <v>3654</v>
      </c>
      <c r="F111" s="193">
        <f t="shared" si="33"/>
        <v>24065</v>
      </c>
      <c r="G111" s="192">
        <v>0</v>
      </c>
      <c r="H111" s="192">
        <v>2957</v>
      </c>
      <c r="I111" s="192">
        <v>3092</v>
      </c>
      <c r="J111" s="193">
        <f t="shared" si="34"/>
        <v>6049</v>
      </c>
      <c r="K111" s="109">
        <f t="shared" si="35"/>
        <v>30114</v>
      </c>
    </row>
    <row r="112" spans="1:17" ht="21">
      <c r="A112" s="333"/>
      <c r="B112" s="106" t="s">
        <v>64</v>
      </c>
      <c r="C112" s="192">
        <v>196</v>
      </c>
      <c r="D112" s="192">
        <v>296</v>
      </c>
      <c r="E112" s="192">
        <v>37</v>
      </c>
      <c r="F112" s="193">
        <f t="shared" si="33"/>
        <v>529</v>
      </c>
      <c r="G112" s="192">
        <v>0</v>
      </c>
      <c r="H112" s="192">
        <v>84</v>
      </c>
      <c r="I112" s="192">
        <v>32</v>
      </c>
      <c r="J112" s="193">
        <f t="shared" si="34"/>
        <v>116</v>
      </c>
      <c r="K112" s="109">
        <f t="shared" si="35"/>
        <v>645</v>
      </c>
    </row>
    <row r="113" spans="1:16" ht="21">
      <c r="A113" s="333"/>
      <c r="B113" s="106" t="s">
        <v>65</v>
      </c>
      <c r="C113" s="192">
        <v>1571</v>
      </c>
      <c r="D113" s="192">
        <v>1618</v>
      </c>
      <c r="E113" s="192">
        <v>571</v>
      </c>
      <c r="F113" s="193">
        <f t="shared" si="33"/>
        <v>3760</v>
      </c>
      <c r="G113" s="192">
        <v>0</v>
      </c>
      <c r="H113" s="192">
        <v>462</v>
      </c>
      <c r="I113" s="192">
        <v>483</v>
      </c>
      <c r="J113" s="193">
        <f t="shared" si="34"/>
        <v>945</v>
      </c>
      <c r="K113" s="109">
        <f t="shared" si="35"/>
        <v>4705</v>
      </c>
    </row>
    <row r="114" spans="1:16" ht="21">
      <c r="A114" s="333"/>
      <c r="B114" s="106" t="s">
        <v>66</v>
      </c>
      <c r="C114" s="192">
        <v>361</v>
      </c>
      <c r="D114" s="192">
        <v>454</v>
      </c>
      <c r="E114" s="192">
        <v>105</v>
      </c>
      <c r="F114" s="193">
        <f t="shared" si="33"/>
        <v>920</v>
      </c>
      <c r="G114" s="192">
        <v>0</v>
      </c>
      <c r="H114" s="192">
        <v>129</v>
      </c>
      <c r="I114" s="192">
        <v>89</v>
      </c>
      <c r="J114" s="193">
        <f t="shared" si="34"/>
        <v>218</v>
      </c>
      <c r="K114" s="109">
        <f t="shared" si="35"/>
        <v>1138</v>
      </c>
    </row>
    <row r="115" spans="1:16" ht="21">
      <c r="A115" s="333"/>
      <c r="B115" s="106" t="s">
        <v>67</v>
      </c>
      <c r="C115" s="192">
        <v>266</v>
      </c>
      <c r="D115" s="192">
        <v>227</v>
      </c>
      <c r="E115" s="192">
        <v>79</v>
      </c>
      <c r="F115" s="193">
        <f t="shared" si="33"/>
        <v>572</v>
      </c>
      <c r="G115" s="192">
        <v>0</v>
      </c>
      <c r="H115" s="192">
        <v>70</v>
      </c>
      <c r="I115" s="192">
        <v>67</v>
      </c>
      <c r="J115" s="193">
        <f t="shared" si="34"/>
        <v>137</v>
      </c>
      <c r="K115" s="109">
        <f t="shared" si="35"/>
        <v>709</v>
      </c>
    </row>
    <row r="116" spans="1:16" ht="21.6" thickBot="1">
      <c r="A116" s="334"/>
      <c r="B116" s="113" t="s">
        <v>9</v>
      </c>
      <c r="C116" s="111">
        <f>SUM(C109:C115)</f>
        <v>28167</v>
      </c>
      <c r="D116" s="111">
        <f t="shared" ref="D116:K116" si="36">SUM(D109:D115)</f>
        <v>29124</v>
      </c>
      <c r="E116" s="111">
        <f t="shared" si="36"/>
        <v>10156</v>
      </c>
      <c r="F116" s="111">
        <f t="shared" si="36"/>
        <v>67447</v>
      </c>
      <c r="G116" s="111">
        <f t="shared" si="36"/>
        <v>0</v>
      </c>
      <c r="H116" s="111">
        <f t="shared" si="36"/>
        <v>8324</v>
      </c>
      <c r="I116" s="111">
        <f t="shared" si="36"/>
        <v>8594</v>
      </c>
      <c r="J116" s="111">
        <f t="shared" si="36"/>
        <v>16918</v>
      </c>
      <c r="K116" s="111">
        <f t="shared" si="36"/>
        <v>84365</v>
      </c>
    </row>
    <row r="117" spans="1:16" ht="17.25" customHeight="1" thickTop="1"/>
    <row r="118" spans="1:16">
      <c r="A118" s="325" t="s">
        <v>55</v>
      </c>
      <c r="B118" s="329" t="s">
        <v>68</v>
      </c>
      <c r="C118" s="330"/>
      <c r="D118" s="330"/>
      <c r="E118" s="330"/>
      <c r="F118" s="330"/>
      <c r="G118" s="330"/>
      <c r="H118" s="330"/>
      <c r="I118" s="330"/>
      <c r="J118" s="330"/>
      <c r="K118" s="331"/>
      <c r="M118" s="339" t="s">
        <v>69</v>
      </c>
      <c r="N118" s="340"/>
      <c r="O118" s="340"/>
      <c r="P118" s="341"/>
    </row>
    <row r="119" spans="1:16" ht="21" thickBot="1">
      <c r="A119" s="326"/>
      <c r="B119" s="104"/>
      <c r="C119" s="325" t="s">
        <v>57</v>
      </c>
      <c r="D119" s="326"/>
      <c r="E119" s="326"/>
      <c r="F119" s="326"/>
      <c r="G119" s="325" t="s">
        <v>58</v>
      </c>
      <c r="H119" s="326"/>
      <c r="I119" s="326"/>
      <c r="J119" s="326"/>
      <c r="K119" s="105" t="s">
        <v>9</v>
      </c>
      <c r="M119" s="106" t="s">
        <v>3</v>
      </c>
      <c r="N119" s="106" t="s">
        <v>56</v>
      </c>
      <c r="O119" s="106" t="s">
        <v>68</v>
      </c>
      <c r="P119" s="113" t="s">
        <v>9</v>
      </c>
    </row>
    <row r="120" spans="1:16" ht="21" customHeight="1" thickTop="1">
      <c r="A120" s="332" t="s">
        <v>72</v>
      </c>
      <c r="B120" s="106" t="s">
        <v>3</v>
      </c>
      <c r="C120" s="107" t="s">
        <v>18</v>
      </c>
      <c r="D120" s="107" t="s">
        <v>19</v>
      </c>
      <c r="E120" s="107" t="s">
        <v>20</v>
      </c>
      <c r="F120" s="107" t="s">
        <v>9</v>
      </c>
      <c r="G120" s="107" t="s">
        <v>18</v>
      </c>
      <c r="H120" s="107" t="s">
        <v>19</v>
      </c>
      <c r="I120" s="107" t="s">
        <v>20</v>
      </c>
      <c r="J120" s="107" t="s">
        <v>9</v>
      </c>
      <c r="K120" s="107" t="s">
        <v>9</v>
      </c>
      <c r="M120" s="108" t="s">
        <v>60</v>
      </c>
      <c r="N120" s="159">
        <f>K106</f>
        <v>74</v>
      </c>
      <c r="O120" s="159">
        <f>K121</f>
        <v>246</v>
      </c>
      <c r="P120" s="160">
        <f>SUM(N120:O120)</f>
        <v>320</v>
      </c>
    </row>
    <row r="121" spans="1:16" ht="21">
      <c r="A121" s="333"/>
      <c r="B121" s="108" t="s">
        <v>60</v>
      </c>
      <c r="C121" s="192">
        <v>22</v>
      </c>
      <c r="D121" s="192">
        <v>98</v>
      </c>
      <c r="E121" s="192">
        <v>38</v>
      </c>
      <c r="F121" s="193">
        <f t="shared" ref="F121:F130" si="37">SUM(C121:E121)</f>
        <v>158</v>
      </c>
      <c r="G121" s="192">
        <v>8</v>
      </c>
      <c r="H121" s="192">
        <v>60</v>
      </c>
      <c r="I121" s="192">
        <v>20</v>
      </c>
      <c r="J121" s="193">
        <f>SUM(G121:I121)</f>
        <v>88</v>
      </c>
      <c r="K121" s="109">
        <f>SUM(J121,F121)</f>
        <v>246</v>
      </c>
      <c r="M121" s="106" t="s">
        <v>61</v>
      </c>
      <c r="N121" s="159">
        <f t="shared" ref="N121:N129" si="38">K107</f>
        <v>47054</v>
      </c>
      <c r="O121" s="159">
        <f t="shared" ref="O121:O129" si="39">K122</f>
        <v>154792</v>
      </c>
      <c r="P121" s="160">
        <f t="shared" ref="P121:P129" si="40">SUM(N121:O121)</f>
        <v>201846</v>
      </c>
    </row>
    <row r="122" spans="1:16" ht="21">
      <c r="A122" s="333"/>
      <c r="B122" s="106" t="s">
        <v>61</v>
      </c>
      <c r="C122" s="192">
        <v>23609</v>
      </c>
      <c r="D122" s="192">
        <v>61318</v>
      </c>
      <c r="E122" s="192">
        <v>15621</v>
      </c>
      <c r="F122" s="193">
        <f t="shared" si="37"/>
        <v>100548</v>
      </c>
      <c r="G122" s="192">
        <v>7461</v>
      </c>
      <c r="H122" s="192">
        <v>38561</v>
      </c>
      <c r="I122" s="192">
        <v>8222</v>
      </c>
      <c r="J122" s="193">
        <f t="shared" ref="J122:J130" si="41">SUM(G122:I122)</f>
        <v>54244</v>
      </c>
      <c r="K122" s="109">
        <f>SUM(J122,F122)</f>
        <v>154792</v>
      </c>
      <c r="M122" s="106" t="s">
        <v>62</v>
      </c>
      <c r="N122" s="159">
        <f t="shared" si="38"/>
        <v>0</v>
      </c>
      <c r="O122" s="159">
        <f t="shared" si="39"/>
        <v>0</v>
      </c>
      <c r="P122" s="160">
        <f t="shared" si="40"/>
        <v>0</v>
      </c>
    </row>
    <row r="123" spans="1:16" ht="21.6" thickBot="1">
      <c r="A123" s="333"/>
      <c r="B123" s="106" t="s">
        <v>62</v>
      </c>
      <c r="C123" s="192">
        <v>0</v>
      </c>
      <c r="D123" s="192">
        <v>0</v>
      </c>
      <c r="E123" s="192">
        <v>0</v>
      </c>
      <c r="F123" s="193">
        <f t="shared" si="37"/>
        <v>0</v>
      </c>
      <c r="G123" s="192">
        <v>0</v>
      </c>
      <c r="H123" s="192">
        <v>0</v>
      </c>
      <c r="I123" s="192">
        <v>0</v>
      </c>
      <c r="J123" s="193">
        <f t="shared" si="41"/>
        <v>0</v>
      </c>
      <c r="K123" s="109">
        <f>SUM(J123,F123)</f>
        <v>0</v>
      </c>
      <c r="M123" s="110" t="s">
        <v>9</v>
      </c>
      <c r="N123" s="160">
        <f t="shared" si="38"/>
        <v>47054</v>
      </c>
      <c r="O123" s="160">
        <f t="shared" si="39"/>
        <v>154792</v>
      </c>
      <c r="P123" s="161">
        <f t="shared" si="40"/>
        <v>201846</v>
      </c>
    </row>
    <row r="124" spans="1:16" ht="22.2" thickTop="1" thickBot="1">
      <c r="A124" s="333"/>
      <c r="B124" s="110" t="s">
        <v>9</v>
      </c>
      <c r="C124" s="2">
        <f>SUM(C122:C123)</f>
        <v>23609</v>
      </c>
      <c r="D124" s="2">
        <f>SUM(D122:D123)</f>
        <v>61318</v>
      </c>
      <c r="E124" s="2">
        <f>SUM(E122:E123)</f>
        <v>15621</v>
      </c>
      <c r="F124" s="2">
        <f t="shared" si="37"/>
        <v>100548</v>
      </c>
      <c r="G124" s="2">
        <f>SUM(G122:G123)</f>
        <v>7461</v>
      </c>
      <c r="H124" s="2">
        <f>SUM(H122:H123)</f>
        <v>38561</v>
      </c>
      <c r="I124" s="2">
        <f>SUM(I122:I123)</f>
        <v>8222</v>
      </c>
      <c r="J124" s="2">
        <f>SUM(J122:J123)</f>
        <v>54244</v>
      </c>
      <c r="K124" s="111">
        <f>SUM(K122:K123)</f>
        <v>154792</v>
      </c>
      <c r="M124" s="112" t="s">
        <v>6</v>
      </c>
      <c r="N124" s="159">
        <f t="shared" si="38"/>
        <v>0</v>
      </c>
      <c r="O124" s="159">
        <f t="shared" si="39"/>
        <v>0</v>
      </c>
      <c r="P124" s="162">
        <f t="shared" si="40"/>
        <v>0</v>
      </c>
    </row>
    <row r="125" spans="1:16" ht="21.6" thickTop="1">
      <c r="A125" s="333"/>
      <c r="B125" s="112" t="s">
        <v>6</v>
      </c>
      <c r="C125" s="192">
        <v>0</v>
      </c>
      <c r="D125" s="192">
        <v>0</v>
      </c>
      <c r="E125" s="192">
        <v>0</v>
      </c>
      <c r="F125" s="193">
        <f t="shared" si="37"/>
        <v>0</v>
      </c>
      <c r="G125" s="192">
        <v>0</v>
      </c>
      <c r="H125" s="192">
        <v>0</v>
      </c>
      <c r="I125" s="192">
        <v>0</v>
      </c>
      <c r="J125" s="193">
        <f t="shared" si="41"/>
        <v>0</v>
      </c>
      <c r="K125" s="109">
        <f t="shared" ref="K125:K130" si="42">SUM(J125,F125)</f>
        <v>0</v>
      </c>
      <c r="M125" s="106" t="s">
        <v>63</v>
      </c>
      <c r="N125" s="159">
        <f t="shared" si="38"/>
        <v>30114</v>
      </c>
      <c r="O125" s="159">
        <f t="shared" si="39"/>
        <v>99068</v>
      </c>
      <c r="P125" s="162">
        <f t="shared" si="40"/>
        <v>129182</v>
      </c>
    </row>
    <row r="126" spans="1:16" ht="21">
      <c r="A126" s="333"/>
      <c r="B126" s="106" t="s">
        <v>63</v>
      </c>
      <c r="C126" s="192">
        <v>15110</v>
      </c>
      <c r="D126" s="192">
        <v>39243</v>
      </c>
      <c r="E126" s="192">
        <v>9997</v>
      </c>
      <c r="F126" s="193">
        <f t="shared" si="37"/>
        <v>64350</v>
      </c>
      <c r="G126" s="192">
        <v>4776</v>
      </c>
      <c r="H126" s="192">
        <v>24679</v>
      </c>
      <c r="I126" s="192">
        <v>5263</v>
      </c>
      <c r="J126" s="193">
        <f t="shared" si="41"/>
        <v>34718</v>
      </c>
      <c r="K126" s="109">
        <f t="shared" si="42"/>
        <v>99068</v>
      </c>
      <c r="M126" s="106" t="s">
        <v>64</v>
      </c>
      <c r="N126" s="159">
        <f t="shared" si="38"/>
        <v>645</v>
      </c>
      <c r="O126" s="159">
        <f t="shared" si="39"/>
        <v>2305</v>
      </c>
      <c r="P126" s="160">
        <f t="shared" si="40"/>
        <v>2950</v>
      </c>
    </row>
    <row r="127" spans="1:16" ht="21">
      <c r="A127" s="333"/>
      <c r="B127" s="106" t="s">
        <v>64</v>
      </c>
      <c r="C127" s="192">
        <v>326</v>
      </c>
      <c r="D127" s="192">
        <v>1024</v>
      </c>
      <c r="E127" s="192">
        <v>126</v>
      </c>
      <c r="F127" s="193">
        <f t="shared" si="37"/>
        <v>1476</v>
      </c>
      <c r="G127" s="192">
        <v>119</v>
      </c>
      <c r="H127" s="192">
        <v>644</v>
      </c>
      <c r="I127" s="192">
        <v>66</v>
      </c>
      <c r="J127" s="193">
        <f t="shared" si="41"/>
        <v>829</v>
      </c>
      <c r="K127" s="109">
        <f t="shared" si="42"/>
        <v>2305</v>
      </c>
      <c r="M127" s="106" t="s">
        <v>65</v>
      </c>
      <c r="N127" s="159">
        <f t="shared" si="38"/>
        <v>4705</v>
      </c>
      <c r="O127" s="159">
        <f t="shared" si="39"/>
        <v>15079</v>
      </c>
      <c r="P127" s="160">
        <f t="shared" si="40"/>
        <v>19784</v>
      </c>
    </row>
    <row r="128" spans="1:16" ht="21">
      <c r="A128" s="333"/>
      <c r="B128" s="106" t="s">
        <v>65</v>
      </c>
      <c r="C128" s="192">
        <v>2361</v>
      </c>
      <c r="D128" s="192">
        <v>6132</v>
      </c>
      <c r="E128" s="192">
        <v>1562</v>
      </c>
      <c r="F128" s="193">
        <f t="shared" si="37"/>
        <v>10055</v>
      </c>
      <c r="G128" s="192">
        <v>346</v>
      </c>
      <c r="H128" s="192">
        <v>3856</v>
      </c>
      <c r="I128" s="192">
        <v>822</v>
      </c>
      <c r="J128" s="193">
        <f t="shared" si="41"/>
        <v>5024</v>
      </c>
      <c r="K128" s="109">
        <f t="shared" si="42"/>
        <v>15079</v>
      </c>
      <c r="M128" s="106" t="s">
        <v>66</v>
      </c>
      <c r="N128" s="159">
        <f t="shared" si="38"/>
        <v>1138</v>
      </c>
      <c r="O128" s="159">
        <f t="shared" si="39"/>
        <v>3902</v>
      </c>
      <c r="P128" s="160">
        <f t="shared" si="40"/>
        <v>5040</v>
      </c>
    </row>
    <row r="129" spans="1:17" ht="21">
      <c r="A129" s="333"/>
      <c r="B129" s="106" t="s">
        <v>66</v>
      </c>
      <c r="C129" s="192">
        <v>713</v>
      </c>
      <c r="D129" s="192">
        <v>1570</v>
      </c>
      <c r="E129" s="192">
        <v>308</v>
      </c>
      <c r="F129" s="193">
        <f t="shared" si="37"/>
        <v>2591</v>
      </c>
      <c r="G129" s="192">
        <v>161</v>
      </c>
      <c r="H129" s="192">
        <v>988</v>
      </c>
      <c r="I129" s="192">
        <v>162</v>
      </c>
      <c r="J129" s="193">
        <f t="shared" si="41"/>
        <v>1311</v>
      </c>
      <c r="K129" s="109">
        <f t="shared" si="42"/>
        <v>3902</v>
      </c>
      <c r="M129" s="106" t="s">
        <v>67</v>
      </c>
      <c r="N129" s="159">
        <f t="shared" si="38"/>
        <v>709</v>
      </c>
      <c r="O129" s="159">
        <f t="shared" si="39"/>
        <v>2271</v>
      </c>
      <c r="P129" s="160">
        <f t="shared" si="40"/>
        <v>2980</v>
      </c>
    </row>
    <row r="130" spans="1:17" ht="21.6" thickBot="1">
      <c r="A130" s="333"/>
      <c r="B130" s="106" t="s">
        <v>67</v>
      </c>
      <c r="C130" s="192">
        <v>431</v>
      </c>
      <c r="D130" s="192">
        <v>889</v>
      </c>
      <c r="E130" s="192">
        <v>176</v>
      </c>
      <c r="F130" s="193">
        <f t="shared" si="37"/>
        <v>1496</v>
      </c>
      <c r="G130" s="192">
        <v>124</v>
      </c>
      <c r="H130" s="192">
        <v>559</v>
      </c>
      <c r="I130" s="192">
        <v>92</v>
      </c>
      <c r="J130" s="193">
        <f t="shared" si="41"/>
        <v>775</v>
      </c>
      <c r="K130" s="109">
        <f t="shared" si="42"/>
        <v>2271</v>
      </c>
      <c r="M130" s="113" t="s">
        <v>9</v>
      </c>
      <c r="N130" s="161">
        <f>SUM(N123:N129)</f>
        <v>84365</v>
      </c>
      <c r="O130" s="161">
        <f>SUM(O123:O129)</f>
        <v>277417</v>
      </c>
      <c r="P130" s="161">
        <f>SUM(P123:P129)</f>
        <v>361782</v>
      </c>
    </row>
    <row r="131" spans="1:17" ht="22.2" thickTop="1" thickBot="1">
      <c r="A131" s="334"/>
      <c r="B131" s="113" t="s">
        <v>9</v>
      </c>
      <c r="C131" s="111">
        <f>SUM(C124:C130)</f>
        <v>42550</v>
      </c>
      <c r="D131" s="111">
        <f t="shared" ref="D131:K131" si="43">SUM(D124:D130)</f>
        <v>110176</v>
      </c>
      <c r="E131" s="111">
        <f t="shared" si="43"/>
        <v>27790</v>
      </c>
      <c r="F131" s="111">
        <f t="shared" si="43"/>
        <v>180516</v>
      </c>
      <c r="G131" s="111">
        <f t="shared" si="43"/>
        <v>12987</v>
      </c>
      <c r="H131" s="111">
        <f t="shared" si="43"/>
        <v>69287</v>
      </c>
      <c r="I131" s="111">
        <f>SUM(I124:I130)</f>
        <v>14627</v>
      </c>
      <c r="J131" s="111">
        <f t="shared" si="43"/>
        <v>96901</v>
      </c>
      <c r="K131" s="111">
        <f t="shared" si="43"/>
        <v>277417</v>
      </c>
    </row>
    <row r="132" spans="1:17" ht="21.6" thickTop="1">
      <c r="A132" s="117"/>
      <c r="B132" s="18"/>
      <c r="C132" s="17"/>
      <c r="D132" s="17"/>
      <c r="E132" s="17"/>
      <c r="F132" s="17"/>
      <c r="G132" s="17"/>
      <c r="H132" s="17"/>
      <c r="I132" s="17"/>
      <c r="J132" s="17"/>
      <c r="K132" s="17"/>
    </row>
    <row r="133" spans="1:17">
      <c r="A133" s="335" t="s">
        <v>156</v>
      </c>
      <c r="B133" s="336"/>
      <c r="C133" s="336"/>
      <c r="D133" s="336"/>
      <c r="E133" s="336"/>
      <c r="F133" s="336"/>
      <c r="G133" s="336"/>
      <c r="H133" s="336"/>
      <c r="I133" s="336"/>
      <c r="J133" s="336"/>
      <c r="K133" s="336"/>
      <c r="L133" s="336"/>
      <c r="M133" s="336"/>
      <c r="N133" s="336"/>
      <c r="O133" s="336"/>
      <c r="P133" s="336"/>
    </row>
    <row r="134" spans="1:17" ht="24" customHeight="1">
      <c r="A134" s="337" t="s">
        <v>17</v>
      </c>
      <c r="B134" s="338"/>
      <c r="C134" s="338"/>
      <c r="D134" s="338"/>
      <c r="E134" s="338"/>
      <c r="F134" s="338"/>
      <c r="G134" s="338"/>
      <c r="H134" s="338"/>
      <c r="I134" s="338"/>
      <c r="J134" s="338"/>
      <c r="K134" s="338"/>
      <c r="L134" s="338"/>
      <c r="M134" s="338"/>
      <c r="N134" s="338"/>
      <c r="O134" s="338"/>
      <c r="P134" s="338"/>
      <c r="Q134" s="103"/>
    </row>
    <row r="135" spans="1:17" ht="21" customHeight="1">
      <c r="A135" s="327" t="s">
        <v>2</v>
      </c>
      <c r="B135" s="328"/>
      <c r="C135" s="328"/>
      <c r="D135" s="328"/>
      <c r="E135" s="328"/>
      <c r="F135" s="328"/>
      <c r="G135" s="328"/>
      <c r="H135" s="328"/>
      <c r="I135" s="328"/>
      <c r="J135" s="328"/>
      <c r="K135" s="328"/>
    </row>
    <row r="136" spans="1:17">
      <c r="A136" s="325" t="s">
        <v>55</v>
      </c>
      <c r="B136" s="329" t="s">
        <v>56</v>
      </c>
      <c r="C136" s="330"/>
      <c r="D136" s="330"/>
      <c r="E136" s="330"/>
      <c r="F136" s="330"/>
      <c r="G136" s="330"/>
      <c r="H136" s="330"/>
      <c r="I136" s="330"/>
      <c r="J136" s="330"/>
      <c r="K136" s="331"/>
    </row>
    <row r="137" spans="1:17">
      <c r="A137" s="326"/>
      <c r="B137" s="104"/>
      <c r="C137" s="325" t="s">
        <v>57</v>
      </c>
      <c r="D137" s="326"/>
      <c r="E137" s="326"/>
      <c r="F137" s="326"/>
      <c r="G137" s="325" t="s">
        <v>58</v>
      </c>
      <c r="H137" s="326"/>
      <c r="I137" s="326"/>
      <c r="J137" s="326"/>
      <c r="K137" s="105" t="s">
        <v>9</v>
      </c>
    </row>
    <row r="138" spans="1:17">
      <c r="A138" s="332" t="s">
        <v>73</v>
      </c>
      <c r="B138" s="106" t="s">
        <v>3</v>
      </c>
      <c r="C138" s="107" t="s">
        <v>18</v>
      </c>
      <c r="D138" s="107" t="s">
        <v>19</v>
      </c>
      <c r="E138" s="107" t="s">
        <v>20</v>
      </c>
      <c r="F138" s="107" t="s">
        <v>9</v>
      </c>
      <c r="G138" s="107" t="s">
        <v>18</v>
      </c>
      <c r="H138" s="107" t="s">
        <v>19</v>
      </c>
      <c r="I138" s="107" t="s">
        <v>20</v>
      </c>
      <c r="J138" s="107" t="s">
        <v>9</v>
      </c>
      <c r="K138" s="107" t="s">
        <v>9</v>
      </c>
    </row>
    <row r="139" spans="1:17" ht="21">
      <c r="A139" s="333"/>
      <c r="B139" s="108" t="s">
        <v>60</v>
      </c>
      <c r="C139" s="192">
        <v>32</v>
      </c>
      <c r="D139" s="192">
        <v>76</v>
      </c>
      <c r="E139" s="192">
        <v>58</v>
      </c>
      <c r="F139" s="193">
        <f t="shared" ref="F139:F148" si="44">SUM(C139:E139)</f>
        <v>166</v>
      </c>
      <c r="G139" s="192">
        <v>0</v>
      </c>
      <c r="H139" s="192">
        <v>13</v>
      </c>
      <c r="I139" s="192">
        <v>17</v>
      </c>
      <c r="J139" s="193">
        <f>SUM(G139:I139)</f>
        <v>30</v>
      </c>
      <c r="K139" s="109">
        <f>SUM(J139,F139)</f>
        <v>196</v>
      </c>
    </row>
    <row r="140" spans="1:17" ht="21">
      <c r="A140" s="333"/>
      <c r="B140" s="106" t="s">
        <v>61</v>
      </c>
      <c r="C140" s="192">
        <v>25904</v>
      </c>
      <c r="D140" s="192">
        <v>29762</v>
      </c>
      <c r="E140" s="192">
        <v>20520</v>
      </c>
      <c r="F140" s="193">
        <f t="shared" si="44"/>
        <v>76186</v>
      </c>
      <c r="G140" s="192">
        <v>0</v>
      </c>
      <c r="H140" s="192">
        <v>3167</v>
      </c>
      <c r="I140" s="192">
        <v>3127</v>
      </c>
      <c r="J140" s="193">
        <f t="shared" ref="J140:J148" si="45">SUM(G140:I140)</f>
        <v>6294</v>
      </c>
      <c r="K140" s="109">
        <f>SUM(J140,F140)</f>
        <v>82480</v>
      </c>
    </row>
    <row r="141" spans="1:17" ht="21">
      <c r="A141" s="333"/>
      <c r="B141" s="106" t="s">
        <v>62</v>
      </c>
      <c r="C141" s="192">
        <v>0</v>
      </c>
      <c r="D141" s="192">
        <v>0</v>
      </c>
      <c r="E141" s="192">
        <v>0</v>
      </c>
      <c r="F141" s="193">
        <f t="shared" si="44"/>
        <v>0</v>
      </c>
      <c r="G141" s="192">
        <v>0</v>
      </c>
      <c r="H141" s="192">
        <v>0</v>
      </c>
      <c r="I141" s="192">
        <v>0</v>
      </c>
      <c r="J141" s="193">
        <f t="shared" si="45"/>
        <v>0</v>
      </c>
      <c r="K141" s="109">
        <f>SUM(J141,F141)</f>
        <v>0</v>
      </c>
    </row>
    <row r="142" spans="1:17" ht="21.6" thickBot="1">
      <c r="A142" s="333"/>
      <c r="B142" s="110" t="s">
        <v>9</v>
      </c>
      <c r="C142" s="2">
        <f>SUM(C140:C141)</f>
        <v>25904</v>
      </c>
      <c r="D142" s="2">
        <f>SUM(D140:D141)</f>
        <v>29762</v>
      </c>
      <c r="E142" s="2">
        <f>SUM(E140:E141)</f>
        <v>20520</v>
      </c>
      <c r="F142" s="2">
        <f t="shared" si="44"/>
        <v>76186</v>
      </c>
      <c r="G142" s="2">
        <f>SUM(G140:G141)</f>
        <v>0</v>
      </c>
      <c r="H142" s="2">
        <f>SUM(H140:H141)</f>
        <v>3167</v>
      </c>
      <c r="I142" s="2">
        <f>SUM(I140:I141)</f>
        <v>3127</v>
      </c>
      <c r="J142" s="2">
        <f>SUM(J140:J141)</f>
        <v>6294</v>
      </c>
      <c r="K142" s="111">
        <f>SUM(K140:K141)</f>
        <v>82480</v>
      </c>
    </row>
    <row r="143" spans="1:17" ht="21.6" thickTop="1">
      <c r="A143" s="333"/>
      <c r="B143" s="112" t="s">
        <v>6</v>
      </c>
      <c r="C143" s="192">
        <v>0</v>
      </c>
      <c r="D143" s="192">
        <v>0</v>
      </c>
      <c r="E143" s="192">
        <v>0</v>
      </c>
      <c r="F143" s="193">
        <f t="shared" si="44"/>
        <v>0</v>
      </c>
      <c r="G143" s="192">
        <v>0</v>
      </c>
      <c r="H143" s="192">
        <v>0</v>
      </c>
      <c r="I143" s="192">
        <v>0</v>
      </c>
      <c r="J143" s="193">
        <f t="shared" si="45"/>
        <v>0</v>
      </c>
      <c r="K143" s="109">
        <f t="shared" ref="K143:K148" si="46">SUM(J143,F143)</f>
        <v>0</v>
      </c>
    </row>
    <row r="144" spans="1:17" ht="21">
      <c r="A144" s="333"/>
      <c r="B144" s="106" t="s">
        <v>63</v>
      </c>
      <c r="C144" s="192">
        <v>16579</v>
      </c>
      <c r="D144" s="192">
        <v>19048</v>
      </c>
      <c r="E144" s="192">
        <v>13133</v>
      </c>
      <c r="F144" s="193">
        <f t="shared" si="44"/>
        <v>48760</v>
      </c>
      <c r="G144" s="192">
        <v>0</v>
      </c>
      <c r="H144" s="192">
        <v>2027</v>
      </c>
      <c r="I144" s="192">
        <v>2001</v>
      </c>
      <c r="J144" s="193">
        <f t="shared" si="45"/>
        <v>4028</v>
      </c>
      <c r="K144" s="109">
        <f t="shared" si="46"/>
        <v>52788</v>
      </c>
    </row>
    <row r="145" spans="1:16" ht="21">
      <c r="A145" s="333"/>
      <c r="B145" s="106" t="s">
        <v>64</v>
      </c>
      <c r="C145" s="192">
        <v>21</v>
      </c>
      <c r="D145" s="192">
        <v>11</v>
      </c>
      <c r="E145" s="192">
        <v>0</v>
      </c>
      <c r="F145" s="193">
        <f t="shared" si="44"/>
        <v>32</v>
      </c>
      <c r="G145" s="192">
        <v>0</v>
      </c>
      <c r="H145" s="192">
        <v>12</v>
      </c>
      <c r="I145" s="192">
        <v>0</v>
      </c>
      <c r="J145" s="193">
        <f t="shared" si="45"/>
        <v>12</v>
      </c>
      <c r="K145" s="109">
        <f t="shared" si="46"/>
        <v>44</v>
      </c>
    </row>
    <row r="146" spans="1:16" ht="21">
      <c r="A146" s="333"/>
      <c r="B146" s="106" t="s">
        <v>65</v>
      </c>
      <c r="C146" s="192">
        <v>3191</v>
      </c>
      <c r="D146" s="192">
        <v>3519</v>
      </c>
      <c r="E146" s="192">
        <v>2166</v>
      </c>
      <c r="F146" s="193">
        <f t="shared" si="44"/>
        <v>8876</v>
      </c>
      <c r="G146" s="192">
        <v>0</v>
      </c>
      <c r="H146" s="192">
        <v>415</v>
      </c>
      <c r="I146" s="192">
        <v>421</v>
      </c>
      <c r="J146" s="193">
        <f t="shared" si="45"/>
        <v>836</v>
      </c>
      <c r="K146" s="109">
        <f t="shared" si="46"/>
        <v>9712</v>
      </c>
    </row>
    <row r="147" spans="1:16" ht="21">
      <c r="A147" s="333"/>
      <c r="B147" s="106" t="s">
        <v>66</v>
      </c>
      <c r="C147" s="192">
        <v>566</v>
      </c>
      <c r="D147" s="192">
        <v>1352</v>
      </c>
      <c r="E147" s="192">
        <v>956</v>
      </c>
      <c r="F147" s="193">
        <f t="shared" si="44"/>
        <v>2874</v>
      </c>
      <c r="G147" s="192">
        <v>0</v>
      </c>
      <c r="H147" s="192">
        <v>251</v>
      </c>
      <c r="I147" s="192">
        <v>259</v>
      </c>
      <c r="J147" s="193">
        <f t="shared" si="45"/>
        <v>510</v>
      </c>
      <c r="K147" s="109">
        <f t="shared" si="46"/>
        <v>3384</v>
      </c>
    </row>
    <row r="148" spans="1:16" ht="21">
      <c r="A148" s="333"/>
      <c r="B148" s="106" t="s">
        <v>67</v>
      </c>
      <c r="C148" s="192">
        <v>0</v>
      </c>
      <c r="D148" s="192">
        <v>4</v>
      </c>
      <c r="E148" s="192">
        <v>35</v>
      </c>
      <c r="F148" s="193">
        <f t="shared" si="44"/>
        <v>39</v>
      </c>
      <c r="G148" s="192">
        <v>0</v>
      </c>
      <c r="H148" s="192">
        <v>4</v>
      </c>
      <c r="I148" s="192">
        <v>10</v>
      </c>
      <c r="J148" s="193">
        <f t="shared" si="45"/>
        <v>14</v>
      </c>
      <c r="K148" s="109">
        <f t="shared" si="46"/>
        <v>53</v>
      </c>
    </row>
    <row r="149" spans="1:16" ht="21.6" thickBot="1">
      <c r="A149" s="334"/>
      <c r="B149" s="113" t="s">
        <v>9</v>
      </c>
      <c r="C149" s="111">
        <f>SUM(C142:C148)</f>
        <v>46261</v>
      </c>
      <c r="D149" s="111">
        <f t="shared" ref="D149:K149" si="47">SUM(D142:D148)</f>
        <v>53696</v>
      </c>
      <c r="E149" s="111">
        <f t="shared" si="47"/>
        <v>36810</v>
      </c>
      <c r="F149" s="111">
        <f t="shared" si="47"/>
        <v>136767</v>
      </c>
      <c r="G149" s="111">
        <f t="shared" si="47"/>
        <v>0</v>
      </c>
      <c r="H149" s="111">
        <f t="shared" si="47"/>
        <v>5876</v>
      </c>
      <c r="I149" s="111">
        <f t="shared" si="47"/>
        <v>5818</v>
      </c>
      <c r="J149" s="111">
        <f t="shared" si="47"/>
        <v>11694</v>
      </c>
      <c r="K149" s="111">
        <f t="shared" si="47"/>
        <v>148461</v>
      </c>
    </row>
    <row r="150" spans="1:16" ht="17.25" customHeight="1" thickTop="1"/>
    <row r="151" spans="1:16">
      <c r="A151" s="325" t="s">
        <v>55</v>
      </c>
      <c r="B151" s="329" t="s">
        <v>68</v>
      </c>
      <c r="C151" s="330"/>
      <c r="D151" s="330"/>
      <c r="E151" s="330"/>
      <c r="F151" s="330"/>
      <c r="G151" s="330"/>
      <c r="H151" s="330"/>
      <c r="I151" s="330"/>
      <c r="J151" s="330"/>
      <c r="K151" s="331"/>
      <c r="M151" s="339" t="s">
        <v>69</v>
      </c>
      <c r="N151" s="340"/>
      <c r="O151" s="340"/>
      <c r="P151" s="341"/>
    </row>
    <row r="152" spans="1:16" ht="21" thickBot="1">
      <c r="A152" s="326"/>
      <c r="B152" s="104"/>
      <c r="C152" s="325" t="s">
        <v>57</v>
      </c>
      <c r="D152" s="326"/>
      <c r="E152" s="326"/>
      <c r="F152" s="326"/>
      <c r="G152" s="325" t="s">
        <v>58</v>
      </c>
      <c r="H152" s="326"/>
      <c r="I152" s="326"/>
      <c r="J152" s="326"/>
      <c r="K152" s="105" t="s">
        <v>9</v>
      </c>
      <c r="M152" s="106" t="s">
        <v>3</v>
      </c>
      <c r="N152" s="105" t="s">
        <v>56</v>
      </c>
      <c r="O152" s="106" t="s">
        <v>68</v>
      </c>
      <c r="P152" s="113" t="s">
        <v>9</v>
      </c>
    </row>
    <row r="153" spans="1:16" ht="21" customHeight="1" thickTop="1">
      <c r="A153" s="332" t="s">
        <v>73</v>
      </c>
      <c r="B153" s="106" t="s">
        <v>3</v>
      </c>
      <c r="C153" s="107" t="s">
        <v>18</v>
      </c>
      <c r="D153" s="107" t="s">
        <v>19</v>
      </c>
      <c r="E153" s="107" t="s">
        <v>20</v>
      </c>
      <c r="F153" s="107" t="s">
        <v>9</v>
      </c>
      <c r="G153" s="107" t="s">
        <v>18</v>
      </c>
      <c r="H153" s="107" t="s">
        <v>19</v>
      </c>
      <c r="I153" s="107" t="s">
        <v>20</v>
      </c>
      <c r="J153" s="107" t="s">
        <v>9</v>
      </c>
      <c r="K153" s="107" t="s">
        <v>9</v>
      </c>
      <c r="M153" s="108" t="s">
        <v>60</v>
      </c>
      <c r="N153" s="159">
        <f>K139</f>
        <v>196</v>
      </c>
      <c r="O153" s="159">
        <f>K154</f>
        <v>246</v>
      </c>
      <c r="P153" s="160">
        <f>SUM(N153:O153)</f>
        <v>442</v>
      </c>
    </row>
    <row r="154" spans="1:16" ht="21">
      <c r="A154" s="333"/>
      <c r="B154" s="108" t="s">
        <v>60</v>
      </c>
      <c r="C154" s="192">
        <v>26</v>
      </c>
      <c r="D154" s="192">
        <v>115</v>
      </c>
      <c r="E154" s="192">
        <v>28</v>
      </c>
      <c r="F154" s="193">
        <f t="shared" ref="F154:F163" si="48">SUM(C154:E154)</f>
        <v>169</v>
      </c>
      <c r="G154" s="192">
        <v>4</v>
      </c>
      <c r="H154" s="192">
        <v>53</v>
      </c>
      <c r="I154" s="192">
        <v>20</v>
      </c>
      <c r="J154" s="193">
        <f>SUM(G154:I154)</f>
        <v>77</v>
      </c>
      <c r="K154" s="109">
        <f>SUM(J154,F154)</f>
        <v>246</v>
      </c>
      <c r="M154" s="106" t="s">
        <v>61</v>
      </c>
      <c r="N154" s="159">
        <f t="shared" ref="N154:N162" si="49">K140</f>
        <v>82480</v>
      </c>
      <c r="O154" s="159">
        <f t="shared" ref="O154:O162" si="50">K155</f>
        <v>95348</v>
      </c>
      <c r="P154" s="160">
        <f t="shared" ref="P154:P162" si="51">SUM(N154:O154)</f>
        <v>177828</v>
      </c>
    </row>
    <row r="155" spans="1:16" ht="21">
      <c r="A155" s="333"/>
      <c r="B155" s="106" t="s">
        <v>61</v>
      </c>
      <c r="C155" s="192">
        <v>18359</v>
      </c>
      <c r="D155" s="192">
        <v>49251</v>
      </c>
      <c r="E155" s="192">
        <v>7324</v>
      </c>
      <c r="F155" s="193">
        <f t="shared" si="48"/>
        <v>74934</v>
      </c>
      <c r="G155" s="192">
        <v>2261</v>
      </c>
      <c r="H155" s="192">
        <v>14408</v>
      </c>
      <c r="I155" s="192">
        <v>3745</v>
      </c>
      <c r="J155" s="193">
        <f t="shared" ref="J155:J163" si="52">SUM(G155:I155)</f>
        <v>20414</v>
      </c>
      <c r="K155" s="109">
        <f>SUM(J155,F155)</f>
        <v>95348</v>
      </c>
      <c r="M155" s="106" t="s">
        <v>62</v>
      </c>
      <c r="N155" s="159">
        <f t="shared" si="49"/>
        <v>0</v>
      </c>
      <c r="O155" s="159">
        <f t="shared" si="50"/>
        <v>0</v>
      </c>
      <c r="P155" s="160">
        <f t="shared" si="51"/>
        <v>0</v>
      </c>
    </row>
    <row r="156" spans="1:16" ht="21.6" thickBot="1">
      <c r="A156" s="333"/>
      <c r="B156" s="106" t="s">
        <v>62</v>
      </c>
      <c r="C156" s="192">
        <v>0</v>
      </c>
      <c r="D156" s="192">
        <v>0</v>
      </c>
      <c r="E156" s="192">
        <v>0</v>
      </c>
      <c r="F156" s="193">
        <f t="shared" si="48"/>
        <v>0</v>
      </c>
      <c r="G156" s="192">
        <v>0</v>
      </c>
      <c r="H156" s="192">
        <v>0</v>
      </c>
      <c r="I156" s="192">
        <v>0</v>
      </c>
      <c r="J156" s="193">
        <f t="shared" si="52"/>
        <v>0</v>
      </c>
      <c r="K156" s="109">
        <f>SUM(J156,F156)</f>
        <v>0</v>
      </c>
      <c r="M156" s="110" t="s">
        <v>9</v>
      </c>
      <c r="N156" s="160">
        <f t="shared" si="49"/>
        <v>82480</v>
      </c>
      <c r="O156" s="160">
        <f t="shared" si="50"/>
        <v>95348</v>
      </c>
      <c r="P156" s="161">
        <f t="shared" si="51"/>
        <v>177828</v>
      </c>
    </row>
    <row r="157" spans="1:16" ht="22.2" thickTop="1" thickBot="1">
      <c r="A157" s="333"/>
      <c r="B157" s="110" t="s">
        <v>9</v>
      </c>
      <c r="C157" s="2">
        <f>SUM(C155:C156)</f>
        <v>18359</v>
      </c>
      <c r="D157" s="2">
        <f>SUM(D155:D156)</f>
        <v>49251</v>
      </c>
      <c r="E157" s="2">
        <f>SUM(E155:E156)</f>
        <v>7324</v>
      </c>
      <c r="F157" s="2">
        <f t="shared" si="48"/>
        <v>74934</v>
      </c>
      <c r="G157" s="2">
        <f>SUM(G155:G156)</f>
        <v>2261</v>
      </c>
      <c r="H157" s="2">
        <f>SUM(H155:H156)</f>
        <v>14408</v>
      </c>
      <c r="I157" s="2">
        <f>SUM(I155:I156)</f>
        <v>3745</v>
      </c>
      <c r="J157" s="2">
        <f>SUM(J155:J156)</f>
        <v>20414</v>
      </c>
      <c r="K157" s="111">
        <f>SUM(K155:K156)</f>
        <v>95348</v>
      </c>
      <c r="M157" s="112" t="s">
        <v>6</v>
      </c>
      <c r="N157" s="159">
        <f t="shared" si="49"/>
        <v>0</v>
      </c>
      <c r="O157" s="159">
        <f t="shared" si="50"/>
        <v>0</v>
      </c>
      <c r="P157" s="162">
        <f t="shared" si="51"/>
        <v>0</v>
      </c>
    </row>
    <row r="158" spans="1:16" ht="21.6" thickTop="1">
      <c r="A158" s="333"/>
      <c r="B158" s="112" t="s">
        <v>6</v>
      </c>
      <c r="C158" s="192">
        <v>0</v>
      </c>
      <c r="D158" s="192">
        <v>0</v>
      </c>
      <c r="E158" s="192">
        <v>0</v>
      </c>
      <c r="F158" s="193">
        <f t="shared" si="48"/>
        <v>0</v>
      </c>
      <c r="G158" s="192">
        <v>0</v>
      </c>
      <c r="H158" s="192">
        <v>0</v>
      </c>
      <c r="I158" s="192">
        <v>0</v>
      </c>
      <c r="J158" s="193">
        <f t="shared" si="52"/>
        <v>0</v>
      </c>
      <c r="K158" s="109">
        <f t="shared" ref="K158:K163" si="53">SUM(J158,F158)</f>
        <v>0</v>
      </c>
      <c r="M158" s="106" t="s">
        <v>63</v>
      </c>
      <c r="N158" s="159">
        <f t="shared" si="49"/>
        <v>52788</v>
      </c>
      <c r="O158" s="159">
        <f t="shared" si="50"/>
        <v>61023</v>
      </c>
      <c r="P158" s="162">
        <f t="shared" si="51"/>
        <v>113811</v>
      </c>
    </row>
    <row r="159" spans="1:16" ht="21">
      <c r="A159" s="333"/>
      <c r="B159" s="106" t="s">
        <v>63</v>
      </c>
      <c r="C159" s="192">
        <v>11750</v>
      </c>
      <c r="D159" s="192">
        <v>31521</v>
      </c>
      <c r="E159" s="192">
        <v>4687</v>
      </c>
      <c r="F159" s="193">
        <f t="shared" si="48"/>
        <v>47958</v>
      </c>
      <c r="G159" s="192">
        <v>1447</v>
      </c>
      <c r="H159" s="192">
        <v>9221</v>
      </c>
      <c r="I159" s="192">
        <v>2397</v>
      </c>
      <c r="J159" s="193">
        <f t="shared" si="52"/>
        <v>13065</v>
      </c>
      <c r="K159" s="109">
        <f t="shared" si="53"/>
        <v>61023</v>
      </c>
      <c r="M159" s="106" t="s">
        <v>64</v>
      </c>
      <c r="N159" s="159">
        <f t="shared" si="49"/>
        <v>44</v>
      </c>
      <c r="O159" s="159">
        <f t="shared" si="50"/>
        <v>58</v>
      </c>
      <c r="P159" s="160">
        <f t="shared" si="51"/>
        <v>102</v>
      </c>
    </row>
    <row r="160" spans="1:16" ht="21">
      <c r="A160" s="333"/>
      <c r="B160" s="106" t="s">
        <v>64</v>
      </c>
      <c r="C160" s="192">
        <v>8</v>
      </c>
      <c r="D160" s="192">
        <v>0</v>
      </c>
      <c r="E160" s="192">
        <v>0</v>
      </c>
      <c r="F160" s="193">
        <f t="shared" si="48"/>
        <v>8</v>
      </c>
      <c r="G160" s="192">
        <v>0</v>
      </c>
      <c r="H160" s="192">
        <v>50</v>
      </c>
      <c r="I160" s="192">
        <v>0</v>
      </c>
      <c r="J160" s="193">
        <f t="shared" si="52"/>
        <v>50</v>
      </c>
      <c r="K160" s="109">
        <f t="shared" si="53"/>
        <v>58</v>
      </c>
      <c r="M160" s="106" t="s">
        <v>65</v>
      </c>
      <c r="N160" s="159">
        <f t="shared" si="49"/>
        <v>9712</v>
      </c>
      <c r="O160" s="159">
        <f t="shared" si="50"/>
        <v>11592</v>
      </c>
      <c r="P160" s="160">
        <f t="shared" si="51"/>
        <v>21304</v>
      </c>
    </row>
    <row r="161" spans="1:17" ht="21">
      <c r="A161" s="333"/>
      <c r="B161" s="106" t="s">
        <v>65</v>
      </c>
      <c r="C161" s="192">
        <v>2464</v>
      </c>
      <c r="D161" s="192">
        <v>5955</v>
      </c>
      <c r="E161" s="192">
        <v>786</v>
      </c>
      <c r="F161" s="193">
        <f t="shared" si="48"/>
        <v>9205</v>
      </c>
      <c r="G161" s="192">
        <v>227</v>
      </c>
      <c r="H161" s="192">
        <v>1732</v>
      </c>
      <c r="I161" s="192">
        <v>428</v>
      </c>
      <c r="J161" s="193">
        <f t="shared" si="52"/>
        <v>2387</v>
      </c>
      <c r="K161" s="109">
        <f t="shared" si="53"/>
        <v>11592</v>
      </c>
      <c r="M161" s="106" t="s">
        <v>66</v>
      </c>
      <c r="N161" s="159">
        <f t="shared" si="49"/>
        <v>3384</v>
      </c>
      <c r="O161" s="159">
        <f t="shared" si="50"/>
        <v>4892</v>
      </c>
      <c r="P161" s="160">
        <f t="shared" si="51"/>
        <v>8276</v>
      </c>
    </row>
    <row r="162" spans="1:17" ht="21">
      <c r="A162" s="333"/>
      <c r="B162" s="106" t="s">
        <v>66</v>
      </c>
      <c r="C162" s="192">
        <v>518</v>
      </c>
      <c r="D162" s="192">
        <v>2098</v>
      </c>
      <c r="E162" s="192">
        <v>454</v>
      </c>
      <c r="F162" s="193">
        <f t="shared" si="48"/>
        <v>3070</v>
      </c>
      <c r="G162" s="192">
        <v>64</v>
      </c>
      <c r="H162" s="192">
        <v>1433</v>
      </c>
      <c r="I162" s="192">
        <v>325</v>
      </c>
      <c r="J162" s="193">
        <f t="shared" si="52"/>
        <v>1822</v>
      </c>
      <c r="K162" s="109">
        <f t="shared" si="53"/>
        <v>4892</v>
      </c>
      <c r="M162" s="106" t="s">
        <v>67</v>
      </c>
      <c r="N162" s="159">
        <f t="shared" si="49"/>
        <v>53</v>
      </c>
      <c r="O162" s="159">
        <f t="shared" si="50"/>
        <v>30</v>
      </c>
      <c r="P162" s="160">
        <f t="shared" si="51"/>
        <v>83</v>
      </c>
    </row>
    <row r="163" spans="1:17" ht="21.6" thickBot="1">
      <c r="A163" s="333"/>
      <c r="B163" s="106" t="s">
        <v>67</v>
      </c>
      <c r="C163" s="192">
        <v>0</v>
      </c>
      <c r="D163" s="192">
        <v>0</v>
      </c>
      <c r="E163" s="192">
        <v>18</v>
      </c>
      <c r="F163" s="193">
        <f t="shared" si="48"/>
        <v>18</v>
      </c>
      <c r="G163" s="192">
        <v>0</v>
      </c>
      <c r="H163" s="192">
        <v>0</v>
      </c>
      <c r="I163" s="192">
        <v>12</v>
      </c>
      <c r="J163" s="193">
        <f t="shared" si="52"/>
        <v>12</v>
      </c>
      <c r="K163" s="109">
        <f t="shared" si="53"/>
        <v>30</v>
      </c>
      <c r="M163" s="113" t="s">
        <v>9</v>
      </c>
      <c r="N163" s="161">
        <f>SUM(N156:N162)</f>
        <v>148461</v>
      </c>
      <c r="O163" s="161">
        <f>SUM(O156:O162)</f>
        <v>172943</v>
      </c>
      <c r="P163" s="161">
        <f>SUM(P156:P162)</f>
        <v>321404</v>
      </c>
    </row>
    <row r="164" spans="1:17" ht="22.2" thickTop="1" thickBot="1">
      <c r="A164" s="334"/>
      <c r="B164" s="113" t="s">
        <v>9</v>
      </c>
      <c r="C164" s="111">
        <f>SUM(C157:C163)</f>
        <v>33099</v>
      </c>
      <c r="D164" s="111">
        <f t="shared" ref="D164:K164" si="54">SUM(D157:D163)</f>
        <v>88825</v>
      </c>
      <c r="E164" s="111">
        <f t="shared" si="54"/>
        <v>13269</v>
      </c>
      <c r="F164" s="111">
        <f t="shared" si="54"/>
        <v>135193</v>
      </c>
      <c r="G164" s="111">
        <f t="shared" si="54"/>
        <v>3999</v>
      </c>
      <c r="H164" s="111">
        <f t="shared" si="54"/>
        <v>26844</v>
      </c>
      <c r="I164" s="111">
        <f t="shared" si="54"/>
        <v>6907</v>
      </c>
      <c r="J164" s="111">
        <f t="shared" si="54"/>
        <v>37750</v>
      </c>
      <c r="K164" s="111">
        <f t="shared" si="54"/>
        <v>172943</v>
      </c>
    </row>
    <row r="165" spans="1:17" ht="21.6" thickTop="1">
      <c r="A165" s="117"/>
      <c r="B165" s="18"/>
      <c r="C165" s="17"/>
      <c r="D165" s="17"/>
      <c r="E165" s="17"/>
      <c r="F165" s="17"/>
      <c r="G165" s="17"/>
      <c r="H165" s="17"/>
      <c r="I165" s="17"/>
      <c r="J165" s="17"/>
      <c r="K165" s="17"/>
    </row>
    <row r="166" spans="1:17">
      <c r="A166" s="335" t="s">
        <v>156</v>
      </c>
      <c r="B166" s="336"/>
      <c r="C166" s="336"/>
      <c r="D166" s="336"/>
      <c r="E166" s="336"/>
      <c r="F166" s="336"/>
      <c r="G166" s="336"/>
      <c r="H166" s="336"/>
      <c r="I166" s="336"/>
      <c r="J166" s="336"/>
      <c r="K166" s="336"/>
      <c r="L166" s="336"/>
      <c r="M166" s="336"/>
      <c r="N166" s="336"/>
      <c r="O166" s="336"/>
      <c r="P166" s="336"/>
    </row>
    <row r="167" spans="1:17" ht="24" customHeight="1">
      <c r="A167" s="337" t="s">
        <v>17</v>
      </c>
      <c r="B167" s="338"/>
      <c r="C167" s="338"/>
      <c r="D167" s="338"/>
      <c r="E167" s="338"/>
      <c r="F167" s="338"/>
      <c r="G167" s="338"/>
      <c r="H167" s="338"/>
      <c r="I167" s="338"/>
      <c r="J167" s="338"/>
      <c r="K167" s="338"/>
      <c r="L167" s="338"/>
      <c r="M167" s="338"/>
      <c r="N167" s="338"/>
      <c r="O167" s="338"/>
      <c r="P167" s="338"/>
      <c r="Q167" s="103"/>
    </row>
    <row r="168" spans="1:17" ht="21" customHeight="1">
      <c r="A168" s="327" t="s">
        <v>2</v>
      </c>
      <c r="B168" s="328"/>
      <c r="C168" s="328"/>
      <c r="D168" s="328"/>
      <c r="E168" s="328"/>
      <c r="F168" s="328"/>
      <c r="G168" s="328"/>
      <c r="H168" s="328"/>
      <c r="I168" s="328"/>
      <c r="J168" s="328"/>
      <c r="K168" s="328"/>
    </row>
    <row r="169" spans="1:17">
      <c r="A169" s="325" t="s">
        <v>55</v>
      </c>
      <c r="B169" s="329" t="s">
        <v>56</v>
      </c>
      <c r="C169" s="330"/>
      <c r="D169" s="330"/>
      <c r="E169" s="330"/>
      <c r="F169" s="330"/>
      <c r="G169" s="330"/>
      <c r="H169" s="330"/>
      <c r="I169" s="330"/>
      <c r="J169" s="330"/>
      <c r="K169" s="331"/>
    </row>
    <row r="170" spans="1:17">
      <c r="A170" s="326"/>
      <c r="B170" s="104"/>
      <c r="C170" s="325" t="s">
        <v>57</v>
      </c>
      <c r="D170" s="326"/>
      <c r="E170" s="326"/>
      <c r="F170" s="326"/>
      <c r="G170" s="325" t="s">
        <v>58</v>
      </c>
      <c r="H170" s="326"/>
      <c r="I170" s="326"/>
      <c r="J170" s="326"/>
      <c r="K170" s="105" t="s">
        <v>9</v>
      </c>
    </row>
    <row r="171" spans="1:17">
      <c r="A171" s="332" t="s">
        <v>74</v>
      </c>
      <c r="B171" s="106" t="s">
        <v>3</v>
      </c>
      <c r="C171" s="107" t="s">
        <v>18</v>
      </c>
      <c r="D171" s="107" t="s">
        <v>19</v>
      </c>
      <c r="E171" s="107" t="s">
        <v>20</v>
      </c>
      <c r="F171" s="107" t="s">
        <v>9</v>
      </c>
      <c r="G171" s="107" t="s">
        <v>18</v>
      </c>
      <c r="H171" s="107" t="s">
        <v>19</v>
      </c>
      <c r="I171" s="107" t="s">
        <v>20</v>
      </c>
      <c r="J171" s="107" t="s">
        <v>9</v>
      </c>
      <c r="K171" s="107" t="s">
        <v>9</v>
      </c>
    </row>
    <row r="172" spans="1:17" ht="21">
      <c r="A172" s="333"/>
      <c r="B172" s="108" t="s">
        <v>60</v>
      </c>
      <c r="C172" s="192">
        <v>21</v>
      </c>
      <c r="D172" s="192">
        <v>73</v>
      </c>
      <c r="E172" s="192">
        <v>34</v>
      </c>
      <c r="F172" s="193">
        <f t="shared" ref="F172:F181" si="55">SUM(C172:E172)</f>
        <v>128</v>
      </c>
      <c r="G172" s="192">
        <v>2</v>
      </c>
      <c r="H172" s="192">
        <v>19</v>
      </c>
      <c r="I172" s="192">
        <v>12</v>
      </c>
      <c r="J172" s="193">
        <f>SUM(G172:I172)</f>
        <v>33</v>
      </c>
      <c r="K172" s="109">
        <f>SUM(J172,F172)</f>
        <v>161</v>
      </c>
    </row>
    <row r="173" spans="1:17" ht="21">
      <c r="A173" s="333"/>
      <c r="B173" s="106" t="s">
        <v>61</v>
      </c>
      <c r="C173" s="192">
        <v>20232</v>
      </c>
      <c r="D173" s="192">
        <v>36824</v>
      </c>
      <c r="E173" s="192">
        <v>15126</v>
      </c>
      <c r="F173" s="193">
        <f t="shared" si="55"/>
        <v>72182</v>
      </c>
      <c r="G173" s="192">
        <v>1728</v>
      </c>
      <c r="H173" s="192">
        <v>6005</v>
      </c>
      <c r="I173" s="192">
        <v>4176</v>
      </c>
      <c r="J173" s="193">
        <f t="shared" ref="J173:J181" si="56">SUM(G173:I173)</f>
        <v>11909</v>
      </c>
      <c r="K173" s="109">
        <f>SUM(J173,F173)</f>
        <v>84091</v>
      </c>
    </row>
    <row r="174" spans="1:17" ht="21">
      <c r="A174" s="333"/>
      <c r="B174" s="106" t="s">
        <v>62</v>
      </c>
      <c r="C174" s="192">
        <v>0</v>
      </c>
      <c r="D174" s="192">
        <v>0</v>
      </c>
      <c r="E174" s="192">
        <v>0</v>
      </c>
      <c r="F174" s="193">
        <f t="shared" si="55"/>
        <v>0</v>
      </c>
      <c r="G174" s="192">
        <v>0</v>
      </c>
      <c r="H174" s="192">
        <v>0</v>
      </c>
      <c r="I174" s="192">
        <v>0</v>
      </c>
      <c r="J174" s="193">
        <f t="shared" si="56"/>
        <v>0</v>
      </c>
      <c r="K174" s="109">
        <f>SUM(J174,F174)</f>
        <v>0</v>
      </c>
    </row>
    <row r="175" spans="1:17" ht="21.6" thickBot="1">
      <c r="A175" s="333"/>
      <c r="B175" s="110" t="s">
        <v>9</v>
      </c>
      <c r="C175" s="2">
        <f>SUM(C173:C174)</f>
        <v>20232</v>
      </c>
      <c r="D175" s="2">
        <f>SUM(D173:D174)</f>
        <v>36824</v>
      </c>
      <c r="E175" s="2">
        <f>SUM(E173:E174)</f>
        <v>15126</v>
      </c>
      <c r="F175" s="2">
        <f t="shared" si="55"/>
        <v>72182</v>
      </c>
      <c r="G175" s="2">
        <f>SUM(G173:G174)</f>
        <v>1728</v>
      </c>
      <c r="H175" s="2">
        <f>SUM(H173:H174)</f>
        <v>6005</v>
      </c>
      <c r="I175" s="2">
        <f>SUM(I173:I174)</f>
        <v>4176</v>
      </c>
      <c r="J175" s="2">
        <f>SUM(J173:J174)</f>
        <v>11909</v>
      </c>
      <c r="K175" s="111">
        <f>SUM(K173:K174)</f>
        <v>84091</v>
      </c>
    </row>
    <row r="176" spans="1:17" ht="21.6" thickTop="1">
      <c r="A176" s="333"/>
      <c r="B176" s="112" t="s">
        <v>6</v>
      </c>
      <c r="C176" s="192">
        <v>0</v>
      </c>
      <c r="D176" s="192">
        <v>0</v>
      </c>
      <c r="E176" s="192">
        <v>0</v>
      </c>
      <c r="F176" s="193">
        <f t="shared" si="55"/>
        <v>0</v>
      </c>
      <c r="G176" s="192">
        <v>0</v>
      </c>
      <c r="H176" s="192">
        <v>0</v>
      </c>
      <c r="I176" s="192">
        <v>0</v>
      </c>
      <c r="J176" s="193">
        <f t="shared" si="56"/>
        <v>0</v>
      </c>
      <c r="K176" s="109">
        <f t="shared" ref="K176:K181" si="57">SUM(J176,F176)</f>
        <v>0</v>
      </c>
    </row>
    <row r="177" spans="1:16" ht="21">
      <c r="A177" s="333"/>
      <c r="B177" s="106" t="s">
        <v>63</v>
      </c>
      <c r="C177" s="192">
        <v>12949</v>
      </c>
      <c r="D177" s="192">
        <v>23567</v>
      </c>
      <c r="E177" s="192">
        <v>9681</v>
      </c>
      <c r="F177" s="193">
        <f t="shared" si="55"/>
        <v>46197</v>
      </c>
      <c r="G177" s="192">
        <v>1106</v>
      </c>
      <c r="H177" s="192">
        <v>3843</v>
      </c>
      <c r="I177" s="192">
        <v>2672</v>
      </c>
      <c r="J177" s="193">
        <f t="shared" si="56"/>
        <v>7621</v>
      </c>
      <c r="K177" s="109">
        <f t="shared" si="57"/>
        <v>53818</v>
      </c>
    </row>
    <row r="178" spans="1:16" ht="21">
      <c r="A178" s="333"/>
      <c r="B178" s="106" t="s">
        <v>64</v>
      </c>
      <c r="C178" s="192">
        <v>0</v>
      </c>
      <c r="D178" s="192">
        <v>0</v>
      </c>
      <c r="E178" s="192">
        <v>0</v>
      </c>
      <c r="F178" s="193">
        <f t="shared" si="55"/>
        <v>0</v>
      </c>
      <c r="G178" s="192">
        <v>0</v>
      </c>
      <c r="H178" s="192">
        <v>0</v>
      </c>
      <c r="I178" s="192">
        <v>0</v>
      </c>
      <c r="J178" s="193">
        <f t="shared" si="56"/>
        <v>0</v>
      </c>
      <c r="K178" s="109">
        <f t="shared" si="57"/>
        <v>0</v>
      </c>
    </row>
    <row r="179" spans="1:16" ht="21">
      <c r="A179" s="333"/>
      <c r="B179" s="106" t="s">
        <v>65</v>
      </c>
      <c r="C179" s="192">
        <v>1735</v>
      </c>
      <c r="D179" s="192">
        <v>3682</v>
      </c>
      <c r="E179" s="192">
        <v>1513</v>
      </c>
      <c r="F179" s="193">
        <f t="shared" si="55"/>
        <v>6930</v>
      </c>
      <c r="G179" s="192">
        <v>173</v>
      </c>
      <c r="H179" s="192">
        <v>601</v>
      </c>
      <c r="I179" s="192">
        <v>417</v>
      </c>
      <c r="J179" s="193">
        <f t="shared" si="56"/>
        <v>1191</v>
      </c>
      <c r="K179" s="109">
        <f t="shared" si="57"/>
        <v>8121</v>
      </c>
    </row>
    <row r="180" spans="1:16" ht="21">
      <c r="A180" s="333"/>
      <c r="B180" s="106" t="s">
        <v>66</v>
      </c>
      <c r="C180" s="192">
        <v>195</v>
      </c>
      <c r="D180" s="192">
        <v>1182</v>
      </c>
      <c r="E180" s="192">
        <v>551</v>
      </c>
      <c r="F180" s="193">
        <f t="shared" si="55"/>
        <v>1928</v>
      </c>
      <c r="G180" s="192">
        <v>32</v>
      </c>
      <c r="H180" s="192">
        <v>307</v>
      </c>
      <c r="I180" s="192">
        <v>194</v>
      </c>
      <c r="J180" s="193">
        <f t="shared" si="56"/>
        <v>533</v>
      </c>
      <c r="K180" s="109">
        <f t="shared" si="57"/>
        <v>2461</v>
      </c>
    </row>
    <row r="181" spans="1:16" ht="21">
      <c r="A181" s="333"/>
      <c r="B181" s="106" t="s">
        <v>67</v>
      </c>
      <c r="C181" s="192">
        <v>0</v>
      </c>
      <c r="D181" s="192">
        <v>0</v>
      </c>
      <c r="E181" s="192">
        <v>0</v>
      </c>
      <c r="F181" s="193">
        <f t="shared" si="55"/>
        <v>0</v>
      </c>
      <c r="G181" s="192">
        <v>0</v>
      </c>
      <c r="H181" s="192">
        <v>0</v>
      </c>
      <c r="I181" s="192">
        <v>0</v>
      </c>
      <c r="J181" s="193">
        <f t="shared" si="56"/>
        <v>0</v>
      </c>
      <c r="K181" s="109">
        <f t="shared" si="57"/>
        <v>0</v>
      </c>
    </row>
    <row r="182" spans="1:16" ht="21.6" thickBot="1">
      <c r="A182" s="334"/>
      <c r="B182" s="113" t="s">
        <v>9</v>
      </c>
      <c r="C182" s="111">
        <f>SUM(C175:C181)</f>
        <v>35111</v>
      </c>
      <c r="D182" s="111">
        <f t="shared" ref="D182:K182" si="58">SUM(D175:D181)</f>
        <v>65255</v>
      </c>
      <c r="E182" s="111">
        <f t="shared" si="58"/>
        <v>26871</v>
      </c>
      <c r="F182" s="111">
        <f t="shared" si="58"/>
        <v>127237</v>
      </c>
      <c r="G182" s="111">
        <f t="shared" si="58"/>
        <v>3039</v>
      </c>
      <c r="H182" s="111">
        <f t="shared" si="58"/>
        <v>10756</v>
      </c>
      <c r="I182" s="111">
        <f t="shared" si="58"/>
        <v>7459</v>
      </c>
      <c r="J182" s="111">
        <f t="shared" si="58"/>
        <v>21254</v>
      </c>
      <c r="K182" s="111">
        <f t="shared" si="58"/>
        <v>148491</v>
      </c>
    </row>
    <row r="183" spans="1:16" ht="17.25" customHeight="1" thickTop="1"/>
    <row r="184" spans="1:16">
      <c r="A184" s="325" t="s">
        <v>55</v>
      </c>
      <c r="B184" s="329" t="s">
        <v>68</v>
      </c>
      <c r="C184" s="330"/>
      <c r="D184" s="330"/>
      <c r="E184" s="330"/>
      <c r="F184" s="330"/>
      <c r="G184" s="330"/>
      <c r="H184" s="330"/>
      <c r="I184" s="330"/>
      <c r="J184" s="330"/>
      <c r="K184" s="331"/>
      <c r="M184" s="339" t="s">
        <v>69</v>
      </c>
      <c r="N184" s="340"/>
      <c r="O184" s="340"/>
      <c r="P184" s="341"/>
    </row>
    <row r="185" spans="1:16" ht="21" thickBot="1">
      <c r="A185" s="326"/>
      <c r="B185" s="104"/>
      <c r="C185" s="325" t="s">
        <v>57</v>
      </c>
      <c r="D185" s="326"/>
      <c r="E185" s="326"/>
      <c r="F185" s="326"/>
      <c r="G185" s="325" t="s">
        <v>58</v>
      </c>
      <c r="H185" s="326"/>
      <c r="I185" s="326"/>
      <c r="J185" s="326"/>
      <c r="K185" s="105" t="s">
        <v>9</v>
      </c>
      <c r="M185" s="106" t="s">
        <v>3</v>
      </c>
      <c r="N185" s="106" t="s">
        <v>56</v>
      </c>
      <c r="O185" s="106" t="s">
        <v>68</v>
      </c>
      <c r="P185" s="113" t="s">
        <v>9</v>
      </c>
    </row>
    <row r="186" spans="1:16" ht="21" customHeight="1" thickTop="1">
      <c r="A186" s="332" t="s">
        <v>74</v>
      </c>
      <c r="B186" s="106" t="s">
        <v>3</v>
      </c>
      <c r="C186" s="107" t="s">
        <v>18</v>
      </c>
      <c r="D186" s="107" t="s">
        <v>19</v>
      </c>
      <c r="E186" s="107" t="s">
        <v>20</v>
      </c>
      <c r="F186" s="107" t="s">
        <v>9</v>
      </c>
      <c r="G186" s="107" t="s">
        <v>18</v>
      </c>
      <c r="H186" s="107" t="s">
        <v>19</v>
      </c>
      <c r="I186" s="107" t="s">
        <v>20</v>
      </c>
      <c r="J186" s="107" t="s">
        <v>9</v>
      </c>
      <c r="K186" s="107" t="s">
        <v>9</v>
      </c>
      <c r="M186" s="108" t="s">
        <v>60</v>
      </c>
      <c r="N186" s="159">
        <f>K172</f>
        <v>161</v>
      </c>
      <c r="O186" s="159">
        <f>K187</f>
        <v>198</v>
      </c>
      <c r="P186" s="160">
        <f>SUM(N186:O186)</f>
        <v>359</v>
      </c>
    </row>
    <row r="187" spans="1:16" ht="21">
      <c r="A187" s="333"/>
      <c r="B187" s="108" t="s">
        <v>60</v>
      </c>
      <c r="C187" s="192">
        <v>18</v>
      </c>
      <c r="D187" s="192">
        <v>116</v>
      </c>
      <c r="E187" s="192">
        <v>22</v>
      </c>
      <c r="F187" s="193">
        <f t="shared" ref="F187:F195" si="59">SUM(C187:E187)</f>
        <v>156</v>
      </c>
      <c r="G187" s="192">
        <v>2</v>
      </c>
      <c r="H187" s="192">
        <v>34</v>
      </c>
      <c r="I187" s="192">
        <v>6</v>
      </c>
      <c r="J187" s="193">
        <f>SUM(G187:I187)</f>
        <v>42</v>
      </c>
      <c r="K187" s="109">
        <f>SUM(J187,F187)</f>
        <v>198</v>
      </c>
      <c r="M187" s="106" t="s">
        <v>61</v>
      </c>
      <c r="N187" s="159">
        <f t="shared" ref="N187:N195" si="60">K173</f>
        <v>84091</v>
      </c>
      <c r="O187" s="159">
        <f t="shared" ref="O187:O195" si="61">K188</f>
        <v>100595</v>
      </c>
      <c r="P187" s="160">
        <f t="shared" ref="P187:P195" si="62">SUM(N187:O187)</f>
        <v>184686</v>
      </c>
    </row>
    <row r="188" spans="1:16" ht="21">
      <c r="A188" s="333"/>
      <c r="B188" s="106" t="s">
        <v>61</v>
      </c>
      <c r="C188" s="192">
        <v>15021</v>
      </c>
      <c r="D188" s="192">
        <v>61748</v>
      </c>
      <c r="E188" s="192">
        <v>9715</v>
      </c>
      <c r="F188" s="193">
        <f t="shared" si="59"/>
        <v>86484</v>
      </c>
      <c r="G188" s="192">
        <v>1246</v>
      </c>
      <c r="H188" s="192">
        <v>11317</v>
      </c>
      <c r="I188" s="192">
        <v>1548</v>
      </c>
      <c r="J188" s="193">
        <f t="shared" ref="J188:J196" si="63">SUM(G188:I188)</f>
        <v>14111</v>
      </c>
      <c r="K188" s="109">
        <f>SUM(J188,F188)</f>
        <v>100595</v>
      </c>
      <c r="M188" s="106" t="s">
        <v>62</v>
      </c>
      <c r="N188" s="159">
        <f t="shared" si="60"/>
        <v>0</v>
      </c>
      <c r="O188" s="159">
        <f t="shared" si="61"/>
        <v>0</v>
      </c>
      <c r="P188" s="160">
        <f t="shared" si="62"/>
        <v>0</v>
      </c>
    </row>
    <row r="189" spans="1:16" ht="21.6" thickBot="1">
      <c r="A189" s="333"/>
      <c r="B189" s="106" t="s">
        <v>62</v>
      </c>
      <c r="C189" s="192">
        <v>0</v>
      </c>
      <c r="D189" s="192">
        <v>0</v>
      </c>
      <c r="E189" s="192">
        <v>0</v>
      </c>
      <c r="F189" s="193">
        <f t="shared" si="59"/>
        <v>0</v>
      </c>
      <c r="G189" s="192">
        <v>0</v>
      </c>
      <c r="H189" s="192">
        <v>0</v>
      </c>
      <c r="I189" s="192">
        <v>0</v>
      </c>
      <c r="J189" s="193">
        <f t="shared" si="63"/>
        <v>0</v>
      </c>
      <c r="K189" s="109">
        <f>SUM(J189,F189)</f>
        <v>0</v>
      </c>
      <c r="M189" s="110" t="s">
        <v>9</v>
      </c>
      <c r="N189" s="160">
        <f t="shared" si="60"/>
        <v>84091</v>
      </c>
      <c r="O189" s="160">
        <f t="shared" si="61"/>
        <v>100595</v>
      </c>
      <c r="P189" s="161">
        <f t="shared" si="62"/>
        <v>184686</v>
      </c>
    </row>
    <row r="190" spans="1:16" ht="22.2" thickTop="1" thickBot="1">
      <c r="A190" s="333"/>
      <c r="B190" s="110" t="s">
        <v>9</v>
      </c>
      <c r="C190" s="2">
        <f>SUM(C188:C189)</f>
        <v>15021</v>
      </c>
      <c r="D190" s="2">
        <f>SUM(D188:D189)</f>
        <v>61748</v>
      </c>
      <c r="E190" s="2">
        <f>SUM(E188:E189)</f>
        <v>9715</v>
      </c>
      <c r="F190" s="2">
        <f t="shared" si="59"/>
        <v>86484</v>
      </c>
      <c r="G190" s="2">
        <f>SUM(G188:G189)</f>
        <v>1246</v>
      </c>
      <c r="H190" s="2">
        <f>SUM(H188:H189)</f>
        <v>11317</v>
      </c>
      <c r="I190" s="2">
        <f>SUM(I188:I189)</f>
        <v>1548</v>
      </c>
      <c r="J190" s="2">
        <f>SUM(J188:J189)</f>
        <v>14111</v>
      </c>
      <c r="K190" s="111">
        <f>SUM(K188:K189)</f>
        <v>100595</v>
      </c>
      <c r="M190" s="112" t="s">
        <v>6</v>
      </c>
      <c r="N190" s="159">
        <f t="shared" si="60"/>
        <v>0</v>
      </c>
      <c r="O190" s="159">
        <f t="shared" si="61"/>
        <v>0</v>
      </c>
      <c r="P190" s="162">
        <f t="shared" si="62"/>
        <v>0</v>
      </c>
    </row>
    <row r="191" spans="1:16" ht="21.6" thickTop="1">
      <c r="A191" s="333"/>
      <c r="B191" s="112" t="s">
        <v>6</v>
      </c>
      <c r="C191" s="192">
        <v>0</v>
      </c>
      <c r="D191" s="192">
        <v>0</v>
      </c>
      <c r="E191" s="192">
        <v>0</v>
      </c>
      <c r="F191" s="193">
        <f t="shared" si="59"/>
        <v>0</v>
      </c>
      <c r="G191" s="192">
        <v>0</v>
      </c>
      <c r="H191" s="192">
        <v>0</v>
      </c>
      <c r="I191" s="192">
        <v>0</v>
      </c>
      <c r="J191" s="193">
        <f t="shared" si="63"/>
        <v>0</v>
      </c>
      <c r="K191" s="109">
        <f t="shared" ref="K191:K196" si="64">SUM(J191,F191)</f>
        <v>0</v>
      </c>
      <c r="M191" s="106" t="s">
        <v>63</v>
      </c>
      <c r="N191" s="159">
        <f t="shared" si="60"/>
        <v>53818</v>
      </c>
      <c r="O191" s="159">
        <f t="shared" si="61"/>
        <v>64381</v>
      </c>
      <c r="P191" s="162">
        <f t="shared" si="62"/>
        <v>118199</v>
      </c>
    </row>
    <row r="192" spans="1:16" ht="21">
      <c r="A192" s="333"/>
      <c r="B192" s="106" t="s">
        <v>63</v>
      </c>
      <c r="C192" s="192">
        <v>9613</v>
      </c>
      <c r="D192" s="192">
        <v>39519</v>
      </c>
      <c r="E192" s="192">
        <v>6217</v>
      </c>
      <c r="F192" s="193">
        <f t="shared" si="59"/>
        <v>55349</v>
      </c>
      <c r="G192" s="192">
        <v>798</v>
      </c>
      <c r="H192" s="192">
        <v>7243</v>
      </c>
      <c r="I192" s="192">
        <v>991</v>
      </c>
      <c r="J192" s="193">
        <f t="shared" si="63"/>
        <v>9032</v>
      </c>
      <c r="K192" s="109">
        <f t="shared" si="64"/>
        <v>64381</v>
      </c>
      <c r="M192" s="106" t="s">
        <v>64</v>
      </c>
      <c r="N192" s="159">
        <f t="shared" si="60"/>
        <v>0</v>
      </c>
      <c r="O192" s="159">
        <f t="shared" si="61"/>
        <v>0</v>
      </c>
      <c r="P192" s="160">
        <f t="shared" si="62"/>
        <v>0</v>
      </c>
    </row>
    <row r="193" spans="1:17" ht="21">
      <c r="A193" s="333"/>
      <c r="B193" s="106" t="s">
        <v>64</v>
      </c>
      <c r="C193" s="192">
        <v>0</v>
      </c>
      <c r="D193" s="192">
        <v>0</v>
      </c>
      <c r="E193" s="192">
        <v>0</v>
      </c>
      <c r="F193" s="193">
        <f t="shared" si="59"/>
        <v>0</v>
      </c>
      <c r="G193" s="192">
        <v>0</v>
      </c>
      <c r="H193" s="192">
        <v>0</v>
      </c>
      <c r="I193" s="192">
        <v>0</v>
      </c>
      <c r="J193" s="193">
        <f t="shared" si="63"/>
        <v>0</v>
      </c>
      <c r="K193" s="109">
        <f t="shared" si="64"/>
        <v>0</v>
      </c>
      <c r="M193" s="106" t="s">
        <v>65</v>
      </c>
      <c r="N193" s="159">
        <f t="shared" si="60"/>
        <v>8121</v>
      </c>
      <c r="O193" s="159">
        <f t="shared" si="61"/>
        <v>9919</v>
      </c>
      <c r="P193" s="160">
        <f t="shared" si="62"/>
        <v>18040</v>
      </c>
    </row>
    <row r="194" spans="1:17" ht="21">
      <c r="A194" s="333"/>
      <c r="B194" s="106" t="s">
        <v>65</v>
      </c>
      <c r="C194" s="192">
        <v>1362</v>
      </c>
      <c r="D194" s="192">
        <v>6175</v>
      </c>
      <c r="E194" s="192">
        <v>971</v>
      </c>
      <c r="F194" s="193">
        <f t="shared" si="59"/>
        <v>8508</v>
      </c>
      <c r="G194" s="192">
        <v>125</v>
      </c>
      <c r="H194" s="192">
        <v>1131</v>
      </c>
      <c r="I194" s="192">
        <v>155</v>
      </c>
      <c r="J194" s="193">
        <f t="shared" si="63"/>
        <v>1411</v>
      </c>
      <c r="K194" s="109">
        <f t="shared" si="64"/>
        <v>9919</v>
      </c>
      <c r="M194" s="106" t="s">
        <v>66</v>
      </c>
      <c r="N194" s="159">
        <f t="shared" si="60"/>
        <v>2461</v>
      </c>
      <c r="O194" s="159">
        <f t="shared" si="61"/>
        <v>3189</v>
      </c>
      <c r="P194" s="160">
        <f t="shared" si="62"/>
        <v>5650</v>
      </c>
    </row>
    <row r="195" spans="1:17" ht="21">
      <c r="A195" s="333"/>
      <c r="B195" s="106" t="s">
        <v>66</v>
      </c>
      <c r="C195" s="192">
        <v>274</v>
      </c>
      <c r="D195" s="192">
        <v>1879</v>
      </c>
      <c r="E195" s="192">
        <v>357</v>
      </c>
      <c r="F195" s="193">
        <f t="shared" si="59"/>
        <v>2510</v>
      </c>
      <c r="G195" s="192">
        <v>32</v>
      </c>
      <c r="H195" s="192">
        <v>550</v>
      </c>
      <c r="I195" s="192">
        <v>97</v>
      </c>
      <c r="J195" s="193">
        <f t="shared" si="63"/>
        <v>679</v>
      </c>
      <c r="K195" s="109">
        <f t="shared" si="64"/>
        <v>3189</v>
      </c>
      <c r="M195" s="106" t="s">
        <v>67</v>
      </c>
      <c r="N195" s="159">
        <f t="shared" si="60"/>
        <v>0</v>
      </c>
      <c r="O195" s="159">
        <f t="shared" si="61"/>
        <v>0</v>
      </c>
      <c r="P195" s="160">
        <f t="shared" si="62"/>
        <v>0</v>
      </c>
    </row>
    <row r="196" spans="1:17" ht="21.6" thickBot="1">
      <c r="A196" s="333"/>
      <c r="B196" s="106" t="s">
        <v>67</v>
      </c>
      <c r="C196" s="192">
        <v>0</v>
      </c>
      <c r="D196" s="192">
        <v>0</v>
      </c>
      <c r="E196" s="192">
        <v>0</v>
      </c>
      <c r="F196" s="193">
        <v>0</v>
      </c>
      <c r="G196" s="192">
        <v>0</v>
      </c>
      <c r="H196" s="192">
        <v>0</v>
      </c>
      <c r="I196" s="192">
        <v>0</v>
      </c>
      <c r="J196" s="193">
        <f t="shared" si="63"/>
        <v>0</v>
      </c>
      <c r="K196" s="109">
        <f t="shared" si="64"/>
        <v>0</v>
      </c>
      <c r="M196" s="113" t="s">
        <v>9</v>
      </c>
      <c r="N196" s="161">
        <f>SUM(N189:N195)</f>
        <v>148491</v>
      </c>
      <c r="O196" s="161">
        <f>SUM(O189:O195)</f>
        <v>178084</v>
      </c>
      <c r="P196" s="161">
        <f>SUM(P189:P195)</f>
        <v>326575</v>
      </c>
    </row>
    <row r="197" spans="1:17" ht="22.2" thickTop="1" thickBot="1">
      <c r="A197" s="334"/>
      <c r="B197" s="113" t="s">
        <v>9</v>
      </c>
      <c r="C197" s="111">
        <f>SUM(C190:C196)</f>
        <v>26270</v>
      </c>
      <c r="D197" s="111">
        <f t="shared" ref="D197:K197" si="65">SUM(D190:D196)</f>
        <v>109321</v>
      </c>
      <c r="E197" s="111">
        <f t="shared" si="65"/>
        <v>17260</v>
      </c>
      <c r="F197" s="111">
        <f t="shared" si="65"/>
        <v>152851</v>
      </c>
      <c r="G197" s="111">
        <f t="shared" si="65"/>
        <v>2201</v>
      </c>
      <c r="H197" s="111">
        <f t="shared" si="65"/>
        <v>20241</v>
      </c>
      <c r="I197" s="111">
        <f t="shared" si="65"/>
        <v>2791</v>
      </c>
      <c r="J197" s="111">
        <f t="shared" si="65"/>
        <v>25233</v>
      </c>
      <c r="K197" s="111">
        <f t="shared" si="65"/>
        <v>178084</v>
      </c>
    </row>
    <row r="198" spans="1:17" ht="21.6" thickTop="1">
      <c r="A198" s="117"/>
      <c r="B198" s="18"/>
      <c r="C198" s="17"/>
      <c r="D198" s="17"/>
      <c r="E198" s="17"/>
      <c r="F198" s="17"/>
      <c r="G198" s="17"/>
      <c r="H198" s="17"/>
      <c r="I198" s="17"/>
      <c r="J198" s="17"/>
      <c r="K198" s="17"/>
    </row>
    <row r="199" spans="1:17">
      <c r="A199" s="335" t="s">
        <v>156</v>
      </c>
      <c r="B199" s="336"/>
      <c r="C199" s="336"/>
      <c r="D199" s="336"/>
      <c r="E199" s="336"/>
      <c r="F199" s="336"/>
      <c r="G199" s="336"/>
      <c r="H199" s="336"/>
      <c r="I199" s="336"/>
      <c r="J199" s="336"/>
      <c r="K199" s="336"/>
      <c r="L199" s="336"/>
      <c r="M199" s="336"/>
      <c r="N199" s="336"/>
      <c r="O199" s="336"/>
      <c r="P199" s="336"/>
    </row>
    <row r="200" spans="1:17" ht="24" customHeight="1">
      <c r="A200" s="337" t="s">
        <v>17</v>
      </c>
      <c r="B200" s="338"/>
      <c r="C200" s="338"/>
      <c r="D200" s="338"/>
      <c r="E200" s="338"/>
      <c r="F200" s="338"/>
      <c r="G200" s="338"/>
      <c r="H200" s="338"/>
      <c r="I200" s="338"/>
      <c r="J200" s="338"/>
      <c r="K200" s="338"/>
      <c r="L200" s="338"/>
      <c r="M200" s="338"/>
      <c r="N200" s="338"/>
      <c r="O200" s="338"/>
      <c r="P200" s="338"/>
      <c r="Q200" s="103"/>
    </row>
    <row r="201" spans="1:17" ht="21" customHeight="1">
      <c r="A201" s="327" t="s">
        <v>2</v>
      </c>
      <c r="B201" s="328"/>
      <c r="C201" s="328"/>
      <c r="D201" s="328"/>
      <c r="E201" s="328"/>
      <c r="F201" s="328"/>
      <c r="G201" s="328"/>
      <c r="H201" s="328"/>
      <c r="I201" s="328"/>
      <c r="J201" s="328"/>
      <c r="K201" s="328"/>
    </row>
    <row r="202" spans="1:17">
      <c r="A202" s="325" t="s">
        <v>55</v>
      </c>
      <c r="B202" s="329" t="s">
        <v>56</v>
      </c>
      <c r="C202" s="330"/>
      <c r="D202" s="330"/>
      <c r="E202" s="330"/>
      <c r="F202" s="330"/>
      <c r="G202" s="330"/>
      <c r="H202" s="330"/>
      <c r="I202" s="330"/>
      <c r="J202" s="330"/>
      <c r="K202" s="331"/>
    </row>
    <row r="203" spans="1:17">
      <c r="A203" s="326"/>
      <c r="B203" s="104"/>
      <c r="C203" s="325" t="s">
        <v>57</v>
      </c>
      <c r="D203" s="326"/>
      <c r="E203" s="326"/>
      <c r="F203" s="326"/>
      <c r="G203" s="325" t="s">
        <v>58</v>
      </c>
      <c r="H203" s="326"/>
      <c r="I203" s="326"/>
      <c r="J203" s="326"/>
      <c r="K203" s="105" t="s">
        <v>9</v>
      </c>
    </row>
    <row r="204" spans="1:17">
      <c r="A204" s="332" t="s">
        <v>75</v>
      </c>
      <c r="B204" s="106" t="s">
        <v>3</v>
      </c>
      <c r="C204" s="107" t="s">
        <v>18</v>
      </c>
      <c r="D204" s="107" t="s">
        <v>19</v>
      </c>
      <c r="E204" s="107" t="s">
        <v>20</v>
      </c>
      <c r="F204" s="107" t="s">
        <v>9</v>
      </c>
      <c r="G204" s="107" t="s">
        <v>18</v>
      </c>
      <c r="H204" s="107" t="s">
        <v>19</v>
      </c>
      <c r="I204" s="107" t="s">
        <v>20</v>
      </c>
      <c r="J204" s="107" t="s">
        <v>9</v>
      </c>
      <c r="K204" s="107" t="s">
        <v>9</v>
      </c>
    </row>
    <row r="205" spans="1:17" ht="21">
      <c r="A205" s="333"/>
      <c r="B205" s="108" t="s">
        <v>60</v>
      </c>
      <c r="C205" s="192">
        <v>12</v>
      </c>
      <c r="D205" s="192">
        <v>45</v>
      </c>
      <c r="E205" s="192">
        <v>28</v>
      </c>
      <c r="F205" s="193">
        <f t="shared" ref="F205:F214" si="66">SUM(C205:E205)</f>
        <v>85</v>
      </c>
      <c r="G205" s="192">
        <v>3</v>
      </c>
      <c r="H205" s="192">
        <v>24</v>
      </c>
      <c r="I205" s="192">
        <v>15</v>
      </c>
      <c r="J205" s="193">
        <f>SUM(G205:I205)</f>
        <v>42</v>
      </c>
      <c r="K205" s="109">
        <f>SUM(J205,F205)</f>
        <v>127</v>
      </c>
    </row>
    <row r="206" spans="1:17" ht="21">
      <c r="A206" s="333"/>
      <c r="B206" s="106" t="s">
        <v>61</v>
      </c>
      <c r="C206" s="192">
        <v>10185</v>
      </c>
      <c r="D206" s="192">
        <v>20104</v>
      </c>
      <c r="E206" s="192">
        <v>9159</v>
      </c>
      <c r="F206" s="193">
        <f t="shared" si="66"/>
        <v>39448</v>
      </c>
      <c r="G206" s="192">
        <v>1912</v>
      </c>
      <c r="H206" s="192">
        <v>6182</v>
      </c>
      <c r="I206" s="192">
        <v>2648</v>
      </c>
      <c r="J206" s="193">
        <f t="shared" ref="J206:J214" si="67">SUM(G206:I206)</f>
        <v>10742</v>
      </c>
      <c r="K206" s="109">
        <f>SUM(J206,F206)</f>
        <v>50190</v>
      </c>
    </row>
    <row r="207" spans="1:17" ht="21">
      <c r="A207" s="333"/>
      <c r="B207" s="106" t="s">
        <v>62</v>
      </c>
      <c r="C207" s="192">
        <v>0</v>
      </c>
      <c r="D207" s="192">
        <v>0</v>
      </c>
      <c r="E207" s="192">
        <v>0</v>
      </c>
      <c r="F207" s="193">
        <f t="shared" si="66"/>
        <v>0</v>
      </c>
      <c r="G207" s="192">
        <v>0</v>
      </c>
      <c r="H207" s="192">
        <v>0</v>
      </c>
      <c r="I207" s="192">
        <v>0</v>
      </c>
      <c r="J207" s="193">
        <f t="shared" si="67"/>
        <v>0</v>
      </c>
      <c r="K207" s="109">
        <f>SUM(J207,F207)</f>
        <v>0</v>
      </c>
    </row>
    <row r="208" spans="1:17" ht="21.6" thickBot="1">
      <c r="A208" s="333"/>
      <c r="B208" s="110" t="s">
        <v>9</v>
      </c>
      <c r="C208" s="2">
        <f>SUM(C206:C207)</f>
        <v>10185</v>
      </c>
      <c r="D208" s="2">
        <f>SUM(D206:D207)</f>
        <v>20104</v>
      </c>
      <c r="E208" s="2">
        <f>SUM(E206:E207)</f>
        <v>9159</v>
      </c>
      <c r="F208" s="2">
        <f t="shared" si="66"/>
        <v>39448</v>
      </c>
      <c r="G208" s="2">
        <f>SUM(G206:G207)</f>
        <v>1912</v>
      </c>
      <c r="H208" s="2">
        <f>SUM(H206:H207)</f>
        <v>6182</v>
      </c>
      <c r="I208" s="2">
        <f>SUM(I206:I207)</f>
        <v>2648</v>
      </c>
      <c r="J208" s="2">
        <f>SUM(J206:J207)</f>
        <v>10742</v>
      </c>
      <c r="K208" s="111">
        <f>SUM(K206:K207)</f>
        <v>50190</v>
      </c>
    </row>
    <row r="209" spans="1:16" ht="21.6" thickTop="1">
      <c r="A209" s="333"/>
      <c r="B209" s="112" t="s">
        <v>6</v>
      </c>
      <c r="C209" s="192">
        <v>0</v>
      </c>
      <c r="D209" s="192">
        <v>0</v>
      </c>
      <c r="E209" s="192">
        <v>0</v>
      </c>
      <c r="F209" s="193">
        <f t="shared" si="66"/>
        <v>0</v>
      </c>
      <c r="G209" s="192">
        <v>0</v>
      </c>
      <c r="H209" s="192">
        <v>0</v>
      </c>
      <c r="I209" s="192">
        <v>0</v>
      </c>
      <c r="J209" s="193">
        <f t="shared" si="67"/>
        <v>0</v>
      </c>
      <c r="K209" s="109">
        <f t="shared" ref="K209:K214" si="68">SUM(J209,F209)</f>
        <v>0</v>
      </c>
    </row>
    <row r="210" spans="1:16" ht="21">
      <c r="A210" s="333"/>
      <c r="B210" s="106" t="s">
        <v>63</v>
      </c>
      <c r="C210" s="192">
        <v>6518</v>
      </c>
      <c r="D210" s="192">
        <v>12868</v>
      </c>
      <c r="E210" s="192">
        <v>5862</v>
      </c>
      <c r="F210" s="193">
        <f t="shared" si="66"/>
        <v>25248</v>
      </c>
      <c r="G210" s="192">
        <v>1224</v>
      </c>
      <c r="H210" s="192">
        <v>3956</v>
      </c>
      <c r="I210" s="192">
        <v>1695</v>
      </c>
      <c r="J210" s="193">
        <f t="shared" si="67"/>
        <v>6875</v>
      </c>
      <c r="K210" s="109">
        <f t="shared" si="68"/>
        <v>32123</v>
      </c>
    </row>
    <row r="211" spans="1:16" ht="21">
      <c r="A211" s="333"/>
      <c r="B211" s="106" t="s">
        <v>64</v>
      </c>
      <c r="C211" s="192">
        <v>0</v>
      </c>
      <c r="D211" s="192">
        <v>0</v>
      </c>
      <c r="E211" s="192">
        <v>0</v>
      </c>
      <c r="F211" s="193">
        <f t="shared" si="66"/>
        <v>0</v>
      </c>
      <c r="G211" s="192">
        <v>0</v>
      </c>
      <c r="H211" s="192">
        <v>0</v>
      </c>
      <c r="I211" s="192">
        <v>0</v>
      </c>
      <c r="J211" s="193">
        <f t="shared" si="67"/>
        <v>0</v>
      </c>
      <c r="K211" s="109">
        <f t="shared" si="68"/>
        <v>0</v>
      </c>
    </row>
    <row r="212" spans="1:16" ht="21">
      <c r="A212" s="333"/>
      <c r="B212" s="106" t="s">
        <v>65</v>
      </c>
      <c r="C212" s="192">
        <v>1019</v>
      </c>
      <c r="D212" s="192">
        <v>2011</v>
      </c>
      <c r="E212" s="192">
        <v>916</v>
      </c>
      <c r="F212" s="193">
        <f t="shared" si="66"/>
        <v>3946</v>
      </c>
      <c r="G212" s="192">
        <v>191</v>
      </c>
      <c r="H212" s="192">
        <v>618</v>
      </c>
      <c r="I212" s="192">
        <v>265</v>
      </c>
      <c r="J212" s="193">
        <f t="shared" si="67"/>
        <v>1074</v>
      </c>
      <c r="K212" s="109">
        <f t="shared" si="68"/>
        <v>5020</v>
      </c>
    </row>
    <row r="213" spans="1:16" ht="21">
      <c r="A213" s="333"/>
      <c r="B213" s="106" t="s">
        <v>66</v>
      </c>
      <c r="C213" s="192">
        <v>194</v>
      </c>
      <c r="D213" s="192">
        <v>729</v>
      </c>
      <c r="E213" s="192">
        <v>454</v>
      </c>
      <c r="F213" s="193">
        <f t="shared" si="66"/>
        <v>1377</v>
      </c>
      <c r="G213" s="192">
        <v>49</v>
      </c>
      <c r="H213" s="192">
        <v>388</v>
      </c>
      <c r="I213" s="192">
        <v>243</v>
      </c>
      <c r="J213" s="193">
        <f t="shared" si="67"/>
        <v>680</v>
      </c>
      <c r="K213" s="109">
        <f t="shared" si="68"/>
        <v>2057</v>
      </c>
    </row>
    <row r="214" spans="1:16" ht="21">
      <c r="A214" s="333"/>
      <c r="B214" s="106" t="s">
        <v>67</v>
      </c>
      <c r="C214" s="192">
        <v>2339</v>
      </c>
      <c r="D214" s="192">
        <v>4622</v>
      </c>
      <c r="E214" s="192">
        <v>2138</v>
      </c>
      <c r="F214" s="193">
        <f t="shared" si="66"/>
        <v>9099</v>
      </c>
      <c r="G214" s="192">
        <v>439</v>
      </c>
      <c r="H214" s="192">
        <v>1422</v>
      </c>
      <c r="I214" s="192">
        <v>617</v>
      </c>
      <c r="J214" s="193">
        <f t="shared" si="67"/>
        <v>2478</v>
      </c>
      <c r="K214" s="109">
        <f t="shared" si="68"/>
        <v>11577</v>
      </c>
    </row>
    <row r="215" spans="1:16" ht="21.6" thickBot="1">
      <c r="A215" s="334"/>
      <c r="B215" s="113" t="s">
        <v>9</v>
      </c>
      <c r="C215" s="111">
        <f>SUM(C208:C214)</f>
        <v>20255</v>
      </c>
      <c r="D215" s="111">
        <f t="shared" ref="D215:K215" si="69">SUM(D208:D214)</f>
        <v>40334</v>
      </c>
      <c r="E215" s="111">
        <f t="shared" si="69"/>
        <v>18529</v>
      </c>
      <c r="F215" s="111">
        <f t="shared" si="69"/>
        <v>79118</v>
      </c>
      <c r="G215" s="111">
        <f t="shared" si="69"/>
        <v>3815</v>
      </c>
      <c r="H215" s="111">
        <f t="shared" si="69"/>
        <v>12566</v>
      </c>
      <c r="I215" s="111">
        <f>SUM(I208:I214)</f>
        <v>5468</v>
      </c>
      <c r="J215" s="111">
        <f t="shared" si="69"/>
        <v>21849</v>
      </c>
      <c r="K215" s="111">
        <f t="shared" si="69"/>
        <v>100967</v>
      </c>
    </row>
    <row r="216" spans="1:16" ht="17.25" customHeight="1" thickTop="1"/>
    <row r="217" spans="1:16">
      <c r="A217" s="325" t="s">
        <v>55</v>
      </c>
      <c r="B217" s="329" t="s">
        <v>68</v>
      </c>
      <c r="C217" s="330"/>
      <c r="D217" s="330"/>
      <c r="E217" s="330"/>
      <c r="F217" s="330"/>
      <c r="G217" s="330"/>
      <c r="H217" s="330"/>
      <c r="I217" s="330"/>
      <c r="J217" s="330"/>
      <c r="K217" s="331"/>
      <c r="M217" s="339" t="s">
        <v>69</v>
      </c>
      <c r="N217" s="340"/>
      <c r="O217" s="340"/>
      <c r="P217" s="341"/>
    </row>
    <row r="218" spans="1:16" ht="21" thickBot="1">
      <c r="A218" s="326"/>
      <c r="B218" s="104"/>
      <c r="C218" s="325" t="s">
        <v>57</v>
      </c>
      <c r="D218" s="326"/>
      <c r="E218" s="326"/>
      <c r="F218" s="326"/>
      <c r="G218" s="325" t="s">
        <v>58</v>
      </c>
      <c r="H218" s="326"/>
      <c r="I218" s="326"/>
      <c r="J218" s="326"/>
      <c r="K218" s="105" t="s">
        <v>9</v>
      </c>
      <c r="M218" s="106" t="s">
        <v>3</v>
      </c>
      <c r="N218" s="106" t="s">
        <v>56</v>
      </c>
      <c r="O218" s="106" t="s">
        <v>68</v>
      </c>
      <c r="P218" s="113" t="s">
        <v>9</v>
      </c>
    </row>
    <row r="219" spans="1:16" ht="21" customHeight="1" thickTop="1">
      <c r="A219" s="332" t="s">
        <v>75</v>
      </c>
      <c r="B219" s="106" t="s">
        <v>3</v>
      </c>
      <c r="C219" s="107" t="s">
        <v>18</v>
      </c>
      <c r="D219" s="107" t="s">
        <v>19</v>
      </c>
      <c r="E219" s="107" t="s">
        <v>20</v>
      </c>
      <c r="F219" s="107" t="s">
        <v>9</v>
      </c>
      <c r="G219" s="107" t="s">
        <v>18</v>
      </c>
      <c r="H219" s="107" t="s">
        <v>19</v>
      </c>
      <c r="I219" s="107" t="s">
        <v>20</v>
      </c>
      <c r="J219" s="107" t="s">
        <v>9</v>
      </c>
      <c r="K219" s="107" t="s">
        <v>9</v>
      </c>
      <c r="M219" s="108" t="s">
        <v>60</v>
      </c>
      <c r="N219" s="159">
        <f>K205</f>
        <v>127</v>
      </c>
      <c r="O219" s="159">
        <f>K220</f>
        <v>149</v>
      </c>
      <c r="P219" s="160">
        <f>SUM(N219:O219)</f>
        <v>276</v>
      </c>
    </row>
    <row r="220" spans="1:16" ht="21">
      <c r="A220" s="333"/>
      <c r="B220" s="108" t="s">
        <v>60</v>
      </c>
      <c r="C220" s="192">
        <v>18</v>
      </c>
      <c r="D220" s="192">
        <v>58</v>
      </c>
      <c r="E220" s="192">
        <v>22</v>
      </c>
      <c r="F220" s="193">
        <f t="shared" ref="F220:F229" si="70">SUM(C220:E220)</f>
        <v>98</v>
      </c>
      <c r="G220" s="192">
        <v>4</v>
      </c>
      <c r="H220" s="192">
        <v>35</v>
      </c>
      <c r="I220" s="192">
        <v>12</v>
      </c>
      <c r="J220" s="193">
        <f>SUM(G220:I220)</f>
        <v>51</v>
      </c>
      <c r="K220" s="109">
        <f>SUM(J220,F220)</f>
        <v>149</v>
      </c>
      <c r="M220" s="106" t="s">
        <v>61</v>
      </c>
      <c r="N220" s="159">
        <f t="shared" ref="N220:N228" si="71">K206</f>
        <v>50190</v>
      </c>
      <c r="O220" s="159">
        <f t="shared" ref="O220:O228" si="72">K221</f>
        <v>66024</v>
      </c>
      <c r="P220" s="160">
        <f t="shared" ref="P220:P228" si="73">SUM(N220:O220)</f>
        <v>116214</v>
      </c>
    </row>
    <row r="221" spans="1:16" ht="21">
      <c r="A221" s="333"/>
      <c r="B221" s="106" t="s">
        <v>61</v>
      </c>
      <c r="C221" s="192">
        <v>17620</v>
      </c>
      <c r="D221" s="192">
        <v>29921</v>
      </c>
      <c r="E221" s="192">
        <v>8151</v>
      </c>
      <c r="F221" s="193">
        <f t="shared" si="70"/>
        <v>55692</v>
      </c>
      <c r="G221" s="192">
        <v>1868</v>
      </c>
      <c r="H221" s="192">
        <v>6046</v>
      </c>
      <c r="I221" s="192">
        <v>2418</v>
      </c>
      <c r="J221" s="193">
        <f t="shared" ref="J221:J229" si="74">SUM(G221:I221)</f>
        <v>10332</v>
      </c>
      <c r="K221" s="109">
        <f>SUM(J221,F221)</f>
        <v>66024</v>
      </c>
      <c r="M221" s="106" t="s">
        <v>62</v>
      </c>
      <c r="N221" s="159">
        <f t="shared" si="71"/>
        <v>0</v>
      </c>
      <c r="O221" s="159">
        <f t="shared" si="72"/>
        <v>0</v>
      </c>
      <c r="P221" s="160">
        <f t="shared" si="73"/>
        <v>0</v>
      </c>
    </row>
    <row r="222" spans="1:16" ht="21.6" thickBot="1">
      <c r="A222" s="333"/>
      <c r="B222" s="106" t="s">
        <v>62</v>
      </c>
      <c r="C222" s="192">
        <v>0</v>
      </c>
      <c r="D222" s="192">
        <v>0</v>
      </c>
      <c r="E222" s="192">
        <v>0</v>
      </c>
      <c r="F222" s="193">
        <f t="shared" si="70"/>
        <v>0</v>
      </c>
      <c r="G222" s="192">
        <v>0</v>
      </c>
      <c r="H222" s="192">
        <v>0</v>
      </c>
      <c r="I222" s="192">
        <v>0</v>
      </c>
      <c r="J222" s="193">
        <f t="shared" si="74"/>
        <v>0</v>
      </c>
      <c r="K222" s="109">
        <f>SUM(J222,F222)</f>
        <v>0</v>
      </c>
      <c r="M222" s="110" t="s">
        <v>9</v>
      </c>
      <c r="N222" s="160">
        <f t="shared" si="71"/>
        <v>50190</v>
      </c>
      <c r="O222" s="160">
        <f t="shared" si="72"/>
        <v>66024</v>
      </c>
      <c r="P222" s="161">
        <f t="shared" si="73"/>
        <v>116214</v>
      </c>
    </row>
    <row r="223" spans="1:16" ht="22.2" thickTop="1" thickBot="1">
      <c r="A223" s="333"/>
      <c r="B223" s="110" t="s">
        <v>9</v>
      </c>
      <c r="C223" s="2">
        <f>SUM(C221:C222)</f>
        <v>17620</v>
      </c>
      <c r="D223" s="2">
        <f>SUM(D221:D222)</f>
        <v>29921</v>
      </c>
      <c r="E223" s="2">
        <f>SUM(E221:E222)</f>
        <v>8151</v>
      </c>
      <c r="F223" s="2">
        <f t="shared" si="70"/>
        <v>55692</v>
      </c>
      <c r="G223" s="2">
        <f>SUM(G221:G222)</f>
        <v>1868</v>
      </c>
      <c r="H223" s="2">
        <f>SUM(H221:H222)</f>
        <v>6046</v>
      </c>
      <c r="I223" s="2">
        <f>SUM(I221:I222)</f>
        <v>2418</v>
      </c>
      <c r="J223" s="2">
        <f>SUM(J221:J222)</f>
        <v>10332</v>
      </c>
      <c r="K223" s="111">
        <f>SUM(K221:K222)</f>
        <v>66024</v>
      </c>
      <c r="M223" s="112" t="s">
        <v>6</v>
      </c>
      <c r="N223" s="159">
        <f t="shared" si="71"/>
        <v>0</v>
      </c>
      <c r="O223" s="159">
        <f t="shared" si="72"/>
        <v>0</v>
      </c>
      <c r="P223" s="162">
        <f t="shared" si="73"/>
        <v>0</v>
      </c>
    </row>
    <row r="224" spans="1:16" ht="21.6" thickTop="1">
      <c r="A224" s="333"/>
      <c r="B224" s="112" t="s">
        <v>6</v>
      </c>
      <c r="C224" s="192">
        <v>0</v>
      </c>
      <c r="D224" s="192">
        <v>0</v>
      </c>
      <c r="E224" s="192">
        <v>0</v>
      </c>
      <c r="F224" s="193">
        <f t="shared" si="70"/>
        <v>0</v>
      </c>
      <c r="G224" s="192">
        <v>0</v>
      </c>
      <c r="H224" s="192">
        <v>0</v>
      </c>
      <c r="I224" s="192">
        <v>0</v>
      </c>
      <c r="J224" s="193">
        <f t="shared" si="74"/>
        <v>0</v>
      </c>
      <c r="K224" s="109">
        <f t="shared" ref="K224:K229" si="75">SUM(J224,F224)</f>
        <v>0</v>
      </c>
      <c r="M224" s="106" t="s">
        <v>63</v>
      </c>
      <c r="N224" s="159">
        <f t="shared" si="71"/>
        <v>32123</v>
      </c>
      <c r="O224" s="159">
        <f t="shared" si="72"/>
        <v>42257</v>
      </c>
      <c r="P224" s="162">
        <f t="shared" si="73"/>
        <v>74380</v>
      </c>
    </row>
    <row r="225" spans="1:17" ht="21">
      <c r="A225" s="333"/>
      <c r="B225" s="106" t="s">
        <v>63</v>
      </c>
      <c r="C225" s="192">
        <v>11277</v>
      </c>
      <c r="D225" s="192">
        <v>19150</v>
      </c>
      <c r="E225" s="192">
        <v>5217</v>
      </c>
      <c r="F225" s="193">
        <f t="shared" si="70"/>
        <v>35644</v>
      </c>
      <c r="G225" s="192">
        <v>1195</v>
      </c>
      <c r="H225" s="192">
        <v>3870</v>
      </c>
      <c r="I225" s="192">
        <v>1548</v>
      </c>
      <c r="J225" s="193">
        <f t="shared" si="74"/>
        <v>6613</v>
      </c>
      <c r="K225" s="109">
        <f t="shared" si="75"/>
        <v>42257</v>
      </c>
      <c r="M225" s="106" t="s">
        <v>64</v>
      </c>
      <c r="N225" s="159">
        <f t="shared" si="71"/>
        <v>0</v>
      </c>
      <c r="O225" s="159">
        <f t="shared" si="72"/>
        <v>0</v>
      </c>
      <c r="P225" s="160">
        <f t="shared" si="73"/>
        <v>0</v>
      </c>
    </row>
    <row r="226" spans="1:17" ht="21">
      <c r="A226" s="333"/>
      <c r="B226" s="106" t="s">
        <v>64</v>
      </c>
      <c r="C226" s="192">
        <v>0</v>
      </c>
      <c r="D226" s="192">
        <v>0</v>
      </c>
      <c r="E226" s="192">
        <v>0</v>
      </c>
      <c r="F226" s="193">
        <f t="shared" si="70"/>
        <v>0</v>
      </c>
      <c r="G226" s="192">
        <v>0</v>
      </c>
      <c r="H226" s="192">
        <v>0</v>
      </c>
      <c r="I226" s="192">
        <v>0</v>
      </c>
      <c r="J226" s="193">
        <f t="shared" si="74"/>
        <v>0</v>
      </c>
      <c r="K226" s="109">
        <f t="shared" si="75"/>
        <v>0</v>
      </c>
      <c r="M226" s="106" t="s">
        <v>65</v>
      </c>
      <c r="N226" s="159">
        <f t="shared" si="71"/>
        <v>5020</v>
      </c>
      <c r="O226" s="159">
        <f t="shared" si="72"/>
        <v>6603</v>
      </c>
      <c r="P226" s="160">
        <f t="shared" si="73"/>
        <v>11623</v>
      </c>
    </row>
    <row r="227" spans="1:17" ht="21">
      <c r="A227" s="333"/>
      <c r="B227" s="106" t="s">
        <v>65</v>
      </c>
      <c r="C227" s="192">
        <v>1762</v>
      </c>
      <c r="D227" s="192">
        <v>2993</v>
      </c>
      <c r="E227" s="192">
        <v>815</v>
      </c>
      <c r="F227" s="193">
        <f t="shared" si="70"/>
        <v>5570</v>
      </c>
      <c r="G227" s="192">
        <v>187</v>
      </c>
      <c r="H227" s="192">
        <v>604</v>
      </c>
      <c r="I227" s="192">
        <v>242</v>
      </c>
      <c r="J227" s="193">
        <f t="shared" si="74"/>
        <v>1033</v>
      </c>
      <c r="K227" s="109">
        <f t="shared" si="75"/>
        <v>6603</v>
      </c>
      <c r="M227" s="106" t="s">
        <v>66</v>
      </c>
      <c r="N227" s="159">
        <f t="shared" si="71"/>
        <v>2057</v>
      </c>
      <c r="O227" s="159">
        <f t="shared" si="72"/>
        <v>2396</v>
      </c>
      <c r="P227" s="160">
        <f t="shared" si="73"/>
        <v>4453</v>
      </c>
    </row>
    <row r="228" spans="1:17" ht="21">
      <c r="A228" s="333"/>
      <c r="B228" s="106" t="s">
        <v>66</v>
      </c>
      <c r="C228" s="192">
        <v>292</v>
      </c>
      <c r="D228" s="192">
        <v>924</v>
      </c>
      <c r="E228" s="192">
        <v>356</v>
      </c>
      <c r="F228" s="193">
        <f t="shared" si="70"/>
        <v>1572</v>
      </c>
      <c r="G228" s="192">
        <v>47</v>
      </c>
      <c r="H228" s="192">
        <v>582</v>
      </c>
      <c r="I228" s="192">
        <v>195</v>
      </c>
      <c r="J228" s="193">
        <f t="shared" si="74"/>
        <v>824</v>
      </c>
      <c r="K228" s="109">
        <f t="shared" si="75"/>
        <v>2396</v>
      </c>
      <c r="M228" s="106" t="s">
        <v>67</v>
      </c>
      <c r="N228" s="159">
        <f t="shared" si="71"/>
        <v>11577</v>
      </c>
      <c r="O228" s="159">
        <f t="shared" si="72"/>
        <v>15204</v>
      </c>
      <c r="P228" s="160">
        <f t="shared" si="73"/>
        <v>26781</v>
      </c>
    </row>
    <row r="229" spans="1:17" ht="21.6" thickBot="1">
      <c r="A229" s="333"/>
      <c r="B229" s="106" t="s">
        <v>67</v>
      </c>
      <c r="C229" s="192">
        <v>4047</v>
      </c>
      <c r="D229" s="192">
        <v>6875</v>
      </c>
      <c r="E229" s="192">
        <v>1894</v>
      </c>
      <c r="F229" s="193">
        <f t="shared" si="70"/>
        <v>12816</v>
      </c>
      <c r="G229" s="192">
        <v>430</v>
      </c>
      <c r="H229" s="192">
        <v>1390</v>
      </c>
      <c r="I229" s="192">
        <v>568</v>
      </c>
      <c r="J229" s="193">
        <f t="shared" si="74"/>
        <v>2388</v>
      </c>
      <c r="K229" s="109">
        <f t="shared" si="75"/>
        <v>15204</v>
      </c>
      <c r="M229" s="113" t="s">
        <v>9</v>
      </c>
      <c r="N229" s="161">
        <f>SUM(N222:N228)</f>
        <v>100967</v>
      </c>
      <c r="O229" s="161">
        <f>SUM(O222:O228)</f>
        <v>132484</v>
      </c>
      <c r="P229" s="161">
        <f>SUM(P222:P228)</f>
        <v>233451</v>
      </c>
    </row>
    <row r="230" spans="1:17" ht="22.2" thickTop="1" thickBot="1">
      <c r="A230" s="334"/>
      <c r="B230" s="113" t="s">
        <v>9</v>
      </c>
      <c r="C230" s="111">
        <f>SUM(C223:C229)</f>
        <v>34998</v>
      </c>
      <c r="D230" s="111">
        <f t="shared" ref="D230:K230" si="76">SUM(D223:D229)</f>
        <v>59863</v>
      </c>
      <c r="E230" s="111">
        <f t="shared" si="76"/>
        <v>16433</v>
      </c>
      <c r="F230" s="111">
        <f t="shared" si="76"/>
        <v>111294</v>
      </c>
      <c r="G230" s="111">
        <f t="shared" si="76"/>
        <v>3727</v>
      </c>
      <c r="H230" s="111">
        <f t="shared" si="76"/>
        <v>12492</v>
      </c>
      <c r="I230" s="111">
        <f t="shared" si="76"/>
        <v>4971</v>
      </c>
      <c r="J230" s="111">
        <f t="shared" si="76"/>
        <v>21190</v>
      </c>
      <c r="K230" s="111">
        <f t="shared" si="76"/>
        <v>132484</v>
      </c>
    </row>
    <row r="231" spans="1:17" ht="21.6" thickTop="1">
      <c r="A231" s="117"/>
      <c r="B231" s="18"/>
      <c r="C231" s="17"/>
      <c r="D231" s="17"/>
      <c r="E231" s="17"/>
      <c r="F231" s="17"/>
      <c r="G231" s="17"/>
      <c r="H231" s="17"/>
      <c r="I231" s="17"/>
      <c r="J231" s="17"/>
      <c r="K231" s="17"/>
    </row>
    <row r="232" spans="1:17">
      <c r="A232" s="342" t="s">
        <v>138</v>
      </c>
      <c r="B232" s="343"/>
      <c r="C232" s="343"/>
      <c r="D232" s="343"/>
      <c r="E232" s="343"/>
      <c r="F232" s="343"/>
      <c r="G232" s="343"/>
      <c r="H232" s="343"/>
      <c r="I232" s="343"/>
      <c r="J232" s="343"/>
      <c r="K232" s="343"/>
      <c r="L232" s="343"/>
      <c r="M232" s="343"/>
      <c r="N232" s="343"/>
      <c r="O232" s="343"/>
      <c r="P232" s="343"/>
    </row>
    <row r="233" spans="1:17" ht="24" customHeight="1">
      <c r="A233" s="344" t="s">
        <v>17</v>
      </c>
      <c r="B233" s="345"/>
      <c r="C233" s="345"/>
      <c r="D233" s="345"/>
      <c r="E233" s="345"/>
      <c r="F233" s="345"/>
      <c r="G233" s="345"/>
      <c r="H233" s="345"/>
      <c r="I233" s="345"/>
      <c r="J233" s="345"/>
      <c r="K233" s="345"/>
      <c r="L233" s="345"/>
      <c r="M233" s="345"/>
      <c r="N233" s="345"/>
      <c r="O233" s="345"/>
      <c r="P233" s="345"/>
      <c r="Q233" s="103"/>
    </row>
    <row r="234" spans="1:17" ht="21" customHeight="1">
      <c r="A234" s="346" t="s">
        <v>2</v>
      </c>
      <c r="B234" s="347"/>
      <c r="C234" s="347"/>
      <c r="D234" s="347"/>
      <c r="E234" s="347"/>
      <c r="F234" s="347"/>
      <c r="G234" s="347"/>
      <c r="H234" s="347"/>
      <c r="I234" s="347"/>
      <c r="J234" s="347"/>
      <c r="K234" s="347"/>
      <c r="L234" s="21"/>
      <c r="M234" s="21"/>
      <c r="N234" s="21"/>
      <c r="O234" s="21"/>
      <c r="P234" s="21"/>
    </row>
    <row r="235" spans="1:17">
      <c r="A235" s="348" t="s">
        <v>55</v>
      </c>
      <c r="B235" s="350" t="s">
        <v>56</v>
      </c>
      <c r="C235" s="351"/>
      <c r="D235" s="351"/>
      <c r="E235" s="351"/>
      <c r="F235" s="351"/>
      <c r="G235" s="351"/>
      <c r="H235" s="351"/>
      <c r="I235" s="351"/>
      <c r="J235" s="351"/>
      <c r="K235" s="352"/>
      <c r="L235" s="21"/>
      <c r="M235" s="21"/>
      <c r="N235" s="21"/>
      <c r="O235" s="21"/>
      <c r="P235" s="21"/>
    </row>
    <row r="236" spans="1:17">
      <c r="A236" s="349"/>
      <c r="B236" s="222"/>
      <c r="C236" s="348" t="s">
        <v>57</v>
      </c>
      <c r="D236" s="349"/>
      <c r="E236" s="349"/>
      <c r="F236" s="349"/>
      <c r="G236" s="348" t="s">
        <v>58</v>
      </c>
      <c r="H236" s="349"/>
      <c r="I236" s="349"/>
      <c r="J236" s="349"/>
      <c r="K236" s="223" t="s">
        <v>9</v>
      </c>
      <c r="L236" s="21"/>
      <c r="M236" s="21"/>
      <c r="N236" s="21"/>
      <c r="O236" s="21"/>
      <c r="P236" s="21"/>
    </row>
    <row r="237" spans="1:17">
      <c r="A237" s="354" t="s">
        <v>76</v>
      </c>
      <c r="B237" s="224" t="s">
        <v>3</v>
      </c>
      <c r="C237" s="225" t="s">
        <v>18</v>
      </c>
      <c r="D237" s="225" t="s">
        <v>19</v>
      </c>
      <c r="E237" s="225" t="s">
        <v>20</v>
      </c>
      <c r="F237" s="225" t="s">
        <v>9</v>
      </c>
      <c r="G237" s="225" t="s">
        <v>18</v>
      </c>
      <c r="H237" s="225" t="s">
        <v>19</v>
      </c>
      <c r="I237" s="225" t="s">
        <v>20</v>
      </c>
      <c r="J237" s="225" t="s">
        <v>9</v>
      </c>
      <c r="K237" s="225" t="s">
        <v>9</v>
      </c>
      <c r="L237" s="21"/>
      <c r="M237" s="21"/>
      <c r="N237" s="21"/>
      <c r="O237" s="21"/>
      <c r="P237" s="21"/>
    </row>
    <row r="238" spans="1:17" ht="21">
      <c r="A238" s="355"/>
      <c r="B238" s="226" t="s">
        <v>60</v>
      </c>
      <c r="C238" s="227">
        <v>0</v>
      </c>
      <c r="D238" s="227">
        <v>0</v>
      </c>
      <c r="E238" s="227">
        <v>0</v>
      </c>
      <c r="F238" s="228">
        <f t="shared" ref="F238:F247" si="77">SUM(C238:E238)</f>
        <v>0</v>
      </c>
      <c r="G238" s="227">
        <v>0</v>
      </c>
      <c r="H238" s="227">
        <v>0</v>
      </c>
      <c r="I238" s="227">
        <v>0</v>
      </c>
      <c r="J238" s="228">
        <f>SUM(G238:I238)</f>
        <v>0</v>
      </c>
      <c r="K238" s="228">
        <f>SUM(J238,F238)</f>
        <v>0</v>
      </c>
      <c r="L238" s="21"/>
      <c r="M238" s="21"/>
      <c r="N238" s="21"/>
      <c r="O238" s="21"/>
      <c r="P238" s="21"/>
    </row>
    <row r="239" spans="1:17" ht="21">
      <c r="A239" s="355"/>
      <c r="B239" s="224" t="s">
        <v>61</v>
      </c>
      <c r="C239" s="227">
        <v>0</v>
      </c>
      <c r="D239" s="227">
        <v>0</v>
      </c>
      <c r="E239" s="227">
        <v>0</v>
      </c>
      <c r="F239" s="228">
        <f t="shared" si="77"/>
        <v>0</v>
      </c>
      <c r="G239" s="227">
        <v>0</v>
      </c>
      <c r="H239" s="227">
        <v>0</v>
      </c>
      <c r="I239" s="227">
        <v>0</v>
      </c>
      <c r="J239" s="228">
        <f t="shared" ref="J239:J247" si="78">SUM(G239:I239)</f>
        <v>0</v>
      </c>
      <c r="K239" s="228">
        <f>SUM(J239,F239)</f>
        <v>0</v>
      </c>
      <c r="L239" s="21"/>
      <c r="M239" s="21"/>
      <c r="N239" s="21"/>
      <c r="O239" s="21"/>
      <c r="P239" s="21"/>
    </row>
    <row r="240" spans="1:17" ht="21">
      <c r="A240" s="355"/>
      <c r="B240" s="224" t="s">
        <v>62</v>
      </c>
      <c r="C240" s="227">
        <v>0</v>
      </c>
      <c r="D240" s="227">
        <v>0</v>
      </c>
      <c r="E240" s="227">
        <v>0</v>
      </c>
      <c r="F240" s="228">
        <f t="shared" si="77"/>
        <v>0</v>
      </c>
      <c r="G240" s="227">
        <v>0</v>
      </c>
      <c r="H240" s="227">
        <v>0</v>
      </c>
      <c r="I240" s="227">
        <v>0</v>
      </c>
      <c r="J240" s="228">
        <f t="shared" si="78"/>
        <v>0</v>
      </c>
      <c r="K240" s="228">
        <f>SUM(J240,F240)</f>
        <v>0</v>
      </c>
      <c r="L240" s="21"/>
      <c r="M240" s="21"/>
      <c r="N240" s="21"/>
      <c r="O240" s="21"/>
      <c r="P240" s="21"/>
    </row>
    <row r="241" spans="1:16" ht="21.6" thickBot="1">
      <c r="A241" s="355"/>
      <c r="B241" s="229" t="s">
        <v>9</v>
      </c>
      <c r="C241" s="22">
        <f>SUM(C239:C240)</f>
        <v>0</v>
      </c>
      <c r="D241" s="22">
        <f>SUM(D239:D240)</f>
        <v>0</v>
      </c>
      <c r="E241" s="22">
        <f>SUM(E239:E240)</f>
        <v>0</v>
      </c>
      <c r="F241" s="22">
        <f t="shared" si="77"/>
        <v>0</v>
      </c>
      <c r="G241" s="22">
        <f>SUM(G239:G240)</f>
        <v>0</v>
      </c>
      <c r="H241" s="22">
        <f>SUM(H239:H240)</f>
        <v>0</v>
      </c>
      <c r="I241" s="22">
        <f>SUM(I239:I240)</f>
        <v>0</v>
      </c>
      <c r="J241" s="22">
        <f>SUM(J239:J240)</f>
        <v>0</v>
      </c>
      <c r="K241" s="22">
        <f>SUM(K239:K240)</f>
        <v>0</v>
      </c>
      <c r="L241" s="21"/>
      <c r="M241" s="21"/>
      <c r="N241" s="21"/>
      <c r="O241" s="21"/>
      <c r="P241" s="21"/>
    </row>
    <row r="242" spans="1:16" ht="21.6" thickTop="1">
      <c r="A242" s="355"/>
      <c r="B242" s="230" t="s">
        <v>6</v>
      </c>
      <c r="C242" s="227">
        <v>0</v>
      </c>
      <c r="D242" s="227">
        <v>0</v>
      </c>
      <c r="E242" s="227">
        <v>0</v>
      </c>
      <c r="F242" s="228">
        <f t="shared" si="77"/>
        <v>0</v>
      </c>
      <c r="G242" s="227">
        <v>0</v>
      </c>
      <c r="H242" s="227">
        <v>0</v>
      </c>
      <c r="I242" s="227">
        <v>0</v>
      </c>
      <c r="J242" s="228">
        <f t="shared" si="78"/>
        <v>0</v>
      </c>
      <c r="K242" s="228">
        <f t="shared" ref="K242:K247" si="79">SUM(J242,F242)</f>
        <v>0</v>
      </c>
      <c r="L242" s="21"/>
      <c r="M242" s="21"/>
      <c r="N242" s="21"/>
      <c r="O242" s="21"/>
      <c r="P242" s="21"/>
    </row>
    <row r="243" spans="1:16" ht="21">
      <c r="A243" s="355"/>
      <c r="B243" s="224" t="s">
        <v>63</v>
      </c>
      <c r="C243" s="227">
        <v>0</v>
      </c>
      <c r="D243" s="227">
        <v>0</v>
      </c>
      <c r="E243" s="227">
        <v>0</v>
      </c>
      <c r="F243" s="228">
        <f t="shared" si="77"/>
        <v>0</v>
      </c>
      <c r="G243" s="227">
        <v>0</v>
      </c>
      <c r="H243" s="227">
        <v>0</v>
      </c>
      <c r="I243" s="227">
        <v>0</v>
      </c>
      <c r="J243" s="228">
        <f t="shared" si="78"/>
        <v>0</v>
      </c>
      <c r="K243" s="228">
        <f t="shared" si="79"/>
        <v>0</v>
      </c>
      <c r="L243" s="21"/>
      <c r="M243" s="21"/>
      <c r="N243" s="21"/>
      <c r="O243" s="21"/>
      <c r="P243" s="21"/>
    </row>
    <row r="244" spans="1:16" ht="21">
      <c r="A244" s="355"/>
      <c r="B244" s="224" t="s">
        <v>64</v>
      </c>
      <c r="C244" s="227">
        <v>0</v>
      </c>
      <c r="D244" s="227">
        <v>0</v>
      </c>
      <c r="E244" s="227">
        <v>0</v>
      </c>
      <c r="F244" s="228">
        <f t="shared" si="77"/>
        <v>0</v>
      </c>
      <c r="G244" s="227">
        <v>0</v>
      </c>
      <c r="H244" s="227">
        <v>0</v>
      </c>
      <c r="I244" s="227">
        <v>0</v>
      </c>
      <c r="J244" s="228">
        <f t="shared" si="78"/>
        <v>0</v>
      </c>
      <c r="K244" s="228">
        <f t="shared" si="79"/>
        <v>0</v>
      </c>
      <c r="L244" s="21"/>
      <c r="M244" s="21"/>
      <c r="N244" s="21"/>
      <c r="O244" s="21"/>
      <c r="P244" s="21"/>
    </row>
    <row r="245" spans="1:16" ht="21">
      <c r="A245" s="355"/>
      <c r="B245" s="224" t="s">
        <v>65</v>
      </c>
      <c r="C245" s="227">
        <v>0</v>
      </c>
      <c r="D245" s="227">
        <v>0</v>
      </c>
      <c r="E245" s="227">
        <v>0</v>
      </c>
      <c r="F245" s="228">
        <f t="shared" si="77"/>
        <v>0</v>
      </c>
      <c r="G245" s="227">
        <v>0</v>
      </c>
      <c r="H245" s="227">
        <v>0</v>
      </c>
      <c r="I245" s="227">
        <v>0</v>
      </c>
      <c r="J245" s="228">
        <f t="shared" si="78"/>
        <v>0</v>
      </c>
      <c r="K245" s="228">
        <f t="shared" si="79"/>
        <v>0</v>
      </c>
      <c r="L245" s="21"/>
      <c r="M245" s="21"/>
      <c r="N245" s="21"/>
      <c r="O245" s="21"/>
      <c r="P245" s="21"/>
    </row>
    <row r="246" spans="1:16" ht="21">
      <c r="A246" s="355"/>
      <c r="B246" s="224" t="s">
        <v>66</v>
      </c>
      <c r="C246" s="227">
        <v>0</v>
      </c>
      <c r="D246" s="227">
        <v>0</v>
      </c>
      <c r="E246" s="227">
        <v>0</v>
      </c>
      <c r="F246" s="228">
        <f t="shared" si="77"/>
        <v>0</v>
      </c>
      <c r="G246" s="227">
        <v>0</v>
      </c>
      <c r="H246" s="227">
        <v>0</v>
      </c>
      <c r="I246" s="227">
        <v>0</v>
      </c>
      <c r="J246" s="228">
        <f t="shared" si="78"/>
        <v>0</v>
      </c>
      <c r="K246" s="228">
        <f t="shared" si="79"/>
        <v>0</v>
      </c>
      <c r="L246" s="21"/>
      <c r="M246" s="21"/>
      <c r="N246" s="21"/>
      <c r="O246" s="21"/>
      <c r="P246" s="21"/>
    </row>
    <row r="247" spans="1:16" ht="21">
      <c r="A247" s="355"/>
      <c r="B247" s="224" t="s">
        <v>67</v>
      </c>
      <c r="C247" s="227">
        <v>0</v>
      </c>
      <c r="D247" s="227">
        <v>0</v>
      </c>
      <c r="E247" s="227">
        <v>0</v>
      </c>
      <c r="F247" s="228">
        <f t="shared" si="77"/>
        <v>0</v>
      </c>
      <c r="G247" s="227">
        <v>0</v>
      </c>
      <c r="H247" s="227">
        <v>0</v>
      </c>
      <c r="I247" s="227">
        <v>0</v>
      </c>
      <c r="J247" s="228">
        <f t="shared" si="78"/>
        <v>0</v>
      </c>
      <c r="K247" s="228">
        <f t="shared" si="79"/>
        <v>0</v>
      </c>
      <c r="L247" s="21"/>
      <c r="M247" s="21"/>
      <c r="N247" s="21"/>
      <c r="O247" s="21"/>
      <c r="P247" s="21"/>
    </row>
    <row r="248" spans="1:16" ht="21.6" thickBot="1">
      <c r="A248" s="356"/>
      <c r="B248" s="23" t="s">
        <v>9</v>
      </c>
      <c r="C248" s="22">
        <f>SUM(C241:C247)</f>
        <v>0</v>
      </c>
      <c r="D248" s="22">
        <f t="shared" ref="D248:K248" si="80">SUM(D241:D247)</f>
        <v>0</v>
      </c>
      <c r="E248" s="22">
        <f t="shared" si="80"/>
        <v>0</v>
      </c>
      <c r="F248" s="22">
        <f t="shared" si="80"/>
        <v>0</v>
      </c>
      <c r="G248" s="22">
        <f t="shared" si="80"/>
        <v>0</v>
      </c>
      <c r="H248" s="22">
        <f t="shared" si="80"/>
        <v>0</v>
      </c>
      <c r="I248" s="22">
        <f t="shared" si="80"/>
        <v>0</v>
      </c>
      <c r="J248" s="22">
        <f t="shared" si="80"/>
        <v>0</v>
      </c>
      <c r="K248" s="22">
        <f t="shared" si="80"/>
        <v>0</v>
      </c>
      <c r="L248" s="21"/>
      <c r="M248" s="21"/>
      <c r="N248" s="21"/>
      <c r="O248" s="21"/>
      <c r="P248" s="21"/>
    </row>
    <row r="249" spans="1:16" ht="17.25" customHeight="1" thickTop="1">
      <c r="A249" s="21"/>
      <c r="B249" s="21"/>
      <c r="C249" s="21"/>
      <c r="D249" s="21"/>
      <c r="E249" s="21"/>
      <c r="F249" s="21"/>
      <c r="G249" s="21"/>
      <c r="H249" s="21"/>
      <c r="I249" s="21"/>
      <c r="J249" s="21"/>
      <c r="K249" s="21"/>
      <c r="L249" s="21"/>
      <c r="M249" s="21"/>
      <c r="N249" s="21"/>
      <c r="O249" s="21"/>
      <c r="P249" s="21"/>
    </row>
    <row r="250" spans="1:16">
      <c r="A250" s="348" t="s">
        <v>55</v>
      </c>
      <c r="B250" s="350" t="s">
        <v>68</v>
      </c>
      <c r="C250" s="351"/>
      <c r="D250" s="351"/>
      <c r="E250" s="351"/>
      <c r="F250" s="351"/>
      <c r="G250" s="351"/>
      <c r="H250" s="351"/>
      <c r="I250" s="351"/>
      <c r="J250" s="351"/>
      <c r="K250" s="352"/>
      <c r="L250" s="21"/>
      <c r="M250" s="357" t="s">
        <v>69</v>
      </c>
      <c r="N250" s="358"/>
      <c r="O250" s="358"/>
      <c r="P250" s="359"/>
    </row>
    <row r="251" spans="1:16" ht="21" thickBot="1">
      <c r="A251" s="349"/>
      <c r="B251" s="222"/>
      <c r="C251" s="348" t="s">
        <v>57</v>
      </c>
      <c r="D251" s="349"/>
      <c r="E251" s="349"/>
      <c r="F251" s="349"/>
      <c r="G251" s="348" t="s">
        <v>58</v>
      </c>
      <c r="H251" s="349"/>
      <c r="I251" s="349"/>
      <c r="J251" s="349"/>
      <c r="K251" s="223" t="s">
        <v>9</v>
      </c>
      <c r="L251" s="21"/>
      <c r="M251" s="224" t="s">
        <v>3</v>
      </c>
      <c r="N251" s="224" t="s">
        <v>56</v>
      </c>
      <c r="O251" s="224" t="s">
        <v>68</v>
      </c>
      <c r="P251" s="23" t="s">
        <v>9</v>
      </c>
    </row>
    <row r="252" spans="1:16" ht="21" customHeight="1" thickTop="1">
      <c r="A252" s="354" t="s">
        <v>76</v>
      </c>
      <c r="B252" s="224" t="s">
        <v>3</v>
      </c>
      <c r="C252" s="225" t="s">
        <v>18</v>
      </c>
      <c r="D252" s="225" t="s">
        <v>19</v>
      </c>
      <c r="E252" s="225" t="s">
        <v>20</v>
      </c>
      <c r="F252" s="225" t="s">
        <v>9</v>
      </c>
      <c r="G252" s="225" t="s">
        <v>18</v>
      </c>
      <c r="H252" s="225" t="s">
        <v>19</v>
      </c>
      <c r="I252" s="225" t="s">
        <v>20</v>
      </c>
      <c r="J252" s="225" t="s">
        <v>9</v>
      </c>
      <c r="K252" s="225" t="s">
        <v>9</v>
      </c>
      <c r="L252" s="21"/>
      <c r="M252" s="226" t="s">
        <v>60</v>
      </c>
      <c r="N252" s="231">
        <f>K238</f>
        <v>0</v>
      </c>
      <c r="O252" s="231">
        <f>K253</f>
        <v>0</v>
      </c>
      <c r="P252" s="232">
        <f>SUM(N252:O252)</f>
        <v>0</v>
      </c>
    </row>
    <row r="253" spans="1:16" ht="21">
      <c r="A253" s="355"/>
      <c r="B253" s="226" t="s">
        <v>60</v>
      </c>
      <c r="C253" s="227">
        <v>0</v>
      </c>
      <c r="D253" s="227">
        <v>0</v>
      </c>
      <c r="E253" s="227">
        <v>0</v>
      </c>
      <c r="F253" s="228">
        <f t="shared" ref="F253:F262" si="81">SUM(C253:E253)</f>
        <v>0</v>
      </c>
      <c r="G253" s="227">
        <v>0</v>
      </c>
      <c r="H253" s="227">
        <v>0</v>
      </c>
      <c r="I253" s="227">
        <v>0</v>
      </c>
      <c r="J253" s="228">
        <f>SUM(G253:I253)</f>
        <v>0</v>
      </c>
      <c r="K253" s="228">
        <f>SUM(J253,F253)</f>
        <v>0</v>
      </c>
      <c r="L253" s="21"/>
      <c r="M253" s="224" t="s">
        <v>61</v>
      </c>
      <c r="N253" s="231">
        <f t="shared" ref="N253:N261" si="82">K239</f>
        <v>0</v>
      </c>
      <c r="O253" s="231">
        <f t="shared" ref="O253:O261" si="83">K254</f>
        <v>0</v>
      </c>
      <c r="P253" s="232">
        <f t="shared" ref="P253:P261" si="84">SUM(N253:O253)</f>
        <v>0</v>
      </c>
    </row>
    <row r="254" spans="1:16" ht="21">
      <c r="A254" s="355"/>
      <c r="B254" s="224" t="s">
        <v>61</v>
      </c>
      <c r="C254" s="227">
        <v>0</v>
      </c>
      <c r="D254" s="227">
        <v>0</v>
      </c>
      <c r="E254" s="227">
        <v>0</v>
      </c>
      <c r="F254" s="228">
        <f t="shared" si="81"/>
        <v>0</v>
      </c>
      <c r="G254" s="227">
        <v>0</v>
      </c>
      <c r="H254" s="227">
        <v>0</v>
      </c>
      <c r="I254" s="227">
        <v>0</v>
      </c>
      <c r="J254" s="228">
        <f t="shared" ref="J254:J262" si="85">SUM(G254:I254)</f>
        <v>0</v>
      </c>
      <c r="K254" s="228">
        <f>SUM(J254,F254)</f>
        <v>0</v>
      </c>
      <c r="L254" s="21"/>
      <c r="M254" s="224" t="s">
        <v>62</v>
      </c>
      <c r="N254" s="231">
        <f t="shared" si="82"/>
        <v>0</v>
      </c>
      <c r="O254" s="231">
        <f t="shared" si="83"/>
        <v>0</v>
      </c>
      <c r="P254" s="232">
        <f t="shared" si="84"/>
        <v>0</v>
      </c>
    </row>
    <row r="255" spans="1:16" ht="21.6" thickBot="1">
      <c r="A255" s="355"/>
      <c r="B255" s="224" t="s">
        <v>62</v>
      </c>
      <c r="C255" s="227">
        <v>0</v>
      </c>
      <c r="D255" s="227">
        <v>0</v>
      </c>
      <c r="E255" s="227">
        <v>0</v>
      </c>
      <c r="F255" s="228">
        <f t="shared" si="81"/>
        <v>0</v>
      </c>
      <c r="G255" s="227">
        <v>0</v>
      </c>
      <c r="H255" s="227">
        <v>0</v>
      </c>
      <c r="I255" s="227">
        <v>0</v>
      </c>
      <c r="J255" s="228">
        <f t="shared" si="85"/>
        <v>0</v>
      </c>
      <c r="K255" s="228">
        <f>SUM(J255,F255)</f>
        <v>0</v>
      </c>
      <c r="L255" s="21"/>
      <c r="M255" s="229" t="s">
        <v>9</v>
      </c>
      <c r="N255" s="232">
        <f t="shared" si="82"/>
        <v>0</v>
      </c>
      <c r="O255" s="232">
        <f t="shared" si="83"/>
        <v>0</v>
      </c>
      <c r="P255" s="233">
        <f t="shared" si="84"/>
        <v>0</v>
      </c>
    </row>
    <row r="256" spans="1:16" ht="22.2" thickTop="1" thickBot="1">
      <c r="A256" s="355"/>
      <c r="B256" s="229" t="s">
        <v>9</v>
      </c>
      <c r="C256" s="22">
        <f>SUM(C254:C255)</f>
        <v>0</v>
      </c>
      <c r="D256" s="22">
        <f>SUM(D254:D255)</f>
        <v>0</v>
      </c>
      <c r="E256" s="22">
        <f>SUM(E254:E255)</f>
        <v>0</v>
      </c>
      <c r="F256" s="22">
        <f t="shared" si="81"/>
        <v>0</v>
      </c>
      <c r="G256" s="22">
        <f>SUM(G254:G255)</f>
        <v>0</v>
      </c>
      <c r="H256" s="22">
        <f>SUM(H254:H255)</f>
        <v>0</v>
      </c>
      <c r="I256" s="22">
        <f>SUM(I254:I255)</f>
        <v>0</v>
      </c>
      <c r="J256" s="22">
        <f>SUM(J254:J255)</f>
        <v>0</v>
      </c>
      <c r="K256" s="22">
        <f>SUM(K254:K255)</f>
        <v>0</v>
      </c>
      <c r="L256" s="21"/>
      <c r="M256" s="230" t="s">
        <v>6</v>
      </c>
      <c r="N256" s="231">
        <f t="shared" si="82"/>
        <v>0</v>
      </c>
      <c r="O256" s="231">
        <f t="shared" si="83"/>
        <v>0</v>
      </c>
      <c r="P256" s="234">
        <f t="shared" si="84"/>
        <v>0</v>
      </c>
    </row>
    <row r="257" spans="1:17" ht="21.6" thickTop="1">
      <c r="A257" s="355"/>
      <c r="B257" s="230" t="s">
        <v>6</v>
      </c>
      <c r="C257" s="227">
        <v>0</v>
      </c>
      <c r="D257" s="227">
        <v>0</v>
      </c>
      <c r="E257" s="227">
        <v>0</v>
      </c>
      <c r="F257" s="228">
        <f t="shared" si="81"/>
        <v>0</v>
      </c>
      <c r="G257" s="227">
        <v>0</v>
      </c>
      <c r="H257" s="227">
        <v>0</v>
      </c>
      <c r="I257" s="227">
        <v>0</v>
      </c>
      <c r="J257" s="228">
        <f t="shared" si="85"/>
        <v>0</v>
      </c>
      <c r="K257" s="228">
        <f t="shared" ref="K257:K262" si="86">SUM(J257,F257)</f>
        <v>0</v>
      </c>
      <c r="L257" s="21"/>
      <c r="M257" s="224" t="s">
        <v>63</v>
      </c>
      <c r="N257" s="231">
        <f t="shared" si="82"/>
        <v>0</v>
      </c>
      <c r="O257" s="231">
        <f t="shared" si="83"/>
        <v>0</v>
      </c>
      <c r="P257" s="234">
        <f t="shared" si="84"/>
        <v>0</v>
      </c>
    </row>
    <row r="258" spans="1:17" ht="21">
      <c r="A258" s="355"/>
      <c r="B258" s="224" t="s">
        <v>63</v>
      </c>
      <c r="C258" s="227">
        <v>0</v>
      </c>
      <c r="D258" s="227">
        <v>0</v>
      </c>
      <c r="E258" s="227">
        <v>0</v>
      </c>
      <c r="F258" s="228">
        <f t="shared" si="81"/>
        <v>0</v>
      </c>
      <c r="G258" s="227">
        <v>0</v>
      </c>
      <c r="H258" s="227">
        <v>0</v>
      </c>
      <c r="I258" s="227">
        <v>0</v>
      </c>
      <c r="J258" s="228">
        <f t="shared" si="85"/>
        <v>0</v>
      </c>
      <c r="K258" s="228">
        <f t="shared" si="86"/>
        <v>0</v>
      </c>
      <c r="L258" s="21"/>
      <c r="M258" s="224" t="s">
        <v>64</v>
      </c>
      <c r="N258" s="231">
        <f t="shared" si="82"/>
        <v>0</v>
      </c>
      <c r="O258" s="231">
        <f t="shared" si="83"/>
        <v>0</v>
      </c>
      <c r="P258" s="232">
        <f t="shared" si="84"/>
        <v>0</v>
      </c>
    </row>
    <row r="259" spans="1:17" ht="21">
      <c r="A259" s="355"/>
      <c r="B259" s="224" t="s">
        <v>64</v>
      </c>
      <c r="C259" s="227">
        <v>0</v>
      </c>
      <c r="D259" s="227">
        <v>0</v>
      </c>
      <c r="E259" s="227">
        <v>0</v>
      </c>
      <c r="F259" s="228">
        <f t="shared" si="81"/>
        <v>0</v>
      </c>
      <c r="G259" s="227">
        <v>0</v>
      </c>
      <c r="H259" s="227">
        <v>0</v>
      </c>
      <c r="I259" s="227">
        <v>0</v>
      </c>
      <c r="J259" s="228">
        <f t="shared" si="85"/>
        <v>0</v>
      </c>
      <c r="K259" s="228">
        <f t="shared" si="86"/>
        <v>0</v>
      </c>
      <c r="L259" s="21"/>
      <c r="M259" s="224" t="s">
        <v>65</v>
      </c>
      <c r="N259" s="231">
        <f t="shared" si="82"/>
        <v>0</v>
      </c>
      <c r="O259" s="231">
        <f t="shared" si="83"/>
        <v>0</v>
      </c>
      <c r="P259" s="232">
        <f t="shared" si="84"/>
        <v>0</v>
      </c>
    </row>
    <row r="260" spans="1:17" ht="21">
      <c r="A260" s="355"/>
      <c r="B260" s="224" t="s">
        <v>65</v>
      </c>
      <c r="C260" s="227">
        <v>0</v>
      </c>
      <c r="D260" s="227">
        <v>0</v>
      </c>
      <c r="E260" s="227">
        <v>0</v>
      </c>
      <c r="F260" s="228">
        <f t="shared" si="81"/>
        <v>0</v>
      </c>
      <c r="G260" s="227">
        <v>0</v>
      </c>
      <c r="H260" s="227">
        <v>0</v>
      </c>
      <c r="I260" s="227">
        <v>0</v>
      </c>
      <c r="J260" s="228">
        <f t="shared" si="85"/>
        <v>0</v>
      </c>
      <c r="K260" s="228">
        <f t="shared" si="86"/>
        <v>0</v>
      </c>
      <c r="L260" s="21"/>
      <c r="M260" s="224" t="s">
        <v>66</v>
      </c>
      <c r="N260" s="231">
        <f t="shared" si="82"/>
        <v>0</v>
      </c>
      <c r="O260" s="231">
        <f t="shared" si="83"/>
        <v>0</v>
      </c>
      <c r="P260" s="232">
        <f t="shared" si="84"/>
        <v>0</v>
      </c>
    </row>
    <row r="261" spans="1:17" ht="21">
      <c r="A261" s="355"/>
      <c r="B261" s="224" t="s">
        <v>66</v>
      </c>
      <c r="C261" s="227">
        <v>0</v>
      </c>
      <c r="D261" s="227">
        <v>0</v>
      </c>
      <c r="E261" s="227">
        <v>0</v>
      </c>
      <c r="F261" s="228">
        <f t="shared" si="81"/>
        <v>0</v>
      </c>
      <c r="G261" s="227">
        <v>0</v>
      </c>
      <c r="H261" s="227">
        <v>0</v>
      </c>
      <c r="I261" s="227">
        <v>0</v>
      </c>
      <c r="J261" s="228">
        <f t="shared" si="85"/>
        <v>0</v>
      </c>
      <c r="K261" s="228">
        <f t="shared" si="86"/>
        <v>0</v>
      </c>
      <c r="L261" s="21"/>
      <c r="M261" s="224" t="s">
        <v>67</v>
      </c>
      <c r="N261" s="231">
        <f t="shared" si="82"/>
        <v>0</v>
      </c>
      <c r="O261" s="231">
        <f t="shared" si="83"/>
        <v>0</v>
      </c>
      <c r="P261" s="232">
        <f t="shared" si="84"/>
        <v>0</v>
      </c>
    </row>
    <row r="262" spans="1:17" ht="21.6" thickBot="1">
      <c r="A262" s="355"/>
      <c r="B262" s="224" t="s">
        <v>67</v>
      </c>
      <c r="C262" s="227">
        <v>0</v>
      </c>
      <c r="D262" s="227">
        <v>0</v>
      </c>
      <c r="E262" s="227">
        <v>0</v>
      </c>
      <c r="F262" s="228">
        <f t="shared" si="81"/>
        <v>0</v>
      </c>
      <c r="G262" s="227">
        <v>0</v>
      </c>
      <c r="H262" s="227">
        <v>0</v>
      </c>
      <c r="I262" s="227">
        <v>0</v>
      </c>
      <c r="J262" s="228">
        <f t="shared" si="85"/>
        <v>0</v>
      </c>
      <c r="K262" s="228">
        <f t="shared" si="86"/>
        <v>0</v>
      </c>
      <c r="L262" s="21"/>
      <c r="M262" s="23" t="s">
        <v>9</v>
      </c>
      <c r="N262" s="233">
        <f>SUM(N255:N261)</f>
        <v>0</v>
      </c>
      <c r="O262" s="233">
        <f>SUM(O255:O261)</f>
        <v>0</v>
      </c>
      <c r="P262" s="233">
        <f>SUM(P255:P261)</f>
        <v>0</v>
      </c>
    </row>
    <row r="263" spans="1:17" ht="22.2" thickTop="1" thickBot="1">
      <c r="A263" s="356"/>
      <c r="B263" s="23" t="s">
        <v>9</v>
      </c>
      <c r="C263" s="22">
        <f>SUM(C256:C262)</f>
        <v>0</v>
      </c>
      <c r="D263" s="22">
        <f t="shared" ref="D263:K263" si="87">SUM(D256:D262)</f>
        <v>0</v>
      </c>
      <c r="E263" s="22">
        <f t="shared" si="87"/>
        <v>0</v>
      </c>
      <c r="F263" s="22">
        <f t="shared" si="87"/>
        <v>0</v>
      </c>
      <c r="G263" s="22">
        <f t="shared" si="87"/>
        <v>0</v>
      </c>
      <c r="H263" s="22">
        <f t="shared" si="87"/>
        <v>0</v>
      </c>
      <c r="I263" s="22">
        <f t="shared" si="87"/>
        <v>0</v>
      </c>
      <c r="J263" s="22">
        <f t="shared" si="87"/>
        <v>0</v>
      </c>
      <c r="K263" s="22">
        <f t="shared" si="87"/>
        <v>0</v>
      </c>
      <c r="L263" s="21"/>
      <c r="M263" s="21"/>
      <c r="N263" s="21"/>
      <c r="O263" s="21"/>
      <c r="P263" s="21"/>
    </row>
    <row r="264" spans="1:17" ht="21.6" thickTop="1">
      <c r="A264" s="117"/>
      <c r="B264" s="18"/>
      <c r="C264" s="17"/>
      <c r="D264" s="17"/>
      <c r="E264" s="17"/>
      <c r="F264" s="17"/>
      <c r="G264" s="17"/>
      <c r="H264" s="17"/>
      <c r="I264" s="17"/>
      <c r="J264" s="17"/>
      <c r="K264" s="17"/>
    </row>
    <row r="265" spans="1:17" ht="24.75" customHeight="1">
      <c r="A265" s="335" t="s">
        <v>156</v>
      </c>
      <c r="B265" s="336"/>
      <c r="C265" s="336"/>
      <c r="D265" s="336"/>
      <c r="E265" s="336"/>
      <c r="F265" s="336"/>
      <c r="G265" s="336"/>
      <c r="H265" s="336"/>
      <c r="I265" s="336"/>
      <c r="J265" s="336"/>
      <c r="K265" s="336"/>
      <c r="L265" s="336"/>
      <c r="M265" s="336"/>
      <c r="N265" s="336"/>
      <c r="O265" s="336"/>
      <c r="P265" s="336"/>
    </row>
    <row r="266" spans="1:17" ht="21" customHeight="1">
      <c r="A266" s="337" t="s">
        <v>17</v>
      </c>
      <c r="B266" s="338"/>
      <c r="C266" s="338"/>
      <c r="D266" s="338"/>
      <c r="E266" s="338"/>
      <c r="F266" s="338"/>
      <c r="G266" s="338"/>
      <c r="H266" s="338"/>
      <c r="I266" s="338"/>
      <c r="J266" s="338"/>
      <c r="K266" s="338"/>
      <c r="L266" s="338"/>
      <c r="M266" s="338"/>
      <c r="N266" s="338"/>
      <c r="O266" s="338"/>
      <c r="P266" s="338"/>
      <c r="Q266" s="103"/>
    </row>
    <row r="267" spans="1:17" ht="18" customHeight="1">
      <c r="A267" s="327" t="s">
        <v>2</v>
      </c>
      <c r="B267" s="328"/>
      <c r="C267" s="328"/>
      <c r="D267" s="328"/>
      <c r="E267" s="328"/>
      <c r="F267" s="328"/>
      <c r="G267" s="328"/>
      <c r="H267" s="328"/>
      <c r="I267" s="328"/>
      <c r="J267" s="328"/>
      <c r="K267" s="328"/>
    </row>
    <row r="268" spans="1:17" ht="18" customHeight="1">
      <c r="A268" s="325" t="s">
        <v>77</v>
      </c>
      <c r="B268" s="329" t="s">
        <v>56</v>
      </c>
      <c r="C268" s="330"/>
      <c r="D268" s="330"/>
      <c r="E268" s="330"/>
      <c r="F268" s="330"/>
      <c r="G268" s="330"/>
      <c r="H268" s="330"/>
      <c r="I268" s="330"/>
      <c r="J268" s="330"/>
      <c r="K268" s="331"/>
    </row>
    <row r="269" spans="1:17">
      <c r="A269" s="326"/>
      <c r="B269" s="104"/>
      <c r="C269" s="325" t="s">
        <v>57</v>
      </c>
      <c r="D269" s="326"/>
      <c r="E269" s="326"/>
      <c r="F269" s="326"/>
      <c r="G269" s="325" t="s">
        <v>58</v>
      </c>
      <c r="H269" s="326"/>
      <c r="I269" s="326"/>
      <c r="J269" s="326"/>
      <c r="K269" s="105" t="s">
        <v>9</v>
      </c>
    </row>
    <row r="270" spans="1:17">
      <c r="A270" s="332" t="s">
        <v>53</v>
      </c>
      <c r="B270" s="106" t="s">
        <v>3</v>
      </c>
      <c r="C270" s="107" t="s">
        <v>18</v>
      </c>
      <c r="D270" s="107" t="s">
        <v>19</v>
      </c>
      <c r="E270" s="107" t="s">
        <v>20</v>
      </c>
      <c r="F270" s="107" t="s">
        <v>9</v>
      </c>
      <c r="G270" s="107" t="s">
        <v>18</v>
      </c>
      <c r="H270" s="107" t="s">
        <v>19</v>
      </c>
      <c r="I270" s="107" t="s">
        <v>20</v>
      </c>
      <c r="J270" s="107" t="s">
        <v>9</v>
      </c>
      <c r="K270" s="107" t="s">
        <v>9</v>
      </c>
    </row>
    <row r="271" spans="1:17" ht="21">
      <c r="A271" s="333"/>
      <c r="B271" s="108" t="s">
        <v>60</v>
      </c>
      <c r="C271" s="118">
        <f t="shared" ref="C271:E273" si="88">SUM(C7+C40+C73+C106+C139+C172+C205+C238)</f>
        <v>111</v>
      </c>
      <c r="D271" s="118">
        <f t="shared" si="88"/>
        <v>343</v>
      </c>
      <c r="E271" s="118">
        <f t="shared" si="88"/>
        <v>204</v>
      </c>
      <c r="F271" s="109">
        <f>SUM(C271:E271)</f>
        <v>658</v>
      </c>
      <c r="G271" s="118">
        <f>SUM(G7+G40+G73+G106+G139+G172+G205+G238)</f>
        <v>6</v>
      </c>
      <c r="H271" s="118">
        <f>SUM(H7+H40+H73+H106+H139+H172+H205+H238)</f>
        <v>79</v>
      </c>
      <c r="I271" s="118">
        <f>SUM(I7+I40+I73+I106+I139+I172+I205+I238)</f>
        <v>86</v>
      </c>
      <c r="J271" s="109">
        <f>SUM(G271:I271)</f>
        <v>171</v>
      </c>
      <c r="K271" s="109">
        <f>SUM(J271,F271)</f>
        <v>829</v>
      </c>
    </row>
    <row r="272" spans="1:17" ht="21">
      <c r="A272" s="333"/>
      <c r="B272" s="106" t="s">
        <v>61</v>
      </c>
      <c r="C272" s="118">
        <f t="shared" si="88"/>
        <v>104673</v>
      </c>
      <c r="D272" s="118">
        <f t="shared" si="88"/>
        <v>154803</v>
      </c>
      <c r="E272" s="118">
        <f t="shared" si="88"/>
        <v>71159</v>
      </c>
      <c r="F272" s="109">
        <f t="shared" ref="F272:F280" si="89">SUM(C272:E272)</f>
        <v>330635</v>
      </c>
      <c r="G272" s="118">
        <f t="shared" ref="G272:I273" si="90">SUM(G8+G41+G74+G107+G140+G173+G206+G239)</f>
        <v>4342</v>
      </c>
      <c r="H272" s="118">
        <f t="shared" si="90"/>
        <v>25473</v>
      </c>
      <c r="I272" s="118">
        <f t="shared" si="90"/>
        <v>23275</v>
      </c>
      <c r="J272" s="109">
        <f>SUM(G272:I272)</f>
        <v>53090</v>
      </c>
      <c r="K272" s="109">
        <f>SUM(J272,F272)</f>
        <v>383725</v>
      </c>
    </row>
    <row r="273" spans="1:16" ht="21">
      <c r="A273" s="333"/>
      <c r="B273" s="106" t="s">
        <v>62</v>
      </c>
      <c r="C273" s="118">
        <f t="shared" si="88"/>
        <v>0</v>
      </c>
      <c r="D273" s="118">
        <f t="shared" si="88"/>
        <v>0</v>
      </c>
      <c r="E273" s="118">
        <f t="shared" si="88"/>
        <v>0</v>
      </c>
      <c r="F273" s="109">
        <f t="shared" si="89"/>
        <v>0</v>
      </c>
      <c r="G273" s="118">
        <f>SUM(G9+G42+G75+G108+G141+G174+G207+G240)</f>
        <v>0</v>
      </c>
      <c r="H273" s="118">
        <f>SUM(H9+H42+H75+H108+H141+H174+H207+H240)</f>
        <v>0</v>
      </c>
      <c r="I273" s="118">
        <f t="shared" si="90"/>
        <v>0</v>
      </c>
      <c r="J273" s="109">
        <f>SUM(G273:I273)</f>
        <v>0</v>
      </c>
      <c r="K273" s="109">
        <f>SUM(J273,F273)</f>
        <v>0</v>
      </c>
    </row>
    <row r="274" spans="1:16" ht="21.6" thickBot="1">
      <c r="A274" s="333"/>
      <c r="B274" s="110" t="s">
        <v>9</v>
      </c>
      <c r="C274" s="111">
        <f>SUM(C272:C273)</f>
        <v>104673</v>
      </c>
      <c r="D274" s="111">
        <f t="shared" ref="D274:K274" si="91">SUM(D272:D273)</f>
        <v>154803</v>
      </c>
      <c r="E274" s="111">
        <f t="shared" si="91"/>
        <v>71159</v>
      </c>
      <c r="F274" s="111">
        <f t="shared" si="91"/>
        <v>330635</v>
      </c>
      <c r="G274" s="111">
        <f t="shared" si="91"/>
        <v>4342</v>
      </c>
      <c r="H274" s="111">
        <f t="shared" si="91"/>
        <v>25473</v>
      </c>
      <c r="I274" s="111">
        <f t="shared" si="91"/>
        <v>23275</v>
      </c>
      <c r="J274" s="111">
        <f t="shared" si="91"/>
        <v>53090</v>
      </c>
      <c r="K274" s="111">
        <f t="shared" si="91"/>
        <v>383725</v>
      </c>
    </row>
    <row r="275" spans="1:16" ht="21.6" thickTop="1">
      <c r="A275" s="333"/>
      <c r="B275" s="112" t="s">
        <v>6</v>
      </c>
      <c r="C275" s="118">
        <f>SUM(C11+C44+C77+C110+C143+C176+C209+C242)</f>
        <v>10</v>
      </c>
      <c r="D275" s="118">
        <f>SUM(D11+D44+D77+D110+D143+D176+D209+D242)</f>
        <v>0</v>
      </c>
      <c r="E275" s="118">
        <f>SUM(E11+E44+E77+E110+E143+E176+E209+E242)</f>
        <v>0</v>
      </c>
      <c r="F275" s="109">
        <f t="shared" si="89"/>
        <v>10</v>
      </c>
      <c r="G275" s="118">
        <f>SUM(G11+G44+G77+G110+G143+G176+G209+G242)</f>
        <v>0</v>
      </c>
      <c r="H275" s="118">
        <f>SUM(H11+H44+H77+H110+H143+H176+H209+H242)</f>
        <v>0</v>
      </c>
      <c r="I275" s="118">
        <f>SUM(I11+I44+I77+I110+I143+I176+I209+I242)</f>
        <v>0</v>
      </c>
      <c r="J275" s="109">
        <f t="shared" ref="J275:J280" si="92">SUM(G275:I275)</f>
        <v>0</v>
      </c>
      <c r="K275" s="109">
        <f t="shared" ref="K275:K280" si="93">SUM(J275,F275)</f>
        <v>10</v>
      </c>
    </row>
    <row r="276" spans="1:16" ht="21">
      <c r="A276" s="333"/>
      <c r="B276" s="106" t="s">
        <v>63</v>
      </c>
      <c r="C276" s="118">
        <f t="shared" ref="C276:D280" si="94">SUM(C12+C45+C78+C111+C144+C177+C210+C243)</f>
        <v>66994</v>
      </c>
      <c r="D276" s="118">
        <f t="shared" si="94"/>
        <v>99076</v>
      </c>
      <c r="E276" s="118">
        <f>SUM(E12+E45+E78+E111+E144+E177+E210+E243)</f>
        <v>45542</v>
      </c>
      <c r="F276" s="109">
        <f t="shared" si="89"/>
        <v>211612</v>
      </c>
      <c r="G276" s="118">
        <f t="shared" ref="G276:I280" si="95">SUM(G12+G45+G78+G111+G144+G177+G210+G243)</f>
        <v>2779</v>
      </c>
      <c r="H276" s="118">
        <f t="shared" si="95"/>
        <v>16302</v>
      </c>
      <c r="I276" s="118">
        <f t="shared" si="95"/>
        <v>14896</v>
      </c>
      <c r="J276" s="109">
        <f t="shared" si="92"/>
        <v>33977</v>
      </c>
      <c r="K276" s="109">
        <f t="shared" si="93"/>
        <v>245589</v>
      </c>
    </row>
    <row r="277" spans="1:16" ht="21">
      <c r="A277" s="333"/>
      <c r="B277" s="106" t="s">
        <v>64</v>
      </c>
      <c r="C277" s="118">
        <f t="shared" si="94"/>
        <v>317</v>
      </c>
      <c r="D277" s="118">
        <f t="shared" si="94"/>
        <v>650</v>
      </c>
      <c r="E277" s="118">
        <f>SUM(E13+E46+E79+E112+E145+E178+E211+E244)</f>
        <v>173</v>
      </c>
      <c r="F277" s="109">
        <f t="shared" si="89"/>
        <v>1140</v>
      </c>
      <c r="G277" s="118">
        <f t="shared" si="95"/>
        <v>0</v>
      </c>
      <c r="H277" s="118">
        <f t="shared" si="95"/>
        <v>144</v>
      </c>
      <c r="I277" s="118">
        <f t="shared" si="95"/>
        <v>82</v>
      </c>
      <c r="J277" s="109">
        <f t="shared" si="92"/>
        <v>226</v>
      </c>
      <c r="K277" s="109">
        <f t="shared" si="93"/>
        <v>1366</v>
      </c>
    </row>
    <row r="278" spans="1:16" ht="21">
      <c r="A278" s="333"/>
      <c r="B278" s="106" t="s">
        <v>65</v>
      </c>
      <c r="C278" s="118">
        <f t="shared" si="94"/>
        <v>15517</v>
      </c>
      <c r="D278" s="118">
        <f t="shared" si="94"/>
        <v>26117</v>
      </c>
      <c r="E278" s="118">
        <f>SUM(E14+E47+E80+E113+E146+E179+E212+E245)</f>
        <v>11128</v>
      </c>
      <c r="F278" s="109">
        <f t="shared" si="89"/>
        <v>52762</v>
      </c>
      <c r="G278" s="118">
        <f t="shared" si="95"/>
        <v>575</v>
      </c>
      <c r="H278" s="118">
        <f t="shared" si="95"/>
        <v>3572</v>
      </c>
      <c r="I278" s="118">
        <f t="shared" si="95"/>
        <v>4134</v>
      </c>
      <c r="J278" s="109">
        <f t="shared" si="92"/>
        <v>8281</v>
      </c>
      <c r="K278" s="109">
        <f t="shared" si="93"/>
        <v>61043</v>
      </c>
    </row>
    <row r="279" spans="1:16" ht="21">
      <c r="A279" s="333"/>
      <c r="B279" s="106" t="s">
        <v>66</v>
      </c>
      <c r="C279" s="118">
        <f t="shared" si="94"/>
        <v>2097</v>
      </c>
      <c r="D279" s="118">
        <f t="shared" si="94"/>
        <v>6507</v>
      </c>
      <c r="E279" s="118">
        <f>SUM(E15+E48+E81+E114+E147+E180+E213+E246)</f>
        <v>3389</v>
      </c>
      <c r="F279" s="109">
        <f t="shared" si="89"/>
        <v>11993</v>
      </c>
      <c r="G279" s="118">
        <f t="shared" si="95"/>
        <v>97</v>
      </c>
      <c r="H279" s="118">
        <f t="shared" si="95"/>
        <v>1418</v>
      </c>
      <c r="I279" s="118">
        <f t="shared" si="95"/>
        <v>1253</v>
      </c>
      <c r="J279" s="109">
        <f t="shared" si="92"/>
        <v>2768</v>
      </c>
      <c r="K279" s="109">
        <f t="shared" si="93"/>
        <v>14761</v>
      </c>
    </row>
    <row r="280" spans="1:16" ht="21">
      <c r="A280" s="333"/>
      <c r="B280" s="106" t="s">
        <v>67</v>
      </c>
      <c r="C280" s="118">
        <f t="shared" si="94"/>
        <v>2605</v>
      </c>
      <c r="D280" s="118">
        <f t="shared" si="94"/>
        <v>4870</v>
      </c>
      <c r="E280" s="118">
        <f>SUM(E16+E49+E82+E115+E148+E181+E214+E247)</f>
        <v>2334</v>
      </c>
      <c r="F280" s="109">
        <f t="shared" si="89"/>
        <v>9809</v>
      </c>
      <c r="G280" s="118">
        <f t="shared" si="95"/>
        <v>439</v>
      </c>
      <c r="H280" s="118">
        <f t="shared" si="95"/>
        <v>1496</v>
      </c>
      <c r="I280" s="118">
        <f t="shared" si="95"/>
        <v>738</v>
      </c>
      <c r="J280" s="109">
        <f t="shared" si="92"/>
        <v>2673</v>
      </c>
      <c r="K280" s="109">
        <f t="shared" si="93"/>
        <v>12482</v>
      </c>
    </row>
    <row r="281" spans="1:16" ht="21.6" thickBot="1">
      <c r="A281" s="334"/>
      <c r="B281" s="113" t="s">
        <v>9</v>
      </c>
      <c r="C281" s="111">
        <f t="shared" ref="C281:K281" si="96">SUM(C274:C280)</f>
        <v>192213</v>
      </c>
      <c r="D281" s="111">
        <f t="shared" si="96"/>
        <v>292023</v>
      </c>
      <c r="E281" s="111">
        <f t="shared" si="96"/>
        <v>133725</v>
      </c>
      <c r="F281" s="111">
        <f t="shared" si="96"/>
        <v>617961</v>
      </c>
      <c r="G281" s="111">
        <f t="shared" si="96"/>
        <v>8232</v>
      </c>
      <c r="H281" s="111">
        <f t="shared" si="96"/>
        <v>48405</v>
      </c>
      <c r="I281" s="111">
        <f t="shared" si="96"/>
        <v>44378</v>
      </c>
      <c r="J281" s="111">
        <f t="shared" si="96"/>
        <v>101015</v>
      </c>
      <c r="K281" s="111">
        <f t="shared" si="96"/>
        <v>718976</v>
      </c>
    </row>
    <row r="282" spans="1:16" ht="16.5" customHeight="1" thickTop="1"/>
    <row r="283" spans="1:16" ht="18.75" customHeight="1">
      <c r="A283" s="325" t="s">
        <v>77</v>
      </c>
      <c r="B283" s="329" t="s">
        <v>68</v>
      </c>
      <c r="C283" s="330"/>
      <c r="D283" s="330"/>
      <c r="E283" s="330"/>
      <c r="F283" s="330"/>
      <c r="G283" s="330"/>
      <c r="H283" s="330"/>
      <c r="I283" s="330"/>
      <c r="J283" s="330"/>
      <c r="K283" s="331"/>
      <c r="M283" s="339" t="s">
        <v>69</v>
      </c>
      <c r="N283" s="340"/>
      <c r="O283" s="340"/>
      <c r="P283" s="341"/>
    </row>
    <row r="284" spans="1:16" ht="18.75" customHeight="1" thickBot="1">
      <c r="A284" s="326"/>
      <c r="B284" s="104"/>
      <c r="C284" s="325" t="s">
        <v>57</v>
      </c>
      <c r="D284" s="326"/>
      <c r="E284" s="326"/>
      <c r="F284" s="326"/>
      <c r="G284" s="325" t="s">
        <v>58</v>
      </c>
      <c r="H284" s="326"/>
      <c r="I284" s="326"/>
      <c r="J284" s="326"/>
      <c r="K284" s="105" t="s">
        <v>9</v>
      </c>
      <c r="M284" s="106" t="s">
        <v>3</v>
      </c>
      <c r="N284" s="106" t="s">
        <v>56</v>
      </c>
      <c r="O284" s="106" t="s">
        <v>68</v>
      </c>
      <c r="P284" s="113" t="s">
        <v>9</v>
      </c>
    </row>
    <row r="285" spans="1:16" ht="21.6" thickTop="1">
      <c r="A285" s="332" t="s">
        <v>53</v>
      </c>
      <c r="B285" s="106" t="s">
        <v>3</v>
      </c>
      <c r="C285" s="107" t="s">
        <v>18</v>
      </c>
      <c r="D285" s="107" t="s">
        <v>19</v>
      </c>
      <c r="E285" s="107" t="s">
        <v>20</v>
      </c>
      <c r="F285" s="107" t="s">
        <v>9</v>
      </c>
      <c r="G285" s="107" t="s">
        <v>18</v>
      </c>
      <c r="H285" s="107" t="s">
        <v>19</v>
      </c>
      <c r="I285" s="107" t="s">
        <v>20</v>
      </c>
      <c r="J285" s="107" t="s">
        <v>9</v>
      </c>
      <c r="K285" s="107" t="s">
        <v>9</v>
      </c>
      <c r="M285" s="108" t="s">
        <v>60</v>
      </c>
      <c r="N285" s="118">
        <f t="shared" ref="N285:O287" si="97">SUM(N21+N54+N87+N120+N153+N186+N219+N252)</f>
        <v>829</v>
      </c>
      <c r="O285" s="118">
        <f t="shared" si="97"/>
        <v>1259</v>
      </c>
      <c r="P285" s="114">
        <f>SUM(N285:O285)</f>
        <v>2088</v>
      </c>
    </row>
    <row r="286" spans="1:16" ht="21">
      <c r="A286" s="333"/>
      <c r="B286" s="108" t="s">
        <v>60</v>
      </c>
      <c r="C286" s="118">
        <f t="shared" ref="C286:E288" si="98">SUM(C22+C55+C88+C121+C154+C187+C220+C253)</f>
        <v>128</v>
      </c>
      <c r="D286" s="118">
        <f t="shared" si="98"/>
        <v>642</v>
      </c>
      <c r="E286" s="118">
        <f t="shared" si="98"/>
        <v>172</v>
      </c>
      <c r="F286" s="109">
        <f>SUM(C286:E286)</f>
        <v>942</v>
      </c>
      <c r="G286" s="118">
        <f t="shared" ref="G286:I288" si="99">SUM(G22+G55+G88+G121+G154+G187+G220+G253)</f>
        <v>23</v>
      </c>
      <c r="H286" s="118">
        <f t="shared" si="99"/>
        <v>212</v>
      </c>
      <c r="I286" s="118">
        <f t="shared" si="99"/>
        <v>82</v>
      </c>
      <c r="J286" s="109">
        <f>SUM(G286:I286)</f>
        <v>317</v>
      </c>
      <c r="K286" s="109">
        <f>SUM(J286,F286)</f>
        <v>1259</v>
      </c>
      <c r="M286" s="106" t="s">
        <v>61</v>
      </c>
      <c r="N286" s="118">
        <f t="shared" si="97"/>
        <v>383725</v>
      </c>
      <c r="O286" s="118">
        <f t="shared" si="97"/>
        <v>612310</v>
      </c>
      <c r="P286" s="114">
        <f t="shared" ref="P286:P294" si="100">SUM(N286:O286)</f>
        <v>996035</v>
      </c>
    </row>
    <row r="287" spans="1:16" ht="21">
      <c r="A287" s="333"/>
      <c r="B287" s="106" t="s">
        <v>61</v>
      </c>
      <c r="C287" s="118">
        <f t="shared" si="98"/>
        <v>107070</v>
      </c>
      <c r="D287" s="118">
        <f t="shared" si="98"/>
        <v>322389</v>
      </c>
      <c r="E287" s="118">
        <f t="shared" si="98"/>
        <v>58326</v>
      </c>
      <c r="F287" s="109">
        <f>SUM(C287:E287)</f>
        <v>487785</v>
      </c>
      <c r="G287" s="118">
        <f t="shared" si="99"/>
        <v>17836</v>
      </c>
      <c r="H287" s="118">
        <f t="shared" si="99"/>
        <v>82418</v>
      </c>
      <c r="I287" s="118">
        <f t="shared" si="99"/>
        <v>24271</v>
      </c>
      <c r="J287" s="109">
        <f>SUM(G287:I287)</f>
        <v>124525</v>
      </c>
      <c r="K287" s="109">
        <f>SUM(J287,F287)</f>
        <v>612310</v>
      </c>
      <c r="M287" s="106" t="s">
        <v>62</v>
      </c>
      <c r="N287" s="118">
        <f t="shared" si="97"/>
        <v>0</v>
      </c>
      <c r="O287" s="118">
        <f t="shared" si="97"/>
        <v>0</v>
      </c>
      <c r="P287" s="114">
        <f t="shared" si="100"/>
        <v>0</v>
      </c>
    </row>
    <row r="288" spans="1:16" ht="21.6" thickBot="1">
      <c r="A288" s="333"/>
      <c r="B288" s="106" t="s">
        <v>62</v>
      </c>
      <c r="C288" s="118">
        <f t="shared" si="98"/>
        <v>0</v>
      </c>
      <c r="D288" s="118">
        <f t="shared" si="98"/>
        <v>0</v>
      </c>
      <c r="E288" s="118">
        <f t="shared" si="98"/>
        <v>0</v>
      </c>
      <c r="F288" s="109">
        <f>SUM(C288:E288)</f>
        <v>0</v>
      </c>
      <c r="G288" s="118">
        <f t="shared" si="99"/>
        <v>0</v>
      </c>
      <c r="H288" s="118">
        <f t="shared" si="99"/>
        <v>0</v>
      </c>
      <c r="I288" s="118">
        <f t="shared" si="99"/>
        <v>0</v>
      </c>
      <c r="J288" s="109">
        <f>SUM(G288:I288)</f>
        <v>0</v>
      </c>
      <c r="K288" s="109">
        <f>SUM(J288,F288)</f>
        <v>0</v>
      </c>
      <c r="M288" s="110" t="s">
        <v>9</v>
      </c>
      <c r="N288" s="115">
        <f>SUM(N286:N287)</f>
        <v>383725</v>
      </c>
      <c r="O288" s="115">
        <f>SUM(O286:O287)</f>
        <v>612310</v>
      </c>
      <c r="P288" s="115">
        <f>SUM(P286:P287)</f>
        <v>996035</v>
      </c>
    </row>
    <row r="289" spans="1:17" ht="19.5" customHeight="1" thickTop="1" thickBot="1">
      <c r="A289" s="333"/>
      <c r="B289" s="110" t="s">
        <v>9</v>
      </c>
      <c r="C289" s="111">
        <f>SUM(C287:C288)</f>
        <v>107070</v>
      </c>
      <c r="D289" s="111">
        <f t="shared" ref="D289:K289" si="101">SUM(D287:D288)</f>
        <v>322389</v>
      </c>
      <c r="E289" s="111">
        <f t="shared" si="101"/>
        <v>58326</v>
      </c>
      <c r="F289" s="111">
        <f t="shared" si="101"/>
        <v>487785</v>
      </c>
      <c r="G289" s="111">
        <f t="shared" si="101"/>
        <v>17836</v>
      </c>
      <c r="H289" s="111">
        <f t="shared" si="101"/>
        <v>82418</v>
      </c>
      <c r="I289" s="111">
        <f t="shared" si="101"/>
        <v>24271</v>
      </c>
      <c r="J289" s="111">
        <f t="shared" si="101"/>
        <v>124525</v>
      </c>
      <c r="K289" s="111">
        <f t="shared" si="101"/>
        <v>612310</v>
      </c>
      <c r="M289" s="112" t="s">
        <v>6</v>
      </c>
      <c r="N289" s="118">
        <f t="shared" ref="N289:O294" si="102">SUM(N25+N58+N91+N124+N157+N190+N223+N256)</f>
        <v>10</v>
      </c>
      <c r="O289" s="118">
        <f t="shared" si="102"/>
        <v>0</v>
      </c>
      <c r="P289" s="116">
        <f t="shared" si="100"/>
        <v>10</v>
      </c>
    </row>
    <row r="290" spans="1:17" ht="19.5" customHeight="1" thickTop="1">
      <c r="A290" s="333"/>
      <c r="B290" s="112" t="s">
        <v>6</v>
      </c>
      <c r="C290" s="118">
        <f t="shared" ref="C290:E295" si="103">SUM(C26+C59+C92+C125+C158+C191+C224+C257)</f>
        <v>0</v>
      </c>
      <c r="D290" s="118">
        <f t="shared" si="103"/>
        <v>0</v>
      </c>
      <c r="E290" s="118">
        <f t="shared" si="103"/>
        <v>0</v>
      </c>
      <c r="F290" s="109">
        <f t="shared" ref="F290:F295" si="104">SUM(C290:E290)</f>
        <v>0</v>
      </c>
      <c r="G290" s="118">
        <f t="shared" ref="G290:I295" si="105">SUM(G26+G59+G92+G125+G158+G191+G224+G257)</f>
        <v>0</v>
      </c>
      <c r="H290" s="118">
        <f t="shared" si="105"/>
        <v>0</v>
      </c>
      <c r="I290" s="118">
        <f t="shared" si="105"/>
        <v>0</v>
      </c>
      <c r="J290" s="109">
        <f t="shared" ref="J290:J295" si="106">SUM(G290:I290)</f>
        <v>0</v>
      </c>
      <c r="K290" s="109">
        <f t="shared" ref="K290:K295" si="107">SUM(J290,F290)</f>
        <v>0</v>
      </c>
      <c r="M290" s="106" t="s">
        <v>63</v>
      </c>
      <c r="N290" s="118">
        <f t="shared" si="102"/>
        <v>245589</v>
      </c>
      <c r="O290" s="118">
        <f t="shared" si="102"/>
        <v>391885</v>
      </c>
      <c r="P290" s="116">
        <f t="shared" si="100"/>
        <v>637474</v>
      </c>
    </row>
    <row r="291" spans="1:17" ht="21">
      <c r="A291" s="333"/>
      <c r="B291" s="106" t="s">
        <v>63</v>
      </c>
      <c r="C291" s="118">
        <f t="shared" si="103"/>
        <v>68526</v>
      </c>
      <c r="D291" s="118">
        <f t="shared" si="103"/>
        <v>206331</v>
      </c>
      <c r="E291" s="118">
        <f t="shared" si="103"/>
        <v>37328</v>
      </c>
      <c r="F291" s="109">
        <f t="shared" si="104"/>
        <v>312185</v>
      </c>
      <c r="G291" s="118">
        <f t="shared" si="105"/>
        <v>11416</v>
      </c>
      <c r="H291" s="118">
        <f t="shared" si="105"/>
        <v>52748</v>
      </c>
      <c r="I291" s="118">
        <f t="shared" si="105"/>
        <v>15536</v>
      </c>
      <c r="J291" s="109">
        <f t="shared" si="106"/>
        <v>79700</v>
      </c>
      <c r="K291" s="109">
        <f t="shared" si="107"/>
        <v>391885</v>
      </c>
      <c r="M291" s="106" t="s">
        <v>64</v>
      </c>
      <c r="N291" s="118">
        <f t="shared" si="102"/>
        <v>1366</v>
      </c>
      <c r="O291" s="118">
        <f t="shared" si="102"/>
        <v>3585</v>
      </c>
      <c r="P291" s="114">
        <f t="shared" si="100"/>
        <v>4951</v>
      </c>
    </row>
    <row r="292" spans="1:17" ht="21">
      <c r="A292" s="333"/>
      <c r="B292" s="106" t="s">
        <v>64</v>
      </c>
      <c r="C292" s="118">
        <f t="shared" si="103"/>
        <v>469</v>
      </c>
      <c r="D292" s="118">
        <f t="shared" si="103"/>
        <v>1814</v>
      </c>
      <c r="E292" s="118">
        <f t="shared" si="103"/>
        <v>278</v>
      </c>
      <c r="F292" s="109">
        <f t="shared" si="104"/>
        <v>2561</v>
      </c>
      <c r="G292" s="118">
        <f t="shared" si="105"/>
        <v>139</v>
      </c>
      <c r="H292" s="118">
        <f t="shared" si="105"/>
        <v>780</v>
      </c>
      <c r="I292" s="118">
        <f t="shared" si="105"/>
        <v>105</v>
      </c>
      <c r="J292" s="109">
        <f t="shared" si="106"/>
        <v>1024</v>
      </c>
      <c r="K292" s="109">
        <f t="shared" si="107"/>
        <v>3585</v>
      </c>
      <c r="M292" s="106" t="s">
        <v>65</v>
      </c>
      <c r="N292" s="118">
        <f t="shared" si="102"/>
        <v>61043</v>
      </c>
      <c r="O292" s="118">
        <f t="shared" si="102"/>
        <v>101527</v>
      </c>
      <c r="P292" s="114">
        <f t="shared" si="100"/>
        <v>162570</v>
      </c>
    </row>
    <row r="293" spans="1:17" ht="21">
      <c r="A293" s="333"/>
      <c r="B293" s="106" t="s">
        <v>65</v>
      </c>
      <c r="C293" s="118">
        <f t="shared" si="103"/>
        <v>17353</v>
      </c>
      <c r="D293" s="118">
        <f t="shared" si="103"/>
        <v>57302</v>
      </c>
      <c r="E293" s="118">
        <f t="shared" si="103"/>
        <v>9388</v>
      </c>
      <c r="F293" s="109">
        <f t="shared" si="104"/>
        <v>84043</v>
      </c>
      <c r="G293" s="118">
        <f t="shared" si="105"/>
        <v>2385</v>
      </c>
      <c r="H293" s="118">
        <f t="shared" si="105"/>
        <v>10950</v>
      </c>
      <c r="I293" s="118">
        <f t="shared" si="105"/>
        <v>4149</v>
      </c>
      <c r="J293" s="109">
        <f t="shared" si="106"/>
        <v>17484</v>
      </c>
      <c r="K293" s="109">
        <f t="shared" si="107"/>
        <v>101527</v>
      </c>
      <c r="M293" s="106" t="s">
        <v>66</v>
      </c>
      <c r="N293" s="118">
        <f t="shared" si="102"/>
        <v>14761</v>
      </c>
      <c r="O293" s="118">
        <f t="shared" si="102"/>
        <v>22732</v>
      </c>
      <c r="P293" s="114">
        <f t="shared" si="100"/>
        <v>37493</v>
      </c>
    </row>
    <row r="294" spans="1:17" ht="21">
      <c r="A294" s="333"/>
      <c r="B294" s="106" t="s">
        <v>66</v>
      </c>
      <c r="C294" s="118">
        <f t="shared" si="103"/>
        <v>2921</v>
      </c>
      <c r="D294" s="118">
        <f t="shared" si="103"/>
        <v>11675</v>
      </c>
      <c r="E294" s="118">
        <f t="shared" si="103"/>
        <v>2679</v>
      </c>
      <c r="F294" s="109">
        <f t="shared" si="104"/>
        <v>17275</v>
      </c>
      <c r="G294" s="118">
        <f t="shared" si="105"/>
        <v>315</v>
      </c>
      <c r="H294" s="118">
        <f t="shared" si="105"/>
        <v>4087</v>
      </c>
      <c r="I294" s="118">
        <f t="shared" si="105"/>
        <v>1055</v>
      </c>
      <c r="J294" s="109">
        <f t="shared" si="106"/>
        <v>5457</v>
      </c>
      <c r="K294" s="109">
        <f t="shared" si="107"/>
        <v>22732</v>
      </c>
      <c r="M294" s="106" t="s">
        <v>67</v>
      </c>
      <c r="N294" s="118">
        <f t="shared" si="102"/>
        <v>12482</v>
      </c>
      <c r="O294" s="118">
        <f t="shared" si="102"/>
        <v>17738</v>
      </c>
      <c r="P294" s="114">
        <f t="shared" si="100"/>
        <v>30220</v>
      </c>
    </row>
    <row r="295" spans="1:17" ht="21.6" thickBot="1">
      <c r="A295" s="333"/>
      <c r="B295" s="106" t="s">
        <v>67</v>
      </c>
      <c r="C295" s="118">
        <f t="shared" si="103"/>
        <v>4478</v>
      </c>
      <c r="D295" s="118">
        <f t="shared" si="103"/>
        <v>7909</v>
      </c>
      <c r="E295" s="118">
        <f t="shared" si="103"/>
        <v>2125</v>
      </c>
      <c r="F295" s="109">
        <f t="shared" si="104"/>
        <v>14512</v>
      </c>
      <c r="G295" s="118">
        <f t="shared" si="105"/>
        <v>554</v>
      </c>
      <c r="H295" s="118">
        <f t="shared" si="105"/>
        <v>1983</v>
      </c>
      <c r="I295" s="118">
        <f t="shared" si="105"/>
        <v>689</v>
      </c>
      <c r="J295" s="109">
        <f t="shared" si="106"/>
        <v>3226</v>
      </c>
      <c r="K295" s="109">
        <f t="shared" si="107"/>
        <v>17738</v>
      </c>
      <c r="M295" s="113" t="s">
        <v>9</v>
      </c>
      <c r="N295" s="115">
        <f>SUM(N288:N294)</f>
        <v>718976</v>
      </c>
      <c r="O295" s="115">
        <f>SUM(O288:O294)</f>
        <v>1149777</v>
      </c>
      <c r="P295" s="115">
        <f>SUM(P288:P294)</f>
        <v>1868753</v>
      </c>
    </row>
    <row r="296" spans="1:17" ht="22.2" thickTop="1" thickBot="1">
      <c r="A296" s="334"/>
      <c r="B296" s="113" t="s">
        <v>9</v>
      </c>
      <c r="C296" s="111">
        <f t="shared" ref="C296:K296" si="108">SUM(C289:C295)</f>
        <v>200817</v>
      </c>
      <c r="D296" s="111">
        <f t="shared" si="108"/>
        <v>607420</v>
      </c>
      <c r="E296" s="111">
        <f t="shared" si="108"/>
        <v>110124</v>
      </c>
      <c r="F296" s="111">
        <f t="shared" si="108"/>
        <v>918361</v>
      </c>
      <c r="G296" s="111">
        <f t="shared" si="108"/>
        <v>32645</v>
      </c>
      <c r="H296" s="111">
        <f t="shared" si="108"/>
        <v>152966</v>
      </c>
      <c r="I296" s="111">
        <f t="shared" si="108"/>
        <v>45805</v>
      </c>
      <c r="J296" s="111">
        <f t="shared" si="108"/>
        <v>231416</v>
      </c>
      <c r="K296" s="111">
        <f t="shared" si="108"/>
        <v>1149777</v>
      </c>
    </row>
    <row r="297" spans="1:17" ht="21.6" thickTop="1">
      <c r="A297" s="256"/>
      <c r="B297" s="257"/>
      <c r="C297" s="17"/>
      <c r="D297" s="17"/>
      <c r="E297" s="17"/>
      <c r="F297" s="17"/>
      <c r="G297" s="17"/>
      <c r="H297" s="17"/>
      <c r="I297" s="17"/>
      <c r="J297" s="17"/>
      <c r="K297" s="17"/>
    </row>
    <row r="298" spans="1:17" s="1" customFormat="1">
      <c r="N298" s="360" t="s">
        <v>150</v>
      </c>
      <c r="O298" s="360"/>
      <c r="P298" s="360"/>
    </row>
    <row r="299" spans="1:17" ht="24.75" customHeight="1">
      <c r="A299" s="335" t="s">
        <v>156</v>
      </c>
      <c r="B299" s="336"/>
      <c r="C299" s="336"/>
      <c r="D299" s="336"/>
      <c r="E299" s="336"/>
      <c r="F299" s="336"/>
      <c r="G299" s="336"/>
      <c r="H299" s="336"/>
      <c r="I299" s="336"/>
      <c r="J299" s="336"/>
      <c r="K299" s="336"/>
      <c r="L299" s="336"/>
      <c r="M299" s="336"/>
      <c r="N299" s="336"/>
      <c r="O299" s="336"/>
      <c r="P299" s="336"/>
    </row>
    <row r="300" spans="1:17" ht="21" customHeight="1">
      <c r="A300" s="337" t="s">
        <v>17</v>
      </c>
      <c r="B300" s="338"/>
      <c r="C300" s="338"/>
      <c r="D300" s="338"/>
      <c r="E300" s="338"/>
      <c r="F300" s="338"/>
      <c r="G300" s="338"/>
      <c r="H300" s="338"/>
      <c r="I300" s="338"/>
      <c r="J300" s="338"/>
      <c r="K300" s="338"/>
      <c r="L300" s="338"/>
      <c r="M300" s="338"/>
      <c r="N300" s="338"/>
      <c r="O300" s="338"/>
      <c r="P300" s="338"/>
      <c r="Q300" s="103"/>
    </row>
    <row r="301" spans="1:17" s="93" customFormat="1" ht="17.399999999999999">
      <c r="A301" s="322" t="s">
        <v>113</v>
      </c>
      <c r="B301" s="322"/>
      <c r="C301" s="322"/>
      <c r="D301" s="322"/>
      <c r="E301" s="322"/>
      <c r="F301" s="322"/>
      <c r="G301" s="322"/>
      <c r="H301" s="322"/>
      <c r="I301" s="322"/>
      <c r="J301" s="322"/>
      <c r="K301" s="322"/>
      <c r="L301" s="322"/>
      <c r="M301" s="322"/>
      <c r="N301" s="322"/>
      <c r="O301" s="322"/>
      <c r="P301" s="322"/>
      <c r="Q301" s="258"/>
    </row>
    <row r="302" spans="1:17" s="93" customFormat="1" ht="17.399999999999999">
      <c r="A302" s="255"/>
      <c r="B302" s="255"/>
      <c r="C302" s="255"/>
      <c r="D302" s="255"/>
      <c r="E302" s="255"/>
      <c r="F302" s="255"/>
      <c r="G302" s="255"/>
      <c r="H302" s="255"/>
      <c r="I302" s="255"/>
      <c r="J302" s="255"/>
      <c r="K302" s="255"/>
      <c r="L302" s="255"/>
      <c r="M302" s="255"/>
      <c r="N302" s="255"/>
      <c r="O302" s="255"/>
      <c r="P302" s="255"/>
      <c r="Q302" s="258"/>
    </row>
    <row r="303" spans="1:17" ht="21">
      <c r="G303" s="184" t="s">
        <v>122</v>
      </c>
      <c r="H303" s="184" t="s">
        <v>123</v>
      </c>
    </row>
    <row r="304" spans="1:17">
      <c r="E304" s="169" t="s">
        <v>16</v>
      </c>
      <c r="F304" s="170" t="s">
        <v>18</v>
      </c>
      <c r="G304" s="167">
        <f>C281+G281</f>
        <v>200445</v>
      </c>
      <c r="H304" s="167">
        <f>C271+G271</f>
        <v>117</v>
      </c>
    </row>
    <row r="305" spans="5:8">
      <c r="E305" s="171"/>
      <c r="F305" s="170" t="s">
        <v>19</v>
      </c>
      <c r="G305" s="167">
        <f>D281+H281</f>
        <v>340428</v>
      </c>
      <c r="H305" s="167">
        <f>D271+H271</f>
        <v>422</v>
      </c>
    </row>
    <row r="306" spans="5:8">
      <c r="E306" s="171"/>
      <c r="F306" s="170" t="s">
        <v>20</v>
      </c>
      <c r="G306" s="167">
        <f>E281+I281</f>
        <v>178103</v>
      </c>
      <c r="H306" s="167">
        <f>E271+I271</f>
        <v>290</v>
      </c>
    </row>
    <row r="307" spans="5:8">
      <c r="E307" s="171"/>
      <c r="F307" s="170" t="s">
        <v>9</v>
      </c>
      <c r="G307" s="168">
        <f>G304+G305+G306</f>
        <v>718976</v>
      </c>
      <c r="H307" s="168">
        <f>H304+H305+H306</f>
        <v>829</v>
      </c>
    </row>
    <row r="308" spans="5:8">
      <c r="E308" s="171"/>
      <c r="F308" s="171"/>
      <c r="G308" s="171"/>
    </row>
    <row r="309" spans="5:8">
      <c r="E309" s="169" t="s">
        <v>37</v>
      </c>
      <c r="F309" s="170" t="s">
        <v>18</v>
      </c>
      <c r="G309" s="167">
        <f>C296+G296</f>
        <v>233462</v>
      </c>
      <c r="H309" s="167">
        <f>C286+G286</f>
        <v>151</v>
      </c>
    </row>
    <row r="310" spans="5:8">
      <c r="E310" s="171"/>
      <c r="F310" s="170" t="s">
        <v>19</v>
      </c>
      <c r="G310" s="167">
        <f>D296+H296</f>
        <v>760386</v>
      </c>
      <c r="H310" s="167">
        <f>D286+H286</f>
        <v>854</v>
      </c>
    </row>
    <row r="311" spans="5:8">
      <c r="E311" s="171"/>
      <c r="F311" s="170" t="s">
        <v>20</v>
      </c>
      <c r="G311" s="167">
        <f>E296+I296</f>
        <v>155929</v>
      </c>
      <c r="H311" s="167">
        <f>E286+I286</f>
        <v>254</v>
      </c>
    </row>
    <row r="312" spans="5:8">
      <c r="E312" s="171"/>
      <c r="F312" s="170" t="s">
        <v>9</v>
      </c>
      <c r="G312" s="168">
        <f>G309+G310+G311</f>
        <v>1149777</v>
      </c>
      <c r="H312" s="168">
        <f>H309+H310+H311</f>
        <v>1259</v>
      </c>
    </row>
    <row r="313" spans="5:8">
      <c r="E313" s="171"/>
      <c r="F313" s="171"/>
      <c r="G313" s="171"/>
    </row>
    <row r="314" spans="5:8">
      <c r="E314" s="353" t="s">
        <v>117</v>
      </c>
      <c r="F314" s="353"/>
      <c r="G314" s="168">
        <f>G307+G312</f>
        <v>1868753</v>
      </c>
      <c r="H314" s="168">
        <f>H307+H312</f>
        <v>2088</v>
      </c>
    </row>
  </sheetData>
  <mergeCells count="131">
    <mergeCell ref="A219:A230"/>
    <mergeCell ref="A232:P232"/>
    <mergeCell ref="A233:P233"/>
    <mergeCell ref="A234:K234"/>
    <mergeCell ref="A235:A236"/>
    <mergeCell ref="B235:K235"/>
    <mergeCell ref="C236:F236"/>
    <mergeCell ref="G236:J236"/>
    <mergeCell ref="E314:F314"/>
    <mergeCell ref="A252:A263"/>
    <mergeCell ref="A237:A248"/>
    <mergeCell ref="A250:A251"/>
    <mergeCell ref="B250:K250"/>
    <mergeCell ref="M250:P250"/>
    <mergeCell ref="C251:F251"/>
    <mergeCell ref="G251:J251"/>
    <mergeCell ref="A265:P265"/>
    <mergeCell ref="A266:P266"/>
    <mergeCell ref="A299:P299"/>
    <mergeCell ref="A300:P300"/>
    <mergeCell ref="A301:P301"/>
    <mergeCell ref="N298:P298"/>
    <mergeCell ref="M283:P283"/>
    <mergeCell ref="C284:F284"/>
    <mergeCell ref="A202:A203"/>
    <mergeCell ref="B202:K202"/>
    <mergeCell ref="C203:F203"/>
    <mergeCell ref="G203:J203"/>
    <mergeCell ref="A204:A215"/>
    <mergeCell ref="A217:A218"/>
    <mergeCell ref="B217:K217"/>
    <mergeCell ref="M217:P217"/>
    <mergeCell ref="C218:F218"/>
    <mergeCell ref="G218:J218"/>
    <mergeCell ref="A184:A185"/>
    <mergeCell ref="B184:K184"/>
    <mergeCell ref="M184:P184"/>
    <mergeCell ref="C185:F185"/>
    <mergeCell ref="G185:J185"/>
    <mergeCell ref="A186:A197"/>
    <mergeCell ref="A199:P199"/>
    <mergeCell ref="A200:P200"/>
    <mergeCell ref="A201:K201"/>
    <mergeCell ref="A153:A164"/>
    <mergeCell ref="A166:P166"/>
    <mergeCell ref="A167:P167"/>
    <mergeCell ref="A168:K168"/>
    <mergeCell ref="A169:A170"/>
    <mergeCell ref="B169:K169"/>
    <mergeCell ref="C170:F170"/>
    <mergeCell ref="G170:J170"/>
    <mergeCell ref="A171:A182"/>
    <mergeCell ref="A136:A137"/>
    <mergeCell ref="B136:K136"/>
    <mergeCell ref="C137:F137"/>
    <mergeCell ref="G137:J137"/>
    <mergeCell ref="A138:A149"/>
    <mergeCell ref="A151:A152"/>
    <mergeCell ref="B151:K151"/>
    <mergeCell ref="M151:P151"/>
    <mergeCell ref="C152:F152"/>
    <mergeCell ref="G152:J152"/>
    <mergeCell ref="A118:A119"/>
    <mergeCell ref="B118:K118"/>
    <mergeCell ref="M118:P118"/>
    <mergeCell ref="C119:F119"/>
    <mergeCell ref="G119:J119"/>
    <mergeCell ref="A120:A131"/>
    <mergeCell ref="A133:P133"/>
    <mergeCell ref="A134:P134"/>
    <mergeCell ref="A135:K135"/>
    <mergeCell ref="A87:A98"/>
    <mergeCell ref="A100:P100"/>
    <mergeCell ref="A101:P101"/>
    <mergeCell ref="A102:K102"/>
    <mergeCell ref="A103:A104"/>
    <mergeCell ref="B103:K103"/>
    <mergeCell ref="C104:F104"/>
    <mergeCell ref="G104:J104"/>
    <mergeCell ref="A105:A116"/>
    <mergeCell ref="A70:A71"/>
    <mergeCell ref="B70:K70"/>
    <mergeCell ref="C71:F71"/>
    <mergeCell ref="G71:J71"/>
    <mergeCell ref="A72:A83"/>
    <mergeCell ref="A85:A86"/>
    <mergeCell ref="B85:K85"/>
    <mergeCell ref="M85:P85"/>
    <mergeCell ref="C86:F86"/>
    <mergeCell ref="G86:J86"/>
    <mergeCell ref="A52:A53"/>
    <mergeCell ref="B52:K52"/>
    <mergeCell ref="M52:P52"/>
    <mergeCell ref="C53:F53"/>
    <mergeCell ref="G53:J53"/>
    <mergeCell ref="A54:A65"/>
    <mergeCell ref="A67:P67"/>
    <mergeCell ref="A68:P68"/>
    <mergeCell ref="A69:K69"/>
    <mergeCell ref="A21:A32"/>
    <mergeCell ref="A34:P34"/>
    <mergeCell ref="A35:P35"/>
    <mergeCell ref="A36:K36"/>
    <mergeCell ref="A37:A38"/>
    <mergeCell ref="B37:K37"/>
    <mergeCell ref="C38:F38"/>
    <mergeCell ref="G38:J38"/>
    <mergeCell ref="A39:A50"/>
    <mergeCell ref="A1:P1"/>
    <mergeCell ref="A2:P2"/>
    <mergeCell ref="A3:K3"/>
    <mergeCell ref="A4:A5"/>
    <mergeCell ref="B4:K4"/>
    <mergeCell ref="C5:F5"/>
    <mergeCell ref="G5:J5"/>
    <mergeCell ref="A6:A17"/>
    <mergeCell ref="A19:A20"/>
    <mergeCell ref="B19:K19"/>
    <mergeCell ref="M19:P19"/>
    <mergeCell ref="C20:F20"/>
    <mergeCell ref="G20:J20"/>
    <mergeCell ref="G284:J284"/>
    <mergeCell ref="A267:K267"/>
    <mergeCell ref="A268:A269"/>
    <mergeCell ref="B268:K268"/>
    <mergeCell ref="C269:F269"/>
    <mergeCell ref="G269:J269"/>
    <mergeCell ref="A285:A296"/>
    <mergeCell ref="A270:A281"/>
    <mergeCell ref="A283:A284"/>
    <mergeCell ref="B283:K283"/>
  </mergeCells>
  <pageMargins left="0.78740157480314965" right="0.23622047244094491" top="0.11811023622047245" bottom="0.31496062992125984" header="0.31496062992125984" footer="0.31496062992125984"/>
  <pageSetup paperSize="5" scale="81" orientation="landscape" r:id="rId1"/>
  <rowBreaks count="9" manualBreakCount="9">
    <brk id="32" max="15" man="1"/>
    <brk id="65" max="15" man="1"/>
    <brk id="98" max="15" man="1"/>
    <brk id="131" max="15" man="1"/>
    <brk id="165" max="15" man="1"/>
    <brk id="197" max="15" man="1"/>
    <brk id="230" max="15" man="1"/>
    <brk id="264" max="15" man="1"/>
    <brk id="298"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7"/>
  <sheetViews>
    <sheetView view="pageBreakPreview" zoomScale="90" zoomScaleNormal="75" zoomScaleSheetLayoutView="90" workbookViewId="0">
      <selection activeCell="J140" sqref="J140"/>
    </sheetView>
  </sheetViews>
  <sheetFormatPr defaultColWidth="9.109375" defaultRowHeight="20.399999999999999"/>
  <cols>
    <col min="1" max="1" width="7.5546875" style="19" customWidth="1"/>
    <col min="2" max="2" width="26.88671875" style="19" customWidth="1"/>
    <col min="3" max="3" width="16.44140625" style="19" customWidth="1"/>
    <col min="4" max="4" width="18.88671875" style="19" customWidth="1"/>
    <col min="5" max="5" width="20" style="19" customWidth="1"/>
    <col min="6" max="6" width="17.5546875" style="19" customWidth="1"/>
    <col min="7" max="7" width="14" style="19" customWidth="1"/>
    <col min="8" max="8" width="11" style="19" customWidth="1"/>
    <col min="9" max="16384" width="9.109375" style="19"/>
  </cols>
  <sheetData>
    <row r="1" spans="1:15" ht="21">
      <c r="A1" s="362" t="s">
        <v>156</v>
      </c>
      <c r="B1" s="363"/>
      <c r="C1" s="363"/>
      <c r="D1" s="363"/>
      <c r="E1" s="363"/>
      <c r="F1" s="363"/>
      <c r="G1" s="363"/>
      <c r="H1" s="363"/>
      <c r="I1" s="38"/>
      <c r="J1" s="38"/>
      <c r="K1" s="38"/>
      <c r="L1" s="38"/>
      <c r="M1" s="38"/>
      <c r="N1" s="38"/>
      <c r="O1" s="38"/>
    </row>
    <row r="2" spans="1:15" ht="21">
      <c r="A2" s="364" t="s">
        <v>17</v>
      </c>
      <c r="B2" s="365"/>
      <c r="C2" s="365"/>
      <c r="D2" s="365"/>
      <c r="E2" s="365"/>
      <c r="F2" s="365"/>
      <c r="G2" s="365"/>
      <c r="H2" s="365"/>
      <c r="I2" s="39"/>
      <c r="J2" s="39"/>
      <c r="K2" s="39"/>
      <c r="L2" s="39"/>
      <c r="M2" s="39"/>
      <c r="N2" s="39"/>
      <c r="O2" s="39"/>
    </row>
    <row r="3" spans="1:15">
      <c r="A3" s="40" t="s">
        <v>5</v>
      </c>
      <c r="B3" s="41"/>
      <c r="C3" s="42"/>
      <c r="D3" s="42"/>
      <c r="E3" s="42"/>
      <c r="F3" s="42"/>
      <c r="G3" s="42"/>
      <c r="H3" s="42"/>
    </row>
    <row r="4" spans="1:15">
      <c r="A4" s="366" t="s">
        <v>78</v>
      </c>
      <c r="B4" s="366" t="s">
        <v>3</v>
      </c>
      <c r="C4" s="339" t="s">
        <v>16</v>
      </c>
      <c r="D4" s="341"/>
      <c r="E4" s="339" t="s">
        <v>37</v>
      </c>
      <c r="F4" s="341"/>
      <c r="G4" s="368" t="s">
        <v>9</v>
      </c>
      <c r="H4" s="42"/>
    </row>
    <row r="5" spans="1:15">
      <c r="A5" s="367"/>
      <c r="B5" s="367"/>
      <c r="C5" s="43" t="s">
        <v>57</v>
      </c>
      <c r="D5" s="43" t="s">
        <v>58</v>
      </c>
      <c r="E5" s="43" t="s">
        <v>57</v>
      </c>
      <c r="F5" s="43" t="s">
        <v>58</v>
      </c>
      <c r="G5" s="369"/>
      <c r="H5" s="42"/>
    </row>
    <row r="6" spans="1:15" ht="21">
      <c r="A6" s="44">
        <v>1</v>
      </c>
      <c r="B6" s="44">
        <v>1</v>
      </c>
      <c r="C6" s="45">
        <v>3</v>
      </c>
      <c r="D6" s="45">
        <v>0</v>
      </c>
      <c r="E6" s="45">
        <v>4</v>
      </c>
      <c r="F6" s="45">
        <v>0</v>
      </c>
      <c r="G6" s="46">
        <f>SUM(C6:F6)</f>
        <v>7</v>
      </c>
    </row>
    <row r="7" spans="1:15" ht="21">
      <c r="A7" s="44">
        <v>2</v>
      </c>
      <c r="B7" s="44">
        <v>2</v>
      </c>
      <c r="C7" s="45">
        <v>0</v>
      </c>
      <c r="D7" s="45">
        <v>0</v>
      </c>
      <c r="E7" s="45">
        <v>4</v>
      </c>
      <c r="F7" s="45">
        <v>0</v>
      </c>
      <c r="G7" s="46">
        <f>SUM(C7:F7)</f>
        <v>4</v>
      </c>
    </row>
    <row r="8" spans="1:15" ht="21">
      <c r="A8" s="44">
        <v>3</v>
      </c>
      <c r="B8" s="44">
        <v>3</v>
      </c>
      <c r="C8" s="45">
        <v>25</v>
      </c>
      <c r="D8" s="45">
        <v>1</v>
      </c>
      <c r="E8" s="45">
        <v>35</v>
      </c>
      <c r="F8" s="45">
        <v>5</v>
      </c>
      <c r="G8" s="46">
        <f>SUM(C8:F8)</f>
        <v>66</v>
      </c>
    </row>
    <row r="9" spans="1:15" ht="21">
      <c r="A9" s="44">
        <v>4</v>
      </c>
      <c r="B9" s="44">
        <v>4</v>
      </c>
      <c r="C9" s="45">
        <v>21</v>
      </c>
      <c r="D9" s="45">
        <v>11</v>
      </c>
      <c r="E9" s="45">
        <v>2</v>
      </c>
      <c r="F9" s="45">
        <v>1</v>
      </c>
      <c r="G9" s="46">
        <f>SUM(C9:F9)</f>
        <v>35</v>
      </c>
    </row>
    <row r="10" spans="1:15" ht="21.6" thickBot="1">
      <c r="A10" s="47" t="s">
        <v>0</v>
      </c>
      <c r="B10" s="47" t="s">
        <v>9</v>
      </c>
      <c r="C10" s="48">
        <f>SUM(C6:C9)</f>
        <v>49</v>
      </c>
      <c r="D10" s="48">
        <f>SUM(D6:D9)</f>
        <v>12</v>
      </c>
      <c r="E10" s="48">
        <f>SUM(E6:E9)</f>
        <v>45</v>
      </c>
      <c r="F10" s="48">
        <f>SUM(F6:F9)</f>
        <v>6</v>
      </c>
      <c r="G10" s="48">
        <f>SUM(G6:G9)</f>
        <v>112</v>
      </c>
    </row>
    <row r="11" spans="1:15" ht="21.6" thickTop="1">
      <c r="A11" s="49"/>
      <c r="B11" s="49"/>
      <c r="C11" s="49"/>
      <c r="D11" s="49"/>
      <c r="E11" s="49"/>
      <c r="F11" s="49"/>
    </row>
    <row r="13" spans="1:15" ht="22.5" customHeight="1">
      <c r="A13" s="361"/>
      <c r="B13" s="361"/>
      <c r="C13" s="361"/>
      <c r="D13" s="361"/>
      <c r="E13" s="361"/>
      <c r="F13" s="375" t="s">
        <v>2</v>
      </c>
      <c r="G13" s="375"/>
      <c r="H13" s="375"/>
    </row>
    <row r="14" spans="1:15" ht="46.8">
      <c r="A14" s="50" t="s">
        <v>78</v>
      </c>
      <c r="B14" s="50" t="s">
        <v>79</v>
      </c>
      <c r="C14" s="50" t="s">
        <v>80</v>
      </c>
      <c r="D14" s="50" t="s">
        <v>81</v>
      </c>
      <c r="E14" s="50" t="s">
        <v>82</v>
      </c>
      <c r="F14" s="50" t="s">
        <v>163</v>
      </c>
      <c r="G14" s="50" t="s">
        <v>67</v>
      </c>
      <c r="H14" s="50" t="s">
        <v>9</v>
      </c>
    </row>
    <row r="15" spans="1:15" ht="23.25" customHeight="1">
      <c r="A15" s="51">
        <v>1</v>
      </c>
      <c r="B15" s="50" t="s">
        <v>59</v>
      </c>
      <c r="C15" s="52">
        <v>1600</v>
      </c>
      <c r="D15" s="52">
        <v>1375</v>
      </c>
      <c r="E15" s="52">
        <v>1600</v>
      </c>
      <c r="F15" s="52">
        <v>120000</v>
      </c>
      <c r="G15" s="52">
        <v>5000</v>
      </c>
      <c r="H15" s="53">
        <f>SUM(C15:G15)</f>
        <v>129575</v>
      </c>
    </row>
    <row r="17" spans="1:15" ht="21">
      <c r="A17" s="362" t="s">
        <v>156</v>
      </c>
      <c r="B17" s="363"/>
      <c r="C17" s="363"/>
      <c r="D17" s="363"/>
      <c r="E17" s="363"/>
      <c r="F17" s="363"/>
      <c r="G17" s="363"/>
      <c r="H17" s="363"/>
      <c r="I17" s="38"/>
      <c r="J17" s="38"/>
      <c r="K17" s="38"/>
      <c r="L17" s="38"/>
      <c r="M17" s="38"/>
      <c r="N17" s="38"/>
      <c r="O17" s="38"/>
    </row>
    <row r="18" spans="1:15" ht="21">
      <c r="A18" s="364" t="s">
        <v>17</v>
      </c>
      <c r="B18" s="365"/>
      <c r="C18" s="365"/>
      <c r="D18" s="365"/>
      <c r="E18" s="365"/>
      <c r="F18" s="365"/>
      <c r="G18" s="365"/>
      <c r="H18" s="365"/>
      <c r="I18" s="39"/>
      <c r="J18" s="39"/>
      <c r="K18" s="39"/>
      <c r="L18" s="39"/>
      <c r="M18" s="39"/>
      <c r="N18" s="39"/>
      <c r="O18" s="39"/>
    </row>
    <row r="19" spans="1:15">
      <c r="A19" s="40" t="s">
        <v>5</v>
      </c>
      <c r="B19" s="41"/>
      <c r="C19" s="42"/>
      <c r="D19" s="42"/>
      <c r="E19" s="42"/>
      <c r="F19" s="42"/>
      <c r="G19" s="42"/>
      <c r="H19" s="42"/>
    </row>
    <row r="20" spans="1:15">
      <c r="A20" s="366" t="s">
        <v>78</v>
      </c>
      <c r="B20" s="366" t="s">
        <v>3</v>
      </c>
      <c r="C20" s="339" t="s">
        <v>16</v>
      </c>
      <c r="D20" s="341"/>
      <c r="E20" s="339" t="s">
        <v>37</v>
      </c>
      <c r="F20" s="341"/>
      <c r="G20" s="368" t="s">
        <v>9</v>
      </c>
      <c r="H20" s="42"/>
    </row>
    <row r="21" spans="1:15">
      <c r="A21" s="367"/>
      <c r="B21" s="367"/>
      <c r="C21" s="43" t="s">
        <v>57</v>
      </c>
      <c r="D21" s="43" t="s">
        <v>58</v>
      </c>
      <c r="E21" s="43" t="s">
        <v>57</v>
      </c>
      <c r="F21" s="43" t="s">
        <v>58</v>
      </c>
      <c r="G21" s="369"/>
      <c r="H21" s="42"/>
    </row>
    <row r="22" spans="1:15" ht="21">
      <c r="A22" s="44">
        <v>1</v>
      </c>
      <c r="B22" s="44">
        <v>1</v>
      </c>
      <c r="C22" s="45">
        <v>7</v>
      </c>
      <c r="D22" s="45">
        <v>0</v>
      </c>
      <c r="E22" s="45">
        <v>7</v>
      </c>
      <c r="F22" s="45">
        <v>2</v>
      </c>
      <c r="G22" s="46">
        <f>SUM(C22:F22)</f>
        <v>16</v>
      </c>
    </row>
    <row r="23" spans="1:15" ht="21">
      <c r="A23" s="44">
        <v>2</v>
      </c>
      <c r="B23" s="44">
        <v>2</v>
      </c>
      <c r="C23" s="45">
        <v>4</v>
      </c>
      <c r="D23" s="45">
        <v>0</v>
      </c>
      <c r="E23" s="45">
        <v>6</v>
      </c>
      <c r="F23" s="45">
        <v>3</v>
      </c>
      <c r="G23" s="46">
        <f>SUM(C23:F23)</f>
        <v>13</v>
      </c>
    </row>
    <row r="24" spans="1:15" ht="21">
      <c r="A24" s="44">
        <v>3</v>
      </c>
      <c r="B24" s="44">
        <v>3</v>
      </c>
      <c r="C24" s="45">
        <v>29</v>
      </c>
      <c r="D24" s="45">
        <v>5</v>
      </c>
      <c r="E24" s="45">
        <v>99</v>
      </c>
      <c r="F24" s="45">
        <v>16</v>
      </c>
      <c r="G24" s="46">
        <f>SUM(C24:F24)</f>
        <v>149</v>
      </c>
    </row>
    <row r="25" spans="1:15" ht="21">
      <c r="A25" s="44">
        <v>4</v>
      </c>
      <c r="B25" s="44">
        <v>4</v>
      </c>
      <c r="C25" s="45">
        <v>15</v>
      </c>
      <c r="D25" s="45">
        <v>12</v>
      </c>
      <c r="E25" s="45">
        <v>25</v>
      </c>
      <c r="F25" s="45">
        <v>17</v>
      </c>
      <c r="G25" s="46">
        <f>SUM(C25:F25)</f>
        <v>69</v>
      </c>
    </row>
    <row r="26" spans="1:15" ht="21.6" thickBot="1">
      <c r="A26" s="47" t="s">
        <v>0</v>
      </c>
      <c r="B26" s="47" t="s">
        <v>9</v>
      </c>
      <c r="C26" s="48">
        <f>SUM(C22:C25)</f>
        <v>55</v>
      </c>
      <c r="D26" s="48">
        <f>SUM(D22:D25)</f>
        <v>17</v>
      </c>
      <c r="E26" s="48">
        <f>SUM(E22:E25)</f>
        <v>137</v>
      </c>
      <c r="F26" s="48">
        <f>SUM(F22:F25)</f>
        <v>38</v>
      </c>
      <c r="G26" s="48">
        <f>SUM(G22:G25)</f>
        <v>247</v>
      </c>
    </row>
    <row r="27" spans="1:15" ht="21.6" thickTop="1">
      <c r="A27" s="49"/>
      <c r="B27" s="49"/>
      <c r="C27" s="49"/>
      <c r="D27" s="49"/>
      <c r="E27" s="49"/>
      <c r="F27" s="49"/>
    </row>
    <row r="29" spans="1:15" ht="22.5" customHeight="1">
      <c r="A29" s="361"/>
      <c r="B29" s="361"/>
      <c r="C29" s="361"/>
      <c r="D29" s="361"/>
      <c r="E29" s="361"/>
      <c r="F29" s="375" t="s">
        <v>2</v>
      </c>
      <c r="G29" s="375"/>
      <c r="H29" s="375"/>
    </row>
    <row r="30" spans="1:15" ht="31.2">
      <c r="A30" s="50" t="s">
        <v>78</v>
      </c>
      <c r="B30" s="50" t="s">
        <v>79</v>
      </c>
      <c r="C30" s="50" t="s">
        <v>80</v>
      </c>
      <c r="D30" s="50" t="s">
        <v>81</v>
      </c>
      <c r="E30" s="50" t="s">
        <v>82</v>
      </c>
      <c r="F30" s="50" t="s">
        <v>162</v>
      </c>
      <c r="G30" s="50" t="s">
        <v>67</v>
      </c>
      <c r="H30" s="50" t="s">
        <v>9</v>
      </c>
    </row>
    <row r="31" spans="1:15" ht="23.25" customHeight="1">
      <c r="A31" s="51">
        <v>1</v>
      </c>
      <c r="B31" s="50" t="s">
        <v>70</v>
      </c>
      <c r="C31" s="52">
        <v>6000</v>
      </c>
      <c r="D31" s="52">
        <v>3100</v>
      </c>
      <c r="E31" s="52">
        <v>1000</v>
      </c>
      <c r="F31" s="52">
        <v>17000</v>
      </c>
      <c r="G31" s="52">
        <v>20000</v>
      </c>
      <c r="H31" s="53">
        <f>SUM(C31:G31)</f>
        <v>47100</v>
      </c>
    </row>
    <row r="33" spans="1:15" ht="21">
      <c r="A33" s="362" t="s">
        <v>156</v>
      </c>
      <c r="B33" s="363"/>
      <c r="C33" s="363"/>
      <c r="D33" s="363"/>
      <c r="E33" s="363"/>
      <c r="F33" s="363"/>
      <c r="G33" s="363"/>
      <c r="H33" s="363"/>
      <c r="I33" s="38"/>
      <c r="J33" s="38"/>
      <c r="K33" s="38"/>
      <c r="L33" s="38"/>
      <c r="M33" s="38"/>
      <c r="N33" s="38"/>
      <c r="O33" s="38"/>
    </row>
    <row r="34" spans="1:15" ht="21">
      <c r="A34" s="364" t="s">
        <v>17</v>
      </c>
      <c r="B34" s="365"/>
      <c r="C34" s="365"/>
      <c r="D34" s="365"/>
      <c r="E34" s="365"/>
      <c r="F34" s="365"/>
      <c r="G34" s="365"/>
      <c r="H34" s="365"/>
      <c r="I34" s="39"/>
      <c r="J34" s="39"/>
      <c r="K34" s="39"/>
      <c r="L34" s="39"/>
      <c r="M34" s="39"/>
      <c r="N34" s="39"/>
      <c r="O34" s="39"/>
    </row>
    <row r="35" spans="1:15">
      <c r="A35" s="40" t="s">
        <v>5</v>
      </c>
      <c r="B35" s="41"/>
      <c r="C35" s="42"/>
      <c r="D35" s="42"/>
      <c r="E35" s="42"/>
      <c r="F35" s="42"/>
      <c r="G35" s="42"/>
      <c r="H35" s="42"/>
    </row>
    <row r="36" spans="1:15">
      <c r="A36" s="366" t="s">
        <v>78</v>
      </c>
      <c r="B36" s="366" t="s">
        <v>3</v>
      </c>
      <c r="C36" s="339" t="s">
        <v>16</v>
      </c>
      <c r="D36" s="341"/>
      <c r="E36" s="339" t="s">
        <v>37</v>
      </c>
      <c r="F36" s="341"/>
      <c r="G36" s="368" t="s">
        <v>9</v>
      </c>
      <c r="H36" s="42"/>
    </row>
    <row r="37" spans="1:15">
      <c r="A37" s="367"/>
      <c r="B37" s="367"/>
      <c r="C37" s="43" t="s">
        <v>57</v>
      </c>
      <c r="D37" s="43" t="s">
        <v>58</v>
      </c>
      <c r="E37" s="43" t="s">
        <v>57</v>
      </c>
      <c r="F37" s="43" t="s">
        <v>58</v>
      </c>
      <c r="G37" s="369"/>
      <c r="H37" s="42"/>
    </row>
    <row r="38" spans="1:15" ht="21">
      <c r="A38" s="44">
        <v>1</v>
      </c>
      <c r="B38" s="44">
        <v>1</v>
      </c>
      <c r="C38" s="45">
        <v>13</v>
      </c>
      <c r="D38" s="45">
        <v>0</v>
      </c>
      <c r="E38" s="45">
        <v>5</v>
      </c>
      <c r="F38" s="45">
        <v>0</v>
      </c>
      <c r="G38" s="46">
        <f>SUM(C38:F38)</f>
        <v>18</v>
      </c>
    </row>
    <row r="39" spans="1:15" ht="21">
      <c r="A39" s="44">
        <v>2</v>
      </c>
      <c r="B39" s="44">
        <v>2</v>
      </c>
      <c r="C39" s="45">
        <v>5</v>
      </c>
      <c r="D39" s="45">
        <v>1</v>
      </c>
      <c r="E39" s="45">
        <v>18</v>
      </c>
      <c r="F39" s="45">
        <v>0</v>
      </c>
      <c r="G39" s="46">
        <f>SUM(C39:F39)</f>
        <v>24</v>
      </c>
    </row>
    <row r="40" spans="1:15" ht="21">
      <c r="A40" s="44">
        <v>3</v>
      </c>
      <c r="B40" s="44">
        <v>3</v>
      </c>
      <c r="C40" s="45">
        <v>67</v>
      </c>
      <c r="D40" s="45">
        <v>9</v>
      </c>
      <c r="E40" s="45">
        <v>121</v>
      </c>
      <c r="F40" s="45">
        <v>9</v>
      </c>
      <c r="G40" s="46">
        <f>SUM(C40:F40)</f>
        <v>206</v>
      </c>
    </row>
    <row r="41" spans="1:15" ht="21">
      <c r="A41" s="44">
        <v>4</v>
      </c>
      <c r="B41" s="44">
        <v>4</v>
      </c>
      <c r="C41" s="45">
        <v>35</v>
      </c>
      <c r="D41" s="45">
        <v>8</v>
      </c>
      <c r="E41" s="45">
        <v>35</v>
      </c>
      <c r="F41" s="45">
        <v>6</v>
      </c>
      <c r="G41" s="46">
        <f>SUM(C41:F41)</f>
        <v>84</v>
      </c>
    </row>
    <row r="42" spans="1:15" ht="21.6" thickBot="1">
      <c r="A42" s="47" t="s">
        <v>0</v>
      </c>
      <c r="B42" s="47" t="s">
        <v>9</v>
      </c>
      <c r="C42" s="48">
        <f>SUM(C38:C41)</f>
        <v>120</v>
      </c>
      <c r="D42" s="48">
        <f>SUM(D38:D41)</f>
        <v>18</v>
      </c>
      <c r="E42" s="48">
        <f>SUM(E38:E41)</f>
        <v>179</v>
      </c>
      <c r="F42" s="48">
        <f>SUM(F38:F41)</f>
        <v>15</v>
      </c>
      <c r="G42" s="48">
        <f>SUM(G38:G41)</f>
        <v>332</v>
      </c>
    </row>
    <row r="43" spans="1:15" ht="21.6" thickTop="1">
      <c r="A43" s="49"/>
      <c r="B43" s="49"/>
      <c r="C43" s="49"/>
      <c r="D43" s="49"/>
      <c r="E43" s="49"/>
      <c r="F43" s="49"/>
    </row>
    <row r="45" spans="1:15" ht="22.5" customHeight="1">
      <c r="A45" s="361"/>
      <c r="B45" s="361"/>
      <c r="C45" s="361"/>
      <c r="D45" s="361"/>
      <c r="E45" s="361"/>
      <c r="F45" s="375" t="s">
        <v>2</v>
      </c>
      <c r="G45" s="375"/>
      <c r="H45" s="375"/>
    </row>
    <row r="46" spans="1:15" ht="31.2">
      <c r="A46" s="50" t="s">
        <v>78</v>
      </c>
      <c r="B46" s="50" t="s">
        <v>79</v>
      </c>
      <c r="C46" s="50" t="s">
        <v>80</v>
      </c>
      <c r="D46" s="50" t="s">
        <v>81</v>
      </c>
      <c r="E46" s="50" t="s">
        <v>82</v>
      </c>
      <c r="F46" s="50" t="s">
        <v>140</v>
      </c>
      <c r="G46" s="50" t="s">
        <v>67</v>
      </c>
      <c r="H46" s="50" t="s">
        <v>9</v>
      </c>
    </row>
    <row r="47" spans="1:15" ht="23.25" customHeight="1">
      <c r="A47" s="51">
        <v>1</v>
      </c>
      <c r="B47" s="50" t="s">
        <v>71</v>
      </c>
      <c r="C47" s="52">
        <v>8500</v>
      </c>
      <c r="D47" s="52">
        <v>2000</v>
      </c>
      <c r="E47" s="52">
        <v>1500</v>
      </c>
      <c r="F47" s="52">
        <v>0</v>
      </c>
      <c r="G47" s="52">
        <v>11191</v>
      </c>
      <c r="H47" s="53">
        <f>SUM(C47:G47)</f>
        <v>23191</v>
      </c>
    </row>
    <row r="49" spans="1:15" ht="21">
      <c r="A49" s="362" t="s">
        <v>156</v>
      </c>
      <c r="B49" s="363"/>
      <c r="C49" s="363"/>
      <c r="D49" s="363"/>
      <c r="E49" s="363"/>
      <c r="F49" s="363"/>
      <c r="G49" s="363"/>
      <c r="H49" s="363"/>
      <c r="I49" s="38"/>
      <c r="J49" s="38"/>
      <c r="K49" s="38"/>
      <c r="L49" s="38"/>
      <c r="M49" s="38"/>
      <c r="N49" s="38"/>
      <c r="O49" s="38"/>
    </row>
    <row r="50" spans="1:15" ht="21">
      <c r="A50" s="364" t="s">
        <v>17</v>
      </c>
      <c r="B50" s="365"/>
      <c r="C50" s="365"/>
      <c r="D50" s="365"/>
      <c r="E50" s="365"/>
      <c r="F50" s="365"/>
      <c r="G50" s="365"/>
      <c r="H50" s="365"/>
      <c r="I50" s="39"/>
      <c r="J50" s="39"/>
      <c r="K50" s="39"/>
      <c r="L50" s="39"/>
      <c r="M50" s="39"/>
      <c r="N50" s="39"/>
      <c r="O50" s="39"/>
    </row>
    <row r="51" spans="1:15">
      <c r="A51" s="40" t="s">
        <v>5</v>
      </c>
      <c r="B51" s="41"/>
      <c r="C51" s="42"/>
      <c r="D51" s="42"/>
      <c r="E51" s="42"/>
      <c r="F51" s="42"/>
      <c r="G51" s="42"/>
      <c r="H51" s="42"/>
    </row>
    <row r="52" spans="1:15">
      <c r="A52" s="366" t="s">
        <v>78</v>
      </c>
      <c r="B52" s="366" t="s">
        <v>3</v>
      </c>
      <c r="C52" s="339" t="s">
        <v>16</v>
      </c>
      <c r="D52" s="341"/>
      <c r="E52" s="339" t="s">
        <v>37</v>
      </c>
      <c r="F52" s="341"/>
      <c r="G52" s="368" t="s">
        <v>9</v>
      </c>
      <c r="H52" s="42"/>
    </row>
    <row r="53" spans="1:15">
      <c r="A53" s="367"/>
      <c r="B53" s="367"/>
      <c r="C53" s="43" t="s">
        <v>57</v>
      </c>
      <c r="D53" s="43" t="s">
        <v>58</v>
      </c>
      <c r="E53" s="43" t="s">
        <v>57</v>
      </c>
      <c r="F53" s="43" t="s">
        <v>58</v>
      </c>
      <c r="G53" s="369"/>
      <c r="H53" s="42"/>
    </row>
    <row r="54" spans="1:15" ht="21">
      <c r="A54" s="44">
        <v>1</v>
      </c>
      <c r="B54" s="44">
        <v>1</v>
      </c>
      <c r="C54" s="45">
        <v>7</v>
      </c>
      <c r="D54" s="45">
        <v>0</v>
      </c>
      <c r="E54" s="45">
        <v>12</v>
      </c>
      <c r="F54" s="45">
        <v>1</v>
      </c>
      <c r="G54" s="46">
        <f>SUM(C54:F54)</f>
        <v>20</v>
      </c>
    </row>
    <row r="55" spans="1:15" ht="21">
      <c r="A55" s="44">
        <v>2</v>
      </c>
      <c r="B55" s="44">
        <v>2</v>
      </c>
      <c r="C55" s="45">
        <v>7</v>
      </c>
      <c r="D55" s="45">
        <v>0</v>
      </c>
      <c r="E55" s="45">
        <v>10</v>
      </c>
      <c r="F55" s="45">
        <v>7</v>
      </c>
      <c r="G55" s="46">
        <f>SUM(C55:F55)</f>
        <v>24</v>
      </c>
    </row>
    <row r="56" spans="1:15" ht="21">
      <c r="A56" s="44">
        <v>3</v>
      </c>
      <c r="B56" s="44">
        <v>3</v>
      </c>
      <c r="C56" s="45">
        <v>28</v>
      </c>
      <c r="D56" s="45">
        <v>8</v>
      </c>
      <c r="E56" s="45">
        <v>98</v>
      </c>
      <c r="F56" s="45">
        <v>60</v>
      </c>
      <c r="G56" s="46">
        <f>SUM(C56:F56)</f>
        <v>194</v>
      </c>
    </row>
    <row r="57" spans="1:15" ht="21">
      <c r="A57" s="44">
        <v>4</v>
      </c>
      <c r="B57" s="44">
        <v>4</v>
      </c>
      <c r="C57" s="45">
        <v>13</v>
      </c>
      <c r="D57" s="45">
        <v>11</v>
      </c>
      <c r="E57" s="45">
        <v>38</v>
      </c>
      <c r="F57" s="45">
        <v>20</v>
      </c>
      <c r="G57" s="46">
        <f>SUM(C57:F57)</f>
        <v>82</v>
      </c>
    </row>
    <row r="58" spans="1:15" ht="21.6" thickBot="1">
      <c r="A58" s="47" t="s">
        <v>0</v>
      </c>
      <c r="B58" s="47" t="s">
        <v>9</v>
      </c>
      <c r="C58" s="48">
        <f>SUM(C54:C57)</f>
        <v>55</v>
      </c>
      <c r="D58" s="48">
        <f>SUM(D54:D57)</f>
        <v>19</v>
      </c>
      <c r="E58" s="48">
        <f>SUM(E54:E57)</f>
        <v>158</v>
      </c>
      <c r="F58" s="48">
        <f>SUM(F54:F57)</f>
        <v>88</v>
      </c>
      <c r="G58" s="48">
        <f>SUM(G54:G57)</f>
        <v>320</v>
      </c>
    </row>
    <row r="59" spans="1:15" ht="21.6" thickTop="1">
      <c r="A59" s="49"/>
      <c r="B59" s="49"/>
      <c r="C59" s="49"/>
      <c r="D59" s="49"/>
      <c r="E59" s="49"/>
      <c r="F59" s="49"/>
    </row>
    <row r="61" spans="1:15" ht="22.5" customHeight="1">
      <c r="A61" s="361"/>
      <c r="B61" s="361"/>
      <c r="C61" s="361"/>
      <c r="D61" s="361"/>
      <c r="E61" s="361"/>
      <c r="F61" s="375" t="s">
        <v>2</v>
      </c>
      <c r="G61" s="375"/>
      <c r="H61" s="375"/>
    </row>
    <row r="62" spans="1:15" ht="46.8">
      <c r="A62" s="50" t="s">
        <v>78</v>
      </c>
      <c r="B62" s="50" t="s">
        <v>79</v>
      </c>
      <c r="C62" s="50" t="s">
        <v>80</v>
      </c>
      <c r="D62" s="50" t="s">
        <v>81</v>
      </c>
      <c r="E62" s="50" t="s">
        <v>82</v>
      </c>
      <c r="F62" s="50" t="s">
        <v>163</v>
      </c>
      <c r="G62" s="50" t="s">
        <v>67</v>
      </c>
      <c r="H62" s="50" t="s">
        <v>9</v>
      </c>
    </row>
    <row r="63" spans="1:15" ht="23.25" customHeight="1">
      <c r="A63" s="51">
        <v>1</v>
      </c>
      <c r="B63" s="50" t="s">
        <v>72</v>
      </c>
      <c r="C63" s="52">
        <v>7500</v>
      </c>
      <c r="D63" s="52">
        <v>3463</v>
      </c>
      <c r="E63" s="52">
        <v>3000</v>
      </c>
      <c r="F63" s="52">
        <v>86947</v>
      </c>
      <c r="G63" s="52">
        <v>25000</v>
      </c>
      <c r="H63" s="53">
        <f>SUM(C63:G63)</f>
        <v>125910</v>
      </c>
    </row>
    <row r="64" spans="1:15" ht="23.25" customHeight="1">
      <c r="A64" s="54"/>
      <c r="B64" s="55"/>
      <c r="C64" s="56"/>
      <c r="D64" s="56"/>
      <c r="E64" s="56"/>
      <c r="F64" s="56"/>
      <c r="G64" s="56"/>
      <c r="H64" s="57"/>
    </row>
    <row r="65" spans="1:15" ht="21">
      <c r="A65" s="362" t="s">
        <v>156</v>
      </c>
      <c r="B65" s="363"/>
      <c r="C65" s="363"/>
      <c r="D65" s="363"/>
      <c r="E65" s="363"/>
      <c r="F65" s="363"/>
      <c r="G65" s="363"/>
      <c r="H65" s="363"/>
      <c r="I65" s="38"/>
      <c r="J65" s="38"/>
      <c r="K65" s="38"/>
      <c r="L65" s="38"/>
      <c r="M65" s="38"/>
      <c r="N65" s="38"/>
      <c r="O65" s="38"/>
    </row>
    <row r="66" spans="1:15" ht="21">
      <c r="A66" s="364" t="s">
        <v>17</v>
      </c>
      <c r="B66" s="365"/>
      <c r="C66" s="365"/>
      <c r="D66" s="365"/>
      <c r="E66" s="365"/>
      <c r="F66" s="365"/>
      <c r="G66" s="365"/>
      <c r="H66" s="365"/>
      <c r="I66" s="39"/>
      <c r="J66" s="39"/>
      <c r="K66" s="39"/>
      <c r="L66" s="39"/>
      <c r="M66" s="39"/>
      <c r="N66" s="39"/>
      <c r="O66" s="39"/>
    </row>
    <row r="67" spans="1:15">
      <c r="A67" s="40" t="s">
        <v>5</v>
      </c>
      <c r="B67" s="41"/>
      <c r="C67" s="42"/>
      <c r="D67" s="42"/>
      <c r="E67" s="42"/>
      <c r="F67" s="42"/>
      <c r="G67" s="42"/>
      <c r="H67" s="42"/>
    </row>
    <row r="68" spans="1:15">
      <c r="A68" s="366" t="s">
        <v>78</v>
      </c>
      <c r="B68" s="366" t="s">
        <v>3</v>
      </c>
      <c r="C68" s="339" t="s">
        <v>16</v>
      </c>
      <c r="D68" s="341"/>
      <c r="E68" s="339" t="s">
        <v>37</v>
      </c>
      <c r="F68" s="341"/>
      <c r="G68" s="368" t="s">
        <v>9</v>
      </c>
      <c r="H68" s="42"/>
    </row>
    <row r="69" spans="1:15">
      <c r="A69" s="367"/>
      <c r="B69" s="367"/>
      <c r="C69" s="43" t="s">
        <v>57</v>
      </c>
      <c r="D69" s="43" t="s">
        <v>58</v>
      </c>
      <c r="E69" s="43" t="s">
        <v>57</v>
      </c>
      <c r="F69" s="43" t="s">
        <v>58</v>
      </c>
      <c r="G69" s="369"/>
      <c r="H69" s="42"/>
    </row>
    <row r="70" spans="1:15" ht="21">
      <c r="A70" s="44">
        <v>1</v>
      </c>
      <c r="B70" s="44">
        <v>1</v>
      </c>
      <c r="C70" s="45">
        <v>18</v>
      </c>
      <c r="D70" s="45">
        <v>0</v>
      </c>
      <c r="E70" s="45">
        <v>6</v>
      </c>
      <c r="F70" s="45">
        <v>3</v>
      </c>
      <c r="G70" s="46">
        <f>SUM(C70:F70)</f>
        <v>27</v>
      </c>
    </row>
    <row r="71" spans="1:15" ht="21">
      <c r="A71" s="44">
        <v>2</v>
      </c>
      <c r="B71" s="44">
        <v>2</v>
      </c>
      <c r="C71" s="45">
        <v>14</v>
      </c>
      <c r="D71" s="45">
        <v>0</v>
      </c>
      <c r="E71" s="45">
        <v>20</v>
      </c>
      <c r="F71" s="45">
        <v>1</v>
      </c>
      <c r="G71" s="46">
        <f>SUM(C71:F71)</f>
        <v>35</v>
      </c>
    </row>
    <row r="72" spans="1:15" ht="21">
      <c r="A72" s="44">
        <v>3</v>
      </c>
      <c r="B72" s="44">
        <v>3</v>
      </c>
      <c r="C72" s="45">
        <v>76</v>
      </c>
      <c r="D72" s="45">
        <v>13</v>
      </c>
      <c r="E72" s="45">
        <v>115</v>
      </c>
      <c r="F72" s="45">
        <v>53</v>
      </c>
      <c r="G72" s="46">
        <f>SUM(C72:F72)</f>
        <v>257</v>
      </c>
    </row>
    <row r="73" spans="1:15" ht="21">
      <c r="A73" s="44">
        <v>4</v>
      </c>
      <c r="B73" s="44">
        <v>4</v>
      </c>
      <c r="C73" s="45">
        <v>58</v>
      </c>
      <c r="D73" s="45">
        <v>17</v>
      </c>
      <c r="E73" s="45">
        <v>28</v>
      </c>
      <c r="F73" s="45">
        <v>20</v>
      </c>
      <c r="G73" s="46">
        <f>SUM(C73:F73)</f>
        <v>123</v>
      </c>
    </row>
    <row r="74" spans="1:15" ht="21.6" thickBot="1">
      <c r="A74" s="47" t="s">
        <v>0</v>
      </c>
      <c r="B74" s="47" t="s">
        <v>9</v>
      </c>
      <c r="C74" s="48">
        <f>SUM(C70:C73)</f>
        <v>166</v>
      </c>
      <c r="D74" s="48">
        <f>SUM(D70:D73)</f>
        <v>30</v>
      </c>
      <c r="E74" s="48">
        <f>SUM(E70:E73)</f>
        <v>169</v>
      </c>
      <c r="F74" s="48">
        <f>SUM(F70:F73)</f>
        <v>77</v>
      </c>
      <c r="G74" s="46">
        <f>SUM(C74:F74)</f>
        <v>442</v>
      </c>
    </row>
    <row r="75" spans="1:15" ht="21.6" thickTop="1">
      <c r="A75" s="49"/>
      <c r="B75" s="49"/>
      <c r="C75" s="49"/>
      <c r="D75" s="49"/>
      <c r="E75" s="49"/>
      <c r="F75" s="49"/>
    </row>
    <row r="77" spans="1:15" ht="22.5" customHeight="1">
      <c r="A77" s="361"/>
      <c r="B77" s="361"/>
      <c r="C77" s="361"/>
      <c r="D77" s="361"/>
      <c r="E77" s="361"/>
      <c r="F77" s="375" t="s">
        <v>2</v>
      </c>
      <c r="G77" s="375"/>
      <c r="H77" s="375"/>
    </row>
    <row r="78" spans="1:15" ht="31.2">
      <c r="A78" s="50" t="s">
        <v>78</v>
      </c>
      <c r="B78" s="50" t="s">
        <v>79</v>
      </c>
      <c r="C78" s="50" t="s">
        <v>80</v>
      </c>
      <c r="D78" s="50" t="s">
        <v>81</v>
      </c>
      <c r="E78" s="50" t="s">
        <v>82</v>
      </c>
      <c r="F78" s="50" t="s">
        <v>162</v>
      </c>
      <c r="G78" s="50" t="s">
        <v>67</v>
      </c>
      <c r="H78" s="50" t="s">
        <v>9</v>
      </c>
    </row>
    <row r="79" spans="1:15" ht="23.25" customHeight="1">
      <c r="A79" s="51">
        <v>1</v>
      </c>
      <c r="B79" s="50" t="s">
        <v>73</v>
      </c>
      <c r="C79" s="52">
        <v>6000</v>
      </c>
      <c r="D79" s="52">
        <v>5488</v>
      </c>
      <c r="E79" s="52">
        <v>6585</v>
      </c>
      <c r="F79" s="52">
        <v>227924</v>
      </c>
      <c r="G79" s="52">
        <v>45372</v>
      </c>
      <c r="H79" s="53">
        <f>SUM(C79:G79)</f>
        <v>291369</v>
      </c>
    </row>
    <row r="81" spans="1:15" ht="21">
      <c r="A81" s="362" t="s">
        <v>156</v>
      </c>
      <c r="B81" s="363"/>
      <c r="C81" s="363"/>
      <c r="D81" s="363"/>
      <c r="E81" s="363"/>
      <c r="F81" s="363"/>
      <c r="G81" s="363"/>
      <c r="H81" s="363"/>
      <c r="I81" s="38"/>
      <c r="J81" s="38"/>
      <c r="K81" s="38"/>
      <c r="L81" s="38"/>
      <c r="M81" s="38"/>
      <c r="N81" s="38"/>
      <c r="O81" s="38"/>
    </row>
    <row r="82" spans="1:15" ht="21">
      <c r="A82" s="364" t="s">
        <v>17</v>
      </c>
      <c r="B82" s="365"/>
      <c r="C82" s="365"/>
      <c r="D82" s="365"/>
      <c r="E82" s="365"/>
      <c r="F82" s="365"/>
      <c r="G82" s="365"/>
      <c r="H82" s="365"/>
      <c r="I82" s="39"/>
      <c r="J82" s="39"/>
      <c r="K82" s="39"/>
      <c r="L82" s="39"/>
      <c r="M82" s="39"/>
      <c r="N82" s="39"/>
      <c r="O82" s="39"/>
    </row>
    <row r="83" spans="1:15">
      <c r="A83" s="40" t="s">
        <v>5</v>
      </c>
      <c r="B83" s="41"/>
      <c r="C83" s="42"/>
      <c r="D83" s="42"/>
      <c r="E83" s="42"/>
      <c r="F83" s="42"/>
      <c r="G83" s="42"/>
      <c r="H83" s="42"/>
    </row>
    <row r="84" spans="1:15">
      <c r="A84" s="366" t="s">
        <v>78</v>
      </c>
      <c r="B84" s="366" t="s">
        <v>3</v>
      </c>
      <c r="C84" s="339" t="s">
        <v>16</v>
      </c>
      <c r="D84" s="341"/>
      <c r="E84" s="339" t="s">
        <v>37</v>
      </c>
      <c r="F84" s="341"/>
      <c r="G84" s="368" t="s">
        <v>9</v>
      </c>
      <c r="H84" s="42"/>
    </row>
    <row r="85" spans="1:15">
      <c r="A85" s="367"/>
      <c r="B85" s="367"/>
      <c r="C85" s="43" t="s">
        <v>57</v>
      </c>
      <c r="D85" s="43" t="s">
        <v>58</v>
      </c>
      <c r="E85" s="43" t="s">
        <v>57</v>
      </c>
      <c r="F85" s="43" t="s">
        <v>58</v>
      </c>
      <c r="G85" s="369"/>
      <c r="H85" s="42"/>
    </row>
    <row r="86" spans="1:15" ht="21">
      <c r="A86" s="44">
        <v>1</v>
      </c>
      <c r="B86" s="44">
        <v>1</v>
      </c>
      <c r="C86" s="45">
        <v>12</v>
      </c>
      <c r="D86" s="45">
        <v>2</v>
      </c>
      <c r="E86" s="45">
        <v>4</v>
      </c>
      <c r="F86" s="45">
        <v>0</v>
      </c>
      <c r="G86" s="46">
        <f>SUM(C86:F86)</f>
        <v>18</v>
      </c>
    </row>
    <row r="87" spans="1:15" ht="21">
      <c r="A87" s="44">
        <v>2</v>
      </c>
      <c r="B87" s="44">
        <v>2</v>
      </c>
      <c r="C87" s="45">
        <v>9</v>
      </c>
      <c r="D87" s="45">
        <v>0</v>
      </c>
      <c r="E87" s="45">
        <v>14</v>
      </c>
      <c r="F87" s="45">
        <v>2</v>
      </c>
      <c r="G87" s="46">
        <f>SUM(C87:F87)</f>
        <v>25</v>
      </c>
    </row>
    <row r="88" spans="1:15" ht="21">
      <c r="A88" s="44">
        <v>3</v>
      </c>
      <c r="B88" s="44">
        <v>3</v>
      </c>
      <c r="C88" s="45">
        <v>73</v>
      </c>
      <c r="D88" s="45">
        <v>19</v>
      </c>
      <c r="E88" s="45">
        <v>116</v>
      </c>
      <c r="F88" s="45">
        <v>34</v>
      </c>
      <c r="G88" s="46">
        <f>SUM(C88:F88)</f>
        <v>242</v>
      </c>
    </row>
    <row r="89" spans="1:15" ht="21">
      <c r="A89" s="44">
        <v>4</v>
      </c>
      <c r="B89" s="44">
        <v>4</v>
      </c>
      <c r="C89" s="45">
        <v>34</v>
      </c>
      <c r="D89" s="45">
        <v>12</v>
      </c>
      <c r="E89" s="45">
        <v>22</v>
      </c>
      <c r="F89" s="45">
        <v>6</v>
      </c>
      <c r="G89" s="46">
        <f>SUM(C89:F89)</f>
        <v>74</v>
      </c>
    </row>
    <row r="90" spans="1:15" ht="21.6" thickBot="1">
      <c r="A90" s="47" t="s">
        <v>0</v>
      </c>
      <c r="B90" s="47" t="s">
        <v>9</v>
      </c>
      <c r="C90" s="48">
        <f>SUM(C86:C89)</f>
        <v>128</v>
      </c>
      <c r="D90" s="48">
        <f>SUM(D86:D89)</f>
        <v>33</v>
      </c>
      <c r="E90" s="48">
        <f>SUM(E86:E89)</f>
        <v>156</v>
      </c>
      <c r="F90" s="48">
        <f>SUM(F86:F89)</f>
        <v>42</v>
      </c>
      <c r="G90" s="48">
        <f>SUM(G86:G89)</f>
        <v>359</v>
      </c>
    </row>
    <row r="91" spans="1:15" ht="21.6" thickTop="1">
      <c r="A91" s="49"/>
      <c r="B91" s="49"/>
      <c r="C91" s="49"/>
      <c r="D91" s="49"/>
      <c r="E91" s="49"/>
      <c r="F91" s="49"/>
    </row>
    <row r="93" spans="1:15" ht="22.5" customHeight="1">
      <c r="A93" s="361"/>
      <c r="B93" s="361"/>
      <c r="C93" s="361"/>
      <c r="D93" s="361"/>
      <c r="E93" s="361"/>
      <c r="F93" s="375" t="s">
        <v>2</v>
      </c>
      <c r="G93" s="375"/>
      <c r="H93" s="375"/>
    </row>
    <row r="94" spans="1:15" ht="31.2">
      <c r="A94" s="50" t="s">
        <v>78</v>
      </c>
      <c r="B94" s="50" t="s">
        <v>79</v>
      </c>
      <c r="C94" s="50" t="s">
        <v>80</v>
      </c>
      <c r="D94" s="50" t="s">
        <v>81</v>
      </c>
      <c r="E94" s="50" t="s">
        <v>82</v>
      </c>
      <c r="F94" s="50" t="s">
        <v>162</v>
      </c>
      <c r="G94" s="50" t="s">
        <v>67</v>
      </c>
      <c r="H94" s="50" t="s">
        <v>9</v>
      </c>
    </row>
    <row r="95" spans="1:15" ht="23.25" customHeight="1">
      <c r="A95" s="51">
        <v>1</v>
      </c>
      <c r="B95" s="50" t="s">
        <v>74</v>
      </c>
      <c r="C95" s="52">
        <v>17950</v>
      </c>
      <c r="D95" s="52">
        <v>4740</v>
      </c>
      <c r="E95" s="52">
        <v>7518</v>
      </c>
      <c r="F95" s="52">
        <v>42404</v>
      </c>
      <c r="G95" s="52">
        <v>91761</v>
      </c>
      <c r="H95" s="53">
        <f>SUM(C95:G95)</f>
        <v>164373</v>
      </c>
    </row>
    <row r="97" spans="1:15" ht="21">
      <c r="A97" s="362" t="s">
        <v>156</v>
      </c>
      <c r="B97" s="363"/>
      <c r="C97" s="363"/>
      <c r="D97" s="363"/>
      <c r="E97" s="363"/>
      <c r="F97" s="363"/>
      <c r="G97" s="363"/>
      <c r="H97" s="363"/>
      <c r="I97" s="38"/>
      <c r="J97" s="38"/>
      <c r="K97" s="38"/>
      <c r="L97" s="38"/>
      <c r="M97" s="38"/>
      <c r="N97" s="38"/>
      <c r="O97" s="38"/>
    </row>
    <row r="98" spans="1:15" ht="21">
      <c r="A98" s="364" t="s">
        <v>17</v>
      </c>
      <c r="B98" s="365"/>
      <c r="C98" s="365"/>
      <c r="D98" s="365"/>
      <c r="E98" s="365"/>
      <c r="F98" s="365"/>
      <c r="G98" s="365"/>
      <c r="H98" s="365"/>
      <c r="I98" s="39"/>
      <c r="J98" s="39"/>
      <c r="K98" s="39"/>
      <c r="L98" s="39"/>
      <c r="M98" s="39"/>
      <c r="N98" s="39"/>
      <c r="O98" s="39"/>
    </row>
    <row r="99" spans="1:15">
      <c r="A99" s="40" t="s">
        <v>5</v>
      </c>
      <c r="B99" s="41"/>
      <c r="C99" s="42"/>
      <c r="D99" s="42"/>
      <c r="E99" s="42"/>
      <c r="F99" s="42"/>
      <c r="G99" s="42"/>
      <c r="H99" s="42"/>
    </row>
    <row r="100" spans="1:15">
      <c r="A100" s="366" t="s">
        <v>78</v>
      </c>
      <c r="B100" s="366" t="s">
        <v>3</v>
      </c>
      <c r="C100" s="339" t="s">
        <v>16</v>
      </c>
      <c r="D100" s="341"/>
      <c r="E100" s="339" t="s">
        <v>37</v>
      </c>
      <c r="F100" s="341"/>
      <c r="G100" s="368" t="s">
        <v>9</v>
      </c>
      <c r="H100" s="42"/>
    </row>
    <row r="101" spans="1:15">
      <c r="A101" s="367"/>
      <c r="B101" s="367"/>
      <c r="C101" s="43" t="s">
        <v>57</v>
      </c>
      <c r="D101" s="43" t="s">
        <v>58</v>
      </c>
      <c r="E101" s="43" t="s">
        <v>57</v>
      </c>
      <c r="F101" s="43" t="s">
        <v>58</v>
      </c>
      <c r="G101" s="369"/>
      <c r="H101" s="42"/>
    </row>
    <row r="102" spans="1:15" ht="21">
      <c r="A102" s="44">
        <v>1</v>
      </c>
      <c r="B102" s="44">
        <v>1</v>
      </c>
      <c r="C102" s="45">
        <v>7</v>
      </c>
      <c r="D102" s="45">
        <v>1</v>
      </c>
      <c r="E102" s="45">
        <v>6</v>
      </c>
      <c r="F102" s="45">
        <v>0</v>
      </c>
      <c r="G102" s="46">
        <f>SUM(C102:F102)</f>
        <v>14</v>
      </c>
    </row>
    <row r="103" spans="1:15" ht="21">
      <c r="A103" s="44">
        <v>2</v>
      </c>
      <c r="B103" s="44">
        <v>2</v>
      </c>
      <c r="C103" s="45">
        <v>5</v>
      </c>
      <c r="D103" s="45">
        <v>2</v>
      </c>
      <c r="E103" s="45">
        <v>12</v>
      </c>
      <c r="F103" s="45">
        <v>4</v>
      </c>
      <c r="G103" s="46">
        <f>SUM(C103:F103)</f>
        <v>23</v>
      </c>
    </row>
    <row r="104" spans="1:15" ht="21">
      <c r="A104" s="44">
        <v>3</v>
      </c>
      <c r="B104" s="44">
        <v>3</v>
      </c>
      <c r="C104" s="45">
        <v>45</v>
      </c>
      <c r="D104" s="45">
        <v>24</v>
      </c>
      <c r="E104" s="45">
        <v>58</v>
      </c>
      <c r="F104" s="45">
        <v>35</v>
      </c>
      <c r="G104" s="46">
        <f>SUM(C104:F104)</f>
        <v>162</v>
      </c>
    </row>
    <row r="105" spans="1:15" ht="21">
      <c r="A105" s="44">
        <v>4</v>
      </c>
      <c r="B105" s="44">
        <v>4</v>
      </c>
      <c r="C105" s="45">
        <v>28</v>
      </c>
      <c r="D105" s="45">
        <v>15</v>
      </c>
      <c r="E105" s="45">
        <v>22</v>
      </c>
      <c r="F105" s="45">
        <v>12</v>
      </c>
      <c r="G105" s="46">
        <f>SUM(C105:F105)</f>
        <v>77</v>
      </c>
    </row>
    <row r="106" spans="1:15" ht="21.6" thickBot="1">
      <c r="A106" s="47" t="s">
        <v>0</v>
      </c>
      <c r="B106" s="47" t="s">
        <v>9</v>
      </c>
      <c r="C106" s="48">
        <f>SUM(C102:C105)</f>
        <v>85</v>
      </c>
      <c r="D106" s="48">
        <f>SUM(D102:D105)</f>
        <v>42</v>
      </c>
      <c r="E106" s="48">
        <f>SUM(E102:E105)</f>
        <v>98</v>
      </c>
      <c r="F106" s="48">
        <f>SUM(F102:F105)</f>
        <v>51</v>
      </c>
      <c r="G106" s="48">
        <f>SUM(G102:G105)</f>
        <v>276</v>
      </c>
    </row>
    <row r="107" spans="1:15" ht="21.6" thickTop="1">
      <c r="A107" s="49"/>
      <c r="B107" s="49"/>
      <c r="C107" s="49"/>
      <c r="D107" s="49"/>
      <c r="E107" s="49"/>
      <c r="F107" s="49"/>
    </row>
    <row r="109" spans="1:15" ht="22.5" customHeight="1">
      <c r="A109" s="361"/>
      <c r="B109" s="361"/>
      <c r="C109" s="361"/>
      <c r="D109" s="361"/>
      <c r="E109" s="361"/>
      <c r="F109" s="375" t="s">
        <v>2</v>
      </c>
      <c r="G109" s="375"/>
      <c r="H109" s="375"/>
    </row>
    <row r="110" spans="1:15" ht="31.2">
      <c r="A110" s="50" t="s">
        <v>78</v>
      </c>
      <c r="B110" s="50" t="s">
        <v>79</v>
      </c>
      <c r="C110" s="50" t="s">
        <v>80</v>
      </c>
      <c r="D110" s="50" t="s">
        <v>81</v>
      </c>
      <c r="E110" s="50" t="s">
        <v>82</v>
      </c>
      <c r="F110" s="50" t="s">
        <v>140</v>
      </c>
      <c r="G110" s="50" t="s">
        <v>67</v>
      </c>
      <c r="H110" s="50" t="s">
        <v>9</v>
      </c>
    </row>
    <row r="111" spans="1:15" ht="23.25" customHeight="1">
      <c r="A111" s="51">
        <v>1</v>
      </c>
      <c r="B111" s="50" t="s">
        <v>75</v>
      </c>
      <c r="C111" s="52">
        <v>27500</v>
      </c>
      <c r="D111" s="52">
        <v>3094</v>
      </c>
      <c r="E111" s="52">
        <v>4125</v>
      </c>
      <c r="F111" s="52">
        <v>0</v>
      </c>
      <c r="G111" s="52">
        <v>0</v>
      </c>
      <c r="H111" s="53">
        <f>SUM(C111:G111)</f>
        <v>34719</v>
      </c>
    </row>
    <row r="113" spans="1:15" ht="21">
      <c r="A113" s="371" t="s">
        <v>138</v>
      </c>
      <c r="B113" s="372"/>
      <c r="C113" s="372"/>
      <c r="D113" s="372"/>
      <c r="E113" s="372"/>
      <c r="F113" s="372"/>
      <c r="G113" s="372"/>
      <c r="H113" s="372"/>
      <c r="I113" s="38"/>
      <c r="J113" s="38"/>
      <c r="K113" s="38"/>
      <c r="L113" s="38"/>
      <c r="M113" s="38"/>
      <c r="N113" s="38"/>
      <c r="O113" s="38"/>
    </row>
    <row r="114" spans="1:15" ht="21">
      <c r="A114" s="371" t="s">
        <v>17</v>
      </c>
      <c r="B114" s="372"/>
      <c r="C114" s="372"/>
      <c r="D114" s="372"/>
      <c r="E114" s="372"/>
      <c r="F114" s="372"/>
      <c r="G114" s="372"/>
      <c r="H114" s="372"/>
      <c r="I114" s="39"/>
      <c r="J114" s="39"/>
      <c r="K114" s="39"/>
      <c r="L114" s="39"/>
      <c r="M114" s="39"/>
      <c r="N114" s="39"/>
      <c r="O114" s="39"/>
    </row>
    <row r="115" spans="1:15">
      <c r="A115" s="24" t="s">
        <v>5</v>
      </c>
      <c r="B115" s="25"/>
      <c r="C115" s="26"/>
      <c r="D115" s="26"/>
      <c r="E115" s="26"/>
      <c r="F115" s="26"/>
      <c r="G115" s="26"/>
      <c r="H115" s="26"/>
    </row>
    <row r="116" spans="1:15">
      <c r="A116" s="373" t="s">
        <v>78</v>
      </c>
      <c r="B116" s="373" t="s">
        <v>3</v>
      </c>
      <c r="C116" s="357" t="s">
        <v>16</v>
      </c>
      <c r="D116" s="359"/>
      <c r="E116" s="357" t="s">
        <v>37</v>
      </c>
      <c r="F116" s="359"/>
      <c r="G116" s="377" t="s">
        <v>9</v>
      </c>
      <c r="H116" s="26"/>
    </row>
    <row r="117" spans="1:15">
      <c r="A117" s="374"/>
      <c r="B117" s="374"/>
      <c r="C117" s="27" t="s">
        <v>57</v>
      </c>
      <c r="D117" s="27" t="s">
        <v>58</v>
      </c>
      <c r="E117" s="27" t="s">
        <v>57</v>
      </c>
      <c r="F117" s="27" t="s">
        <v>58</v>
      </c>
      <c r="G117" s="378"/>
      <c r="H117" s="26"/>
    </row>
    <row r="118" spans="1:15" ht="21">
      <c r="A118" s="28">
        <v>1</v>
      </c>
      <c r="B118" s="28">
        <v>1</v>
      </c>
      <c r="C118" s="29">
        <v>0</v>
      </c>
      <c r="D118" s="29">
        <v>0</v>
      </c>
      <c r="E118" s="29">
        <v>0</v>
      </c>
      <c r="F118" s="29">
        <v>0</v>
      </c>
      <c r="G118" s="30">
        <f>SUM(C118:F118)</f>
        <v>0</v>
      </c>
      <c r="H118" s="21"/>
    </row>
    <row r="119" spans="1:15" ht="21">
      <c r="A119" s="28">
        <v>2</v>
      </c>
      <c r="B119" s="28">
        <v>2</v>
      </c>
      <c r="C119" s="29">
        <v>0</v>
      </c>
      <c r="D119" s="29">
        <v>0</v>
      </c>
      <c r="E119" s="29">
        <v>0</v>
      </c>
      <c r="F119" s="29">
        <v>0</v>
      </c>
      <c r="G119" s="30">
        <f>SUM(C119:F119)</f>
        <v>0</v>
      </c>
      <c r="H119" s="21"/>
    </row>
    <row r="120" spans="1:15" ht="21">
      <c r="A120" s="28">
        <v>3</v>
      </c>
      <c r="B120" s="28">
        <v>3</v>
      </c>
      <c r="C120" s="29">
        <v>0</v>
      </c>
      <c r="D120" s="29">
        <v>0</v>
      </c>
      <c r="E120" s="29">
        <v>0</v>
      </c>
      <c r="F120" s="29">
        <v>0</v>
      </c>
      <c r="G120" s="30">
        <f>SUM(C120:F120)</f>
        <v>0</v>
      </c>
      <c r="H120" s="21"/>
    </row>
    <row r="121" spans="1:15" ht="21">
      <c r="A121" s="28">
        <v>4</v>
      </c>
      <c r="B121" s="28">
        <v>4</v>
      </c>
      <c r="C121" s="29">
        <v>0</v>
      </c>
      <c r="D121" s="29">
        <v>0</v>
      </c>
      <c r="E121" s="29">
        <v>0</v>
      </c>
      <c r="F121" s="29">
        <v>0</v>
      </c>
      <c r="G121" s="30">
        <f>SUM(C121:F121)</f>
        <v>0</v>
      </c>
      <c r="H121" s="21"/>
    </row>
    <row r="122" spans="1:15" ht="21.6" thickBot="1">
      <c r="A122" s="31" t="s">
        <v>0</v>
      </c>
      <c r="B122" s="31" t="s">
        <v>9</v>
      </c>
      <c r="C122" s="32">
        <f>SUM(C118:C121)</f>
        <v>0</v>
      </c>
      <c r="D122" s="32">
        <f>SUM(D118:D121)</f>
        <v>0</v>
      </c>
      <c r="E122" s="32">
        <f>SUM(E118:E121)</f>
        <v>0</v>
      </c>
      <c r="F122" s="32">
        <f>SUM(F118:F121)</f>
        <v>0</v>
      </c>
      <c r="G122" s="32">
        <f>SUM(G118:G121)</f>
        <v>0</v>
      </c>
      <c r="H122" s="21"/>
    </row>
    <row r="123" spans="1:15" ht="21.6" thickTop="1">
      <c r="A123" s="33"/>
      <c r="B123" s="33"/>
      <c r="C123" s="33"/>
      <c r="D123" s="33"/>
      <c r="E123" s="33"/>
      <c r="F123" s="33"/>
      <c r="G123" s="21"/>
      <c r="H123" s="21"/>
    </row>
    <row r="124" spans="1:15">
      <c r="A124" s="21"/>
      <c r="B124" s="21"/>
      <c r="C124" s="21"/>
      <c r="D124" s="21"/>
      <c r="E124" s="21"/>
      <c r="F124" s="21"/>
      <c r="G124" s="21"/>
      <c r="H124" s="21"/>
    </row>
    <row r="125" spans="1:15" ht="22.5" customHeight="1">
      <c r="A125" s="370"/>
      <c r="B125" s="370"/>
      <c r="C125" s="370"/>
      <c r="D125" s="370"/>
      <c r="E125" s="370"/>
      <c r="F125" s="376" t="s">
        <v>2</v>
      </c>
      <c r="G125" s="376"/>
      <c r="H125" s="376"/>
    </row>
    <row r="126" spans="1:15" ht="31.2">
      <c r="A126" s="34" t="s">
        <v>78</v>
      </c>
      <c r="B126" s="34" t="s">
        <v>79</v>
      </c>
      <c r="C126" s="34" t="s">
        <v>80</v>
      </c>
      <c r="D126" s="34" t="s">
        <v>81</v>
      </c>
      <c r="E126" s="34" t="s">
        <v>82</v>
      </c>
      <c r="F126" s="34" t="s">
        <v>83</v>
      </c>
      <c r="G126" s="34" t="s">
        <v>67</v>
      </c>
      <c r="H126" s="34" t="s">
        <v>9</v>
      </c>
    </row>
    <row r="127" spans="1:15" ht="23.25" customHeight="1">
      <c r="A127" s="35">
        <v>1</v>
      </c>
      <c r="B127" s="34" t="s">
        <v>76</v>
      </c>
      <c r="C127" s="36">
        <v>0</v>
      </c>
      <c r="D127" s="36">
        <v>0</v>
      </c>
      <c r="E127" s="36">
        <v>0</v>
      </c>
      <c r="F127" s="36">
        <v>0</v>
      </c>
      <c r="G127" s="36">
        <v>0</v>
      </c>
      <c r="H127" s="37">
        <f>SUM(C127:G127)</f>
        <v>0</v>
      </c>
    </row>
    <row r="128" spans="1:15">
      <c r="A128" s="21"/>
      <c r="B128" s="21"/>
      <c r="C128" s="21"/>
      <c r="D128" s="21"/>
      <c r="E128" s="21"/>
      <c r="F128" s="21"/>
      <c r="G128" s="21"/>
      <c r="H128" s="21"/>
    </row>
    <row r="129" spans="1:15" ht="21">
      <c r="A129" s="362" t="s">
        <v>156</v>
      </c>
      <c r="B129" s="363"/>
      <c r="C129" s="363"/>
      <c r="D129" s="363"/>
      <c r="E129" s="363"/>
      <c r="F129" s="363"/>
      <c r="G129" s="363"/>
      <c r="H129" s="363"/>
      <c r="I129" s="38"/>
      <c r="J129" s="38"/>
      <c r="K129" s="38"/>
      <c r="L129" s="38"/>
      <c r="M129" s="38"/>
      <c r="N129" s="38"/>
      <c r="O129" s="38"/>
    </row>
    <row r="130" spans="1:15" ht="21">
      <c r="A130" s="364" t="s">
        <v>17</v>
      </c>
      <c r="B130" s="365"/>
      <c r="C130" s="365"/>
      <c r="D130" s="365"/>
      <c r="E130" s="365"/>
      <c r="F130" s="365"/>
      <c r="G130" s="365"/>
      <c r="H130" s="365"/>
      <c r="I130" s="39"/>
      <c r="J130" s="39"/>
      <c r="K130" s="39"/>
      <c r="L130" s="39"/>
      <c r="M130" s="39"/>
      <c r="N130" s="39"/>
      <c r="O130" s="39"/>
    </row>
    <row r="131" spans="1:15">
      <c r="A131" s="40" t="s">
        <v>5</v>
      </c>
      <c r="B131" s="41"/>
      <c r="C131" s="42"/>
      <c r="D131" s="42"/>
      <c r="E131" s="42"/>
      <c r="F131" s="42"/>
      <c r="G131" s="42"/>
      <c r="H131" s="42"/>
    </row>
    <row r="132" spans="1:15">
      <c r="A132" s="366" t="s">
        <v>78</v>
      </c>
      <c r="B132" s="366" t="s">
        <v>3</v>
      </c>
      <c r="C132" s="339" t="s">
        <v>16</v>
      </c>
      <c r="D132" s="341"/>
      <c r="E132" s="339" t="s">
        <v>37</v>
      </c>
      <c r="F132" s="341"/>
      <c r="G132" s="368" t="s">
        <v>9</v>
      </c>
      <c r="H132" s="42"/>
    </row>
    <row r="133" spans="1:15">
      <c r="A133" s="367"/>
      <c r="B133" s="367"/>
      <c r="C133" s="43" t="s">
        <v>57</v>
      </c>
      <c r="D133" s="43" t="s">
        <v>58</v>
      </c>
      <c r="E133" s="43" t="s">
        <v>57</v>
      </c>
      <c r="F133" s="43" t="s">
        <v>58</v>
      </c>
      <c r="G133" s="369"/>
      <c r="H133" s="42"/>
    </row>
    <row r="134" spans="1:15" ht="21">
      <c r="A134" s="44">
        <v>1</v>
      </c>
      <c r="B134" s="44">
        <v>1</v>
      </c>
      <c r="C134" s="45">
        <f>SUM(C6+C22+C38+C54+C70+C86+C102+C118)</f>
        <v>67</v>
      </c>
      <c r="D134" s="45">
        <f>SUM(D6+D22+D38+D54+D70+D86+D102+D118)</f>
        <v>3</v>
      </c>
      <c r="E134" s="45">
        <f>SUM(E6+E22+E38+E54+E70+E86+E102+E118)</f>
        <v>44</v>
      </c>
      <c r="F134" s="45">
        <f>SUM(F6+F22+F38+F54+F70+F86+F102+F118)</f>
        <v>6</v>
      </c>
      <c r="G134" s="46">
        <f>SUM(C134:F134)</f>
        <v>120</v>
      </c>
      <c r="I134" s="379" t="s">
        <v>127</v>
      </c>
      <c r="J134" s="381" t="s">
        <v>5</v>
      </c>
      <c r="K134" s="382"/>
      <c r="L134" s="241"/>
    </row>
    <row r="135" spans="1:15" ht="21">
      <c r="A135" s="44">
        <v>2</v>
      </c>
      <c r="B135" s="44">
        <v>2</v>
      </c>
      <c r="C135" s="45">
        <f t="shared" ref="C135:F137" si="0">SUM(C7+C23+C39+C55+C71+C87+C103+C119)</f>
        <v>44</v>
      </c>
      <c r="D135" s="45">
        <f t="shared" si="0"/>
        <v>3</v>
      </c>
      <c r="E135" s="45">
        <f t="shared" si="0"/>
        <v>84</v>
      </c>
      <c r="F135" s="45">
        <f t="shared" si="0"/>
        <v>17</v>
      </c>
      <c r="G135" s="46">
        <f>SUM(C135:F135)</f>
        <v>148</v>
      </c>
      <c r="I135" s="380"/>
      <c r="J135" s="243" t="s">
        <v>16</v>
      </c>
      <c r="K135" s="243" t="s">
        <v>37</v>
      </c>
      <c r="L135" s="241"/>
    </row>
    <row r="136" spans="1:15" ht="21">
      <c r="A136" s="44">
        <v>3</v>
      </c>
      <c r="B136" s="44">
        <v>3</v>
      </c>
      <c r="C136" s="45">
        <f t="shared" si="0"/>
        <v>343</v>
      </c>
      <c r="D136" s="45">
        <f t="shared" si="0"/>
        <v>79</v>
      </c>
      <c r="E136" s="45">
        <f t="shared" si="0"/>
        <v>642</v>
      </c>
      <c r="F136" s="45">
        <f t="shared" si="0"/>
        <v>212</v>
      </c>
      <c r="G136" s="46">
        <f>SUM(C136:F136)</f>
        <v>1276</v>
      </c>
      <c r="I136" s="244" t="s">
        <v>128</v>
      </c>
      <c r="J136" s="243">
        <v>59</v>
      </c>
      <c r="K136" s="243">
        <v>50</v>
      </c>
      <c r="L136" s="241">
        <f>J136+K136</f>
        <v>109</v>
      </c>
    </row>
    <row r="137" spans="1:15" ht="21">
      <c r="A137" s="44">
        <v>4</v>
      </c>
      <c r="B137" s="44">
        <v>4</v>
      </c>
      <c r="C137" s="45">
        <f t="shared" si="0"/>
        <v>204</v>
      </c>
      <c r="D137" s="45">
        <f t="shared" si="0"/>
        <v>86</v>
      </c>
      <c r="E137" s="45">
        <f t="shared" si="0"/>
        <v>172</v>
      </c>
      <c r="F137" s="45">
        <f t="shared" si="0"/>
        <v>82</v>
      </c>
      <c r="G137" s="46">
        <f>SUM(C137:F137)</f>
        <v>544</v>
      </c>
      <c r="I137" s="244" t="s">
        <v>129</v>
      </c>
      <c r="J137" s="243">
        <v>58</v>
      </c>
      <c r="K137" s="243">
        <v>100</v>
      </c>
      <c r="L137" s="241">
        <f>J137+K137</f>
        <v>158</v>
      </c>
    </row>
    <row r="138" spans="1:15" ht="21.6" thickBot="1">
      <c r="A138" s="47" t="s">
        <v>0</v>
      </c>
      <c r="B138" s="47" t="s">
        <v>9</v>
      </c>
      <c r="C138" s="48">
        <f>SUM(C134:C137)</f>
        <v>658</v>
      </c>
      <c r="D138" s="48">
        <f>SUM(D134:D137)</f>
        <v>171</v>
      </c>
      <c r="E138" s="48">
        <f>SUM(E134:E137)</f>
        <v>942</v>
      </c>
      <c r="F138" s="48">
        <f>SUM(F134:F137)</f>
        <v>317</v>
      </c>
      <c r="G138" s="48">
        <f>SUM(G134:G137)</f>
        <v>2088</v>
      </c>
      <c r="I138" s="244" t="s">
        <v>19</v>
      </c>
      <c r="J138" s="243">
        <v>422</v>
      </c>
      <c r="K138" s="243">
        <v>840</v>
      </c>
      <c r="L138" s="241">
        <f>J138+K138</f>
        <v>1262</v>
      </c>
    </row>
    <row r="139" spans="1:15" ht="21.6" thickTop="1">
      <c r="A139" s="49"/>
      <c r="B139" s="49"/>
      <c r="C139" s="49"/>
      <c r="D139" s="49"/>
      <c r="E139" s="49"/>
      <c r="F139" s="49"/>
      <c r="I139" s="244" t="s">
        <v>20</v>
      </c>
      <c r="J139" s="243">
        <v>295</v>
      </c>
      <c r="K139" s="243">
        <v>276</v>
      </c>
      <c r="L139" s="241">
        <f>J139+K139</f>
        <v>571</v>
      </c>
    </row>
    <row r="140" spans="1:15">
      <c r="I140" s="246" t="s">
        <v>9</v>
      </c>
      <c r="J140" s="247">
        <f>J136+J137+J138+J139</f>
        <v>834</v>
      </c>
      <c r="K140" s="247">
        <f>K136+K137+K138+K139</f>
        <v>1266</v>
      </c>
      <c r="L140" s="241">
        <f>J140+K140</f>
        <v>2100</v>
      </c>
    </row>
    <row r="141" spans="1:15" ht="22.5" customHeight="1">
      <c r="A141" s="361"/>
      <c r="B141" s="361"/>
      <c r="C141" s="361"/>
      <c r="D141" s="361"/>
      <c r="E141" s="361"/>
      <c r="F141" s="375" t="s">
        <v>2</v>
      </c>
      <c r="G141" s="375"/>
      <c r="H141" s="375"/>
    </row>
    <row r="142" spans="1:15" ht="46.8">
      <c r="A142" s="50" t="s">
        <v>78</v>
      </c>
      <c r="B142" s="50" t="s">
        <v>79</v>
      </c>
      <c r="C142" s="50" t="s">
        <v>80</v>
      </c>
      <c r="D142" s="50" t="s">
        <v>81</v>
      </c>
      <c r="E142" s="50" t="s">
        <v>82</v>
      </c>
      <c r="F142" s="50" t="s">
        <v>163</v>
      </c>
      <c r="G142" s="50" t="s">
        <v>67</v>
      </c>
      <c r="H142" s="50" t="s">
        <v>9</v>
      </c>
    </row>
    <row r="143" spans="1:15" ht="30.75" customHeight="1">
      <c r="A143" s="51">
        <v>1</v>
      </c>
      <c r="B143" s="50" t="s">
        <v>53</v>
      </c>
      <c r="C143" s="45">
        <f>SUM(C15+C31+C47+C63+C79+C95+C111+C127)</f>
        <v>75050</v>
      </c>
      <c r="D143" s="45">
        <f>SUM(D15+D31+D47+D63+D79+D95+D111+D127)</f>
        <v>23260</v>
      </c>
      <c r="E143" s="45">
        <f>SUM(E15+E31+E47+E63+E79+E95+E111+E127)</f>
        <v>25328</v>
      </c>
      <c r="F143" s="45">
        <f>SUM(F15+F31+F47+F63+F79+F95+F111+F127)</f>
        <v>494275</v>
      </c>
      <c r="G143" s="45">
        <f>SUM(G15+G31+G47+G63+G79+G95+G111+G127)</f>
        <v>198324</v>
      </c>
      <c r="H143" s="58">
        <f>SUM(C143:G143)</f>
        <v>816237</v>
      </c>
    </row>
    <row r="147" spans="6:10" s="1" customFormat="1">
      <c r="F147" s="383" t="s">
        <v>150</v>
      </c>
      <c r="G147" s="383"/>
      <c r="H147" s="383"/>
      <c r="I147" s="73"/>
      <c r="J147" s="73"/>
    </row>
  </sheetData>
  <mergeCells count="84">
    <mergeCell ref="I134:I135"/>
    <mergeCell ref="J134:K134"/>
    <mergeCell ref="F147:H147"/>
    <mergeCell ref="A141:E141"/>
    <mergeCell ref="F141:H141"/>
    <mergeCell ref="B132:B133"/>
    <mergeCell ref="C132:D132"/>
    <mergeCell ref="E132:F132"/>
    <mergeCell ref="G132:G133"/>
    <mergeCell ref="F13:H13"/>
    <mergeCell ref="F29:H29"/>
    <mergeCell ref="F45:H45"/>
    <mergeCell ref="F61:H61"/>
    <mergeCell ref="F77:H77"/>
    <mergeCell ref="F93:H93"/>
    <mergeCell ref="F109:H109"/>
    <mergeCell ref="F125:H125"/>
    <mergeCell ref="A129:H129"/>
    <mergeCell ref="A130:H130"/>
    <mergeCell ref="A132:A133"/>
    <mergeCell ref="G116:G117"/>
    <mergeCell ref="A98:H98"/>
    <mergeCell ref="A125:E125"/>
    <mergeCell ref="A109:E109"/>
    <mergeCell ref="A113:H113"/>
    <mergeCell ref="A114:H114"/>
    <mergeCell ref="A116:A117"/>
    <mergeCell ref="B116:B117"/>
    <mergeCell ref="C116:D116"/>
    <mergeCell ref="E116:F116"/>
    <mergeCell ref="C100:D100"/>
    <mergeCell ref="E100:F100"/>
    <mergeCell ref="G100:G101"/>
    <mergeCell ref="A100:A101"/>
    <mergeCell ref="B100:B101"/>
    <mergeCell ref="A81:H81"/>
    <mergeCell ref="A82:H82"/>
    <mergeCell ref="G84:G85"/>
    <mergeCell ref="A93:E93"/>
    <mergeCell ref="A97:H97"/>
    <mergeCell ref="A84:A85"/>
    <mergeCell ref="B84:B85"/>
    <mergeCell ref="C84:D84"/>
    <mergeCell ref="E84:F84"/>
    <mergeCell ref="G68:G69"/>
    <mergeCell ref="A77:E77"/>
    <mergeCell ref="A65:H65"/>
    <mergeCell ref="A66:H66"/>
    <mergeCell ref="A68:A69"/>
    <mergeCell ref="B68:B69"/>
    <mergeCell ref="C68:D68"/>
    <mergeCell ref="E68:F68"/>
    <mergeCell ref="A61:E61"/>
    <mergeCell ref="A34:H34"/>
    <mergeCell ref="A36:A37"/>
    <mergeCell ref="B36:B37"/>
    <mergeCell ref="C36:D36"/>
    <mergeCell ref="E36:F36"/>
    <mergeCell ref="G36:G37"/>
    <mergeCell ref="A45:E45"/>
    <mergeCell ref="A49:H49"/>
    <mergeCell ref="A50:H50"/>
    <mergeCell ref="A52:A53"/>
    <mergeCell ref="B52:B53"/>
    <mergeCell ref="C52:D52"/>
    <mergeCell ref="E52:F52"/>
    <mergeCell ref="G52:G53"/>
    <mergeCell ref="A17:H17"/>
    <mergeCell ref="A18:H18"/>
    <mergeCell ref="G20:G21"/>
    <mergeCell ref="A29:E29"/>
    <mergeCell ref="A33:H33"/>
    <mergeCell ref="A20:A21"/>
    <mergeCell ref="B20:B21"/>
    <mergeCell ref="C20:D20"/>
    <mergeCell ref="E20:F20"/>
    <mergeCell ref="A13:E13"/>
    <mergeCell ref="A1:H1"/>
    <mergeCell ref="A2:H2"/>
    <mergeCell ref="A4:A5"/>
    <mergeCell ref="B4:B5"/>
    <mergeCell ref="C4:D4"/>
    <mergeCell ref="E4:F4"/>
    <mergeCell ref="G4:G5"/>
  </mergeCells>
  <phoneticPr fontId="0" type="noConversion"/>
  <pageMargins left="0.78740157480314965" right="0.15748031496062992" top="0.39370078740157483" bottom="0.39370078740157483" header="0.15748031496062992" footer="0.15748031496062992"/>
  <pageSetup paperSize="5" scale="125" orientation="landscape" r:id="rId1"/>
  <headerFooter>
    <oddFooter>&amp;Z&amp;F&amp;RPage &amp;P</oddFooter>
  </headerFooter>
  <rowBreaks count="8" manualBreakCount="8">
    <brk id="16" max="16383" man="1"/>
    <brk id="32" max="16383" man="1"/>
    <brk id="48" max="16383" man="1"/>
    <brk id="64" max="7" man="1"/>
    <brk id="80" max="7" man="1"/>
    <brk id="96" max="7" man="1"/>
    <brk id="112" max="16383" man="1"/>
    <brk id="128" max="16383"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8"/>
  <sheetViews>
    <sheetView view="pageBreakPreview" topLeftCell="A25" zoomScale="115" zoomScaleNormal="75" zoomScaleSheetLayoutView="115" workbookViewId="0">
      <selection activeCell="C30" sqref="C30"/>
    </sheetView>
  </sheetViews>
  <sheetFormatPr defaultColWidth="9.109375" defaultRowHeight="20.399999999999999"/>
  <cols>
    <col min="1" max="1" width="4.88671875" style="10" customWidth="1"/>
    <col min="2" max="2" width="29" style="10" customWidth="1"/>
    <col min="3" max="4" width="12.88671875" style="10" bestFit="1" customWidth="1"/>
    <col min="5" max="5" width="13.6640625" style="10" customWidth="1"/>
    <col min="6" max="7" width="12.88671875" style="10" bestFit="1" customWidth="1"/>
    <col min="8" max="8" width="12.6640625" style="10" customWidth="1"/>
    <col min="9" max="9" width="12.88671875" style="10" customWidth="1"/>
    <col min="10" max="10" width="10.5546875" style="10" customWidth="1"/>
    <col min="11" max="11" width="9.88671875" style="10" customWidth="1"/>
    <col min="12" max="12" width="27.6640625" style="10" customWidth="1"/>
    <col min="13" max="13" width="12.88671875" style="1" bestFit="1" customWidth="1"/>
    <col min="14" max="16384" width="9.109375" style="1"/>
  </cols>
  <sheetData>
    <row r="1" spans="1:12">
      <c r="A1" s="335" t="s">
        <v>156</v>
      </c>
      <c r="B1" s="336"/>
      <c r="C1" s="336"/>
      <c r="D1" s="336"/>
      <c r="E1" s="336"/>
      <c r="F1" s="336"/>
      <c r="G1" s="336"/>
      <c r="H1" s="336"/>
      <c r="I1" s="336"/>
      <c r="J1" s="336"/>
      <c r="K1" s="336"/>
      <c r="L1" s="336"/>
    </row>
    <row r="2" spans="1:12">
      <c r="A2" s="335" t="s">
        <v>17</v>
      </c>
      <c r="B2" s="336"/>
      <c r="C2" s="336"/>
      <c r="D2" s="336"/>
      <c r="E2" s="336"/>
      <c r="F2" s="336"/>
      <c r="G2" s="336"/>
      <c r="H2" s="336"/>
      <c r="I2" s="336"/>
      <c r="J2" s="336"/>
      <c r="K2" s="336"/>
      <c r="L2" s="336"/>
    </row>
    <row r="3" spans="1:12" ht="18.75" customHeight="1">
      <c r="A3" s="384" t="s">
        <v>1</v>
      </c>
      <c r="B3" s="385"/>
      <c r="C3" s="385"/>
      <c r="D3" s="6"/>
      <c r="E3" s="6"/>
      <c r="F3" s="6"/>
      <c r="G3" s="6"/>
      <c r="H3" s="6"/>
      <c r="I3" s="6"/>
      <c r="J3" s="6"/>
      <c r="K3" s="6"/>
      <c r="L3" s="12" t="s">
        <v>2</v>
      </c>
    </row>
    <row r="4" spans="1:12" ht="37.5" customHeight="1">
      <c r="A4" s="390" t="s">
        <v>35</v>
      </c>
      <c r="B4" s="390" t="s">
        <v>84</v>
      </c>
      <c r="C4" s="386" t="s">
        <v>85</v>
      </c>
      <c r="D4" s="387"/>
      <c r="E4" s="387"/>
      <c r="F4" s="13" t="s">
        <v>86</v>
      </c>
      <c r="G4" s="13" t="s">
        <v>110</v>
      </c>
      <c r="H4" s="388" t="s">
        <v>157</v>
      </c>
      <c r="I4" s="389"/>
      <c r="J4" s="389"/>
      <c r="K4" s="389"/>
      <c r="L4" s="390" t="s">
        <v>87</v>
      </c>
    </row>
    <row r="5" spans="1:12" ht="75" customHeight="1">
      <c r="A5" s="391"/>
      <c r="B5" s="391"/>
      <c r="C5" s="13" t="s">
        <v>142</v>
      </c>
      <c r="D5" s="13" t="s">
        <v>143</v>
      </c>
      <c r="E5" s="13" t="s">
        <v>144</v>
      </c>
      <c r="F5" s="13" t="s">
        <v>161</v>
      </c>
      <c r="G5" s="13" t="s">
        <v>161</v>
      </c>
      <c r="H5" s="13" t="s">
        <v>88</v>
      </c>
      <c r="I5" s="13" t="s">
        <v>89</v>
      </c>
      <c r="J5" s="13" t="s">
        <v>90</v>
      </c>
      <c r="K5" s="13" t="s">
        <v>91</v>
      </c>
      <c r="L5" s="391"/>
    </row>
    <row r="6" spans="1:12" s="15" customFormat="1" ht="18" customHeight="1">
      <c r="A6" s="14">
        <v>1</v>
      </c>
      <c r="B6" s="14">
        <v>2</v>
      </c>
      <c r="C6" s="14">
        <v>3</v>
      </c>
      <c r="D6" s="14">
        <v>4</v>
      </c>
      <c r="E6" s="14">
        <v>5</v>
      </c>
      <c r="F6" s="14">
        <v>6</v>
      </c>
      <c r="G6" s="14">
        <v>7</v>
      </c>
      <c r="H6" s="14">
        <v>8</v>
      </c>
      <c r="I6" s="14">
        <v>9</v>
      </c>
      <c r="J6" s="14">
        <v>10</v>
      </c>
      <c r="K6" s="14">
        <v>11</v>
      </c>
      <c r="L6" s="14">
        <v>12</v>
      </c>
    </row>
    <row r="7" spans="1:12">
      <c r="A7" s="7">
        <v>1</v>
      </c>
      <c r="B7" s="16" t="s">
        <v>92</v>
      </c>
      <c r="C7" s="8">
        <v>61170</v>
      </c>
      <c r="D7" s="8">
        <v>76517</v>
      </c>
      <c r="E7" s="8">
        <v>71961</v>
      </c>
      <c r="F7" s="8">
        <v>229640</v>
      </c>
      <c r="G7" s="8">
        <v>229640</v>
      </c>
      <c r="H7" s="8">
        <v>221383</v>
      </c>
      <c r="I7" s="8">
        <v>0</v>
      </c>
      <c r="J7" s="8">
        <v>0</v>
      </c>
      <c r="K7" s="8">
        <v>0</v>
      </c>
      <c r="L7" s="8"/>
    </row>
    <row r="8" spans="1:12">
      <c r="A8" s="7">
        <v>2</v>
      </c>
      <c r="B8" s="16" t="s">
        <v>105</v>
      </c>
      <c r="C8" s="8">
        <v>103</v>
      </c>
      <c r="D8" s="8">
        <v>65</v>
      </c>
      <c r="E8" s="8">
        <v>102</v>
      </c>
      <c r="F8" s="8">
        <v>300</v>
      </c>
      <c r="G8" s="8">
        <v>300</v>
      </c>
      <c r="H8" s="8">
        <v>400</v>
      </c>
      <c r="I8" s="8">
        <v>0</v>
      </c>
      <c r="J8" s="8">
        <v>0</v>
      </c>
      <c r="K8" s="8">
        <v>0</v>
      </c>
      <c r="L8" s="9"/>
    </row>
    <row r="9" spans="1:12" ht="30">
      <c r="A9" s="7">
        <v>3</v>
      </c>
      <c r="B9" s="16" t="s">
        <v>104</v>
      </c>
      <c r="C9" s="8">
        <v>1571</v>
      </c>
      <c r="D9" s="8">
        <v>2279</v>
      </c>
      <c r="E9" s="8">
        <v>5470</v>
      </c>
      <c r="F9" s="8">
        <v>11922</v>
      </c>
      <c r="G9" s="8">
        <v>11922</v>
      </c>
      <c r="H9" s="8">
        <v>12922</v>
      </c>
      <c r="I9" s="8">
        <v>0</v>
      </c>
      <c r="J9" s="8">
        <v>0</v>
      </c>
      <c r="K9" s="8">
        <v>0</v>
      </c>
      <c r="L9" s="8"/>
    </row>
    <row r="10" spans="1:12">
      <c r="A10" s="7">
        <v>4</v>
      </c>
      <c r="B10" s="172" t="s">
        <v>118</v>
      </c>
      <c r="C10" s="8">
        <v>0</v>
      </c>
      <c r="D10" s="8">
        <v>0</v>
      </c>
      <c r="E10" s="8">
        <v>341</v>
      </c>
      <c r="F10" s="8">
        <v>420</v>
      </c>
      <c r="G10" s="8">
        <v>420</v>
      </c>
      <c r="H10" s="8">
        <v>420</v>
      </c>
      <c r="I10" s="52">
        <v>0</v>
      </c>
      <c r="J10" s="52">
        <v>0</v>
      </c>
      <c r="K10" s="52">
        <v>0</v>
      </c>
      <c r="L10" s="8"/>
    </row>
    <row r="11" spans="1:12">
      <c r="A11" s="7">
        <v>5</v>
      </c>
      <c r="B11" s="16" t="s">
        <v>95</v>
      </c>
      <c r="C11" s="8">
        <v>15</v>
      </c>
      <c r="D11" s="8">
        <v>14</v>
      </c>
      <c r="E11" s="8">
        <v>38</v>
      </c>
      <c r="F11" s="8">
        <v>600</v>
      </c>
      <c r="G11" s="8">
        <v>600</v>
      </c>
      <c r="H11" s="8">
        <v>700</v>
      </c>
      <c r="I11" s="8">
        <v>0</v>
      </c>
      <c r="J11" s="8">
        <v>0</v>
      </c>
      <c r="K11" s="8">
        <v>0</v>
      </c>
      <c r="L11" s="8"/>
    </row>
    <row r="12" spans="1:12">
      <c r="A12" s="7">
        <v>6</v>
      </c>
      <c r="B12" s="16" t="s">
        <v>96</v>
      </c>
      <c r="C12" s="8">
        <v>1239</v>
      </c>
      <c r="D12" s="8">
        <v>1845</v>
      </c>
      <c r="E12" s="8">
        <v>2987</v>
      </c>
      <c r="F12" s="8">
        <v>7481</v>
      </c>
      <c r="G12" s="8">
        <v>7481</v>
      </c>
      <c r="H12" s="8">
        <v>9081</v>
      </c>
      <c r="I12" s="8">
        <v>0</v>
      </c>
      <c r="J12" s="8">
        <v>0</v>
      </c>
      <c r="K12" s="8">
        <v>0</v>
      </c>
      <c r="L12" s="8"/>
    </row>
    <row r="13" spans="1:12">
      <c r="A13" s="7">
        <v>7</v>
      </c>
      <c r="B13" s="16" t="s">
        <v>107</v>
      </c>
      <c r="C13" s="8">
        <v>0</v>
      </c>
      <c r="D13" s="8">
        <v>0</v>
      </c>
      <c r="E13" s="8">
        <v>0</v>
      </c>
      <c r="F13" s="8">
        <v>0</v>
      </c>
      <c r="G13" s="8">
        <v>0</v>
      </c>
      <c r="H13" s="8">
        <v>0</v>
      </c>
      <c r="I13" s="8">
        <v>0</v>
      </c>
      <c r="J13" s="8">
        <v>0</v>
      </c>
      <c r="K13" s="8">
        <v>0</v>
      </c>
      <c r="L13" s="8"/>
    </row>
    <row r="14" spans="1:12">
      <c r="A14" s="7">
        <v>8</v>
      </c>
      <c r="B14" s="172" t="s">
        <v>119</v>
      </c>
      <c r="C14" s="8">
        <v>0</v>
      </c>
      <c r="D14" s="8">
        <v>0</v>
      </c>
      <c r="E14" s="8">
        <v>0</v>
      </c>
      <c r="F14" s="8">
        <v>0</v>
      </c>
      <c r="G14" s="8">
        <v>0</v>
      </c>
      <c r="H14" s="8">
        <v>0</v>
      </c>
      <c r="I14" s="52">
        <v>0</v>
      </c>
      <c r="J14" s="52">
        <v>0</v>
      </c>
      <c r="K14" s="52">
        <v>0</v>
      </c>
      <c r="L14" s="8"/>
    </row>
    <row r="15" spans="1:12">
      <c r="A15" s="7">
        <v>9</v>
      </c>
      <c r="B15" s="16" t="s">
        <v>97</v>
      </c>
      <c r="C15" s="8">
        <v>14</v>
      </c>
      <c r="D15" s="8">
        <v>0</v>
      </c>
      <c r="E15" s="8">
        <v>33</v>
      </c>
      <c r="F15" s="8">
        <v>4000</v>
      </c>
      <c r="G15" s="8">
        <v>4000</v>
      </c>
      <c r="H15" s="8">
        <v>4500</v>
      </c>
      <c r="I15" s="8">
        <v>0</v>
      </c>
      <c r="J15" s="8">
        <v>0</v>
      </c>
      <c r="K15" s="8">
        <v>0</v>
      </c>
      <c r="L15" s="8"/>
    </row>
    <row r="16" spans="1:12">
      <c r="A16" s="7">
        <v>10</v>
      </c>
      <c r="B16" s="16" t="s">
        <v>98</v>
      </c>
      <c r="C16" s="8">
        <v>0</v>
      </c>
      <c r="D16" s="8">
        <v>0</v>
      </c>
      <c r="E16" s="8">
        <v>0</v>
      </c>
      <c r="F16" s="8">
        <v>680</v>
      </c>
      <c r="G16" s="8">
        <v>680</v>
      </c>
      <c r="H16" s="8">
        <v>680</v>
      </c>
      <c r="I16" s="8">
        <v>0</v>
      </c>
      <c r="J16" s="8">
        <v>0</v>
      </c>
      <c r="K16" s="8">
        <v>0</v>
      </c>
      <c r="L16" s="8"/>
    </row>
    <row r="17" spans="1:12">
      <c r="A17" s="7">
        <v>11</v>
      </c>
      <c r="B17" s="16" t="s">
        <v>99</v>
      </c>
      <c r="C17" s="8">
        <v>316</v>
      </c>
      <c r="D17" s="8">
        <v>274</v>
      </c>
      <c r="E17" s="8">
        <v>302</v>
      </c>
      <c r="F17" s="8">
        <v>3000</v>
      </c>
      <c r="G17" s="8">
        <v>3000</v>
      </c>
      <c r="H17" s="8">
        <v>3050</v>
      </c>
      <c r="I17" s="8">
        <v>0</v>
      </c>
      <c r="J17" s="8">
        <v>0</v>
      </c>
      <c r="K17" s="8">
        <v>0</v>
      </c>
      <c r="L17" s="8"/>
    </row>
    <row r="18" spans="1:12">
      <c r="A18" s="7">
        <v>12</v>
      </c>
      <c r="B18" s="16" t="s">
        <v>100</v>
      </c>
      <c r="C18" s="8">
        <v>0</v>
      </c>
      <c r="D18" s="8">
        <v>16</v>
      </c>
      <c r="E18" s="8">
        <v>32</v>
      </c>
      <c r="F18" s="8">
        <v>1080</v>
      </c>
      <c r="G18" s="8">
        <v>1080</v>
      </c>
      <c r="H18" s="8">
        <v>1080</v>
      </c>
      <c r="I18" s="8">
        <v>0</v>
      </c>
      <c r="J18" s="8">
        <v>0</v>
      </c>
      <c r="K18" s="8">
        <v>0</v>
      </c>
      <c r="L18" s="8"/>
    </row>
    <row r="19" spans="1:12">
      <c r="A19" s="7">
        <v>13</v>
      </c>
      <c r="B19" s="16" t="s">
        <v>101</v>
      </c>
      <c r="C19" s="8">
        <v>0</v>
      </c>
      <c r="D19" s="8">
        <v>0</v>
      </c>
      <c r="E19" s="8">
        <v>0</v>
      </c>
      <c r="F19" s="8">
        <v>1280</v>
      </c>
      <c r="G19" s="8">
        <v>1280</v>
      </c>
      <c r="H19" s="8">
        <v>1280</v>
      </c>
      <c r="I19" s="8">
        <v>0</v>
      </c>
      <c r="J19" s="8">
        <v>0</v>
      </c>
      <c r="K19" s="8">
        <v>0</v>
      </c>
      <c r="L19" s="8"/>
    </row>
    <row r="20" spans="1:12">
      <c r="A20" s="7">
        <v>14</v>
      </c>
      <c r="B20" s="16" t="s">
        <v>106</v>
      </c>
      <c r="C20" s="8">
        <v>0</v>
      </c>
      <c r="D20" s="8">
        <v>0</v>
      </c>
      <c r="E20" s="8">
        <v>0</v>
      </c>
      <c r="F20" s="8">
        <v>650</v>
      </c>
      <c r="G20" s="8">
        <v>650</v>
      </c>
      <c r="H20" s="8">
        <v>650</v>
      </c>
      <c r="I20" s="8">
        <v>0</v>
      </c>
      <c r="J20" s="8">
        <v>0</v>
      </c>
      <c r="K20" s="8">
        <v>0</v>
      </c>
      <c r="L20" s="8"/>
    </row>
    <row r="21" spans="1:12">
      <c r="A21" s="7">
        <v>15</v>
      </c>
      <c r="B21" s="16" t="s">
        <v>103</v>
      </c>
      <c r="C21" s="8">
        <v>0</v>
      </c>
      <c r="D21" s="8">
        <v>0</v>
      </c>
      <c r="E21" s="8">
        <v>0</v>
      </c>
      <c r="F21" s="8">
        <v>0</v>
      </c>
      <c r="G21" s="8">
        <v>0</v>
      </c>
      <c r="H21" s="8">
        <v>0</v>
      </c>
      <c r="I21" s="8">
        <v>0</v>
      </c>
      <c r="J21" s="8">
        <v>0</v>
      </c>
      <c r="K21" s="8">
        <v>0</v>
      </c>
      <c r="L21" s="8"/>
    </row>
    <row r="22" spans="1:12" ht="21.6" thickBot="1">
      <c r="A22" s="3" t="s">
        <v>0</v>
      </c>
      <c r="B22" s="11" t="s">
        <v>9</v>
      </c>
      <c r="C22" s="2">
        <f>SUM(C7:C21)</f>
        <v>64428</v>
      </c>
      <c r="D22" s="2">
        <f t="shared" ref="D22:K22" si="0">SUM(D7:D21)</f>
        <v>81010</v>
      </c>
      <c r="E22" s="2">
        <f t="shared" si="0"/>
        <v>81266</v>
      </c>
      <c r="F22" s="2">
        <f t="shared" si="0"/>
        <v>261053</v>
      </c>
      <c r="G22" s="2">
        <f t="shared" si="0"/>
        <v>261053</v>
      </c>
      <c r="H22" s="2">
        <f t="shared" si="0"/>
        <v>256146</v>
      </c>
      <c r="I22" s="2">
        <f t="shared" si="0"/>
        <v>0</v>
      </c>
      <c r="J22" s="2">
        <f t="shared" si="0"/>
        <v>0</v>
      </c>
      <c r="K22" s="2">
        <f t="shared" si="0"/>
        <v>0</v>
      </c>
      <c r="L22" s="2"/>
    </row>
    <row r="23" spans="1:12" ht="29.25" customHeight="1" thickTop="1">
      <c r="A23" s="5"/>
      <c r="B23" s="4"/>
      <c r="C23" s="5"/>
      <c r="D23" s="5"/>
      <c r="E23" s="5"/>
      <c r="F23" s="5"/>
      <c r="G23" s="5"/>
      <c r="H23" s="5"/>
      <c r="I23" s="5"/>
      <c r="J23" s="5"/>
      <c r="K23" s="5"/>
      <c r="L23" s="5"/>
    </row>
    <row r="24" spans="1:12">
      <c r="A24" s="335" t="s">
        <v>156</v>
      </c>
      <c r="B24" s="336"/>
      <c r="C24" s="336"/>
      <c r="D24" s="336"/>
      <c r="E24" s="336"/>
      <c r="F24" s="336"/>
      <c r="G24" s="336"/>
      <c r="H24" s="336"/>
      <c r="I24" s="336"/>
      <c r="J24" s="336"/>
      <c r="K24" s="336"/>
      <c r="L24" s="336"/>
    </row>
    <row r="25" spans="1:12">
      <c r="A25" s="335" t="s">
        <v>17</v>
      </c>
      <c r="B25" s="336"/>
      <c r="C25" s="336"/>
      <c r="D25" s="336"/>
      <c r="E25" s="336"/>
      <c r="F25" s="336"/>
      <c r="G25" s="336"/>
      <c r="H25" s="336"/>
      <c r="I25" s="336"/>
      <c r="J25" s="336"/>
      <c r="K25" s="336"/>
      <c r="L25" s="336"/>
    </row>
    <row r="26" spans="1:12" ht="18.75" customHeight="1">
      <c r="A26" s="384" t="s">
        <v>47</v>
      </c>
      <c r="B26" s="385"/>
      <c r="C26" s="385"/>
      <c r="D26" s="6"/>
      <c r="E26" s="6"/>
      <c r="F26" s="6"/>
      <c r="G26" s="6"/>
      <c r="H26" s="6"/>
      <c r="I26" s="6"/>
      <c r="J26" s="6"/>
      <c r="K26" s="6"/>
      <c r="L26" s="12" t="s">
        <v>2</v>
      </c>
    </row>
    <row r="27" spans="1:12" ht="37.5" customHeight="1">
      <c r="A27" s="390" t="s">
        <v>35</v>
      </c>
      <c r="B27" s="390" t="s">
        <v>84</v>
      </c>
      <c r="C27" s="386" t="s">
        <v>85</v>
      </c>
      <c r="D27" s="387"/>
      <c r="E27" s="387"/>
      <c r="F27" s="13" t="s">
        <v>86</v>
      </c>
      <c r="G27" s="13" t="s">
        <v>110</v>
      </c>
      <c r="H27" s="388" t="s">
        <v>157</v>
      </c>
      <c r="I27" s="389"/>
      <c r="J27" s="389"/>
      <c r="K27" s="389"/>
      <c r="L27" s="390" t="s">
        <v>87</v>
      </c>
    </row>
    <row r="28" spans="1:12" ht="75" customHeight="1">
      <c r="A28" s="391"/>
      <c r="B28" s="391"/>
      <c r="C28" s="13" t="s">
        <v>142</v>
      </c>
      <c r="D28" s="13" t="s">
        <v>143</v>
      </c>
      <c r="E28" s="13" t="s">
        <v>144</v>
      </c>
      <c r="F28" s="13" t="s">
        <v>161</v>
      </c>
      <c r="G28" s="13" t="s">
        <v>161</v>
      </c>
      <c r="H28" s="13" t="s">
        <v>88</v>
      </c>
      <c r="I28" s="13" t="s">
        <v>89</v>
      </c>
      <c r="J28" s="13" t="s">
        <v>90</v>
      </c>
      <c r="K28" s="13" t="s">
        <v>91</v>
      </c>
      <c r="L28" s="391"/>
    </row>
    <row r="29" spans="1:12" s="15" customFormat="1" ht="18" customHeight="1">
      <c r="A29" s="14">
        <v>1</v>
      </c>
      <c r="B29" s="14">
        <v>2</v>
      </c>
      <c r="C29" s="14">
        <v>3</v>
      </c>
      <c r="D29" s="14">
        <v>4</v>
      </c>
      <c r="E29" s="14">
        <v>5</v>
      </c>
      <c r="F29" s="14">
        <v>6</v>
      </c>
      <c r="G29" s="14">
        <v>7</v>
      </c>
      <c r="H29" s="14">
        <v>8</v>
      </c>
      <c r="I29" s="14">
        <v>9</v>
      </c>
      <c r="J29" s="14">
        <v>10</v>
      </c>
      <c r="K29" s="14">
        <v>11</v>
      </c>
      <c r="L29" s="14">
        <v>12</v>
      </c>
    </row>
    <row r="30" spans="1:12">
      <c r="A30" s="7">
        <v>1</v>
      </c>
      <c r="B30" s="16" t="s">
        <v>92</v>
      </c>
      <c r="C30" s="8">
        <v>132538</v>
      </c>
      <c r="D30" s="8">
        <v>154229</v>
      </c>
      <c r="E30" s="8">
        <v>166870</v>
      </c>
      <c r="F30" s="8">
        <v>285029</v>
      </c>
      <c r="G30" s="8">
        <v>285029</v>
      </c>
      <c r="H30" s="8">
        <v>292560</v>
      </c>
      <c r="I30" s="8">
        <v>0</v>
      </c>
      <c r="J30" s="8">
        <v>0</v>
      </c>
      <c r="K30" s="8">
        <v>0</v>
      </c>
      <c r="L30" s="8"/>
    </row>
    <row r="31" spans="1:12">
      <c r="A31" s="7">
        <v>2</v>
      </c>
      <c r="B31" s="16" t="s">
        <v>105</v>
      </c>
      <c r="C31" s="8">
        <v>0</v>
      </c>
      <c r="D31" s="8">
        <v>0</v>
      </c>
      <c r="E31" s="8">
        <v>0</v>
      </c>
      <c r="F31" s="8">
        <v>370</v>
      </c>
      <c r="G31" s="8">
        <v>370</v>
      </c>
      <c r="H31" s="8">
        <v>370</v>
      </c>
      <c r="I31" s="8">
        <v>0</v>
      </c>
      <c r="J31" s="8">
        <v>0</v>
      </c>
      <c r="K31" s="8">
        <v>0</v>
      </c>
      <c r="L31" s="9"/>
    </row>
    <row r="32" spans="1:12" ht="30">
      <c r="A32" s="7">
        <v>3</v>
      </c>
      <c r="B32" s="16" t="s">
        <v>104</v>
      </c>
      <c r="C32" s="8">
        <v>1290</v>
      </c>
      <c r="D32" s="8">
        <v>1251</v>
      </c>
      <c r="E32" s="8">
        <v>1955</v>
      </c>
      <c r="F32" s="8">
        <v>7500</v>
      </c>
      <c r="G32" s="8">
        <v>7500</v>
      </c>
      <c r="H32" s="8">
        <v>7500</v>
      </c>
      <c r="I32" s="8">
        <v>0</v>
      </c>
      <c r="J32" s="8">
        <v>0</v>
      </c>
      <c r="K32" s="8">
        <v>0</v>
      </c>
      <c r="L32" s="8"/>
    </row>
    <row r="33" spans="1:12">
      <c r="A33" s="7">
        <v>4</v>
      </c>
      <c r="B33" s="172" t="s">
        <v>118</v>
      </c>
      <c r="C33" s="8">
        <v>0</v>
      </c>
      <c r="D33" s="8">
        <v>0</v>
      </c>
      <c r="E33" s="8">
        <v>379</v>
      </c>
      <c r="F33" s="8">
        <v>500</v>
      </c>
      <c r="G33" s="8">
        <v>500</v>
      </c>
      <c r="H33" s="8">
        <v>500</v>
      </c>
      <c r="I33" s="52">
        <v>0</v>
      </c>
      <c r="J33" s="52">
        <v>0</v>
      </c>
      <c r="K33" s="52">
        <v>0</v>
      </c>
      <c r="L33" s="8"/>
    </row>
    <row r="34" spans="1:12">
      <c r="A34" s="7">
        <v>5</v>
      </c>
      <c r="B34" s="16" t="s">
        <v>95</v>
      </c>
      <c r="C34" s="8">
        <v>109</v>
      </c>
      <c r="D34" s="8">
        <v>84</v>
      </c>
      <c r="E34" s="8">
        <v>132</v>
      </c>
      <c r="F34" s="8">
        <v>1000</v>
      </c>
      <c r="G34" s="8">
        <v>1000</v>
      </c>
      <c r="H34" s="8">
        <v>1000</v>
      </c>
      <c r="I34" s="8">
        <v>0</v>
      </c>
      <c r="J34" s="8">
        <v>0</v>
      </c>
      <c r="K34" s="8">
        <v>0</v>
      </c>
      <c r="L34" s="8"/>
    </row>
    <row r="35" spans="1:12">
      <c r="A35" s="7">
        <v>6</v>
      </c>
      <c r="B35" s="16" t="s">
        <v>96</v>
      </c>
      <c r="C35" s="8">
        <v>7154</v>
      </c>
      <c r="D35" s="8">
        <v>3735</v>
      </c>
      <c r="E35" s="8">
        <v>2090</v>
      </c>
      <c r="F35" s="8">
        <v>20000</v>
      </c>
      <c r="G35" s="8">
        <v>20000</v>
      </c>
      <c r="H35" s="8">
        <v>20000</v>
      </c>
      <c r="I35" s="8">
        <v>0</v>
      </c>
      <c r="J35" s="8">
        <v>0</v>
      </c>
      <c r="K35" s="8">
        <v>0</v>
      </c>
      <c r="L35" s="8"/>
    </row>
    <row r="36" spans="1:12">
      <c r="A36" s="7">
        <v>7</v>
      </c>
      <c r="B36" s="16" t="s">
        <v>107</v>
      </c>
      <c r="C36" s="8">
        <v>0</v>
      </c>
      <c r="D36" s="8">
        <v>0</v>
      </c>
      <c r="E36" s="8">
        <v>0</v>
      </c>
      <c r="F36" s="8">
        <v>0</v>
      </c>
      <c r="G36" s="8">
        <v>0</v>
      </c>
      <c r="H36" s="8">
        <v>0</v>
      </c>
      <c r="I36" s="8">
        <v>0</v>
      </c>
      <c r="J36" s="8">
        <v>0</v>
      </c>
      <c r="K36" s="8">
        <v>0</v>
      </c>
      <c r="L36" s="8"/>
    </row>
    <row r="37" spans="1:12">
      <c r="A37" s="7">
        <v>8</v>
      </c>
      <c r="B37" s="172" t="s">
        <v>119</v>
      </c>
      <c r="C37" s="8">
        <v>0</v>
      </c>
      <c r="D37" s="8">
        <v>0</v>
      </c>
      <c r="E37" s="8">
        <v>0</v>
      </c>
      <c r="F37" s="8">
        <v>0</v>
      </c>
      <c r="G37" s="8">
        <v>0</v>
      </c>
      <c r="H37" s="8">
        <v>0</v>
      </c>
      <c r="I37" s="52">
        <v>0</v>
      </c>
      <c r="J37" s="52">
        <v>0</v>
      </c>
      <c r="K37" s="52">
        <v>0</v>
      </c>
      <c r="L37" s="8"/>
    </row>
    <row r="38" spans="1:12">
      <c r="A38" s="7">
        <v>9</v>
      </c>
      <c r="B38" s="16" t="s">
        <v>97</v>
      </c>
      <c r="C38" s="8">
        <v>11</v>
      </c>
      <c r="D38" s="8">
        <v>0</v>
      </c>
      <c r="E38" s="8">
        <v>5</v>
      </c>
      <c r="F38" s="8">
        <v>1000</v>
      </c>
      <c r="G38" s="8">
        <v>1000</v>
      </c>
      <c r="H38" s="8">
        <v>1000</v>
      </c>
      <c r="I38" s="8">
        <v>0</v>
      </c>
      <c r="J38" s="8">
        <v>0</v>
      </c>
      <c r="K38" s="8">
        <v>0</v>
      </c>
      <c r="L38" s="8"/>
    </row>
    <row r="39" spans="1:12">
      <c r="A39" s="7">
        <v>10</v>
      </c>
      <c r="B39" s="16" t="s">
        <v>98</v>
      </c>
      <c r="C39" s="8">
        <v>0</v>
      </c>
      <c r="D39" s="8">
        <v>0</v>
      </c>
      <c r="E39" s="8">
        <v>0</v>
      </c>
      <c r="F39" s="8">
        <v>0</v>
      </c>
      <c r="G39" s="8">
        <v>0</v>
      </c>
      <c r="H39" s="8">
        <v>0</v>
      </c>
      <c r="I39" s="8">
        <v>0</v>
      </c>
      <c r="J39" s="8">
        <v>0</v>
      </c>
      <c r="K39" s="8">
        <v>0</v>
      </c>
      <c r="L39" s="8"/>
    </row>
    <row r="40" spans="1:12">
      <c r="A40" s="7">
        <v>11</v>
      </c>
      <c r="B40" s="16" t="s">
        <v>99</v>
      </c>
      <c r="C40" s="8">
        <v>106</v>
      </c>
      <c r="D40" s="8">
        <v>141</v>
      </c>
      <c r="E40" s="8">
        <v>135</v>
      </c>
      <c r="F40" s="8">
        <v>1000</v>
      </c>
      <c r="G40" s="8">
        <v>1000</v>
      </c>
      <c r="H40" s="8">
        <v>1000</v>
      </c>
      <c r="I40" s="8">
        <v>0</v>
      </c>
      <c r="J40" s="8">
        <v>0</v>
      </c>
      <c r="K40" s="8">
        <v>0</v>
      </c>
      <c r="L40" s="8"/>
    </row>
    <row r="41" spans="1:12">
      <c r="A41" s="7">
        <v>12</v>
      </c>
      <c r="B41" s="16" t="s">
        <v>100</v>
      </c>
      <c r="C41" s="8">
        <v>0</v>
      </c>
      <c r="D41" s="8">
        <v>252</v>
      </c>
      <c r="E41" s="8">
        <v>83</v>
      </c>
      <c r="F41" s="8">
        <v>670</v>
      </c>
      <c r="G41" s="8">
        <v>670</v>
      </c>
      <c r="H41" s="8">
        <v>670</v>
      </c>
      <c r="I41" s="8">
        <v>0</v>
      </c>
      <c r="J41" s="8">
        <v>0</v>
      </c>
      <c r="K41" s="8">
        <v>0</v>
      </c>
      <c r="L41" s="8"/>
    </row>
    <row r="42" spans="1:12">
      <c r="A42" s="7">
        <v>13</v>
      </c>
      <c r="B42" s="16" t="s">
        <v>101</v>
      </c>
      <c r="C42" s="8">
        <v>0</v>
      </c>
      <c r="D42" s="8">
        <v>0</v>
      </c>
      <c r="E42" s="8">
        <v>0</v>
      </c>
      <c r="F42" s="8">
        <v>0</v>
      </c>
      <c r="G42" s="8">
        <v>0</v>
      </c>
      <c r="H42" s="8">
        <v>0</v>
      </c>
      <c r="I42" s="8">
        <v>0</v>
      </c>
      <c r="J42" s="8">
        <v>0</v>
      </c>
      <c r="K42" s="8">
        <v>0</v>
      </c>
      <c r="L42" s="8"/>
    </row>
    <row r="43" spans="1:12">
      <c r="A43" s="7">
        <v>14</v>
      </c>
      <c r="B43" s="16" t="s">
        <v>106</v>
      </c>
      <c r="C43" s="8">
        <v>0</v>
      </c>
      <c r="D43" s="8">
        <v>0</v>
      </c>
      <c r="E43" s="8">
        <v>0</v>
      </c>
      <c r="F43" s="8">
        <v>0</v>
      </c>
      <c r="G43" s="8">
        <v>0</v>
      </c>
      <c r="H43" s="8">
        <v>0</v>
      </c>
      <c r="I43" s="8">
        <v>0</v>
      </c>
      <c r="J43" s="8">
        <v>0</v>
      </c>
      <c r="K43" s="8">
        <v>0</v>
      </c>
      <c r="L43" s="8"/>
    </row>
    <row r="44" spans="1:12">
      <c r="A44" s="7">
        <v>15</v>
      </c>
      <c r="B44" s="16" t="s">
        <v>103</v>
      </c>
      <c r="C44" s="8">
        <v>0</v>
      </c>
      <c r="D44" s="8">
        <v>0</v>
      </c>
      <c r="E44" s="8">
        <v>0</v>
      </c>
      <c r="F44" s="8">
        <v>0</v>
      </c>
      <c r="G44" s="8">
        <v>0</v>
      </c>
      <c r="H44" s="8">
        <v>0</v>
      </c>
      <c r="I44" s="8">
        <v>0</v>
      </c>
      <c r="J44" s="8">
        <v>0</v>
      </c>
      <c r="K44" s="8">
        <v>0</v>
      </c>
      <c r="L44" s="8"/>
    </row>
    <row r="45" spans="1:12" ht="21.6" thickBot="1">
      <c r="A45" s="3" t="s">
        <v>0</v>
      </c>
      <c r="B45" s="11" t="s">
        <v>9</v>
      </c>
      <c r="C45" s="2">
        <f>SUM(C30:C44)</f>
        <v>141208</v>
      </c>
      <c r="D45" s="2">
        <f t="shared" ref="D45:K45" si="1">SUM(D30:D44)</f>
        <v>159692</v>
      </c>
      <c r="E45" s="2">
        <f>SUM(E30:E44)</f>
        <v>171649</v>
      </c>
      <c r="F45" s="2">
        <f t="shared" si="1"/>
        <v>317069</v>
      </c>
      <c r="G45" s="2">
        <f t="shared" si="1"/>
        <v>317069</v>
      </c>
      <c r="H45" s="2">
        <f t="shared" si="1"/>
        <v>324600</v>
      </c>
      <c r="I45" s="2">
        <f t="shared" si="1"/>
        <v>0</v>
      </c>
      <c r="J45" s="2">
        <f t="shared" si="1"/>
        <v>0</v>
      </c>
      <c r="K45" s="2">
        <f t="shared" si="1"/>
        <v>0</v>
      </c>
      <c r="L45" s="2"/>
    </row>
    <row r="46" spans="1:12" ht="21.6" thickTop="1">
      <c r="A46" s="5"/>
      <c r="B46" s="4"/>
      <c r="C46" s="5"/>
      <c r="D46" s="5"/>
      <c r="E46" s="5"/>
      <c r="F46" s="5"/>
      <c r="G46" s="5"/>
      <c r="H46" s="5"/>
      <c r="I46" s="5"/>
      <c r="J46" s="5"/>
      <c r="K46" s="5"/>
      <c r="L46" s="5"/>
    </row>
    <row r="47" spans="1:12">
      <c r="A47" s="335" t="s">
        <v>156</v>
      </c>
      <c r="B47" s="336"/>
      <c r="C47" s="336"/>
      <c r="D47" s="336"/>
      <c r="E47" s="336"/>
      <c r="F47" s="336"/>
      <c r="G47" s="336"/>
      <c r="H47" s="336"/>
      <c r="I47" s="336"/>
      <c r="J47" s="336"/>
      <c r="K47" s="336"/>
      <c r="L47" s="336"/>
    </row>
    <row r="48" spans="1:12">
      <c r="A48" s="335" t="s">
        <v>17</v>
      </c>
      <c r="B48" s="336"/>
      <c r="C48" s="336"/>
      <c r="D48" s="336"/>
      <c r="E48" s="336"/>
      <c r="F48" s="336"/>
      <c r="G48" s="336"/>
      <c r="H48" s="336"/>
      <c r="I48" s="336"/>
      <c r="J48" s="336"/>
      <c r="K48" s="336"/>
      <c r="L48" s="336"/>
    </row>
    <row r="49" spans="1:12" ht="18.75" customHeight="1">
      <c r="A49" s="384" t="s">
        <v>48</v>
      </c>
      <c r="B49" s="385"/>
      <c r="C49" s="385"/>
      <c r="D49" s="6"/>
      <c r="E49" s="6"/>
      <c r="F49" s="6"/>
      <c r="G49" s="6"/>
      <c r="H49" s="6"/>
      <c r="I49" s="6"/>
      <c r="J49" s="6"/>
      <c r="K49" s="6"/>
      <c r="L49" s="12" t="s">
        <v>2</v>
      </c>
    </row>
    <row r="50" spans="1:12" ht="37.5" customHeight="1">
      <c r="A50" s="390" t="s">
        <v>35</v>
      </c>
      <c r="B50" s="390" t="s">
        <v>84</v>
      </c>
      <c r="C50" s="386" t="s">
        <v>85</v>
      </c>
      <c r="D50" s="387"/>
      <c r="E50" s="387"/>
      <c r="F50" s="13" t="s">
        <v>86</v>
      </c>
      <c r="G50" s="13" t="s">
        <v>110</v>
      </c>
      <c r="H50" s="388" t="s">
        <v>157</v>
      </c>
      <c r="I50" s="389"/>
      <c r="J50" s="389"/>
      <c r="K50" s="389"/>
      <c r="L50" s="390" t="s">
        <v>87</v>
      </c>
    </row>
    <row r="51" spans="1:12" ht="75" customHeight="1">
      <c r="A51" s="391"/>
      <c r="B51" s="391"/>
      <c r="C51" s="13" t="s">
        <v>142</v>
      </c>
      <c r="D51" s="13" t="s">
        <v>143</v>
      </c>
      <c r="E51" s="13" t="s">
        <v>144</v>
      </c>
      <c r="F51" s="13" t="s">
        <v>161</v>
      </c>
      <c r="G51" s="13" t="s">
        <v>161</v>
      </c>
      <c r="H51" s="13" t="s">
        <v>88</v>
      </c>
      <c r="I51" s="13" t="s">
        <v>89</v>
      </c>
      <c r="J51" s="13" t="s">
        <v>90</v>
      </c>
      <c r="K51" s="13" t="s">
        <v>91</v>
      </c>
      <c r="L51" s="391"/>
    </row>
    <row r="52" spans="1:12" s="15" customFormat="1" ht="18" customHeight="1">
      <c r="A52" s="14">
        <v>1</v>
      </c>
      <c r="B52" s="14">
        <v>2</v>
      </c>
      <c r="C52" s="14">
        <v>3</v>
      </c>
      <c r="D52" s="14">
        <v>4</v>
      </c>
      <c r="E52" s="14">
        <v>5</v>
      </c>
      <c r="F52" s="14">
        <v>6</v>
      </c>
      <c r="G52" s="14">
        <v>7</v>
      </c>
      <c r="H52" s="14">
        <v>8</v>
      </c>
      <c r="I52" s="14">
        <v>9</v>
      </c>
      <c r="J52" s="14">
        <v>10</v>
      </c>
      <c r="K52" s="14">
        <v>11</v>
      </c>
      <c r="L52" s="14">
        <v>12</v>
      </c>
    </row>
    <row r="53" spans="1:12">
      <c r="A53" s="7">
        <v>1</v>
      </c>
      <c r="B53" s="16" t="s">
        <v>92</v>
      </c>
      <c r="C53" s="8">
        <v>204982</v>
      </c>
      <c r="D53" s="8">
        <v>254768</v>
      </c>
      <c r="E53" s="8">
        <v>259174</v>
      </c>
      <c r="F53" s="8">
        <v>283714</v>
      </c>
      <c r="G53" s="8">
        <v>283714</v>
      </c>
      <c r="H53" s="8">
        <v>311464</v>
      </c>
      <c r="I53" s="8">
        <v>0</v>
      </c>
      <c r="J53" s="8">
        <v>0</v>
      </c>
      <c r="K53" s="8">
        <v>0</v>
      </c>
      <c r="L53" s="8"/>
    </row>
    <row r="54" spans="1:12">
      <c r="A54" s="7">
        <v>2</v>
      </c>
      <c r="B54" s="16" t="s">
        <v>105</v>
      </c>
      <c r="C54" s="8">
        <v>9</v>
      </c>
      <c r="D54" s="8">
        <v>25</v>
      </c>
      <c r="E54" s="8">
        <v>0</v>
      </c>
      <c r="F54" s="8">
        <v>300</v>
      </c>
      <c r="G54" s="8">
        <v>300</v>
      </c>
      <c r="H54" s="8">
        <v>300</v>
      </c>
      <c r="I54" s="8">
        <v>0</v>
      </c>
      <c r="J54" s="8">
        <v>0</v>
      </c>
      <c r="K54" s="8">
        <v>0</v>
      </c>
      <c r="L54" s="9"/>
    </row>
    <row r="55" spans="1:12" ht="30">
      <c r="A55" s="7">
        <v>3</v>
      </c>
      <c r="B55" s="16" t="s">
        <v>104</v>
      </c>
      <c r="C55" s="8">
        <v>3952</v>
      </c>
      <c r="D55" s="8">
        <v>4143</v>
      </c>
      <c r="E55" s="8">
        <v>4919</v>
      </c>
      <c r="F55" s="8">
        <v>12500</v>
      </c>
      <c r="G55" s="8">
        <v>12500</v>
      </c>
      <c r="H55" s="8">
        <v>12500</v>
      </c>
      <c r="I55" s="8">
        <v>0</v>
      </c>
      <c r="J55" s="8">
        <v>0</v>
      </c>
      <c r="K55" s="8">
        <v>0</v>
      </c>
      <c r="L55" s="8"/>
    </row>
    <row r="56" spans="1:12">
      <c r="A56" s="7">
        <v>4</v>
      </c>
      <c r="B56" s="172" t="s">
        <v>118</v>
      </c>
      <c r="C56" s="8">
        <v>0</v>
      </c>
      <c r="D56" s="8">
        <v>0</v>
      </c>
      <c r="E56" s="8">
        <v>420</v>
      </c>
      <c r="F56" s="8">
        <v>1700</v>
      </c>
      <c r="G56" s="8">
        <v>1700</v>
      </c>
      <c r="H56" s="8">
        <v>1700</v>
      </c>
      <c r="I56" s="52">
        <v>0</v>
      </c>
      <c r="J56" s="52">
        <v>0</v>
      </c>
      <c r="K56" s="52">
        <v>0</v>
      </c>
      <c r="L56" s="8"/>
    </row>
    <row r="57" spans="1:12">
      <c r="A57" s="7">
        <v>5</v>
      </c>
      <c r="B57" s="16" t="s">
        <v>95</v>
      </c>
      <c r="C57" s="8">
        <v>73</v>
      </c>
      <c r="D57" s="8">
        <v>111</v>
      </c>
      <c r="E57" s="8">
        <v>131</v>
      </c>
      <c r="F57" s="8">
        <v>1200</v>
      </c>
      <c r="G57" s="8">
        <v>1200</v>
      </c>
      <c r="H57" s="8">
        <v>1200</v>
      </c>
      <c r="I57" s="8">
        <v>0</v>
      </c>
      <c r="J57" s="8">
        <v>0</v>
      </c>
      <c r="K57" s="8">
        <v>0</v>
      </c>
      <c r="L57" s="8"/>
    </row>
    <row r="58" spans="1:12">
      <c r="A58" s="7">
        <v>6</v>
      </c>
      <c r="B58" s="16" t="s">
        <v>96</v>
      </c>
      <c r="C58" s="8">
        <v>5254</v>
      </c>
      <c r="D58" s="8">
        <v>4014</v>
      </c>
      <c r="E58" s="8">
        <v>4384</v>
      </c>
      <c r="F58" s="8">
        <v>9600</v>
      </c>
      <c r="G58" s="8">
        <v>9600</v>
      </c>
      <c r="H58" s="8">
        <v>9600</v>
      </c>
      <c r="I58" s="8">
        <v>0</v>
      </c>
      <c r="J58" s="8">
        <v>0</v>
      </c>
      <c r="K58" s="8">
        <v>0</v>
      </c>
      <c r="L58" s="8"/>
    </row>
    <row r="59" spans="1:12">
      <c r="A59" s="7">
        <v>7</v>
      </c>
      <c r="B59" s="16" t="s">
        <v>107</v>
      </c>
      <c r="C59" s="8">
        <v>47</v>
      </c>
      <c r="D59" s="8">
        <v>36</v>
      </c>
      <c r="E59" s="8">
        <v>54</v>
      </c>
      <c r="F59" s="8">
        <v>500</v>
      </c>
      <c r="G59" s="8">
        <v>500</v>
      </c>
      <c r="H59" s="8">
        <v>500</v>
      </c>
      <c r="I59" s="8">
        <v>0</v>
      </c>
      <c r="J59" s="8">
        <v>0</v>
      </c>
      <c r="K59" s="8">
        <v>0</v>
      </c>
      <c r="L59" s="8"/>
    </row>
    <row r="60" spans="1:12">
      <c r="A60" s="7">
        <v>8</v>
      </c>
      <c r="B60" s="172" t="s">
        <v>119</v>
      </c>
      <c r="C60" s="8">
        <v>0</v>
      </c>
      <c r="D60" s="8">
        <v>0</v>
      </c>
      <c r="E60" s="8">
        <v>0</v>
      </c>
      <c r="F60" s="8">
        <v>0</v>
      </c>
      <c r="G60" s="8">
        <v>0</v>
      </c>
      <c r="H60" s="8">
        <v>0</v>
      </c>
      <c r="I60" s="52">
        <v>0</v>
      </c>
      <c r="J60" s="52">
        <v>0</v>
      </c>
      <c r="K60" s="52">
        <v>0</v>
      </c>
      <c r="L60" s="8"/>
    </row>
    <row r="61" spans="1:12">
      <c r="A61" s="7">
        <v>9</v>
      </c>
      <c r="B61" s="16" t="s">
        <v>97</v>
      </c>
      <c r="C61" s="8">
        <v>0</v>
      </c>
      <c r="D61" s="8">
        <v>0</v>
      </c>
      <c r="E61" s="8">
        <v>10</v>
      </c>
      <c r="F61" s="8">
        <v>2000</v>
      </c>
      <c r="G61" s="8">
        <v>2000</v>
      </c>
      <c r="H61" s="8">
        <v>2000</v>
      </c>
      <c r="I61" s="8">
        <v>0</v>
      </c>
      <c r="J61" s="8">
        <v>0</v>
      </c>
      <c r="K61" s="8">
        <v>0</v>
      </c>
      <c r="L61" s="8"/>
    </row>
    <row r="62" spans="1:12">
      <c r="A62" s="7">
        <v>10</v>
      </c>
      <c r="B62" s="16" t="s">
        <v>98</v>
      </c>
      <c r="C62" s="8">
        <v>0</v>
      </c>
      <c r="D62" s="8">
        <v>0</v>
      </c>
      <c r="E62" s="8">
        <v>0</v>
      </c>
      <c r="F62" s="8">
        <v>0</v>
      </c>
      <c r="G62" s="8">
        <v>0</v>
      </c>
      <c r="H62" s="8">
        <v>0</v>
      </c>
      <c r="I62" s="8">
        <v>0</v>
      </c>
      <c r="J62" s="8">
        <v>0</v>
      </c>
      <c r="K62" s="8">
        <v>0</v>
      </c>
      <c r="L62" s="8"/>
    </row>
    <row r="63" spans="1:12">
      <c r="A63" s="7">
        <v>11</v>
      </c>
      <c r="B63" s="16" t="s">
        <v>99</v>
      </c>
      <c r="C63" s="8">
        <v>460</v>
      </c>
      <c r="D63" s="8">
        <v>549</v>
      </c>
      <c r="E63" s="8">
        <v>912</v>
      </c>
      <c r="F63" s="8">
        <v>1600</v>
      </c>
      <c r="G63" s="8">
        <v>1600</v>
      </c>
      <c r="H63" s="8">
        <v>1600</v>
      </c>
      <c r="I63" s="8">
        <v>0</v>
      </c>
      <c r="J63" s="8">
        <v>0</v>
      </c>
      <c r="K63" s="8">
        <v>0</v>
      </c>
      <c r="L63" s="8"/>
    </row>
    <row r="64" spans="1:12">
      <c r="A64" s="7">
        <v>12</v>
      </c>
      <c r="B64" s="16" t="s">
        <v>100</v>
      </c>
      <c r="C64" s="8">
        <v>0</v>
      </c>
      <c r="D64" s="8">
        <v>435</v>
      </c>
      <c r="E64" s="8">
        <v>222</v>
      </c>
      <c r="F64" s="8">
        <v>8500</v>
      </c>
      <c r="G64" s="8">
        <v>8500</v>
      </c>
      <c r="H64" s="8">
        <v>8500</v>
      </c>
      <c r="I64" s="8">
        <v>0</v>
      </c>
      <c r="J64" s="8">
        <v>0</v>
      </c>
      <c r="K64" s="8">
        <v>0</v>
      </c>
      <c r="L64" s="8"/>
    </row>
    <row r="65" spans="1:12">
      <c r="A65" s="7">
        <v>13</v>
      </c>
      <c r="B65" s="16" t="s">
        <v>101</v>
      </c>
      <c r="C65" s="8">
        <v>0</v>
      </c>
      <c r="D65" s="8">
        <v>0</v>
      </c>
      <c r="E65" s="8">
        <v>0</v>
      </c>
      <c r="F65" s="8">
        <v>0</v>
      </c>
      <c r="G65" s="8">
        <v>0</v>
      </c>
      <c r="H65" s="8">
        <v>0</v>
      </c>
      <c r="I65" s="8">
        <v>0</v>
      </c>
      <c r="J65" s="8">
        <v>0</v>
      </c>
      <c r="K65" s="8">
        <v>0</v>
      </c>
      <c r="L65" s="8"/>
    </row>
    <row r="66" spans="1:12">
      <c r="A66" s="7">
        <v>14</v>
      </c>
      <c r="B66" s="16" t="s">
        <v>106</v>
      </c>
      <c r="C66" s="8">
        <v>0</v>
      </c>
      <c r="D66" s="8">
        <v>0</v>
      </c>
      <c r="E66" s="8">
        <v>0</v>
      </c>
      <c r="F66" s="8">
        <v>0</v>
      </c>
      <c r="G66" s="8">
        <v>0</v>
      </c>
      <c r="H66" s="8">
        <v>0</v>
      </c>
      <c r="I66" s="8">
        <v>0</v>
      </c>
      <c r="J66" s="8">
        <v>0</v>
      </c>
      <c r="K66" s="8">
        <v>0</v>
      </c>
      <c r="L66" s="8"/>
    </row>
    <row r="67" spans="1:12">
      <c r="A67" s="7">
        <v>15</v>
      </c>
      <c r="B67" s="16" t="s">
        <v>103</v>
      </c>
      <c r="C67" s="8">
        <v>0</v>
      </c>
      <c r="D67" s="8">
        <v>0</v>
      </c>
      <c r="E67" s="8">
        <v>4</v>
      </c>
      <c r="F67" s="8">
        <v>1900</v>
      </c>
      <c r="G67" s="8">
        <v>1900</v>
      </c>
      <c r="H67" s="8">
        <v>1900</v>
      </c>
      <c r="I67" s="8">
        <v>0</v>
      </c>
      <c r="J67" s="8">
        <v>0</v>
      </c>
      <c r="K67" s="8">
        <v>0</v>
      </c>
      <c r="L67" s="8"/>
    </row>
    <row r="68" spans="1:12" ht="21.6" thickBot="1">
      <c r="A68" s="3" t="s">
        <v>0</v>
      </c>
      <c r="B68" s="11" t="s">
        <v>9</v>
      </c>
      <c r="C68" s="2">
        <f>SUM(C53:C67)</f>
        <v>214777</v>
      </c>
      <c r="D68" s="2">
        <f t="shared" ref="D68:K68" si="2">SUM(D53:D67)</f>
        <v>264081</v>
      </c>
      <c r="E68" s="2">
        <f t="shared" si="2"/>
        <v>270230</v>
      </c>
      <c r="F68" s="2">
        <f t="shared" si="2"/>
        <v>323514</v>
      </c>
      <c r="G68" s="2">
        <f t="shared" si="2"/>
        <v>323514</v>
      </c>
      <c r="H68" s="2">
        <f t="shared" si="2"/>
        <v>351264</v>
      </c>
      <c r="I68" s="2">
        <f t="shared" si="2"/>
        <v>0</v>
      </c>
      <c r="J68" s="2">
        <f t="shared" si="2"/>
        <v>0</v>
      </c>
      <c r="K68" s="2">
        <f t="shared" si="2"/>
        <v>0</v>
      </c>
      <c r="L68" s="2"/>
    </row>
    <row r="69" spans="1:12" ht="21.6" thickTop="1">
      <c r="A69" s="5"/>
      <c r="B69" s="4"/>
      <c r="C69" s="5"/>
      <c r="D69" s="5"/>
      <c r="E69" s="5"/>
      <c r="F69" s="5"/>
      <c r="G69" s="5"/>
      <c r="H69" s="5"/>
      <c r="I69" s="5"/>
      <c r="J69" s="5"/>
      <c r="K69" s="5"/>
      <c r="L69" s="5"/>
    </row>
    <row r="70" spans="1:12">
      <c r="A70" s="335" t="s">
        <v>156</v>
      </c>
      <c r="B70" s="336"/>
      <c r="C70" s="336"/>
      <c r="D70" s="336"/>
      <c r="E70" s="336"/>
      <c r="F70" s="336"/>
      <c r="G70" s="336"/>
      <c r="H70" s="336"/>
      <c r="I70" s="336"/>
      <c r="J70" s="336"/>
      <c r="K70" s="336"/>
      <c r="L70" s="336"/>
    </row>
    <row r="71" spans="1:12">
      <c r="A71" s="335" t="s">
        <v>17</v>
      </c>
      <c r="B71" s="336"/>
      <c r="C71" s="336"/>
      <c r="D71" s="336"/>
      <c r="E71" s="336"/>
      <c r="F71" s="336"/>
      <c r="G71" s="336"/>
      <c r="H71" s="336"/>
      <c r="I71" s="336"/>
      <c r="J71" s="336"/>
      <c r="K71" s="336"/>
      <c r="L71" s="336"/>
    </row>
    <row r="72" spans="1:12" ht="18.75" customHeight="1">
      <c r="A72" s="384" t="s">
        <v>54</v>
      </c>
      <c r="B72" s="385"/>
      <c r="C72" s="385"/>
      <c r="D72" s="6"/>
      <c r="E72" s="6"/>
      <c r="F72" s="6"/>
      <c r="G72" s="6"/>
      <c r="H72" s="6"/>
      <c r="I72" s="6"/>
      <c r="J72" s="6"/>
      <c r="K72" s="6"/>
      <c r="L72" s="12" t="s">
        <v>2</v>
      </c>
    </row>
    <row r="73" spans="1:12" ht="37.5" customHeight="1">
      <c r="A73" s="390" t="s">
        <v>35</v>
      </c>
      <c r="B73" s="390" t="s">
        <v>84</v>
      </c>
      <c r="C73" s="386" t="s">
        <v>85</v>
      </c>
      <c r="D73" s="387"/>
      <c r="E73" s="387"/>
      <c r="F73" s="13" t="s">
        <v>86</v>
      </c>
      <c r="G73" s="13" t="s">
        <v>110</v>
      </c>
      <c r="H73" s="388" t="s">
        <v>157</v>
      </c>
      <c r="I73" s="389"/>
      <c r="J73" s="389"/>
      <c r="K73" s="389"/>
      <c r="L73" s="390" t="s">
        <v>87</v>
      </c>
    </row>
    <row r="74" spans="1:12" ht="75" customHeight="1">
      <c r="A74" s="391"/>
      <c r="B74" s="391"/>
      <c r="C74" s="13" t="s">
        <v>142</v>
      </c>
      <c r="D74" s="13" t="s">
        <v>143</v>
      </c>
      <c r="E74" s="13" t="s">
        <v>144</v>
      </c>
      <c r="F74" s="13" t="s">
        <v>161</v>
      </c>
      <c r="G74" s="13" t="s">
        <v>161</v>
      </c>
      <c r="H74" s="13" t="s">
        <v>88</v>
      </c>
      <c r="I74" s="13" t="s">
        <v>89</v>
      </c>
      <c r="J74" s="13" t="s">
        <v>90</v>
      </c>
      <c r="K74" s="13" t="s">
        <v>91</v>
      </c>
      <c r="L74" s="391"/>
    </row>
    <row r="75" spans="1:12" s="15" customFormat="1" ht="18" customHeight="1">
      <c r="A75" s="14">
        <v>1</v>
      </c>
      <c r="B75" s="14">
        <v>2</v>
      </c>
      <c r="C75" s="14">
        <v>3</v>
      </c>
      <c r="D75" s="14">
        <v>4</v>
      </c>
      <c r="E75" s="14">
        <v>5</v>
      </c>
      <c r="F75" s="14">
        <v>6</v>
      </c>
      <c r="G75" s="14">
        <v>7</v>
      </c>
      <c r="H75" s="14">
        <v>8</v>
      </c>
      <c r="I75" s="14">
        <v>9</v>
      </c>
      <c r="J75" s="14">
        <v>10</v>
      </c>
      <c r="K75" s="14">
        <v>11</v>
      </c>
      <c r="L75" s="14">
        <v>12</v>
      </c>
    </row>
    <row r="76" spans="1:12">
      <c r="A76" s="7">
        <v>1</v>
      </c>
      <c r="B76" s="16" t="s">
        <v>92</v>
      </c>
      <c r="C76" s="8">
        <v>156554</v>
      </c>
      <c r="D76" s="8">
        <v>190597</v>
      </c>
      <c r="E76" s="8">
        <v>204482</v>
      </c>
      <c r="F76" s="8">
        <v>410220</v>
      </c>
      <c r="G76" s="8">
        <v>410220</v>
      </c>
      <c r="H76" s="8">
        <v>487692</v>
      </c>
      <c r="I76" s="8">
        <v>0</v>
      </c>
      <c r="J76" s="8">
        <v>0</v>
      </c>
      <c r="K76" s="8">
        <v>0</v>
      </c>
      <c r="L76" s="8"/>
    </row>
    <row r="77" spans="1:12">
      <c r="A77" s="7">
        <v>2</v>
      </c>
      <c r="B77" s="16" t="s">
        <v>105</v>
      </c>
      <c r="C77" s="8">
        <v>206</v>
      </c>
      <c r="D77" s="8">
        <v>78</v>
      </c>
      <c r="E77" s="8">
        <v>122</v>
      </c>
      <c r="F77" s="8">
        <v>800</v>
      </c>
      <c r="G77" s="8">
        <v>800</v>
      </c>
      <c r="H77" s="8">
        <v>800</v>
      </c>
      <c r="I77" s="8">
        <v>0</v>
      </c>
      <c r="J77" s="8">
        <v>0</v>
      </c>
      <c r="K77" s="8">
        <v>0</v>
      </c>
      <c r="L77" s="9"/>
    </row>
    <row r="78" spans="1:12" ht="30">
      <c r="A78" s="7">
        <v>3</v>
      </c>
      <c r="B78" s="16" t="s">
        <v>104</v>
      </c>
      <c r="C78" s="8">
        <v>3046</v>
      </c>
      <c r="D78" s="8">
        <v>3623</v>
      </c>
      <c r="E78" s="8">
        <v>3642</v>
      </c>
      <c r="F78" s="8">
        <v>10000</v>
      </c>
      <c r="G78" s="8">
        <v>10000</v>
      </c>
      <c r="H78" s="8">
        <v>10000</v>
      </c>
      <c r="I78" s="8">
        <v>0</v>
      </c>
      <c r="J78" s="8">
        <v>0</v>
      </c>
      <c r="K78" s="8">
        <v>0</v>
      </c>
      <c r="L78" s="8"/>
    </row>
    <row r="79" spans="1:12">
      <c r="A79" s="7">
        <v>4</v>
      </c>
      <c r="B79" s="172" t="s">
        <v>118</v>
      </c>
      <c r="C79" s="8">
        <v>0</v>
      </c>
      <c r="D79" s="8">
        <v>0</v>
      </c>
      <c r="E79" s="8">
        <v>411</v>
      </c>
      <c r="F79" s="8">
        <v>450</v>
      </c>
      <c r="G79" s="8">
        <v>450</v>
      </c>
      <c r="H79" s="8">
        <v>450</v>
      </c>
      <c r="I79" s="52">
        <v>0</v>
      </c>
      <c r="J79" s="52">
        <v>0</v>
      </c>
      <c r="K79" s="52">
        <v>0</v>
      </c>
      <c r="L79" s="8"/>
    </row>
    <row r="80" spans="1:12">
      <c r="A80" s="7">
        <v>5</v>
      </c>
      <c r="B80" s="16" t="s">
        <v>95</v>
      </c>
      <c r="C80" s="8">
        <v>300</v>
      </c>
      <c r="D80" s="8">
        <v>136</v>
      </c>
      <c r="E80" s="8">
        <v>406</v>
      </c>
      <c r="F80" s="8">
        <v>4000</v>
      </c>
      <c r="G80" s="8">
        <v>4000</v>
      </c>
      <c r="H80" s="8">
        <v>4000</v>
      </c>
      <c r="I80" s="8">
        <v>0</v>
      </c>
      <c r="J80" s="8">
        <v>0</v>
      </c>
      <c r="K80" s="8">
        <v>0</v>
      </c>
      <c r="L80" s="8"/>
    </row>
    <row r="81" spans="1:12">
      <c r="A81" s="7">
        <v>6</v>
      </c>
      <c r="B81" s="16" t="s">
        <v>96</v>
      </c>
      <c r="C81" s="8">
        <v>7641</v>
      </c>
      <c r="D81" s="8">
        <v>3030</v>
      </c>
      <c r="E81" s="8">
        <v>4586</v>
      </c>
      <c r="F81" s="8">
        <v>10000</v>
      </c>
      <c r="G81" s="8">
        <v>10000</v>
      </c>
      <c r="H81" s="8">
        <v>10000</v>
      </c>
      <c r="I81" s="8">
        <v>0</v>
      </c>
      <c r="J81" s="8">
        <v>0</v>
      </c>
      <c r="K81" s="8">
        <v>0</v>
      </c>
      <c r="L81" s="8"/>
    </row>
    <row r="82" spans="1:12">
      <c r="A82" s="7">
        <v>7</v>
      </c>
      <c r="B82" s="16" t="s">
        <v>107</v>
      </c>
      <c r="C82" s="8">
        <v>3524</v>
      </c>
      <c r="D82" s="8">
        <v>2342</v>
      </c>
      <c r="E82" s="8">
        <v>771</v>
      </c>
      <c r="F82" s="8">
        <v>7500</v>
      </c>
      <c r="G82" s="8">
        <v>7500</v>
      </c>
      <c r="H82" s="8">
        <v>7500</v>
      </c>
      <c r="I82" s="8">
        <v>0</v>
      </c>
      <c r="J82" s="8">
        <v>0</v>
      </c>
      <c r="K82" s="8">
        <v>0</v>
      </c>
      <c r="L82" s="8"/>
    </row>
    <row r="83" spans="1:12">
      <c r="A83" s="7">
        <v>8</v>
      </c>
      <c r="B83" s="172" t="s">
        <v>119</v>
      </c>
      <c r="C83" s="8">
        <v>0</v>
      </c>
      <c r="D83" s="8">
        <v>0</v>
      </c>
      <c r="E83" s="8">
        <v>0</v>
      </c>
      <c r="F83" s="8">
        <v>0</v>
      </c>
      <c r="G83" s="8">
        <v>0</v>
      </c>
      <c r="H83" s="8">
        <v>0</v>
      </c>
      <c r="I83" s="8"/>
      <c r="J83" s="8"/>
      <c r="K83" s="8"/>
      <c r="L83" s="8"/>
    </row>
    <row r="84" spans="1:12">
      <c r="A84" s="7">
        <v>9</v>
      </c>
      <c r="B84" s="16" t="s">
        <v>97</v>
      </c>
      <c r="C84" s="8">
        <v>0</v>
      </c>
      <c r="D84" s="8">
        <v>25</v>
      </c>
      <c r="E84" s="8">
        <v>0</v>
      </c>
      <c r="F84" s="8">
        <v>2000</v>
      </c>
      <c r="G84" s="8">
        <v>2000</v>
      </c>
      <c r="H84" s="8">
        <v>2000</v>
      </c>
      <c r="I84" s="8">
        <v>0</v>
      </c>
      <c r="J84" s="8">
        <v>0</v>
      </c>
      <c r="K84" s="8">
        <v>0</v>
      </c>
      <c r="L84" s="8"/>
    </row>
    <row r="85" spans="1:12">
      <c r="A85" s="7">
        <v>10</v>
      </c>
      <c r="B85" s="16" t="s">
        <v>98</v>
      </c>
      <c r="C85" s="8">
        <v>0</v>
      </c>
      <c r="D85" s="8">
        <v>0</v>
      </c>
      <c r="E85" s="8">
        <v>0</v>
      </c>
      <c r="F85" s="8">
        <v>0</v>
      </c>
      <c r="G85" s="8">
        <v>0</v>
      </c>
      <c r="H85" s="8">
        <v>0</v>
      </c>
      <c r="I85" s="8">
        <v>0</v>
      </c>
      <c r="J85" s="8">
        <v>0</v>
      </c>
      <c r="K85" s="8">
        <v>0</v>
      </c>
      <c r="L85" s="8"/>
    </row>
    <row r="86" spans="1:12">
      <c r="A86" s="7">
        <v>11</v>
      </c>
      <c r="B86" s="16" t="s">
        <v>99</v>
      </c>
      <c r="C86" s="8">
        <v>660</v>
      </c>
      <c r="D86" s="8">
        <v>619</v>
      </c>
      <c r="E86" s="8">
        <v>295</v>
      </c>
      <c r="F86" s="8">
        <v>5000</v>
      </c>
      <c r="G86" s="8">
        <v>5000</v>
      </c>
      <c r="H86" s="8">
        <v>5000</v>
      </c>
      <c r="I86" s="8">
        <v>0</v>
      </c>
      <c r="J86" s="8">
        <v>0</v>
      </c>
      <c r="K86" s="8">
        <v>0</v>
      </c>
      <c r="L86" s="8"/>
    </row>
    <row r="87" spans="1:12">
      <c r="A87" s="7">
        <v>12</v>
      </c>
      <c r="B87" s="16" t="s">
        <v>100</v>
      </c>
      <c r="C87" s="8">
        <v>0</v>
      </c>
      <c r="D87" s="8">
        <v>169</v>
      </c>
      <c r="E87" s="8">
        <v>48</v>
      </c>
      <c r="F87" s="8">
        <v>2500</v>
      </c>
      <c r="G87" s="8">
        <v>2500</v>
      </c>
      <c r="H87" s="8">
        <v>2500</v>
      </c>
      <c r="I87" s="8">
        <v>0</v>
      </c>
      <c r="J87" s="8">
        <v>0</v>
      </c>
      <c r="K87" s="8">
        <v>0</v>
      </c>
      <c r="L87" s="8"/>
    </row>
    <row r="88" spans="1:12">
      <c r="A88" s="7">
        <v>13</v>
      </c>
      <c r="B88" s="16" t="s">
        <v>101</v>
      </c>
      <c r="C88" s="8">
        <v>0</v>
      </c>
      <c r="D88" s="8">
        <v>0</v>
      </c>
      <c r="E88" s="8">
        <v>0</v>
      </c>
      <c r="F88" s="8">
        <v>0</v>
      </c>
      <c r="G88" s="8">
        <v>0</v>
      </c>
      <c r="H88" s="8">
        <v>0</v>
      </c>
      <c r="I88" s="8">
        <v>0</v>
      </c>
      <c r="J88" s="8">
        <v>0</v>
      </c>
      <c r="K88" s="8">
        <v>0</v>
      </c>
      <c r="L88" s="8"/>
    </row>
    <row r="89" spans="1:12">
      <c r="A89" s="7">
        <v>14</v>
      </c>
      <c r="B89" s="16" t="s">
        <v>106</v>
      </c>
      <c r="C89" s="8">
        <v>0</v>
      </c>
      <c r="D89" s="8">
        <v>0</v>
      </c>
      <c r="E89" s="8">
        <v>0</v>
      </c>
      <c r="F89" s="8">
        <v>500</v>
      </c>
      <c r="G89" s="8">
        <v>500</v>
      </c>
      <c r="H89" s="8">
        <v>500</v>
      </c>
      <c r="I89" s="8">
        <v>0</v>
      </c>
      <c r="J89" s="8">
        <v>0</v>
      </c>
      <c r="K89" s="8">
        <v>0</v>
      </c>
      <c r="L89" s="8"/>
    </row>
    <row r="90" spans="1:12">
      <c r="A90" s="7">
        <v>15</v>
      </c>
      <c r="B90" s="16" t="s">
        <v>103</v>
      </c>
      <c r="C90" s="8">
        <v>0</v>
      </c>
      <c r="D90" s="8">
        <v>40</v>
      </c>
      <c r="E90" s="8">
        <v>40</v>
      </c>
      <c r="F90" s="8">
        <v>1000</v>
      </c>
      <c r="G90" s="8">
        <v>1000</v>
      </c>
      <c r="H90" s="8">
        <v>1000</v>
      </c>
      <c r="I90" s="8">
        <v>0</v>
      </c>
      <c r="J90" s="8">
        <v>0</v>
      </c>
      <c r="K90" s="8">
        <v>0</v>
      </c>
      <c r="L90" s="8"/>
    </row>
    <row r="91" spans="1:12" ht="21.6" thickBot="1">
      <c r="A91" s="3" t="s">
        <v>0</v>
      </c>
      <c r="B91" s="11" t="s">
        <v>9</v>
      </c>
      <c r="C91" s="2">
        <f>SUM(C76:C90)</f>
        <v>171931</v>
      </c>
      <c r="D91" s="2">
        <f t="shared" ref="D91:K91" si="3">SUM(D76:D90)</f>
        <v>200659</v>
      </c>
      <c r="E91" s="2">
        <f t="shared" si="3"/>
        <v>214803</v>
      </c>
      <c r="F91" s="2">
        <f t="shared" si="3"/>
        <v>453970</v>
      </c>
      <c r="G91" s="2">
        <f t="shared" si="3"/>
        <v>453970</v>
      </c>
      <c r="H91" s="2">
        <f t="shared" si="3"/>
        <v>531442</v>
      </c>
      <c r="I91" s="2">
        <f t="shared" si="3"/>
        <v>0</v>
      </c>
      <c r="J91" s="2">
        <f t="shared" si="3"/>
        <v>0</v>
      </c>
      <c r="K91" s="2">
        <f t="shared" si="3"/>
        <v>0</v>
      </c>
      <c r="L91" s="2"/>
    </row>
    <row r="92" spans="1:12" ht="21.6" thickTop="1">
      <c r="A92" s="5"/>
      <c r="B92" s="4"/>
      <c r="C92" s="5"/>
      <c r="D92" s="5"/>
      <c r="E92" s="5"/>
      <c r="F92" s="5"/>
      <c r="G92" s="5"/>
      <c r="H92" s="5"/>
      <c r="I92" s="5"/>
      <c r="J92" s="5"/>
      <c r="K92" s="5"/>
      <c r="L92" s="5"/>
    </row>
    <row r="93" spans="1:12">
      <c r="A93" s="335" t="s">
        <v>156</v>
      </c>
      <c r="B93" s="336"/>
      <c r="C93" s="336"/>
      <c r="D93" s="336"/>
      <c r="E93" s="336"/>
      <c r="F93" s="336"/>
      <c r="G93" s="336"/>
      <c r="H93" s="336"/>
      <c r="I93" s="336"/>
      <c r="J93" s="336"/>
      <c r="K93" s="336"/>
      <c r="L93" s="336"/>
    </row>
    <row r="94" spans="1:12">
      <c r="A94" s="335" t="s">
        <v>17</v>
      </c>
      <c r="B94" s="336"/>
      <c r="C94" s="336"/>
      <c r="D94" s="336"/>
      <c r="E94" s="336"/>
      <c r="F94" s="336"/>
      <c r="G94" s="336"/>
      <c r="H94" s="336"/>
      <c r="I94" s="336"/>
      <c r="J94" s="336"/>
      <c r="K94" s="336"/>
      <c r="L94" s="336"/>
    </row>
    <row r="95" spans="1:12" ht="18.75" customHeight="1">
      <c r="A95" s="384" t="s">
        <v>49</v>
      </c>
      <c r="B95" s="385"/>
      <c r="C95" s="385"/>
      <c r="D95" s="6"/>
      <c r="E95" s="6"/>
      <c r="F95" s="6"/>
      <c r="G95" s="6"/>
      <c r="H95" s="6"/>
      <c r="I95" s="6"/>
      <c r="J95" s="6"/>
      <c r="K95" s="6"/>
      <c r="L95" s="12" t="s">
        <v>2</v>
      </c>
    </row>
    <row r="96" spans="1:12" ht="37.5" customHeight="1">
      <c r="A96" s="390" t="s">
        <v>35</v>
      </c>
      <c r="B96" s="390" t="s">
        <v>84</v>
      </c>
      <c r="C96" s="386" t="s">
        <v>85</v>
      </c>
      <c r="D96" s="387"/>
      <c r="E96" s="387"/>
      <c r="F96" s="13" t="s">
        <v>86</v>
      </c>
      <c r="G96" s="13" t="s">
        <v>110</v>
      </c>
      <c r="H96" s="388" t="s">
        <v>157</v>
      </c>
      <c r="I96" s="389"/>
      <c r="J96" s="389"/>
      <c r="K96" s="389"/>
      <c r="L96" s="390" t="s">
        <v>87</v>
      </c>
    </row>
    <row r="97" spans="1:12" ht="75" customHeight="1">
      <c r="A97" s="391"/>
      <c r="B97" s="391"/>
      <c r="C97" s="13" t="s">
        <v>142</v>
      </c>
      <c r="D97" s="13" t="s">
        <v>143</v>
      </c>
      <c r="E97" s="13" t="s">
        <v>144</v>
      </c>
      <c r="F97" s="13" t="s">
        <v>161</v>
      </c>
      <c r="G97" s="13" t="s">
        <v>161</v>
      </c>
      <c r="H97" s="13" t="s">
        <v>88</v>
      </c>
      <c r="I97" s="13" t="s">
        <v>89</v>
      </c>
      <c r="J97" s="13" t="s">
        <v>90</v>
      </c>
      <c r="K97" s="13" t="s">
        <v>91</v>
      </c>
      <c r="L97" s="391"/>
    </row>
    <row r="98" spans="1:12" s="15" customFormat="1" ht="18" customHeight="1">
      <c r="A98" s="14">
        <v>1</v>
      </c>
      <c r="B98" s="14">
        <v>2</v>
      </c>
      <c r="C98" s="14">
        <v>3</v>
      </c>
      <c r="D98" s="14">
        <v>4</v>
      </c>
      <c r="E98" s="14">
        <v>5</v>
      </c>
      <c r="F98" s="14">
        <v>6</v>
      </c>
      <c r="G98" s="14">
        <v>7</v>
      </c>
      <c r="H98" s="14">
        <v>8</v>
      </c>
      <c r="I98" s="14">
        <v>9</v>
      </c>
      <c r="J98" s="14">
        <v>10</v>
      </c>
      <c r="K98" s="14">
        <v>11</v>
      </c>
      <c r="L98" s="14">
        <v>12</v>
      </c>
    </row>
    <row r="99" spans="1:12">
      <c r="A99" s="7">
        <v>1</v>
      </c>
      <c r="B99" s="16" t="s">
        <v>92</v>
      </c>
      <c r="C99" s="8">
        <v>216550</v>
      </c>
      <c r="D99" s="8">
        <v>263082</v>
      </c>
      <c r="E99" s="8">
        <v>272295</v>
      </c>
      <c r="F99" s="8">
        <v>585996</v>
      </c>
      <c r="G99" s="8">
        <v>585996</v>
      </c>
      <c r="H99" s="8">
        <v>612773</v>
      </c>
      <c r="I99" s="8">
        <v>0</v>
      </c>
      <c r="J99" s="8">
        <v>0</v>
      </c>
      <c r="K99" s="8">
        <v>0</v>
      </c>
      <c r="L99" s="8"/>
    </row>
    <row r="100" spans="1:12">
      <c r="A100" s="7">
        <v>2</v>
      </c>
      <c r="B100" s="16" t="s">
        <v>105</v>
      </c>
      <c r="C100" s="8">
        <v>234</v>
      </c>
      <c r="D100" s="8">
        <v>355</v>
      </c>
      <c r="E100" s="8">
        <v>131</v>
      </c>
      <c r="F100" s="8">
        <v>1800</v>
      </c>
      <c r="G100" s="8">
        <v>1800</v>
      </c>
      <c r="H100" s="8">
        <v>1800</v>
      </c>
      <c r="I100" s="8">
        <v>0</v>
      </c>
      <c r="J100" s="8">
        <v>0</v>
      </c>
      <c r="K100" s="8">
        <v>0</v>
      </c>
      <c r="L100" s="9"/>
    </row>
    <row r="101" spans="1:12" ht="30">
      <c r="A101" s="7">
        <v>3</v>
      </c>
      <c r="B101" s="16" t="s">
        <v>104</v>
      </c>
      <c r="C101" s="8">
        <v>2435</v>
      </c>
      <c r="D101" s="8">
        <v>2794</v>
      </c>
      <c r="E101" s="8">
        <v>3287</v>
      </c>
      <c r="F101" s="8">
        <v>15600</v>
      </c>
      <c r="G101" s="8">
        <v>15600</v>
      </c>
      <c r="H101" s="8">
        <v>15600</v>
      </c>
      <c r="I101" s="8">
        <v>0</v>
      </c>
      <c r="J101" s="8">
        <v>0</v>
      </c>
      <c r="K101" s="8">
        <v>0</v>
      </c>
      <c r="L101" s="8"/>
    </row>
    <row r="102" spans="1:12">
      <c r="A102" s="7">
        <v>4</v>
      </c>
      <c r="B102" s="172" t="s">
        <v>118</v>
      </c>
      <c r="C102" s="8">
        <v>70</v>
      </c>
      <c r="D102" s="8">
        <v>420</v>
      </c>
      <c r="E102" s="8">
        <v>385</v>
      </c>
      <c r="F102" s="8">
        <v>420</v>
      </c>
      <c r="G102" s="8">
        <v>420</v>
      </c>
      <c r="H102" s="8">
        <v>420</v>
      </c>
      <c r="I102" s="52">
        <v>0</v>
      </c>
      <c r="J102" s="52">
        <v>0</v>
      </c>
      <c r="K102" s="52">
        <v>0</v>
      </c>
      <c r="L102" s="8"/>
    </row>
    <row r="103" spans="1:12">
      <c r="A103" s="7">
        <v>5</v>
      </c>
      <c r="B103" s="16" t="s">
        <v>115</v>
      </c>
      <c r="C103" s="8">
        <v>637</v>
      </c>
      <c r="D103" s="8">
        <v>401</v>
      </c>
      <c r="E103" s="8">
        <v>882</v>
      </c>
      <c r="F103" s="8">
        <v>6000</v>
      </c>
      <c r="G103" s="8">
        <v>6000</v>
      </c>
      <c r="H103" s="8">
        <v>6000</v>
      </c>
      <c r="I103" s="8">
        <v>0</v>
      </c>
      <c r="J103" s="8">
        <v>0</v>
      </c>
      <c r="K103" s="8">
        <v>0</v>
      </c>
      <c r="L103" s="8"/>
    </row>
    <row r="104" spans="1:12">
      <c r="A104" s="7">
        <v>6</v>
      </c>
      <c r="B104" s="16" t="s">
        <v>96</v>
      </c>
      <c r="C104" s="8">
        <v>11225</v>
      </c>
      <c r="D104" s="8">
        <v>12839</v>
      </c>
      <c r="E104" s="8">
        <v>10036</v>
      </c>
      <c r="F104" s="8">
        <v>28000</v>
      </c>
      <c r="G104" s="8">
        <v>28000</v>
      </c>
      <c r="H104" s="8">
        <v>40000</v>
      </c>
      <c r="I104" s="8">
        <v>0</v>
      </c>
      <c r="J104" s="8">
        <v>0</v>
      </c>
      <c r="K104" s="8">
        <v>0</v>
      </c>
      <c r="L104" s="8"/>
    </row>
    <row r="105" spans="1:12">
      <c r="A105" s="7">
        <v>7</v>
      </c>
      <c r="B105" s="16" t="s">
        <v>107</v>
      </c>
      <c r="C105" s="8">
        <v>1382</v>
      </c>
      <c r="D105" s="8">
        <v>788</v>
      </c>
      <c r="E105" s="8">
        <v>419</v>
      </c>
      <c r="F105" s="8">
        <v>4200</v>
      </c>
      <c r="G105" s="8">
        <v>4200</v>
      </c>
      <c r="H105" s="8">
        <v>4200</v>
      </c>
      <c r="I105" s="8">
        <v>0</v>
      </c>
      <c r="J105" s="8">
        <v>0</v>
      </c>
      <c r="K105" s="8">
        <v>0</v>
      </c>
      <c r="L105" s="8"/>
    </row>
    <row r="106" spans="1:12">
      <c r="A106" s="7">
        <v>8</v>
      </c>
      <c r="B106" s="172" t="s">
        <v>119</v>
      </c>
      <c r="C106" s="8">
        <v>0</v>
      </c>
      <c r="D106" s="8">
        <v>0</v>
      </c>
      <c r="E106" s="8">
        <v>0</v>
      </c>
      <c r="F106" s="8">
        <v>0</v>
      </c>
      <c r="G106" s="8">
        <v>0</v>
      </c>
      <c r="H106" s="8">
        <v>0</v>
      </c>
      <c r="I106" s="52">
        <v>0</v>
      </c>
      <c r="J106" s="52">
        <v>0</v>
      </c>
      <c r="K106" s="52">
        <v>0</v>
      </c>
      <c r="L106" s="8"/>
    </row>
    <row r="107" spans="1:12">
      <c r="A107" s="7">
        <v>9</v>
      </c>
      <c r="B107" s="16" t="s">
        <v>97</v>
      </c>
      <c r="C107" s="8">
        <v>5</v>
      </c>
      <c r="D107" s="8">
        <v>1</v>
      </c>
      <c r="E107" s="8">
        <v>28</v>
      </c>
      <c r="F107" s="8">
        <v>2400</v>
      </c>
      <c r="G107" s="8">
        <v>2400</v>
      </c>
      <c r="H107" s="8">
        <v>2400</v>
      </c>
      <c r="I107" s="8">
        <v>0</v>
      </c>
      <c r="J107" s="8">
        <v>0</v>
      </c>
      <c r="K107" s="8">
        <v>0</v>
      </c>
      <c r="L107" s="8"/>
    </row>
    <row r="108" spans="1:12">
      <c r="A108" s="7">
        <v>10</v>
      </c>
      <c r="B108" s="16" t="s">
        <v>98</v>
      </c>
      <c r="C108" s="8">
        <v>0</v>
      </c>
      <c r="D108" s="8">
        <v>0</v>
      </c>
      <c r="E108" s="8">
        <v>0</v>
      </c>
      <c r="F108" s="8">
        <v>0</v>
      </c>
      <c r="G108" s="8">
        <v>0</v>
      </c>
      <c r="H108" s="8">
        <v>0</v>
      </c>
      <c r="I108" s="8">
        <v>0</v>
      </c>
      <c r="J108" s="8">
        <v>0</v>
      </c>
      <c r="K108" s="8">
        <v>0</v>
      </c>
      <c r="L108" s="8"/>
    </row>
    <row r="109" spans="1:12">
      <c r="A109" s="7">
        <v>11</v>
      </c>
      <c r="B109" s="16" t="s">
        <v>99</v>
      </c>
      <c r="C109" s="8">
        <v>1556</v>
      </c>
      <c r="D109" s="8">
        <v>1087</v>
      </c>
      <c r="E109" s="8">
        <v>1014</v>
      </c>
      <c r="F109" s="8">
        <v>14400</v>
      </c>
      <c r="G109" s="8">
        <v>14400</v>
      </c>
      <c r="H109" s="8">
        <v>14400</v>
      </c>
      <c r="I109" s="8">
        <v>0</v>
      </c>
      <c r="J109" s="8">
        <v>0</v>
      </c>
      <c r="K109" s="8">
        <v>0</v>
      </c>
      <c r="L109" s="8"/>
    </row>
    <row r="110" spans="1:12">
      <c r="A110" s="7">
        <v>12</v>
      </c>
      <c r="B110" s="16" t="s">
        <v>100</v>
      </c>
      <c r="C110" s="8">
        <v>0</v>
      </c>
      <c r="D110" s="8">
        <v>150</v>
      </c>
      <c r="E110" s="8">
        <v>78</v>
      </c>
      <c r="F110" s="8">
        <v>1800</v>
      </c>
      <c r="G110" s="8">
        <v>1800</v>
      </c>
      <c r="H110" s="8">
        <v>1800</v>
      </c>
      <c r="I110" s="8">
        <v>0</v>
      </c>
      <c r="J110" s="8">
        <v>0</v>
      </c>
      <c r="K110" s="8">
        <v>0</v>
      </c>
      <c r="L110" s="8"/>
    </row>
    <row r="111" spans="1:12">
      <c r="A111" s="7">
        <v>13</v>
      </c>
      <c r="B111" s="16" t="s">
        <v>101</v>
      </c>
      <c r="C111" s="8">
        <v>0</v>
      </c>
      <c r="D111" s="8">
        <v>0</v>
      </c>
      <c r="E111" s="8">
        <v>0</v>
      </c>
      <c r="F111" s="8">
        <v>0</v>
      </c>
      <c r="G111" s="8">
        <v>0</v>
      </c>
      <c r="H111" s="8">
        <v>0</v>
      </c>
      <c r="I111" s="8">
        <v>0</v>
      </c>
      <c r="J111" s="8">
        <v>0</v>
      </c>
      <c r="K111" s="8">
        <v>0</v>
      </c>
      <c r="L111" s="8"/>
    </row>
    <row r="112" spans="1:12">
      <c r="A112" s="7">
        <v>14</v>
      </c>
      <c r="B112" s="16" t="s">
        <v>106</v>
      </c>
      <c r="C112" s="8">
        <v>0</v>
      </c>
      <c r="D112" s="8">
        <v>0</v>
      </c>
      <c r="E112" s="8">
        <v>0</v>
      </c>
      <c r="F112" s="8">
        <v>900</v>
      </c>
      <c r="G112" s="8">
        <v>900</v>
      </c>
      <c r="H112" s="8">
        <v>900</v>
      </c>
      <c r="I112" s="8">
        <v>0</v>
      </c>
      <c r="J112" s="8">
        <v>0</v>
      </c>
      <c r="K112" s="8">
        <v>0</v>
      </c>
      <c r="L112" s="8"/>
    </row>
    <row r="113" spans="1:12">
      <c r="A113" s="7">
        <v>15</v>
      </c>
      <c r="B113" s="16" t="s">
        <v>103</v>
      </c>
      <c r="C113" s="8">
        <v>162</v>
      </c>
      <c r="D113" s="8">
        <v>69</v>
      </c>
      <c r="E113" s="8">
        <v>81</v>
      </c>
      <c r="F113" s="8">
        <v>2160</v>
      </c>
      <c r="G113" s="8">
        <v>2160</v>
      </c>
      <c r="H113" s="8">
        <v>2160</v>
      </c>
      <c r="I113" s="8">
        <v>0</v>
      </c>
      <c r="J113" s="8">
        <v>0</v>
      </c>
      <c r="K113" s="8">
        <v>0</v>
      </c>
      <c r="L113" s="8"/>
    </row>
    <row r="114" spans="1:12" ht="21.6" thickBot="1">
      <c r="A114" s="3" t="s">
        <v>0</v>
      </c>
      <c r="B114" s="11" t="s">
        <v>9</v>
      </c>
      <c r="C114" s="2">
        <f>SUM(C99:C113)</f>
        <v>234256</v>
      </c>
      <c r="D114" s="2">
        <f t="shared" ref="D114:K114" si="4">SUM(D99:D113)</f>
        <v>281986</v>
      </c>
      <c r="E114" s="2">
        <f t="shared" si="4"/>
        <v>288636</v>
      </c>
      <c r="F114" s="2">
        <f t="shared" si="4"/>
        <v>663676</v>
      </c>
      <c r="G114" s="2">
        <f>SUM(G99:G113)</f>
        <v>663676</v>
      </c>
      <c r="H114" s="2">
        <f>SUM(H99:H113)</f>
        <v>702453</v>
      </c>
      <c r="I114" s="2">
        <f t="shared" si="4"/>
        <v>0</v>
      </c>
      <c r="J114" s="2">
        <f t="shared" si="4"/>
        <v>0</v>
      </c>
      <c r="K114" s="2">
        <f t="shared" si="4"/>
        <v>0</v>
      </c>
      <c r="L114" s="2"/>
    </row>
    <row r="115" spans="1:12" ht="21.6" thickTop="1">
      <c r="A115" s="5"/>
      <c r="B115" s="4"/>
      <c r="C115" s="5"/>
      <c r="D115" s="5"/>
      <c r="E115" s="5"/>
      <c r="F115" s="5"/>
      <c r="G115" s="5"/>
      <c r="H115" s="5"/>
      <c r="I115" s="5"/>
      <c r="J115" s="5"/>
      <c r="K115" s="5"/>
      <c r="L115" s="5"/>
    </row>
    <row r="116" spans="1:12">
      <c r="A116" s="335" t="s">
        <v>156</v>
      </c>
      <c r="B116" s="336"/>
      <c r="C116" s="336"/>
      <c r="D116" s="336"/>
      <c r="E116" s="336"/>
      <c r="F116" s="336"/>
      <c r="G116" s="336"/>
      <c r="H116" s="336"/>
      <c r="I116" s="336"/>
      <c r="J116" s="336"/>
      <c r="K116" s="336"/>
      <c r="L116" s="336"/>
    </row>
    <row r="117" spans="1:12">
      <c r="A117" s="335" t="s">
        <v>17</v>
      </c>
      <c r="B117" s="336"/>
      <c r="C117" s="336"/>
      <c r="D117" s="336"/>
      <c r="E117" s="336"/>
      <c r="F117" s="336"/>
      <c r="G117" s="336"/>
      <c r="H117" s="336"/>
      <c r="I117" s="336"/>
      <c r="J117" s="336"/>
      <c r="K117" s="336"/>
      <c r="L117" s="336"/>
    </row>
    <row r="118" spans="1:12" ht="18.75" customHeight="1">
      <c r="A118" s="384" t="s">
        <v>50</v>
      </c>
      <c r="B118" s="385"/>
      <c r="C118" s="385"/>
      <c r="D118" s="6"/>
      <c r="E118" s="6"/>
      <c r="F118" s="6"/>
      <c r="G118" s="6"/>
      <c r="H118" s="6"/>
      <c r="I118" s="6"/>
      <c r="J118" s="6"/>
      <c r="K118" s="6"/>
      <c r="L118" s="12" t="s">
        <v>2</v>
      </c>
    </row>
    <row r="119" spans="1:12" ht="37.5" customHeight="1">
      <c r="A119" s="390" t="s">
        <v>35</v>
      </c>
      <c r="B119" s="390" t="s">
        <v>84</v>
      </c>
      <c r="C119" s="386" t="s">
        <v>85</v>
      </c>
      <c r="D119" s="387"/>
      <c r="E119" s="387"/>
      <c r="F119" s="13" t="s">
        <v>86</v>
      </c>
      <c r="G119" s="13" t="s">
        <v>110</v>
      </c>
      <c r="H119" s="388" t="s">
        <v>157</v>
      </c>
      <c r="I119" s="389"/>
      <c r="J119" s="389"/>
      <c r="K119" s="389"/>
      <c r="L119" s="390" t="s">
        <v>87</v>
      </c>
    </row>
    <row r="120" spans="1:12" ht="75" customHeight="1">
      <c r="A120" s="391"/>
      <c r="B120" s="391"/>
      <c r="C120" s="13" t="s">
        <v>142</v>
      </c>
      <c r="D120" s="13" t="s">
        <v>143</v>
      </c>
      <c r="E120" s="13" t="s">
        <v>144</v>
      </c>
      <c r="F120" s="13" t="s">
        <v>161</v>
      </c>
      <c r="G120" s="13" t="s">
        <v>161</v>
      </c>
      <c r="H120" s="13" t="s">
        <v>88</v>
      </c>
      <c r="I120" s="13" t="s">
        <v>89</v>
      </c>
      <c r="J120" s="13" t="s">
        <v>90</v>
      </c>
      <c r="K120" s="13" t="s">
        <v>91</v>
      </c>
      <c r="L120" s="391"/>
    </row>
    <row r="121" spans="1:12" s="15" customFormat="1" ht="18" customHeight="1">
      <c r="A121" s="14">
        <v>1</v>
      </c>
      <c r="B121" s="14">
        <v>2</v>
      </c>
      <c r="C121" s="14">
        <v>3</v>
      </c>
      <c r="D121" s="14">
        <v>4</v>
      </c>
      <c r="E121" s="14">
        <v>5</v>
      </c>
      <c r="F121" s="14">
        <v>6</v>
      </c>
      <c r="G121" s="14">
        <v>7</v>
      </c>
      <c r="H121" s="14">
        <v>8</v>
      </c>
      <c r="I121" s="14">
        <v>9</v>
      </c>
      <c r="J121" s="14">
        <v>10</v>
      </c>
      <c r="K121" s="14">
        <v>11</v>
      </c>
      <c r="L121" s="14">
        <v>12</v>
      </c>
    </row>
    <row r="122" spans="1:12">
      <c r="A122" s="7">
        <v>1</v>
      </c>
      <c r="B122" s="16" t="s">
        <v>92</v>
      </c>
      <c r="C122" s="8">
        <v>169026</v>
      </c>
      <c r="D122" s="8">
        <v>199036</v>
      </c>
      <c r="E122" s="8">
        <v>218418</v>
      </c>
      <c r="F122" s="8">
        <v>437107</v>
      </c>
      <c r="G122" s="8">
        <v>457203</v>
      </c>
      <c r="H122" s="8">
        <v>490948</v>
      </c>
      <c r="I122" s="8">
        <v>0</v>
      </c>
      <c r="J122" s="8">
        <v>0</v>
      </c>
      <c r="K122" s="8">
        <v>0</v>
      </c>
      <c r="L122" s="8"/>
    </row>
    <row r="123" spans="1:12">
      <c r="A123" s="7">
        <v>2</v>
      </c>
      <c r="B123" s="16" t="s">
        <v>105</v>
      </c>
      <c r="C123" s="8">
        <v>304</v>
      </c>
      <c r="D123" s="8">
        <v>201</v>
      </c>
      <c r="E123" s="8">
        <v>353</v>
      </c>
      <c r="F123" s="8">
        <v>1165</v>
      </c>
      <c r="G123" s="8">
        <v>1165</v>
      </c>
      <c r="H123" s="8">
        <v>1270</v>
      </c>
      <c r="I123" s="8">
        <v>0</v>
      </c>
      <c r="J123" s="8">
        <v>0</v>
      </c>
      <c r="K123" s="8">
        <v>0</v>
      </c>
      <c r="L123" s="9"/>
    </row>
    <row r="124" spans="1:12" ht="30">
      <c r="A124" s="7">
        <v>3</v>
      </c>
      <c r="B124" s="16" t="s">
        <v>104</v>
      </c>
      <c r="C124" s="8">
        <v>3405</v>
      </c>
      <c r="D124" s="8">
        <v>2880</v>
      </c>
      <c r="E124" s="8">
        <v>2599</v>
      </c>
      <c r="F124" s="8">
        <v>9812</v>
      </c>
      <c r="G124" s="8">
        <v>9812</v>
      </c>
      <c r="H124" s="8">
        <v>10300</v>
      </c>
      <c r="I124" s="8">
        <v>0</v>
      </c>
      <c r="J124" s="8">
        <v>0</v>
      </c>
      <c r="K124" s="8">
        <v>0</v>
      </c>
      <c r="L124" s="8"/>
    </row>
    <row r="125" spans="1:12">
      <c r="A125" s="7">
        <v>4</v>
      </c>
      <c r="B125" s="172" t="s">
        <v>118</v>
      </c>
      <c r="C125" s="8">
        <v>354</v>
      </c>
      <c r="D125" s="8">
        <v>420</v>
      </c>
      <c r="E125" s="8">
        <v>420</v>
      </c>
      <c r="F125" s="8">
        <v>420</v>
      </c>
      <c r="G125" s="8">
        <v>420</v>
      </c>
      <c r="H125" s="8">
        <v>3800</v>
      </c>
      <c r="I125" s="52">
        <v>0</v>
      </c>
      <c r="J125" s="52">
        <v>0</v>
      </c>
      <c r="K125" s="52">
        <v>0</v>
      </c>
      <c r="L125" s="8"/>
    </row>
    <row r="126" spans="1:12">
      <c r="A126" s="7">
        <v>5</v>
      </c>
      <c r="B126" s="16" t="s">
        <v>95</v>
      </c>
      <c r="C126" s="8">
        <v>527</v>
      </c>
      <c r="D126" s="8">
        <v>527</v>
      </c>
      <c r="E126" s="8">
        <v>365</v>
      </c>
      <c r="F126" s="8">
        <v>3025</v>
      </c>
      <c r="G126" s="8">
        <v>3200</v>
      </c>
      <c r="H126" s="8">
        <v>4570</v>
      </c>
      <c r="I126" s="8">
        <v>0</v>
      </c>
      <c r="J126" s="8">
        <v>0</v>
      </c>
      <c r="K126" s="8">
        <v>0</v>
      </c>
      <c r="L126" s="8"/>
    </row>
    <row r="127" spans="1:12">
      <c r="A127" s="7">
        <v>6</v>
      </c>
      <c r="B127" s="16" t="s">
        <v>96</v>
      </c>
      <c r="C127" s="8">
        <v>4786</v>
      </c>
      <c r="D127" s="8">
        <v>4229</v>
      </c>
      <c r="E127" s="8">
        <v>2305</v>
      </c>
      <c r="F127" s="8">
        <v>10290</v>
      </c>
      <c r="G127" s="8">
        <v>10900</v>
      </c>
      <c r="H127" s="8">
        <v>12500</v>
      </c>
      <c r="I127" s="8">
        <v>0</v>
      </c>
      <c r="J127" s="8">
        <v>0</v>
      </c>
      <c r="K127" s="8">
        <v>0</v>
      </c>
      <c r="L127" s="8"/>
    </row>
    <row r="128" spans="1:12">
      <c r="A128" s="7">
        <v>7</v>
      </c>
      <c r="B128" s="16" t="s">
        <v>107</v>
      </c>
      <c r="C128" s="8">
        <v>713</v>
      </c>
      <c r="D128" s="8">
        <v>380</v>
      </c>
      <c r="E128" s="8">
        <v>727</v>
      </c>
      <c r="F128" s="8">
        <v>2035</v>
      </c>
      <c r="G128" s="8">
        <v>2040</v>
      </c>
      <c r="H128" s="8">
        <v>2350</v>
      </c>
      <c r="I128" s="8">
        <v>0</v>
      </c>
      <c r="J128" s="8">
        <v>0</v>
      </c>
      <c r="K128" s="8">
        <v>0</v>
      </c>
      <c r="L128" s="8"/>
    </row>
    <row r="129" spans="1:12">
      <c r="A129" s="7">
        <v>8</v>
      </c>
      <c r="B129" s="172" t="s">
        <v>119</v>
      </c>
      <c r="C129" s="8">
        <v>0</v>
      </c>
      <c r="D129" s="8">
        <v>0</v>
      </c>
      <c r="E129" s="8">
        <v>0</v>
      </c>
      <c r="F129" s="8">
        <v>800</v>
      </c>
      <c r="G129" s="8">
        <v>800</v>
      </c>
      <c r="H129" s="8">
        <v>300</v>
      </c>
      <c r="I129" s="52">
        <v>0</v>
      </c>
      <c r="J129" s="52">
        <v>0</v>
      </c>
      <c r="K129" s="52">
        <v>0</v>
      </c>
      <c r="L129" s="8"/>
    </row>
    <row r="130" spans="1:12">
      <c r="A130" s="7">
        <v>9</v>
      </c>
      <c r="B130" s="16" t="s">
        <v>97</v>
      </c>
      <c r="C130" s="8">
        <v>3</v>
      </c>
      <c r="D130" s="8">
        <v>12</v>
      </c>
      <c r="E130" s="8">
        <v>14</v>
      </c>
      <c r="F130" s="8">
        <v>4405</v>
      </c>
      <c r="G130" s="8">
        <v>4410</v>
      </c>
      <c r="H130" s="8">
        <v>31840</v>
      </c>
      <c r="I130" s="8">
        <v>0</v>
      </c>
      <c r="J130" s="8">
        <v>0</v>
      </c>
      <c r="K130" s="8">
        <v>0</v>
      </c>
      <c r="L130" s="8"/>
    </row>
    <row r="131" spans="1:12">
      <c r="A131" s="7">
        <v>10</v>
      </c>
      <c r="B131" s="16" t="s">
        <v>98</v>
      </c>
      <c r="C131" s="8">
        <v>0</v>
      </c>
      <c r="D131" s="8">
        <v>0</v>
      </c>
      <c r="E131" s="8">
        <v>0</v>
      </c>
      <c r="F131" s="8">
        <v>0</v>
      </c>
      <c r="G131" s="8">
        <v>0</v>
      </c>
      <c r="H131" s="8">
        <v>0</v>
      </c>
      <c r="I131" s="8">
        <v>0</v>
      </c>
      <c r="J131" s="8">
        <v>0</v>
      </c>
      <c r="K131" s="8">
        <v>0</v>
      </c>
      <c r="L131" s="8"/>
    </row>
    <row r="132" spans="1:12">
      <c r="A132" s="7">
        <v>11</v>
      </c>
      <c r="B132" s="16" t="s">
        <v>99</v>
      </c>
      <c r="C132" s="8">
        <v>1417</v>
      </c>
      <c r="D132" s="8">
        <v>1285</v>
      </c>
      <c r="E132" s="8">
        <v>1580</v>
      </c>
      <c r="F132" s="8">
        <v>2713</v>
      </c>
      <c r="G132" s="8">
        <v>3000</v>
      </c>
      <c r="H132" s="8">
        <v>3300</v>
      </c>
      <c r="I132" s="8">
        <v>0</v>
      </c>
      <c r="J132" s="8">
        <v>0</v>
      </c>
      <c r="K132" s="8">
        <v>0</v>
      </c>
      <c r="L132" s="8"/>
    </row>
    <row r="133" spans="1:12">
      <c r="A133" s="7">
        <v>12</v>
      </c>
      <c r="B133" s="16" t="s">
        <v>100</v>
      </c>
      <c r="C133" s="8">
        <v>0</v>
      </c>
      <c r="D133" s="8">
        <v>81</v>
      </c>
      <c r="E133" s="8">
        <v>44</v>
      </c>
      <c r="F133" s="8">
        <v>1645</v>
      </c>
      <c r="G133" s="8">
        <v>1645</v>
      </c>
      <c r="H133" s="8">
        <v>1852</v>
      </c>
      <c r="I133" s="8">
        <v>0</v>
      </c>
      <c r="J133" s="8">
        <v>0</v>
      </c>
      <c r="K133" s="8">
        <v>0</v>
      </c>
      <c r="L133" s="8"/>
    </row>
    <row r="134" spans="1:12">
      <c r="A134" s="7">
        <v>13</v>
      </c>
      <c r="B134" s="16" t="s">
        <v>101</v>
      </c>
      <c r="C134" s="8">
        <v>0</v>
      </c>
      <c r="D134" s="8">
        <v>0</v>
      </c>
      <c r="E134" s="8">
        <v>0</v>
      </c>
      <c r="F134" s="8">
        <v>0</v>
      </c>
      <c r="G134" s="8">
        <v>0</v>
      </c>
      <c r="H134" s="8">
        <v>0</v>
      </c>
      <c r="I134" s="8">
        <v>0</v>
      </c>
      <c r="J134" s="8">
        <v>0</v>
      </c>
      <c r="K134" s="8">
        <v>0</v>
      </c>
      <c r="L134" s="8"/>
    </row>
    <row r="135" spans="1:12">
      <c r="A135" s="7">
        <v>14</v>
      </c>
      <c r="B135" s="16" t="s">
        <v>106</v>
      </c>
      <c r="C135" s="8">
        <v>0</v>
      </c>
      <c r="D135" s="8">
        <v>0</v>
      </c>
      <c r="E135" s="8">
        <v>0</v>
      </c>
      <c r="F135" s="8">
        <v>2500</v>
      </c>
      <c r="G135" s="8">
        <v>2500</v>
      </c>
      <c r="H135" s="8">
        <v>28200</v>
      </c>
      <c r="I135" s="8">
        <v>0</v>
      </c>
      <c r="J135" s="8">
        <v>0</v>
      </c>
      <c r="K135" s="8">
        <v>0</v>
      </c>
      <c r="L135" s="8"/>
    </row>
    <row r="136" spans="1:12">
      <c r="A136" s="7">
        <v>15</v>
      </c>
      <c r="B136" s="16" t="s">
        <v>103</v>
      </c>
      <c r="C136" s="8">
        <v>99</v>
      </c>
      <c r="D136" s="8">
        <v>0</v>
      </c>
      <c r="E136" s="8">
        <v>177</v>
      </c>
      <c r="F136" s="8">
        <v>900</v>
      </c>
      <c r="G136" s="8">
        <v>1000</v>
      </c>
      <c r="H136" s="8">
        <v>2810</v>
      </c>
      <c r="I136" s="8">
        <v>0</v>
      </c>
      <c r="J136" s="8">
        <v>0</v>
      </c>
      <c r="K136" s="8">
        <v>0</v>
      </c>
      <c r="L136" s="8"/>
    </row>
    <row r="137" spans="1:12" ht="21.6" thickBot="1">
      <c r="A137" s="3" t="s">
        <v>0</v>
      </c>
      <c r="B137" s="11" t="s">
        <v>9</v>
      </c>
      <c r="C137" s="2">
        <f>SUM(C122:C136)</f>
        <v>180634</v>
      </c>
      <c r="D137" s="2">
        <f t="shared" ref="D137:K137" si="5">SUM(D122:D136)</f>
        <v>209051</v>
      </c>
      <c r="E137" s="2">
        <f t="shared" si="5"/>
        <v>227002</v>
      </c>
      <c r="F137" s="2">
        <f t="shared" si="5"/>
        <v>476817</v>
      </c>
      <c r="G137" s="2">
        <f t="shared" si="5"/>
        <v>498095</v>
      </c>
      <c r="H137" s="2">
        <f t="shared" si="5"/>
        <v>594040</v>
      </c>
      <c r="I137" s="2">
        <f t="shared" si="5"/>
        <v>0</v>
      </c>
      <c r="J137" s="2">
        <f t="shared" si="5"/>
        <v>0</v>
      </c>
      <c r="K137" s="2">
        <f t="shared" si="5"/>
        <v>0</v>
      </c>
      <c r="L137" s="2"/>
    </row>
    <row r="138" spans="1:12" ht="21.6" thickTop="1">
      <c r="A138" s="5"/>
      <c r="B138" s="4"/>
      <c r="C138" s="5"/>
      <c r="D138" s="5"/>
      <c r="E138" s="5"/>
      <c r="F138" s="5"/>
      <c r="G138" s="5"/>
      <c r="H138" s="5"/>
      <c r="I138" s="5"/>
      <c r="J138" s="5"/>
      <c r="K138" s="5"/>
      <c r="L138" s="5"/>
    </row>
    <row r="139" spans="1:12">
      <c r="A139" s="335" t="s">
        <v>156</v>
      </c>
      <c r="B139" s="336"/>
      <c r="C139" s="336"/>
      <c r="D139" s="336"/>
      <c r="E139" s="336"/>
      <c r="F139" s="336"/>
      <c r="G139" s="336"/>
      <c r="H139" s="336"/>
      <c r="I139" s="336"/>
      <c r="J139" s="336"/>
      <c r="K139" s="336"/>
      <c r="L139" s="336"/>
    </row>
    <row r="140" spans="1:12">
      <c r="A140" s="335" t="s">
        <v>17</v>
      </c>
      <c r="B140" s="336"/>
      <c r="C140" s="336"/>
      <c r="D140" s="336"/>
      <c r="E140" s="336"/>
      <c r="F140" s="336"/>
      <c r="G140" s="336"/>
      <c r="H140" s="336"/>
      <c r="I140" s="336"/>
      <c r="J140" s="336"/>
      <c r="K140" s="336"/>
      <c r="L140" s="336"/>
    </row>
    <row r="141" spans="1:12" ht="22.5" customHeight="1">
      <c r="A141" s="384" t="s">
        <v>51</v>
      </c>
      <c r="B141" s="385"/>
      <c r="C141" s="385"/>
      <c r="D141" s="6"/>
      <c r="E141" s="6"/>
      <c r="F141" s="6"/>
      <c r="G141" s="6"/>
      <c r="H141" s="6"/>
      <c r="I141" s="6"/>
      <c r="J141" s="6"/>
      <c r="K141" s="6"/>
      <c r="L141" s="12" t="s">
        <v>2</v>
      </c>
    </row>
    <row r="142" spans="1:12" ht="37.5" customHeight="1">
      <c r="A142" s="390" t="s">
        <v>35</v>
      </c>
      <c r="B142" s="390" t="s">
        <v>84</v>
      </c>
      <c r="C142" s="386" t="s">
        <v>85</v>
      </c>
      <c r="D142" s="387"/>
      <c r="E142" s="387"/>
      <c r="F142" s="13" t="s">
        <v>86</v>
      </c>
      <c r="G142" s="13" t="s">
        <v>110</v>
      </c>
      <c r="H142" s="388" t="s">
        <v>157</v>
      </c>
      <c r="I142" s="389"/>
      <c r="J142" s="389"/>
      <c r="K142" s="389"/>
      <c r="L142" s="390" t="s">
        <v>87</v>
      </c>
    </row>
    <row r="143" spans="1:12" ht="75" customHeight="1">
      <c r="A143" s="391"/>
      <c r="B143" s="391"/>
      <c r="C143" s="13" t="s">
        <v>142</v>
      </c>
      <c r="D143" s="13" t="s">
        <v>143</v>
      </c>
      <c r="E143" s="13" t="s">
        <v>144</v>
      </c>
      <c r="F143" s="13" t="s">
        <v>161</v>
      </c>
      <c r="G143" s="13" t="s">
        <v>161</v>
      </c>
      <c r="H143" s="13" t="s">
        <v>88</v>
      </c>
      <c r="I143" s="13" t="s">
        <v>89</v>
      </c>
      <c r="J143" s="13" t="s">
        <v>90</v>
      </c>
      <c r="K143" s="13" t="s">
        <v>91</v>
      </c>
      <c r="L143" s="391"/>
    </row>
    <row r="144" spans="1:12" s="15" customFormat="1" ht="18" customHeight="1">
      <c r="A144" s="14">
        <v>1</v>
      </c>
      <c r="B144" s="14">
        <v>2</v>
      </c>
      <c r="C144" s="14">
        <v>3</v>
      </c>
      <c r="D144" s="14">
        <v>4</v>
      </c>
      <c r="E144" s="14">
        <v>5</v>
      </c>
      <c r="F144" s="14">
        <v>6</v>
      </c>
      <c r="G144" s="14">
        <v>7</v>
      </c>
      <c r="H144" s="14">
        <v>8</v>
      </c>
      <c r="I144" s="14">
        <v>9</v>
      </c>
      <c r="J144" s="14">
        <v>10</v>
      </c>
      <c r="K144" s="14">
        <v>11</v>
      </c>
      <c r="L144" s="14">
        <v>12</v>
      </c>
    </row>
    <row r="145" spans="1:12">
      <c r="A145" s="7">
        <v>1</v>
      </c>
      <c r="B145" s="16" t="s">
        <v>92</v>
      </c>
      <c r="C145" s="8">
        <v>121877</v>
      </c>
      <c r="D145" s="8">
        <v>148629</v>
      </c>
      <c r="E145" s="8">
        <v>154742</v>
      </c>
      <c r="F145" s="8">
        <v>247547</v>
      </c>
      <c r="G145" s="8">
        <v>247547</v>
      </c>
      <c r="H145" s="8">
        <v>268170</v>
      </c>
      <c r="I145" s="8">
        <v>0</v>
      </c>
      <c r="J145" s="8">
        <v>0</v>
      </c>
      <c r="K145" s="8">
        <v>0</v>
      </c>
      <c r="L145" s="8"/>
    </row>
    <row r="146" spans="1:12">
      <c r="A146" s="7">
        <v>2</v>
      </c>
      <c r="B146" s="16" t="s">
        <v>105</v>
      </c>
      <c r="C146" s="8">
        <v>187</v>
      </c>
      <c r="D146" s="8">
        <v>169</v>
      </c>
      <c r="E146" s="8">
        <v>271</v>
      </c>
      <c r="F146" s="8">
        <v>700</v>
      </c>
      <c r="G146" s="8">
        <v>700</v>
      </c>
      <c r="H146" s="8">
        <v>700</v>
      </c>
      <c r="I146" s="8">
        <v>0</v>
      </c>
      <c r="J146" s="8">
        <v>0</v>
      </c>
      <c r="K146" s="8">
        <v>0</v>
      </c>
      <c r="L146" s="9"/>
    </row>
    <row r="147" spans="1:12" ht="30">
      <c r="A147" s="7">
        <v>3</v>
      </c>
      <c r="B147" s="16" t="s">
        <v>104</v>
      </c>
      <c r="C147" s="8">
        <v>2291</v>
      </c>
      <c r="D147" s="8">
        <v>2326</v>
      </c>
      <c r="E147" s="8">
        <v>2311</v>
      </c>
      <c r="F147" s="8">
        <v>7000</v>
      </c>
      <c r="G147" s="8">
        <v>7000</v>
      </c>
      <c r="H147" s="8">
        <v>7000</v>
      </c>
      <c r="I147" s="8">
        <v>0</v>
      </c>
      <c r="J147" s="8">
        <v>0</v>
      </c>
      <c r="K147" s="8">
        <v>0</v>
      </c>
      <c r="L147" s="8"/>
    </row>
    <row r="148" spans="1:12">
      <c r="A148" s="7">
        <v>4</v>
      </c>
      <c r="B148" s="172" t="s">
        <v>118</v>
      </c>
      <c r="C148" s="8">
        <v>369</v>
      </c>
      <c r="D148" s="8">
        <v>417</v>
      </c>
      <c r="E148" s="8">
        <v>413</v>
      </c>
      <c r="F148" s="8">
        <v>420</v>
      </c>
      <c r="G148" s="8">
        <v>420</v>
      </c>
      <c r="H148" s="8">
        <v>480</v>
      </c>
      <c r="I148" s="52">
        <v>0</v>
      </c>
      <c r="J148" s="52">
        <v>0</v>
      </c>
      <c r="K148" s="52">
        <v>0</v>
      </c>
      <c r="L148" s="8"/>
    </row>
    <row r="149" spans="1:12">
      <c r="A149" s="7">
        <v>5</v>
      </c>
      <c r="B149" s="16" t="s">
        <v>95</v>
      </c>
      <c r="C149" s="8">
        <v>647</v>
      </c>
      <c r="D149" s="8">
        <v>897</v>
      </c>
      <c r="E149" s="8">
        <v>650</v>
      </c>
      <c r="F149" s="8">
        <v>2000</v>
      </c>
      <c r="G149" s="8">
        <v>2000</v>
      </c>
      <c r="H149" s="8">
        <v>2000</v>
      </c>
      <c r="I149" s="8">
        <v>0</v>
      </c>
      <c r="J149" s="8">
        <v>0</v>
      </c>
      <c r="K149" s="8">
        <v>0</v>
      </c>
      <c r="L149" s="8"/>
    </row>
    <row r="150" spans="1:12">
      <c r="A150" s="7">
        <v>6</v>
      </c>
      <c r="B150" s="16" t="s">
        <v>96</v>
      </c>
      <c r="C150" s="8">
        <v>3476</v>
      </c>
      <c r="D150" s="8">
        <v>2800</v>
      </c>
      <c r="E150" s="8">
        <v>4145</v>
      </c>
      <c r="F150" s="8">
        <v>9000</v>
      </c>
      <c r="G150" s="8">
        <v>9000</v>
      </c>
      <c r="H150" s="8">
        <v>9000</v>
      </c>
      <c r="I150" s="8">
        <v>0</v>
      </c>
      <c r="J150" s="8">
        <v>0</v>
      </c>
      <c r="K150" s="8">
        <v>0</v>
      </c>
      <c r="L150" s="8"/>
    </row>
    <row r="151" spans="1:12">
      <c r="A151" s="7">
        <v>7</v>
      </c>
      <c r="B151" s="16" t="s">
        <v>107</v>
      </c>
      <c r="C151" s="8">
        <v>169</v>
      </c>
      <c r="D151" s="8">
        <v>102</v>
      </c>
      <c r="E151" s="8">
        <v>192</v>
      </c>
      <c r="F151" s="8">
        <v>107</v>
      </c>
      <c r="G151" s="8">
        <v>107</v>
      </c>
      <c r="H151" s="8">
        <v>850</v>
      </c>
      <c r="I151" s="8">
        <v>0</v>
      </c>
      <c r="J151" s="8">
        <v>0</v>
      </c>
      <c r="K151" s="8">
        <v>0</v>
      </c>
      <c r="L151" s="8"/>
    </row>
    <row r="152" spans="1:12">
      <c r="A152" s="7">
        <v>8</v>
      </c>
      <c r="B152" s="172" t="s">
        <v>119</v>
      </c>
      <c r="C152" s="8">
        <v>0</v>
      </c>
      <c r="D152" s="8">
        <v>0</v>
      </c>
      <c r="E152" s="8">
        <v>0</v>
      </c>
      <c r="F152" s="8">
        <v>0</v>
      </c>
      <c r="G152" s="8">
        <v>0</v>
      </c>
      <c r="H152" s="8">
        <v>0</v>
      </c>
      <c r="I152" s="52">
        <v>0</v>
      </c>
      <c r="J152" s="52">
        <v>0</v>
      </c>
      <c r="K152" s="52">
        <v>0</v>
      </c>
      <c r="L152" s="8"/>
    </row>
    <row r="153" spans="1:12">
      <c r="A153" s="7">
        <v>9</v>
      </c>
      <c r="B153" s="16" t="s">
        <v>97</v>
      </c>
      <c r="C153" s="8">
        <v>0</v>
      </c>
      <c r="D153" s="8">
        <v>6</v>
      </c>
      <c r="E153" s="8">
        <v>11</v>
      </c>
      <c r="F153" s="8">
        <v>800</v>
      </c>
      <c r="G153" s="8">
        <v>800</v>
      </c>
      <c r="H153" s="8">
        <v>800</v>
      </c>
      <c r="I153" s="8">
        <v>0</v>
      </c>
      <c r="J153" s="8">
        <v>0</v>
      </c>
      <c r="K153" s="8">
        <v>0</v>
      </c>
      <c r="L153" s="8"/>
    </row>
    <row r="154" spans="1:12">
      <c r="A154" s="7">
        <v>10</v>
      </c>
      <c r="B154" s="16" t="s">
        <v>98</v>
      </c>
      <c r="C154" s="8">
        <v>0</v>
      </c>
      <c r="D154" s="8">
        <v>0</v>
      </c>
      <c r="E154" s="8">
        <v>0</v>
      </c>
      <c r="F154" s="8">
        <v>0</v>
      </c>
      <c r="G154" s="8">
        <v>0</v>
      </c>
      <c r="H154" s="8">
        <v>0</v>
      </c>
      <c r="I154" s="8">
        <v>0</v>
      </c>
      <c r="J154" s="8">
        <v>0</v>
      </c>
      <c r="K154" s="8">
        <v>0</v>
      </c>
      <c r="L154" s="8"/>
    </row>
    <row r="155" spans="1:12">
      <c r="A155" s="7">
        <v>11</v>
      </c>
      <c r="B155" s="16" t="s">
        <v>99</v>
      </c>
      <c r="C155" s="8">
        <v>706</v>
      </c>
      <c r="D155" s="8">
        <v>925</v>
      </c>
      <c r="E155" s="8">
        <v>1053</v>
      </c>
      <c r="F155" s="8">
        <v>2000</v>
      </c>
      <c r="G155" s="8">
        <v>2000</v>
      </c>
      <c r="H155" s="8">
        <v>2000</v>
      </c>
      <c r="I155" s="8">
        <v>0</v>
      </c>
      <c r="J155" s="8">
        <v>0</v>
      </c>
      <c r="K155" s="8">
        <v>0</v>
      </c>
      <c r="L155" s="8"/>
    </row>
    <row r="156" spans="1:12">
      <c r="A156" s="7">
        <v>12</v>
      </c>
      <c r="B156" s="16" t="s">
        <v>100</v>
      </c>
      <c r="C156" s="8">
        <v>0</v>
      </c>
      <c r="D156" s="8">
        <v>18</v>
      </c>
      <c r="E156" s="8">
        <v>57</v>
      </c>
      <c r="F156" s="8">
        <v>1000</v>
      </c>
      <c r="G156" s="8">
        <v>1000</v>
      </c>
      <c r="H156" s="8">
        <v>1000</v>
      </c>
      <c r="I156" s="8">
        <v>0</v>
      </c>
      <c r="J156" s="8">
        <v>0</v>
      </c>
      <c r="K156" s="8">
        <v>0</v>
      </c>
      <c r="L156" s="8"/>
    </row>
    <row r="157" spans="1:12">
      <c r="A157" s="7">
        <v>13</v>
      </c>
      <c r="B157" s="16" t="s">
        <v>101</v>
      </c>
      <c r="C157" s="8">
        <v>0</v>
      </c>
      <c r="D157" s="8">
        <v>0</v>
      </c>
      <c r="E157" s="8">
        <v>0</v>
      </c>
      <c r="F157" s="8">
        <v>0</v>
      </c>
      <c r="G157" s="8">
        <v>0</v>
      </c>
      <c r="H157" s="8">
        <v>0</v>
      </c>
      <c r="I157" s="8">
        <v>0</v>
      </c>
      <c r="J157" s="8">
        <v>0</v>
      </c>
      <c r="K157" s="8">
        <v>0</v>
      </c>
      <c r="L157" s="8"/>
    </row>
    <row r="158" spans="1:12">
      <c r="A158" s="7">
        <v>14</v>
      </c>
      <c r="B158" s="16" t="s">
        <v>106</v>
      </c>
      <c r="C158" s="8">
        <v>0</v>
      </c>
      <c r="D158" s="8">
        <v>0</v>
      </c>
      <c r="E158" s="8">
        <v>0</v>
      </c>
      <c r="F158" s="8">
        <v>0</v>
      </c>
      <c r="G158" s="8">
        <v>0</v>
      </c>
      <c r="H158" s="8">
        <v>0</v>
      </c>
      <c r="I158" s="8">
        <v>0</v>
      </c>
      <c r="J158" s="8">
        <v>0</v>
      </c>
      <c r="K158" s="8">
        <v>0</v>
      </c>
      <c r="L158" s="8"/>
    </row>
    <row r="159" spans="1:12">
      <c r="A159" s="7">
        <v>15</v>
      </c>
      <c r="B159" s="16" t="s">
        <v>103</v>
      </c>
      <c r="C159" s="8">
        <v>0</v>
      </c>
      <c r="D159" s="8">
        <v>0</v>
      </c>
      <c r="E159" s="8">
        <v>0</v>
      </c>
      <c r="F159" s="8">
        <v>0</v>
      </c>
      <c r="G159" s="8">
        <v>0</v>
      </c>
      <c r="H159" s="8">
        <v>0</v>
      </c>
      <c r="I159" s="8">
        <v>0</v>
      </c>
      <c r="J159" s="8">
        <v>0</v>
      </c>
      <c r="K159" s="8">
        <v>0</v>
      </c>
      <c r="L159" s="8"/>
    </row>
    <row r="160" spans="1:12" ht="21.6" thickBot="1">
      <c r="A160" s="3" t="s">
        <v>0</v>
      </c>
      <c r="B160" s="11" t="s">
        <v>9</v>
      </c>
      <c r="C160" s="2">
        <f>SUM(C145:C159)</f>
        <v>129722</v>
      </c>
      <c r="D160" s="2">
        <f t="shared" ref="D160:K160" si="6">SUM(D145:D159)</f>
        <v>156289</v>
      </c>
      <c r="E160" s="2">
        <f t="shared" si="6"/>
        <v>163845</v>
      </c>
      <c r="F160" s="2">
        <f t="shared" si="6"/>
        <v>270574</v>
      </c>
      <c r="G160" s="2">
        <f t="shared" si="6"/>
        <v>270574</v>
      </c>
      <c r="H160" s="2">
        <f t="shared" si="6"/>
        <v>292000</v>
      </c>
      <c r="I160" s="2">
        <f t="shared" si="6"/>
        <v>0</v>
      </c>
      <c r="J160" s="2">
        <f t="shared" si="6"/>
        <v>0</v>
      </c>
      <c r="K160" s="2">
        <f t="shared" si="6"/>
        <v>0</v>
      </c>
      <c r="L160" s="2"/>
    </row>
    <row r="161" spans="1:12" s="19" customFormat="1" ht="21.6" thickTop="1">
      <c r="A161" s="17"/>
      <c r="B161" s="18"/>
      <c r="C161" s="17"/>
      <c r="D161" s="17"/>
      <c r="E161" s="17"/>
      <c r="F161" s="17"/>
      <c r="G161" s="17"/>
      <c r="H161" s="17"/>
      <c r="I161" s="17"/>
      <c r="J161" s="17"/>
      <c r="K161" s="17"/>
      <c r="L161" s="17"/>
    </row>
    <row r="162" spans="1:12" s="21" customFormat="1">
      <c r="A162" s="342" t="s">
        <v>156</v>
      </c>
      <c r="B162" s="343"/>
      <c r="C162" s="343"/>
      <c r="D162" s="343"/>
      <c r="E162" s="343"/>
      <c r="F162" s="343"/>
      <c r="G162" s="343"/>
      <c r="H162" s="343"/>
      <c r="I162" s="343"/>
      <c r="J162" s="343"/>
      <c r="K162" s="343"/>
      <c r="L162" s="343"/>
    </row>
    <row r="163" spans="1:12" s="21" customFormat="1">
      <c r="A163" s="342" t="s">
        <v>17</v>
      </c>
      <c r="B163" s="343"/>
      <c r="C163" s="343"/>
      <c r="D163" s="343"/>
      <c r="E163" s="343"/>
      <c r="F163" s="343"/>
      <c r="G163" s="343"/>
      <c r="H163" s="343"/>
      <c r="I163" s="343"/>
      <c r="J163" s="343"/>
      <c r="K163" s="343"/>
      <c r="L163" s="343"/>
    </row>
    <row r="164" spans="1:12" s="21" customFormat="1" ht="22.5" customHeight="1">
      <c r="A164" s="392" t="s">
        <v>52</v>
      </c>
      <c r="B164" s="393"/>
      <c r="C164" s="393"/>
      <c r="D164" s="59"/>
      <c r="E164" s="59"/>
      <c r="F164" s="59"/>
      <c r="G164" s="59"/>
      <c r="H164" s="59"/>
      <c r="I164" s="59"/>
      <c r="J164" s="59"/>
      <c r="K164" s="59"/>
      <c r="L164" s="60" t="s">
        <v>2</v>
      </c>
    </row>
    <row r="165" spans="1:12" s="21" customFormat="1" ht="37.5" customHeight="1">
      <c r="A165" s="394" t="s">
        <v>35</v>
      </c>
      <c r="B165" s="394" t="s">
        <v>84</v>
      </c>
      <c r="C165" s="396" t="s">
        <v>85</v>
      </c>
      <c r="D165" s="397"/>
      <c r="E165" s="397"/>
      <c r="F165" s="61" t="s">
        <v>86</v>
      </c>
      <c r="G165" s="61" t="s">
        <v>110</v>
      </c>
      <c r="H165" s="377" t="s">
        <v>157</v>
      </c>
      <c r="I165" s="378"/>
      <c r="J165" s="378"/>
      <c r="K165" s="378"/>
      <c r="L165" s="394" t="s">
        <v>87</v>
      </c>
    </row>
    <row r="166" spans="1:12" s="21" customFormat="1" ht="75" customHeight="1">
      <c r="A166" s="395"/>
      <c r="B166" s="395"/>
      <c r="C166" s="61" t="s">
        <v>139</v>
      </c>
      <c r="D166" s="61" t="s">
        <v>142</v>
      </c>
      <c r="E166" s="61" t="s">
        <v>143</v>
      </c>
      <c r="F166" s="61" t="s">
        <v>144</v>
      </c>
      <c r="G166" s="61" t="s">
        <v>144</v>
      </c>
      <c r="H166" s="61" t="s">
        <v>88</v>
      </c>
      <c r="I166" s="61" t="s">
        <v>89</v>
      </c>
      <c r="J166" s="61" t="s">
        <v>90</v>
      </c>
      <c r="K166" s="61" t="s">
        <v>91</v>
      </c>
      <c r="L166" s="395"/>
    </row>
    <row r="167" spans="1:12" s="63" customFormat="1" ht="18" customHeight="1">
      <c r="A167" s="62">
        <v>1</v>
      </c>
      <c r="B167" s="62">
        <v>2</v>
      </c>
      <c r="C167" s="62">
        <v>3</v>
      </c>
      <c r="D167" s="62">
        <v>4</v>
      </c>
      <c r="E167" s="62">
        <v>5</v>
      </c>
      <c r="F167" s="62">
        <v>6</v>
      </c>
      <c r="G167" s="62">
        <v>7</v>
      </c>
      <c r="H167" s="62">
        <v>8</v>
      </c>
      <c r="I167" s="62">
        <v>9</v>
      </c>
      <c r="J167" s="62">
        <v>10</v>
      </c>
      <c r="K167" s="62">
        <v>11</v>
      </c>
      <c r="L167" s="62">
        <v>12</v>
      </c>
    </row>
    <row r="168" spans="1:12" s="21" customFormat="1">
      <c r="A168" s="61">
        <v>1</v>
      </c>
      <c r="B168" s="64" t="s">
        <v>92</v>
      </c>
      <c r="C168" s="36">
        <v>0</v>
      </c>
      <c r="D168" s="36">
        <v>0</v>
      </c>
      <c r="E168" s="36">
        <v>0</v>
      </c>
      <c r="F168" s="36">
        <v>0</v>
      </c>
      <c r="G168" s="36">
        <v>0</v>
      </c>
      <c r="H168" s="36">
        <v>0</v>
      </c>
      <c r="I168" s="36">
        <v>0</v>
      </c>
      <c r="J168" s="36">
        <v>0</v>
      </c>
      <c r="K168" s="36">
        <v>0</v>
      </c>
      <c r="L168" s="36"/>
    </row>
    <row r="169" spans="1:12" s="21" customFormat="1">
      <c r="A169" s="61">
        <v>2</v>
      </c>
      <c r="B169" s="64" t="s">
        <v>105</v>
      </c>
      <c r="C169" s="36">
        <v>0</v>
      </c>
      <c r="D169" s="36">
        <v>0</v>
      </c>
      <c r="E169" s="36">
        <v>0</v>
      </c>
      <c r="F169" s="36">
        <v>0</v>
      </c>
      <c r="G169" s="36">
        <v>0</v>
      </c>
      <c r="H169" s="36">
        <v>0</v>
      </c>
      <c r="I169" s="36">
        <v>0</v>
      </c>
      <c r="J169" s="36">
        <v>0</v>
      </c>
      <c r="K169" s="36">
        <v>0</v>
      </c>
      <c r="L169" s="65"/>
    </row>
    <row r="170" spans="1:12" s="21" customFormat="1" ht="30">
      <c r="A170" s="61">
        <v>3</v>
      </c>
      <c r="B170" s="64" t="s">
        <v>104</v>
      </c>
      <c r="C170" s="36">
        <v>0</v>
      </c>
      <c r="D170" s="36">
        <v>0</v>
      </c>
      <c r="E170" s="36">
        <v>0</v>
      </c>
      <c r="F170" s="36">
        <v>0</v>
      </c>
      <c r="G170" s="36">
        <v>0</v>
      </c>
      <c r="H170" s="36">
        <v>0</v>
      </c>
      <c r="I170" s="36">
        <v>0</v>
      </c>
      <c r="J170" s="36">
        <v>0</v>
      </c>
      <c r="K170" s="36">
        <v>0</v>
      </c>
      <c r="L170" s="36"/>
    </row>
    <row r="171" spans="1:12" s="21" customFormat="1">
      <c r="A171" s="61">
        <v>4</v>
      </c>
      <c r="B171" s="64" t="s">
        <v>118</v>
      </c>
      <c r="C171" s="36">
        <v>0</v>
      </c>
      <c r="D171" s="36">
        <v>0</v>
      </c>
      <c r="E171" s="36">
        <v>0</v>
      </c>
      <c r="F171" s="36">
        <v>0</v>
      </c>
      <c r="G171" s="36">
        <v>0</v>
      </c>
      <c r="H171" s="36">
        <v>0</v>
      </c>
      <c r="I171" s="36">
        <v>0</v>
      </c>
      <c r="J171" s="36">
        <v>0</v>
      </c>
      <c r="K171" s="36">
        <v>0</v>
      </c>
      <c r="L171" s="36"/>
    </row>
    <row r="172" spans="1:12" s="21" customFormat="1">
      <c r="A172" s="61">
        <v>5</v>
      </c>
      <c r="B172" s="64" t="s">
        <v>95</v>
      </c>
      <c r="C172" s="36">
        <v>0</v>
      </c>
      <c r="D172" s="36">
        <v>0</v>
      </c>
      <c r="E172" s="36">
        <v>0</v>
      </c>
      <c r="F172" s="36">
        <v>0</v>
      </c>
      <c r="G172" s="36">
        <v>0</v>
      </c>
      <c r="H172" s="36">
        <v>0</v>
      </c>
      <c r="I172" s="36">
        <v>0</v>
      </c>
      <c r="J172" s="36">
        <v>0</v>
      </c>
      <c r="K172" s="36">
        <v>0</v>
      </c>
      <c r="L172" s="36"/>
    </row>
    <row r="173" spans="1:12" s="21" customFormat="1">
      <c r="A173" s="61">
        <v>6</v>
      </c>
      <c r="B173" s="64" t="s">
        <v>96</v>
      </c>
      <c r="C173" s="36">
        <v>0</v>
      </c>
      <c r="D173" s="36">
        <v>0</v>
      </c>
      <c r="E173" s="36">
        <v>0</v>
      </c>
      <c r="F173" s="36">
        <v>0</v>
      </c>
      <c r="G173" s="36">
        <v>0</v>
      </c>
      <c r="H173" s="36">
        <v>0</v>
      </c>
      <c r="I173" s="36">
        <v>0</v>
      </c>
      <c r="J173" s="36">
        <v>0</v>
      </c>
      <c r="K173" s="36">
        <v>0</v>
      </c>
      <c r="L173" s="36"/>
    </row>
    <row r="174" spans="1:12" s="21" customFormat="1">
      <c r="A174" s="61">
        <v>7</v>
      </c>
      <c r="B174" s="64" t="s">
        <v>107</v>
      </c>
      <c r="C174" s="36">
        <v>0</v>
      </c>
      <c r="D174" s="36">
        <v>0</v>
      </c>
      <c r="E174" s="36">
        <v>0</v>
      </c>
      <c r="F174" s="36">
        <v>0</v>
      </c>
      <c r="G174" s="36">
        <v>0</v>
      </c>
      <c r="H174" s="36">
        <v>0</v>
      </c>
      <c r="I174" s="36">
        <v>0</v>
      </c>
      <c r="J174" s="36">
        <v>0</v>
      </c>
      <c r="K174" s="36">
        <v>0</v>
      </c>
      <c r="L174" s="36"/>
    </row>
    <row r="175" spans="1:12" s="21" customFormat="1">
      <c r="A175" s="61">
        <v>8</v>
      </c>
      <c r="B175" s="64" t="s">
        <v>119</v>
      </c>
      <c r="C175" s="36">
        <v>0</v>
      </c>
      <c r="D175" s="36">
        <v>0</v>
      </c>
      <c r="E175" s="36">
        <v>0</v>
      </c>
      <c r="F175" s="36">
        <v>0</v>
      </c>
      <c r="G175" s="36">
        <v>0</v>
      </c>
      <c r="H175" s="36">
        <v>0</v>
      </c>
      <c r="I175" s="36">
        <v>0</v>
      </c>
      <c r="J175" s="36">
        <v>0</v>
      </c>
      <c r="K175" s="36">
        <v>0</v>
      </c>
      <c r="L175" s="36"/>
    </row>
    <row r="176" spans="1:12" s="21" customFormat="1">
      <c r="A176" s="61">
        <v>9</v>
      </c>
      <c r="B176" s="64" t="s">
        <v>97</v>
      </c>
      <c r="C176" s="36">
        <v>0</v>
      </c>
      <c r="D176" s="36">
        <v>0</v>
      </c>
      <c r="E176" s="36">
        <v>0</v>
      </c>
      <c r="F176" s="36">
        <v>0</v>
      </c>
      <c r="G176" s="36">
        <v>0</v>
      </c>
      <c r="H176" s="36">
        <v>0</v>
      </c>
      <c r="I176" s="36">
        <v>0</v>
      </c>
      <c r="J176" s="36">
        <v>0</v>
      </c>
      <c r="K176" s="36">
        <v>0</v>
      </c>
      <c r="L176" s="36"/>
    </row>
    <row r="177" spans="1:13" s="21" customFormat="1">
      <c r="A177" s="61">
        <v>10</v>
      </c>
      <c r="B177" s="64" t="s">
        <v>98</v>
      </c>
      <c r="C177" s="36">
        <v>0</v>
      </c>
      <c r="D177" s="36">
        <v>0</v>
      </c>
      <c r="E177" s="36">
        <v>0</v>
      </c>
      <c r="F177" s="36">
        <v>0</v>
      </c>
      <c r="G177" s="36">
        <v>0</v>
      </c>
      <c r="H177" s="36">
        <v>0</v>
      </c>
      <c r="I177" s="36">
        <v>0</v>
      </c>
      <c r="J177" s="36">
        <v>0</v>
      </c>
      <c r="K177" s="36">
        <v>0</v>
      </c>
      <c r="L177" s="36"/>
    </row>
    <row r="178" spans="1:13" s="21" customFormat="1">
      <c r="A178" s="61">
        <v>11</v>
      </c>
      <c r="B178" s="64" t="s">
        <v>99</v>
      </c>
      <c r="C178" s="36">
        <v>0</v>
      </c>
      <c r="D178" s="36">
        <v>0</v>
      </c>
      <c r="E178" s="36">
        <v>0</v>
      </c>
      <c r="F178" s="36">
        <v>0</v>
      </c>
      <c r="G178" s="36">
        <v>0</v>
      </c>
      <c r="H178" s="36">
        <v>0</v>
      </c>
      <c r="I178" s="36">
        <v>0</v>
      </c>
      <c r="J178" s="36">
        <v>0</v>
      </c>
      <c r="K178" s="36">
        <v>0</v>
      </c>
      <c r="L178" s="36"/>
    </row>
    <row r="179" spans="1:13" s="21" customFormat="1">
      <c r="A179" s="61">
        <v>12</v>
      </c>
      <c r="B179" s="64" t="s">
        <v>100</v>
      </c>
      <c r="C179" s="36">
        <v>0</v>
      </c>
      <c r="D179" s="36">
        <v>0</v>
      </c>
      <c r="E179" s="36">
        <v>0</v>
      </c>
      <c r="F179" s="36">
        <v>0</v>
      </c>
      <c r="G179" s="36">
        <v>0</v>
      </c>
      <c r="H179" s="36">
        <v>0</v>
      </c>
      <c r="I179" s="36">
        <v>0</v>
      </c>
      <c r="J179" s="36">
        <v>0</v>
      </c>
      <c r="K179" s="36">
        <v>0</v>
      </c>
      <c r="L179" s="36"/>
    </row>
    <row r="180" spans="1:13" s="21" customFormat="1">
      <c r="A180" s="61">
        <v>13</v>
      </c>
      <c r="B180" s="64" t="s">
        <v>101</v>
      </c>
      <c r="C180" s="36">
        <v>0</v>
      </c>
      <c r="D180" s="36">
        <v>0</v>
      </c>
      <c r="E180" s="36">
        <v>0</v>
      </c>
      <c r="F180" s="36">
        <v>0</v>
      </c>
      <c r="G180" s="36">
        <v>0</v>
      </c>
      <c r="H180" s="36">
        <v>0</v>
      </c>
      <c r="I180" s="36">
        <v>0</v>
      </c>
      <c r="J180" s="36">
        <v>0</v>
      </c>
      <c r="K180" s="36">
        <v>0</v>
      </c>
      <c r="L180" s="36"/>
    </row>
    <row r="181" spans="1:13" s="21" customFormat="1">
      <c r="A181" s="61">
        <v>14</v>
      </c>
      <c r="B181" s="64" t="s">
        <v>106</v>
      </c>
      <c r="C181" s="36">
        <v>0</v>
      </c>
      <c r="D181" s="36">
        <v>0</v>
      </c>
      <c r="E181" s="36">
        <v>0</v>
      </c>
      <c r="F181" s="36">
        <v>0</v>
      </c>
      <c r="G181" s="36">
        <v>0</v>
      </c>
      <c r="H181" s="36">
        <v>0</v>
      </c>
      <c r="I181" s="36">
        <v>0</v>
      </c>
      <c r="J181" s="36">
        <v>0</v>
      </c>
      <c r="K181" s="36">
        <v>0</v>
      </c>
      <c r="L181" s="36"/>
    </row>
    <row r="182" spans="1:13" s="21" customFormat="1">
      <c r="A182" s="61">
        <v>15</v>
      </c>
      <c r="B182" s="64" t="s">
        <v>103</v>
      </c>
      <c r="C182" s="36">
        <v>0</v>
      </c>
      <c r="D182" s="36">
        <v>0</v>
      </c>
      <c r="E182" s="36">
        <v>0</v>
      </c>
      <c r="F182" s="36">
        <v>0</v>
      </c>
      <c r="G182" s="36">
        <v>0</v>
      </c>
      <c r="H182" s="36">
        <v>0</v>
      </c>
      <c r="I182" s="36">
        <v>0</v>
      </c>
      <c r="J182" s="36">
        <v>0</v>
      </c>
      <c r="K182" s="36">
        <v>0</v>
      </c>
      <c r="L182" s="36"/>
    </row>
    <row r="183" spans="1:13" s="21" customFormat="1" ht="21.6" thickBot="1">
      <c r="A183" s="66" t="s">
        <v>0</v>
      </c>
      <c r="B183" s="23" t="s">
        <v>9</v>
      </c>
      <c r="C183" s="22">
        <f>SUM(C168:C182)</f>
        <v>0</v>
      </c>
      <c r="D183" s="22">
        <f t="shared" ref="D183:K183" si="7">SUM(D168:D182)</f>
        <v>0</v>
      </c>
      <c r="E183" s="22">
        <f t="shared" si="7"/>
        <v>0</v>
      </c>
      <c r="F183" s="22">
        <f t="shared" si="7"/>
        <v>0</v>
      </c>
      <c r="G183" s="22">
        <f t="shared" si="7"/>
        <v>0</v>
      </c>
      <c r="H183" s="22">
        <f t="shared" si="7"/>
        <v>0</v>
      </c>
      <c r="I183" s="22">
        <f t="shared" si="7"/>
        <v>0</v>
      </c>
      <c r="J183" s="22">
        <f t="shared" si="7"/>
        <v>0</v>
      </c>
      <c r="K183" s="22">
        <f t="shared" si="7"/>
        <v>0</v>
      </c>
      <c r="L183" s="22"/>
    </row>
    <row r="184" spans="1:13" s="21" customFormat="1" ht="21" thickTop="1">
      <c r="A184" s="67"/>
      <c r="B184" s="67"/>
      <c r="C184" s="67"/>
      <c r="D184" s="67"/>
      <c r="E184" s="67"/>
      <c r="F184" s="67"/>
      <c r="G184" s="67"/>
      <c r="H184" s="67"/>
      <c r="I184" s="67"/>
      <c r="J184" s="67"/>
      <c r="K184" s="67"/>
      <c r="L184" s="67"/>
    </row>
    <row r="185" spans="1:13">
      <c r="A185" s="335" t="s">
        <v>156</v>
      </c>
      <c r="B185" s="336"/>
      <c r="C185" s="336"/>
      <c r="D185" s="336"/>
      <c r="E185" s="336"/>
      <c r="F185" s="336"/>
      <c r="G185" s="336"/>
      <c r="H185" s="336"/>
      <c r="I185" s="336"/>
      <c r="J185" s="336"/>
      <c r="K185" s="336"/>
      <c r="L185" s="336"/>
    </row>
    <row r="186" spans="1:13">
      <c r="A186" s="335" t="s">
        <v>17</v>
      </c>
      <c r="B186" s="336"/>
      <c r="C186" s="336"/>
      <c r="D186" s="336"/>
      <c r="E186" s="336"/>
      <c r="F186" s="336"/>
      <c r="G186" s="336"/>
      <c r="H186" s="336"/>
      <c r="I186" s="336"/>
      <c r="J186" s="336"/>
      <c r="K186" s="336"/>
      <c r="L186" s="336"/>
    </row>
    <row r="187" spans="1:13" ht="18.75" customHeight="1">
      <c r="A187" s="384" t="s">
        <v>53</v>
      </c>
      <c r="B187" s="385"/>
      <c r="C187" s="385"/>
      <c r="D187" s="6"/>
      <c r="E187" s="6"/>
      <c r="F187" s="6"/>
      <c r="G187" s="6"/>
      <c r="H187" s="6"/>
      <c r="I187" s="6"/>
      <c r="J187" s="6"/>
      <c r="K187" s="6"/>
      <c r="L187" s="12" t="s">
        <v>2</v>
      </c>
    </row>
    <row r="188" spans="1:13" ht="37.5" customHeight="1">
      <c r="A188" s="390" t="s">
        <v>35</v>
      </c>
      <c r="B188" s="390" t="s">
        <v>84</v>
      </c>
      <c r="C188" s="386" t="s">
        <v>85</v>
      </c>
      <c r="D188" s="387"/>
      <c r="E188" s="387"/>
      <c r="F188" s="13" t="s">
        <v>86</v>
      </c>
      <c r="G188" s="13" t="s">
        <v>110</v>
      </c>
      <c r="H188" s="388" t="s">
        <v>157</v>
      </c>
      <c r="I188" s="389"/>
      <c r="J188" s="389"/>
      <c r="K188" s="389"/>
      <c r="L188" s="390" t="s">
        <v>87</v>
      </c>
    </row>
    <row r="189" spans="1:13" ht="75" customHeight="1">
      <c r="A189" s="391"/>
      <c r="B189" s="391"/>
      <c r="C189" s="13" t="s">
        <v>142</v>
      </c>
      <c r="D189" s="13" t="s">
        <v>143</v>
      </c>
      <c r="E189" s="13" t="s">
        <v>144</v>
      </c>
      <c r="F189" s="13" t="s">
        <v>161</v>
      </c>
      <c r="G189" s="13" t="s">
        <v>161</v>
      </c>
      <c r="H189" s="13" t="s">
        <v>88</v>
      </c>
      <c r="I189" s="13" t="s">
        <v>89</v>
      </c>
      <c r="J189" s="13" t="s">
        <v>90</v>
      </c>
      <c r="K189" s="13" t="s">
        <v>91</v>
      </c>
      <c r="L189" s="391"/>
    </row>
    <row r="190" spans="1:13" s="15" customFormat="1" ht="18" customHeight="1">
      <c r="A190" s="14">
        <v>1</v>
      </c>
      <c r="B190" s="14">
        <v>2</v>
      </c>
      <c r="C190" s="14">
        <v>3</v>
      </c>
      <c r="D190" s="14">
        <v>4</v>
      </c>
      <c r="E190" s="14">
        <v>5</v>
      </c>
      <c r="F190" s="14">
        <v>6</v>
      </c>
      <c r="G190" s="14">
        <v>7</v>
      </c>
      <c r="H190" s="14">
        <v>8</v>
      </c>
      <c r="I190" s="14">
        <v>9</v>
      </c>
      <c r="J190" s="14">
        <v>10</v>
      </c>
      <c r="K190" s="14">
        <v>11</v>
      </c>
      <c r="L190" s="14">
        <v>12</v>
      </c>
    </row>
    <row r="191" spans="1:13" ht="21">
      <c r="A191" s="7">
        <v>1</v>
      </c>
      <c r="B191" s="16" t="s">
        <v>92</v>
      </c>
      <c r="C191" s="8">
        <f t="shared" ref="C191:C205" si="8">SUM(C7+C30+C53+C76+C99+C122+C145+C168)</f>
        <v>1062697</v>
      </c>
      <c r="D191" s="8">
        <f t="shared" ref="D191:K191" si="9">SUM(D7+D30+D53+D76+D99+D122+D145+D168)</f>
        <v>1286858</v>
      </c>
      <c r="E191" s="8">
        <f t="shared" si="9"/>
        <v>1347942</v>
      </c>
      <c r="F191" s="8">
        <f t="shared" si="9"/>
        <v>2479253</v>
      </c>
      <c r="G191" s="8">
        <f t="shared" si="9"/>
        <v>2499349</v>
      </c>
      <c r="H191" s="8">
        <f t="shared" si="9"/>
        <v>2684990</v>
      </c>
      <c r="I191" s="8">
        <f t="shared" si="9"/>
        <v>0</v>
      </c>
      <c r="J191" s="8">
        <f t="shared" si="9"/>
        <v>0</v>
      </c>
      <c r="K191" s="8">
        <f t="shared" si="9"/>
        <v>0</v>
      </c>
      <c r="L191" s="8"/>
      <c r="M191" s="183"/>
    </row>
    <row r="192" spans="1:13" ht="21">
      <c r="A192" s="7">
        <v>2</v>
      </c>
      <c r="B192" s="16" t="s">
        <v>105</v>
      </c>
      <c r="C192" s="8">
        <f t="shared" si="8"/>
        <v>1043</v>
      </c>
      <c r="D192" s="8">
        <f t="shared" ref="D192:K194" si="10">SUM(D8+D31+D54+D77+D100+D123+D146+D169)</f>
        <v>893</v>
      </c>
      <c r="E192" s="8">
        <f t="shared" si="10"/>
        <v>979</v>
      </c>
      <c r="F192" s="8">
        <f t="shared" si="10"/>
        <v>5435</v>
      </c>
      <c r="G192" s="8">
        <f t="shared" si="10"/>
        <v>5435</v>
      </c>
      <c r="H192" s="8">
        <f t="shared" si="10"/>
        <v>5640</v>
      </c>
      <c r="I192" s="8">
        <f t="shared" si="10"/>
        <v>0</v>
      </c>
      <c r="J192" s="8">
        <f t="shared" si="10"/>
        <v>0</v>
      </c>
      <c r="K192" s="8">
        <f t="shared" si="10"/>
        <v>0</v>
      </c>
      <c r="L192" s="9"/>
      <c r="M192" s="183"/>
    </row>
    <row r="193" spans="1:13" ht="30">
      <c r="A193" s="7">
        <v>3</v>
      </c>
      <c r="B193" s="16" t="s">
        <v>104</v>
      </c>
      <c r="C193" s="8">
        <f t="shared" si="8"/>
        <v>17990</v>
      </c>
      <c r="D193" s="8">
        <f t="shared" si="10"/>
        <v>19296</v>
      </c>
      <c r="E193" s="8">
        <f t="shared" si="10"/>
        <v>24183</v>
      </c>
      <c r="F193" s="8">
        <f t="shared" si="10"/>
        <v>74334</v>
      </c>
      <c r="G193" s="8">
        <f t="shared" si="10"/>
        <v>74334</v>
      </c>
      <c r="H193" s="8">
        <f t="shared" si="10"/>
        <v>75822</v>
      </c>
      <c r="I193" s="8">
        <f t="shared" si="10"/>
        <v>0</v>
      </c>
      <c r="J193" s="8">
        <f t="shared" si="10"/>
        <v>0</v>
      </c>
      <c r="K193" s="8">
        <f t="shared" si="10"/>
        <v>0</v>
      </c>
      <c r="L193" s="8"/>
    </row>
    <row r="194" spans="1:13">
      <c r="A194" s="7">
        <v>4</v>
      </c>
      <c r="B194" s="172" t="s">
        <v>118</v>
      </c>
      <c r="C194" s="8">
        <f t="shared" si="8"/>
        <v>793</v>
      </c>
      <c r="D194" s="8">
        <f t="shared" ref="D194:K194" si="11">SUM(D10+D33+D56+D79+D102+D125+D148+D171)</f>
        <v>1257</v>
      </c>
      <c r="E194" s="8">
        <f t="shared" si="10"/>
        <v>2769</v>
      </c>
      <c r="F194" s="8">
        <f t="shared" si="11"/>
        <v>4330</v>
      </c>
      <c r="G194" s="8">
        <f t="shared" si="11"/>
        <v>4330</v>
      </c>
      <c r="H194" s="8">
        <f t="shared" si="11"/>
        <v>7770</v>
      </c>
      <c r="I194" s="8">
        <f t="shared" si="11"/>
        <v>0</v>
      </c>
      <c r="J194" s="8">
        <f t="shared" si="11"/>
        <v>0</v>
      </c>
      <c r="K194" s="8">
        <f t="shared" si="11"/>
        <v>0</v>
      </c>
      <c r="L194" s="8"/>
    </row>
    <row r="195" spans="1:13">
      <c r="A195" s="7">
        <v>5</v>
      </c>
      <c r="B195" s="16" t="s">
        <v>95</v>
      </c>
      <c r="C195" s="8">
        <f t="shared" si="8"/>
        <v>2308</v>
      </c>
      <c r="D195" s="8">
        <f t="shared" ref="D195:K197" si="12">SUM(D11+D34+D57+D80+D103+D126+D149+D172)</f>
        <v>2170</v>
      </c>
      <c r="E195" s="8">
        <f t="shared" si="12"/>
        <v>2604</v>
      </c>
      <c r="F195" s="8">
        <f t="shared" si="12"/>
        <v>17825</v>
      </c>
      <c r="G195" s="8">
        <f t="shared" si="12"/>
        <v>18000</v>
      </c>
      <c r="H195" s="8">
        <f t="shared" si="12"/>
        <v>19470</v>
      </c>
      <c r="I195" s="8">
        <f t="shared" si="12"/>
        <v>0</v>
      </c>
      <c r="J195" s="8">
        <f t="shared" si="12"/>
        <v>0</v>
      </c>
      <c r="K195" s="8">
        <f t="shared" si="12"/>
        <v>0</v>
      </c>
      <c r="L195" s="8"/>
    </row>
    <row r="196" spans="1:13">
      <c r="A196" s="7">
        <v>6</v>
      </c>
      <c r="B196" s="16" t="s">
        <v>96</v>
      </c>
      <c r="C196" s="8">
        <f t="shared" si="8"/>
        <v>40775</v>
      </c>
      <c r="D196" s="8">
        <f t="shared" si="12"/>
        <v>32492</v>
      </c>
      <c r="E196" s="8">
        <f t="shared" si="12"/>
        <v>30533</v>
      </c>
      <c r="F196" s="8">
        <f t="shared" si="12"/>
        <v>94371</v>
      </c>
      <c r="G196" s="8">
        <f t="shared" si="12"/>
        <v>94981</v>
      </c>
      <c r="H196" s="8">
        <f t="shared" si="12"/>
        <v>110181</v>
      </c>
      <c r="I196" s="8">
        <f t="shared" si="12"/>
        <v>0</v>
      </c>
      <c r="J196" s="8">
        <f t="shared" si="12"/>
        <v>0</v>
      </c>
      <c r="K196" s="8">
        <f t="shared" si="12"/>
        <v>0</v>
      </c>
      <c r="L196" s="8"/>
    </row>
    <row r="197" spans="1:13">
      <c r="A197" s="7">
        <v>7</v>
      </c>
      <c r="B197" s="16" t="s">
        <v>107</v>
      </c>
      <c r="C197" s="8">
        <f t="shared" si="8"/>
        <v>5835</v>
      </c>
      <c r="D197" s="8">
        <f t="shared" si="12"/>
        <v>3648</v>
      </c>
      <c r="E197" s="8">
        <f t="shared" si="12"/>
        <v>2163</v>
      </c>
      <c r="F197" s="8">
        <f t="shared" si="12"/>
        <v>14342</v>
      </c>
      <c r="G197" s="8">
        <f t="shared" si="12"/>
        <v>14347</v>
      </c>
      <c r="H197" s="8">
        <f t="shared" si="12"/>
        <v>15400</v>
      </c>
      <c r="I197" s="8">
        <f t="shared" si="12"/>
        <v>0</v>
      </c>
      <c r="J197" s="8">
        <f t="shared" si="12"/>
        <v>0</v>
      </c>
      <c r="K197" s="8">
        <f t="shared" si="12"/>
        <v>0</v>
      </c>
      <c r="L197" s="8"/>
    </row>
    <row r="198" spans="1:13">
      <c r="A198" s="7">
        <v>8</v>
      </c>
      <c r="B198" s="172" t="s">
        <v>119</v>
      </c>
      <c r="C198" s="8">
        <f t="shared" si="8"/>
        <v>0</v>
      </c>
      <c r="D198" s="8">
        <f t="shared" ref="D198:K198" si="13">SUM(D14+D37+D60+D83+D106+D129+D152+D175)</f>
        <v>0</v>
      </c>
      <c r="E198" s="8">
        <f t="shared" si="13"/>
        <v>0</v>
      </c>
      <c r="F198" s="8">
        <f t="shared" si="13"/>
        <v>800</v>
      </c>
      <c r="G198" s="8">
        <f t="shared" si="13"/>
        <v>800</v>
      </c>
      <c r="H198" s="8">
        <f t="shared" si="13"/>
        <v>300</v>
      </c>
      <c r="I198" s="8">
        <f t="shared" si="13"/>
        <v>0</v>
      </c>
      <c r="J198" s="8">
        <f t="shared" si="13"/>
        <v>0</v>
      </c>
      <c r="K198" s="8">
        <f t="shared" si="13"/>
        <v>0</v>
      </c>
      <c r="L198" s="8"/>
    </row>
    <row r="199" spans="1:13">
      <c r="A199" s="7">
        <v>9</v>
      </c>
      <c r="B199" s="16" t="s">
        <v>97</v>
      </c>
      <c r="C199" s="8">
        <f t="shared" si="8"/>
        <v>33</v>
      </c>
      <c r="D199" s="8">
        <f t="shared" ref="D199:K205" si="14">SUM(D15+D38+D61+D84+D107+D130+D153+D176)</f>
        <v>44</v>
      </c>
      <c r="E199" s="8">
        <f t="shared" si="14"/>
        <v>101</v>
      </c>
      <c r="F199" s="8">
        <f t="shared" si="14"/>
        <v>16605</v>
      </c>
      <c r="G199" s="8">
        <f t="shared" si="14"/>
        <v>16610</v>
      </c>
      <c r="H199" s="8">
        <f t="shared" si="14"/>
        <v>44540</v>
      </c>
      <c r="I199" s="8">
        <f t="shared" si="14"/>
        <v>0</v>
      </c>
      <c r="J199" s="8">
        <f t="shared" si="14"/>
        <v>0</v>
      </c>
      <c r="K199" s="8">
        <f t="shared" si="14"/>
        <v>0</v>
      </c>
      <c r="L199" s="8"/>
    </row>
    <row r="200" spans="1:13">
      <c r="A200" s="7">
        <v>10</v>
      </c>
      <c r="B200" s="16" t="s">
        <v>98</v>
      </c>
      <c r="C200" s="8">
        <f t="shared" si="8"/>
        <v>0</v>
      </c>
      <c r="D200" s="8">
        <f t="shared" si="14"/>
        <v>0</v>
      </c>
      <c r="E200" s="8">
        <f t="shared" si="14"/>
        <v>0</v>
      </c>
      <c r="F200" s="8">
        <f t="shared" si="14"/>
        <v>680</v>
      </c>
      <c r="G200" s="8">
        <f t="shared" si="14"/>
        <v>680</v>
      </c>
      <c r="H200" s="8">
        <f t="shared" si="14"/>
        <v>680</v>
      </c>
      <c r="I200" s="8">
        <f t="shared" si="14"/>
        <v>0</v>
      </c>
      <c r="J200" s="8">
        <f t="shared" si="14"/>
        <v>0</v>
      </c>
      <c r="K200" s="8">
        <f t="shared" si="14"/>
        <v>0</v>
      </c>
      <c r="L200" s="8"/>
    </row>
    <row r="201" spans="1:13">
      <c r="A201" s="7">
        <v>11</v>
      </c>
      <c r="B201" s="16" t="s">
        <v>99</v>
      </c>
      <c r="C201" s="8">
        <f t="shared" si="8"/>
        <v>5221</v>
      </c>
      <c r="D201" s="8">
        <f t="shared" si="14"/>
        <v>4880</v>
      </c>
      <c r="E201" s="8">
        <f t="shared" si="14"/>
        <v>5291</v>
      </c>
      <c r="F201" s="8">
        <f t="shared" si="14"/>
        <v>29713</v>
      </c>
      <c r="G201" s="8">
        <f t="shared" si="14"/>
        <v>30000</v>
      </c>
      <c r="H201" s="8">
        <f t="shared" si="14"/>
        <v>30350</v>
      </c>
      <c r="I201" s="8">
        <f t="shared" si="14"/>
        <v>0</v>
      </c>
      <c r="J201" s="8">
        <f t="shared" si="14"/>
        <v>0</v>
      </c>
      <c r="K201" s="8">
        <f t="shared" si="14"/>
        <v>0</v>
      </c>
      <c r="L201" s="8"/>
    </row>
    <row r="202" spans="1:13">
      <c r="A202" s="7">
        <v>12</v>
      </c>
      <c r="B202" s="16" t="s">
        <v>100</v>
      </c>
      <c r="C202" s="8">
        <f t="shared" si="8"/>
        <v>0</v>
      </c>
      <c r="D202" s="8">
        <f t="shared" si="14"/>
        <v>1121</v>
      </c>
      <c r="E202" s="8">
        <f t="shared" si="14"/>
        <v>564</v>
      </c>
      <c r="F202" s="8">
        <f t="shared" si="14"/>
        <v>17195</v>
      </c>
      <c r="G202" s="8">
        <f t="shared" si="14"/>
        <v>17195</v>
      </c>
      <c r="H202" s="8">
        <f t="shared" si="14"/>
        <v>17402</v>
      </c>
      <c r="I202" s="8">
        <f t="shared" si="14"/>
        <v>0</v>
      </c>
      <c r="J202" s="8">
        <f t="shared" si="14"/>
        <v>0</v>
      </c>
      <c r="K202" s="8">
        <f t="shared" si="14"/>
        <v>0</v>
      </c>
      <c r="L202" s="8"/>
    </row>
    <row r="203" spans="1:13">
      <c r="A203" s="7">
        <v>13</v>
      </c>
      <c r="B203" s="16" t="s">
        <v>101</v>
      </c>
      <c r="C203" s="8">
        <f t="shared" si="8"/>
        <v>0</v>
      </c>
      <c r="D203" s="8">
        <f t="shared" si="14"/>
        <v>0</v>
      </c>
      <c r="E203" s="8">
        <f t="shared" si="14"/>
        <v>0</v>
      </c>
      <c r="F203" s="8">
        <f t="shared" si="14"/>
        <v>1280</v>
      </c>
      <c r="G203" s="8">
        <f t="shared" si="14"/>
        <v>1280</v>
      </c>
      <c r="H203" s="8">
        <f t="shared" si="14"/>
        <v>1280</v>
      </c>
      <c r="I203" s="8">
        <f t="shared" si="14"/>
        <v>0</v>
      </c>
      <c r="J203" s="8">
        <f t="shared" si="14"/>
        <v>0</v>
      </c>
      <c r="K203" s="8">
        <f t="shared" si="14"/>
        <v>0</v>
      </c>
      <c r="L203" s="8"/>
    </row>
    <row r="204" spans="1:13">
      <c r="A204" s="7">
        <v>14</v>
      </c>
      <c r="B204" s="16" t="s">
        <v>106</v>
      </c>
      <c r="C204" s="8">
        <f t="shared" si="8"/>
        <v>0</v>
      </c>
      <c r="D204" s="8">
        <f t="shared" si="14"/>
        <v>0</v>
      </c>
      <c r="E204" s="8">
        <f t="shared" si="14"/>
        <v>0</v>
      </c>
      <c r="F204" s="8">
        <f t="shared" si="14"/>
        <v>4550</v>
      </c>
      <c r="G204" s="8">
        <f t="shared" si="14"/>
        <v>4550</v>
      </c>
      <c r="H204" s="8">
        <f t="shared" si="14"/>
        <v>30250</v>
      </c>
      <c r="I204" s="8">
        <f t="shared" si="14"/>
        <v>0</v>
      </c>
      <c r="J204" s="8">
        <f t="shared" si="14"/>
        <v>0</v>
      </c>
      <c r="K204" s="8">
        <f t="shared" si="14"/>
        <v>0</v>
      </c>
      <c r="L204" s="8"/>
    </row>
    <row r="205" spans="1:13" ht="21">
      <c r="A205" s="7">
        <v>15</v>
      </c>
      <c r="B205" s="16" t="s">
        <v>103</v>
      </c>
      <c r="C205" s="8">
        <f t="shared" si="8"/>
        <v>261</v>
      </c>
      <c r="D205" s="8">
        <f t="shared" si="14"/>
        <v>109</v>
      </c>
      <c r="E205" s="8">
        <f t="shared" si="14"/>
        <v>302</v>
      </c>
      <c r="F205" s="8">
        <f t="shared" si="14"/>
        <v>5960</v>
      </c>
      <c r="G205" s="8">
        <f t="shared" si="14"/>
        <v>6060</v>
      </c>
      <c r="H205" s="8">
        <f t="shared" si="14"/>
        <v>7870</v>
      </c>
      <c r="I205" s="8">
        <f t="shared" si="14"/>
        <v>0</v>
      </c>
      <c r="J205" s="8">
        <f t="shared" si="14"/>
        <v>0</v>
      </c>
      <c r="K205" s="8">
        <f t="shared" si="14"/>
        <v>0</v>
      </c>
      <c r="L205" s="8"/>
      <c r="M205" s="183" t="s">
        <v>121</v>
      </c>
    </row>
    <row r="206" spans="1:13" ht="27.75" customHeight="1" thickBot="1">
      <c r="A206" s="3" t="s">
        <v>0</v>
      </c>
      <c r="B206" s="11" t="s">
        <v>9</v>
      </c>
      <c r="C206" s="2">
        <f t="shared" ref="C206:K206" si="15">SUM(C191:C205)</f>
        <v>1136956</v>
      </c>
      <c r="D206" s="2">
        <f t="shared" si="15"/>
        <v>1352768</v>
      </c>
      <c r="E206" s="2">
        <f t="shared" si="15"/>
        <v>1417431</v>
      </c>
      <c r="F206" s="2">
        <f t="shared" si="15"/>
        <v>2766673</v>
      </c>
      <c r="G206" s="2">
        <f t="shared" si="15"/>
        <v>2787951</v>
      </c>
      <c r="H206" s="2">
        <f t="shared" si="15"/>
        <v>3051945</v>
      </c>
      <c r="I206" s="2">
        <f t="shared" si="15"/>
        <v>0</v>
      </c>
      <c r="J206" s="2">
        <f t="shared" si="15"/>
        <v>0</v>
      </c>
      <c r="K206" s="2">
        <f t="shared" si="15"/>
        <v>0</v>
      </c>
      <c r="L206" s="3"/>
      <c r="M206" s="183">
        <v>1269524</v>
      </c>
    </row>
    <row r="207" spans="1:13" ht="21" thickTop="1"/>
    <row r="208" spans="1:13">
      <c r="J208" s="261" t="s">
        <v>153</v>
      </c>
    </row>
  </sheetData>
  <mergeCells count="72">
    <mergeCell ref="A185:L185"/>
    <mergeCell ref="A186:L186"/>
    <mergeCell ref="A187:C187"/>
    <mergeCell ref="A188:A189"/>
    <mergeCell ref="B188:B189"/>
    <mergeCell ref="C188:E188"/>
    <mergeCell ref="H188:K188"/>
    <mergeCell ref="L188:L189"/>
    <mergeCell ref="A162:L162"/>
    <mergeCell ref="A163:L163"/>
    <mergeCell ref="A164:C164"/>
    <mergeCell ref="A165:A166"/>
    <mergeCell ref="B165:B166"/>
    <mergeCell ref="C165:E165"/>
    <mergeCell ref="H165:K165"/>
    <mergeCell ref="L165:L166"/>
    <mergeCell ref="A139:L139"/>
    <mergeCell ref="A140:L140"/>
    <mergeCell ref="A141:C141"/>
    <mergeCell ref="A142:A143"/>
    <mergeCell ref="B142:B143"/>
    <mergeCell ref="C142:E142"/>
    <mergeCell ref="H142:K142"/>
    <mergeCell ref="L142:L143"/>
    <mergeCell ref="A116:L116"/>
    <mergeCell ref="A117:L117"/>
    <mergeCell ref="A118:C118"/>
    <mergeCell ref="A119:A120"/>
    <mergeCell ref="B119:B120"/>
    <mergeCell ref="C119:E119"/>
    <mergeCell ref="H119:K119"/>
    <mergeCell ref="L119:L120"/>
    <mergeCell ref="A93:L93"/>
    <mergeCell ref="A94:L94"/>
    <mergeCell ref="A95:C95"/>
    <mergeCell ref="A96:A97"/>
    <mergeCell ref="B96:B97"/>
    <mergeCell ref="C96:E96"/>
    <mergeCell ref="H96:K96"/>
    <mergeCell ref="L96:L97"/>
    <mergeCell ref="A70:L70"/>
    <mergeCell ref="A71:L71"/>
    <mergeCell ref="A72:C72"/>
    <mergeCell ref="A73:A74"/>
    <mergeCell ref="B73:B74"/>
    <mergeCell ref="C73:E73"/>
    <mergeCell ref="H73:K73"/>
    <mergeCell ref="L73:L74"/>
    <mergeCell ref="A47:L47"/>
    <mergeCell ref="A48:L48"/>
    <mergeCell ref="A49:C49"/>
    <mergeCell ref="A50:A51"/>
    <mergeCell ref="B50:B51"/>
    <mergeCell ref="C50:E50"/>
    <mergeCell ref="H50:K50"/>
    <mergeCell ref="L50:L51"/>
    <mergeCell ref="A24:L24"/>
    <mergeCell ref="A25:L25"/>
    <mergeCell ref="A26:C26"/>
    <mergeCell ref="A27:A28"/>
    <mergeCell ref="B27:B28"/>
    <mergeCell ref="C27:E27"/>
    <mergeCell ref="H27:K27"/>
    <mergeCell ref="L27:L28"/>
    <mergeCell ref="A1:L1"/>
    <mergeCell ref="A3:C3"/>
    <mergeCell ref="C4:E4"/>
    <mergeCell ref="H4:K4"/>
    <mergeCell ref="A2:L2"/>
    <mergeCell ref="A4:A5"/>
    <mergeCell ref="B4:B5"/>
    <mergeCell ref="L4:L5"/>
  </mergeCells>
  <phoneticPr fontId="0" type="noConversion"/>
  <pageMargins left="0.78740157480314965" right="0.19685039370078741" top="0.39370078740157483" bottom="0.39370078740157483" header="0.31496062992125984" footer="0.15748031496062992"/>
  <pageSetup paperSize="5" scale="98" orientation="landscape" r:id="rId1"/>
  <headerFooter>
    <oddFooter>&amp;Z&amp;F&amp;RPage &amp;P</oddFooter>
  </headerFooter>
  <rowBreaks count="8" manualBreakCount="8">
    <brk id="23" max="16383" man="1"/>
    <brk id="46" max="16383" man="1"/>
    <brk id="69" max="16383" man="1"/>
    <brk id="92" max="16383" man="1"/>
    <brk id="115" max="16383" man="1"/>
    <brk id="138" max="16383" man="1"/>
    <brk id="161" max="16383" man="1"/>
    <brk id="184"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7"/>
  <sheetViews>
    <sheetView tabSelected="1" view="pageBreakPreview" zoomScaleNormal="100" zoomScaleSheetLayoutView="100" workbookViewId="0">
      <selection sqref="A1:L1"/>
    </sheetView>
  </sheetViews>
  <sheetFormatPr defaultColWidth="9.109375" defaultRowHeight="20.399999999999999"/>
  <cols>
    <col min="1" max="1" width="4.109375" style="10" customWidth="1"/>
    <col min="2" max="2" width="24.33203125" style="10" customWidth="1"/>
    <col min="3" max="3" width="21.109375" style="10" customWidth="1"/>
    <col min="4" max="4" width="14.5546875" style="10" customWidth="1"/>
    <col min="5" max="5" width="21.88671875" style="10" customWidth="1"/>
    <col min="6" max="6" width="14.88671875" style="10" customWidth="1"/>
    <col min="7" max="7" width="15.5546875" style="10" customWidth="1"/>
    <col min="8" max="8" width="12.6640625" style="10" customWidth="1"/>
    <col min="9" max="9" width="18.6640625" style="10" customWidth="1"/>
    <col min="10" max="10" width="10.5546875" style="10" customWidth="1"/>
    <col min="11" max="11" width="9.88671875" style="10" customWidth="1"/>
    <col min="12" max="12" width="46.6640625" style="10" customWidth="1"/>
    <col min="13" max="13" width="25.109375" style="186" customWidth="1"/>
    <col min="14" max="16384" width="9.109375" style="1"/>
  </cols>
  <sheetData>
    <row r="1" spans="1:13">
      <c r="A1" s="335" t="s">
        <v>156</v>
      </c>
      <c r="B1" s="336"/>
      <c r="C1" s="336"/>
      <c r="D1" s="336"/>
      <c r="E1" s="336"/>
      <c r="F1" s="336"/>
      <c r="G1" s="336"/>
      <c r="H1" s="336"/>
      <c r="I1" s="336"/>
      <c r="J1" s="336"/>
      <c r="K1" s="336"/>
      <c r="L1" s="336"/>
    </row>
    <row r="2" spans="1:13">
      <c r="A2" s="335" t="s">
        <v>17</v>
      </c>
      <c r="B2" s="336"/>
      <c r="C2" s="336"/>
      <c r="D2" s="336"/>
      <c r="E2" s="336"/>
      <c r="F2" s="336"/>
      <c r="G2" s="336"/>
      <c r="H2" s="336"/>
      <c r="I2" s="336"/>
      <c r="J2" s="336"/>
      <c r="K2" s="336"/>
      <c r="L2" s="336"/>
    </row>
    <row r="3" spans="1:13" ht="18.75" customHeight="1">
      <c r="A3" s="384" t="s">
        <v>53</v>
      </c>
      <c r="B3" s="385"/>
      <c r="C3" s="385"/>
      <c r="D3" s="6"/>
      <c r="E3" s="6"/>
      <c r="F3" s="6"/>
      <c r="G3" s="6"/>
      <c r="H3" s="6"/>
      <c r="I3" s="6"/>
      <c r="J3" s="6"/>
      <c r="K3" s="6"/>
      <c r="L3" s="12" t="s">
        <v>2</v>
      </c>
    </row>
    <row r="4" spans="1:13" ht="37.5" customHeight="1">
      <c r="A4" s="390" t="s">
        <v>35</v>
      </c>
      <c r="B4" s="390" t="s">
        <v>84</v>
      </c>
      <c r="C4" s="386" t="s">
        <v>85</v>
      </c>
      <c r="D4" s="387"/>
      <c r="E4" s="387"/>
      <c r="F4" s="13" t="s">
        <v>86</v>
      </c>
      <c r="G4" s="13" t="s">
        <v>110</v>
      </c>
      <c r="H4" s="388" t="s">
        <v>157</v>
      </c>
      <c r="I4" s="389"/>
      <c r="J4" s="389"/>
      <c r="K4" s="389"/>
      <c r="L4" s="390" t="s">
        <v>87</v>
      </c>
    </row>
    <row r="5" spans="1:13" ht="54.75" customHeight="1">
      <c r="A5" s="399"/>
      <c r="B5" s="399"/>
      <c r="C5" s="13" t="s">
        <v>139</v>
      </c>
      <c r="D5" s="13" t="s">
        <v>142</v>
      </c>
      <c r="E5" s="13" t="s">
        <v>143</v>
      </c>
      <c r="F5" s="13" t="s">
        <v>144</v>
      </c>
      <c r="G5" s="13" t="s">
        <v>144</v>
      </c>
      <c r="H5" s="13" t="s">
        <v>88</v>
      </c>
      <c r="I5" s="13" t="s">
        <v>89</v>
      </c>
      <c r="J5" s="13" t="s">
        <v>90</v>
      </c>
      <c r="K5" s="13" t="s">
        <v>91</v>
      </c>
      <c r="L5" s="391"/>
    </row>
    <row r="6" spans="1:13" s="15" customFormat="1" ht="18" customHeight="1">
      <c r="A6" s="14">
        <v>1</v>
      </c>
      <c r="B6" s="14">
        <v>2</v>
      </c>
      <c r="C6" s="14">
        <v>3</v>
      </c>
      <c r="D6" s="14">
        <v>4</v>
      </c>
      <c r="E6" s="14">
        <v>5</v>
      </c>
      <c r="F6" s="14">
        <v>6</v>
      </c>
      <c r="G6" s="14">
        <v>7</v>
      </c>
      <c r="H6" s="14">
        <v>8</v>
      </c>
      <c r="I6" s="14">
        <v>9</v>
      </c>
      <c r="J6" s="14">
        <v>10</v>
      </c>
      <c r="K6" s="14">
        <v>11</v>
      </c>
      <c r="L6" s="14">
        <v>12</v>
      </c>
      <c r="M6" s="187"/>
    </row>
    <row r="7" spans="1:13" ht="61.5" customHeight="1">
      <c r="A7" s="7">
        <v>1</v>
      </c>
      <c r="B7" s="16" t="s">
        <v>92</v>
      </c>
      <c r="C7" s="8">
        <f>'Page-4'!C191</f>
        <v>1062697</v>
      </c>
      <c r="D7" s="8">
        <f>'Page-4'!D191</f>
        <v>1286858</v>
      </c>
      <c r="E7" s="8">
        <f>'Page-4'!E191</f>
        <v>1347942</v>
      </c>
      <c r="F7" s="8">
        <f>'Page-4'!F191</f>
        <v>2479253</v>
      </c>
      <c r="G7" s="8">
        <f>'Page-4'!G191</f>
        <v>2499349</v>
      </c>
      <c r="H7" s="8">
        <v>0</v>
      </c>
      <c r="I7" s="176">
        <f>'Page-4'!H191</f>
        <v>2684990</v>
      </c>
      <c r="J7" s="8">
        <v>0</v>
      </c>
      <c r="K7" s="8">
        <v>0</v>
      </c>
      <c r="L7" s="68" t="s">
        <v>160</v>
      </c>
    </row>
    <row r="8" spans="1:13" ht="66" customHeight="1">
      <c r="A8" s="7">
        <v>2</v>
      </c>
      <c r="B8" s="16" t="s">
        <v>93</v>
      </c>
      <c r="C8" s="8">
        <f>'Page-4'!C192</f>
        <v>1043</v>
      </c>
      <c r="D8" s="8">
        <f>'Page-4'!D192</f>
        <v>893</v>
      </c>
      <c r="E8" s="8">
        <f>'Page-4'!E192</f>
        <v>979</v>
      </c>
      <c r="F8" s="8">
        <f>'Page-4'!F192</f>
        <v>5435</v>
      </c>
      <c r="G8" s="8">
        <f>'Page-4'!G192</f>
        <v>5435</v>
      </c>
      <c r="H8" s="8">
        <v>0</v>
      </c>
      <c r="I8" s="176">
        <f>'Page-4'!H192</f>
        <v>5640</v>
      </c>
      <c r="J8" s="8">
        <v>0</v>
      </c>
      <c r="K8" s="8">
        <v>0</v>
      </c>
      <c r="L8" s="20" t="s">
        <v>131</v>
      </c>
    </row>
    <row r="9" spans="1:13" ht="236.25" customHeight="1">
      <c r="A9" s="7">
        <v>3</v>
      </c>
      <c r="B9" s="16" t="s">
        <v>94</v>
      </c>
      <c r="C9" s="8">
        <f>'Page-4'!C193</f>
        <v>17990</v>
      </c>
      <c r="D9" s="8">
        <f>'Page-4'!D193</f>
        <v>19296</v>
      </c>
      <c r="E9" s="8">
        <f>'Page-4'!E193</f>
        <v>24183</v>
      </c>
      <c r="F9" s="8">
        <f>'Page-4'!F193</f>
        <v>74334</v>
      </c>
      <c r="G9" s="8">
        <f>'Page-4'!G193</f>
        <v>74334</v>
      </c>
      <c r="H9" s="8">
        <v>0</v>
      </c>
      <c r="I9" s="176">
        <f>'Page-4'!H193</f>
        <v>75822</v>
      </c>
      <c r="J9" s="8">
        <v>0</v>
      </c>
      <c r="K9" s="8">
        <v>0</v>
      </c>
      <c r="L9" s="20" t="s">
        <v>147</v>
      </c>
    </row>
    <row r="10" spans="1:13" ht="109.5" customHeight="1">
      <c r="A10" s="7">
        <v>4</v>
      </c>
      <c r="B10" s="172" t="s">
        <v>118</v>
      </c>
      <c r="C10" s="8">
        <f>'Page-4'!C194</f>
        <v>793</v>
      </c>
      <c r="D10" s="8">
        <f>'Page-4'!D194</f>
        <v>1257</v>
      </c>
      <c r="E10" s="8">
        <f>'Page-4'!E194</f>
        <v>2769</v>
      </c>
      <c r="F10" s="8">
        <f>'Page-4'!F194</f>
        <v>4330</v>
      </c>
      <c r="G10" s="8">
        <f>'Page-4'!G194</f>
        <v>4330</v>
      </c>
      <c r="H10" s="8">
        <v>0</v>
      </c>
      <c r="I10" s="176">
        <f>'Page-4'!H194</f>
        <v>7770</v>
      </c>
      <c r="J10" s="8">
        <f>'[1]Page 4'!J186</f>
        <v>0</v>
      </c>
      <c r="K10" s="8">
        <f>'[1]Page 4'!K186</f>
        <v>0</v>
      </c>
      <c r="L10" s="20" t="s">
        <v>141</v>
      </c>
    </row>
    <row r="11" spans="1:13" ht="147.75" customHeight="1">
      <c r="A11" s="7">
        <v>5</v>
      </c>
      <c r="B11" s="16" t="s">
        <v>115</v>
      </c>
      <c r="C11" s="8">
        <f>'Page-4'!C195</f>
        <v>2308</v>
      </c>
      <c r="D11" s="8">
        <f>'Page-4'!D195</f>
        <v>2170</v>
      </c>
      <c r="E11" s="8">
        <f>'Page-4'!E195</f>
        <v>2604</v>
      </c>
      <c r="F11" s="8">
        <f>'Page-4'!F195</f>
        <v>17825</v>
      </c>
      <c r="G11" s="8">
        <f>'Page-4'!G195</f>
        <v>18000</v>
      </c>
      <c r="H11" s="8">
        <v>0</v>
      </c>
      <c r="I11" s="176">
        <f>'Page-4'!H195</f>
        <v>19470</v>
      </c>
      <c r="J11" s="8">
        <v>0</v>
      </c>
      <c r="K11" s="8">
        <v>0</v>
      </c>
      <c r="L11" s="20" t="s">
        <v>148</v>
      </c>
    </row>
    <row r="12" spans="1:13" ht="189" customHeight="1">
      <c r="A12" s="7">
        <v>6</v>
      </c>
      <c r="B12" s="16" t="s">
        <v>96</v>
      </c>
      <c r="C12" s="8">
        <f>'Page-4'!C196</f>
        <v>40775</v>
      </c>
      <c r="D12" s="8">
        <f>'Page-4'!D196</f>
        <v>32492</v>
      </c>
      <c r="E12" s="8">
        <f>'Page-4'!E196</f>
        <v>30533</v>
      </c>
      <c r="F12" s="8">
        <f>'Page-4'!F196</f>
        <v>94371</v>
      </c>
      <c r="G12" s="8">
        <f>'Page-4'!G196</f>
        <v>94981</v>
      </c>
      <c r="H12" s="8">
        <v>0</v>
      </c>
      <c r="I12" s="176">
        <f>'Page-4'!H196</f>
        <v>110181</v>
      </c>
      <c r="J12" s="8">
        <v>0</v>
      </c>
      <c r="K12" s="8">
        <v>0</v>
      </c>
      <c r="L12" s="20" t="s">
        <v>149</v>
      </c>
    </row>
    <row r="13" spans="1:13" ht="81" customHeight="1">
      <c r="A13" s="7">
        <v>7</v>
      </c>
      <c r="B13" s="16" t="s">
        <v>108</v>
      </c>
      <c r="C13" s="8">
        <f>'Page-4'!C197</f>
        <v>5835</v>
      </c>
      <c r="D13" s="8">
        <f>'Page-4'!D197</f>
        <v>3648</v>
      </c>
      <c r="E13" s="8">
        <f>'Page-4'!E197</f>
        <v>2163</v>
      </c>
      <c r="F13" s="8">
        <f>'Page-4'!F197</f>
        <v>14342</v>
      </c>
      <c r="G13" s="8">
        <f>'Page-4'!G197</f>
        <v>14347</v>
      </c>
      <c r="H13" s="8">
        <v>0</v>
      </c>
      <c r="I13" s="176">
        <f>'Page-4'!H197</f>
        <v>15400</v>
      </c>
      <c r="J13" s="8">
        <v>0</v>
      </c>
      <c r="K13" s="8">
        <v>0</v>
      </c>
      <c r="L13" s="20" t="s">
        <v>132</v>
      </c>
    </row>
    <row r="14" spans="1:13" s="173" customFormat="1" ht="63" customHeight="1">
      <c r="A14" s="7">
        <v>8</v>
      </c>
      <c r="B14" s="172" t="s">
        <v>119</v>
      </c>
      <c r="C14" s="8">
        <f>'Page-4'!C198</f>
        <v>0</v>
      </c>
      <c r="D14" s="8">
        <f>'Page-4'!D198</f>
        <v>0</v>
      </c>
      <c r="E14" s="8">
        <f>'Page-4'!E198</f>
        <v>0</v>
      </c>
      <c r="F14" s="8">
        <f>'Page-4'!F198</f>
        <v>800</v>
      </c>
      <c r="G14" s="8">
        <f>'Page-4'!G198</f>
        <v>800</v>
      </c>
      <c r="H14" s="8">
        <v>0</v>
      </c>
      <c r="I14" s="176">
        <f>'Page-4'!H198</f>
        <v>300</v>
      </c>
      <c r="J14" s="8">
        <f>'[1]Page 4'!J190</f>
        <v>0</v>
      </c>
      <c r="K14" s="8">
        <f>'[1]Page 4'!K190</f>
        <v>0</v>
      </c>
      <c r="L14" s="20" t="s">
        <v>133</v>
      </c>
      <c r="M14" s="188"/>
    </row>
    <row r="15" spans="1:13" ht="76.5" customHeight="1">
      <c r="A15" s="7">
        <v>9</v>
      </c>
      <c r="B15" s="16" t="s">
        <v>97</v>
      </c>
      <c r="C15" s="8">
        <f>'Page-4'!C199</f>
        <v>33</v>
      </c>
      <c r="D15" s="8">
        <f>'Page-4'!D199</f>
        <v>44</v>
      </c>
      <c r="E15" s="8">
        <f>'Page-4'!E199</f>
        <v>101</v>
      </c>
      <c r="F15" s="8">
        <f>'Page-4'!F199</f>
        <v>16605</v>
      </c>
      <c r="G15" s="8">
        <f>'Page-4'!G199</f>
        <v>16610</v>
      </c>
      <c r="H15" s="8">
        <v>0</v>
      </c>
      <c r="I15" s="176">
        <f>'Page-4'!H199</f>
        <v>44540</v>
      </c>
      <c r="J15" s="8">
        <v>0</v>
      </c>
      <c r="K15" s="8">
        <v>0</v>
      </c>
      <c r="L15" s="20" t="s">
        <v>134</v>
      </c>
    </row>
    <row r="16" spans="1:13" s="173" customFormat="1" ht="111" customHeight="1">
      <c r="A16" s="7">
        <v>10</v>
      </c>
      <c r="B16" s="172" t="s">
        <v>98</v>
      </c>
      <c r="C16" s="8">
        <f>'Page-4'!C200</f>
        <v>0</v>
      </c>
      <c r="D16" s="8">
        <f>'Page-4'!D200</f>
        <v>0</v>
      </c>
      <c r="E16" s="8">
        <f>'Page-4'!E200</f>
        <v>0</v>
      </c>
      <c r="F16" s="8">
        <f>'Page-4'!F200</f>
        <v>680</v>
      </c>
      <c r="G16" s="8">
        <f>'Page-4'!G200</f>
        <v>680</v>
      </c>
      <c r="H16" s="8">
        <v>0</v>
      </c>
      <c r="I16" s="176">
        <f>'Page-4'!H200</f>
        <v>680</v>
      </c>
      <c r="J16" s="8">
        <f>'[1]Page 4'!J192</f>
        <v>0</v>
      </c>
      <c r="K16" s="8">
        <f>'[1]Page 4'!K192</f>
        <v>0</v>
      </c>
      <c r="L16" s="20" t="s">
        <v>135</v>
      </c>
      <c r="M16" s="188"/>
    </row>
    <row r="17" spans="1:13" ht="78.75" customHeight="1">
      <c r="A17" s="7">
        <v>11</v>
      </c>
      <c r="B17" s="16" t="s">
        <v>99</v>
      </c>
      <c r="C17" s="8">
        <f>'Page-4'!C201</f>
        <v>5221</v>
      </c>
      <c r="D17" s="8">
        <f>'Page-4'!D201</f>
        <v>4880</v>
      </c>
      <c r="E17" s="8">
        <f>'Page-4'!E201</f>
        <v>5291</v>
      </c>
      <c r="F17" s="8">
        <f>'Page-4'!F201</f>
        <v>29713</v>
      </c>
      <c r="G17" s="8">
        <f>'Page-4'!G201</f>
        <v>30000</v>
      </c>
      <c r="H17" s="8">
        <v>0</v>
      </c>
      <c r="I17" s="176">
        <f>'Page-4'!H201</f>
        <v>30350</v>
      </c>
      <c r="J17" s="8">
        <v>0</v>
      </c>
      <c r="K17" s="8">
        <v>0</v>
      </c>
      <c r="L17" s="20" t="s">
        <v>155</v>
      </c>
    </row>
    <row r="18" spans="1:13" ht="33.75" customHeight="1">
      <c r="A18" s="7">
        <v>12</v>
      </c>
      <c r="B18" s="16" t="s">
        <v>100</v>
      </c>
      <c r="C18" s="8">
        <f>'Page-4'!C202</f>
        <v>0</v>
      </c>
      <c r="D18" s="8">
        <f>'Page-4'!D202</f>
        <v>1121</v>
      </c>
      <c r="E18" s="8">
        <f>'Page-4'!E202</f>
        <v>564</v>
      </c>
      <c r="F18" s="8">
        <f>'Page-4'!F202</f>
        <v>17195</v>
      </c>
      <c r="G18" s="8">
        <f>'Page-4'!G202</f>
        <v>17195</v>
      </c>
      <c r="H18" s="8">
        <v>0</v>
      </c>
      <c r="I18" s="176">
        <f>'Page-4'!H202</f>
        <v>17402</v>
      </c>
      <c r="J18" s="8">
        <v>0</v>
      </c>
      <c r="K18" s="8">
        <v>0</v>
      </c>
      <c r="L18" s="20" t="s">
        <v>136</v>
      </c>
    </row>
    <row r="19" spans="1:13" s="19" customFormat="1" ht="47.25" customHeight="1">
      <c r="A19" s="51">
        <v>13</v>
      </c>
      <c r="B19" s="172" t="s">
        <v>101</v>
      </c>
      <c r="C19" s="8">
        <f>'Page-4'!C203</f>
        <v>0</v>
      </c>
      <c r="D19" s="8">
        <f>'Page-4'!D203</f>
        <v>0</v>
      </c>
      <c r="E19" s="8">
        <f>'Page-4'!E203</f>
        <v>0</v>
      </c>
      <c r="F19" s="8">
        <f>'Page-4'!F203</f>
        <v>1280</v>
      </c>
      <c r="G19" s="8">
        <f>'Page-4'!G203</f>
        <v>1280</v>
      </c>
      <c r="H19" s="52">
        <v>0</v>
      </c>
      <c r="I19" s="176">
        <f>'Page-4'!H203</f>
        <v>1280</v>
      </c>
      <c r="J19" s="52">
        <v>0</v>
      </c>
      <c r="K19" s="52">
        <v>0</v>
      </c>
      <c r="L19" s="259" t="s">
        <v>154</v>
      </c>
      <c r="M19" s="260"/>
    </row>
    <row r="20" spans="1:13" ht="83.25" customHeight="1">
      <c r="A20" s="7">
        <v>14</v>
      </c>
      <c r="B20" s="16" t="s">
        <v>102</v>
      </c>
      <c r="C20" s="8">
        <f>'Page-4'!C204</f>
        <v>0</v>
      </c>
      <c r="D20" s="8">
        <f>'Page-4'!D204</f>
        <v>0</v>
      </c>
      <c r="E20" s="8">
        <f>'Page-4'!E204</f>
        <v>0</v>
      </c>
      <c r="F20" s="8">
        <f>'Page-4'!F204</f>
        <v>4550</v>
      </c>
      <c r="G20" s="8">
        <f>'Page-4'!G204</f>
        <v>4550</v>
      </c>
      <c r="H20" s="8">
        <v>0</v>
      </c>
      <c r="I20" s="176">
        <f>'Page-4'!H204</f>
        <v>30250</v>
      </c>
      <c r="J20" s="8">
        <v>0</v>
      </c>
      <c r="K20" s="8">
        <v>0</v>
      </c>
      <c r="L20" s="20" t="s">
        <v>130</v>
      </c>
      <c r="M20" s="189"/>
    </row>
    <row r="21" spans="1:13" ht="36.75" customHeight="1">
      <c r="A21" s="7">
        <v>15</v>
      </c>
      <c r="B21" s="16" t="s">
        <v>103</v>
      </c>
      <c r="C21" s="8">
        <f>'Page-4'!C205</f>
        <v>261</v>
      </c>
      <c r="D21" s="8">
        <f>'Page-4'!D205</f>
        <v>109</v>
      </c>
      <c r="E21" s="8">
        <f>'Page-4'!E205</f>
        <v>302</v>
      </c>
      <c r="F21" s="8">
        <f>'Page-4'!F205</f>
        <v>5960</v>
      </c>
      <c r="G21" s="8">
        <f>'Page-4'!G205</f>
        <v>6060</v>
      </c>
      <c r="H21" s="8">
        <v>0</v>
      </c>
      <c r="I21" s="176">
        <f>'Page-4'!H205</f>
        <v>7870</v>
      </c>
      <c r="J21" s="8">
        <v>0</v>
      </c>
      <c r="K21" s="8">
        <v>0</v>
      </c>
      <c r="L21" s="20" t="s">
        <v>120</v>
      </c>
    </row>
    <row r="22" spans="1:13" ht="31.5" customHeight="1" thickBot="1">
      <c r="A22" s="69" t="s">
        <v>0</v>
      </c>
      <c r="B22" s="70" t="s">
        <v>9</v>
      </c>
      <c r="C22" s="71">
        <f>SUM(C7:C21)</f>
        <v>1136956</v>
      </c>
      <c r="D22" s="71">
        <f t="shared" ref="D22:K22" si="0">SUM(D7:D21)</f>
        <v>1352768</v>
      </c>
      <c r="E22" s="71">
        <f t="shared" si="0"/>
        <v>1417431</v>
      </c>
      <c r="F22" s="71">
        <f t="shared" si="0"/>
        <v>2766673</v>
      </c>
      <c r="G22" s="71">
        <f t="shared" si="0"/>
        <v>2787951</v>
      </c>
      <c r="H22" s="71">
        <f t="shared" si="0"/>
        <v>0</v>
      </c>
      <c r="I22" s="71">
        <f t="shared" si="0"/>
        <v>3051945</v>
      </c>
      <c r="J22" s="71">
        <f t="shared" si="0"/>
        <v>0</v>
      </c>
      <c r="K22" s="71">
        <f t="shared" si="0"/>
        <v>0</v>
      </c>
      <c r="L22" s="72" t="s">
        <v>36</v>
      </c>
    </row>
    <row r="23" spans="1:13" ht="21" thickTop="1">
      <c r="L23" s="174"/>
    </row>
    <row r="24" spans="1:13" ht="30" customHeight="1"/>
    <row r="27" spans="1:13" s="10" customFormat="1">
      <c r="J27" s="398" t="s">
        <v>150</v>
      </c>
      <c r="K27" s="398"/>
      <c r="L27" s="398"/>
      <c r="M27" s="188"/>
    </row>
  </sheetData>
  <mergeCells count="9">
    <mergeCell ref="J27:L27"/>
    <mergeCell ref="A1:L1"/>
    <mergeCell ref="A2:L2"/>
    <mergeCell ref="A3:C3"/>
    <mergeCell ref="A4:A5"/>
    <mergeCell ref="B4:B5"/>
    <mergeCell ref="C4:E4"/>
    <mergeCell ref="H4:K4"/>
    <mergeCell ref="L4:L5"/>
  </mergeCells>
  <phoneticPr fontId="14" type="noConversion"/>
  <pageMargins left="0.78740157480314965" right="0.15748031496062992" top="0.39370078740157483" bottom="0.39370078740157483" header="0.19685039370078741" footer="0.15748031496062992"/>
  <pageSetup paperSize="5" scale="78" orientation="landscape" r:id="rId1"/>
  <headerFooter alignWithMargins="0">
    <oddFooter>&amp;Z&amp;F&amp;RPage &amp;P</oddFooter>
  </headerFooter>
  <rowBreaks count="2" manualBreakCount="2">
    <brk id="10" max="11" man="1"/>
    <brk id="15" max="1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view="pageBreakPreview" zoomScaleNormal="100" zoomScaleSheetLayoutView="100" workbookViewId="0">
      <selection activeCell="F17" sqref="F17"/>
    </sheetView>
  </sheetViews>
  <sheetFormatPr defaultColWidth="9.109375" defaultRowHeight="13.8"/>
  <cols>
    <col min="1" max="1" width="5.6640625" style="127" customWidth="1"/>
    <col min="2" max="2" width="29.33203125" style="127" customWidth="1"/>
    <col min="3" max="3" width="13.44140625" style="127" customWidth="1"/>
    <col min="4" max="4" width="13" style="127" customWidth="1"/>
    <col min="5" max="5" width="13.44140625" style="127" customWidth="1"/>
    <col min="6" max="6" width="14.44140625" style="127" customWidth="1"/>
    <col min="7" max="7" width="14" style="127" customWidth="1"/>
    <col min="8" max="8" width="13.44140625" style="127" customWidth="1"/>
    <col min="9" max="9" width="13.88671875" style="127" customWidth="1"/>
    <col min="10" max="10" width="16" style="127" customWidth="1"/>
    <col min="11" max="16384" width="9.109375" style="127"/>
  </cols>
  <sheetData>
    <row r="1" spans="1:10" ht="18" customHeight="1">
      <c r="A1" s="402" t="s">
        <v>158</v>
      </c>
      <c r="B1" s="402"/>
      <c r="C1" s="402"/>
      <c r="D1" s="402"/>
      <c r="E1" s="402"/>
      <c r="F1" s="402"/>
      <c r="G1" s="402"/>
      <c r="H1" s="402"/>
      <c r="I1" s="402"/>
      <c r="J1" s="402"/>
    </row>
    <row r="2" spans="1:10" ht="18" customHeight="1">
      <c r="A2" s="402" t="s">
        <v>116</v>
      </c>
      <c r="B2" s="402"/>
      <c r="C2" s="402"/>
      <c r="D2" s="402"/>
      <c r="E2" s="402"/>
      <c r="F2" s="402"/>
      <c r="G2" s="402"/>
      <c r="H2" s="402"/>
      <c r="I2" s="402"/>
      <c r="J2" s="402"/>
    </row>
    <row r="3" spans="1:10" ht="18.75" customHeight="1">
      <c r="A3" s="403" t="s">
        <v>2</v>
      </c>
      <c r="B3" s="403"/>
      <c r="C3" s="403"/>
      <c r="D3" s="403"/>
      <c r="E3" s="403"/>
      <c r="F3" s="403"/>
      <c r="G3" s="403"/>
      <c r="H3" s="403"/>
      <c r="I3" s="403"/>
      <c r="J3" s="403"/>
    </row>
    <row r="4" spans="1:10" ht="23.25" customHeight="1">
      <c r="A4" s="132" t="s">
        <v>35</v>
      </c>
      <c r="B4" s="132" t="s">
        <v>114</v>
      </c>
      <c r="C4" s="133" t="s">
        <v>59</v>
      </c>
      <c r="D4" s="133" t="s">
        <v>70</v>
      </c>
      <c r="E4" s="133" t="s">
        <v>71</v>
      </c>
      <c r="F4" s="133" t="s">
        <v>72</v>
      </c>
      <c r="G4" s="133" t="s">
        <v>73</v>
      </c>
      <c r="H4" s="133" t="s">
        <v>74</v>
      </c>
      <c r="I4" s="133" t="s">
        <v>75</v>
      </c>
      <c r="J4" s="133" t="s">
        <v>9</v>
      </c>
    </row>
    <row r="5" spans="1:10">
      <c r="A5" s="128">
        <v>1</v>
      </c>
      <c r="B5" s="129" t="s">
        <v>92</v>
      </c>
      <c r="C5" s="129">
        <f>'Page-4'!H7</f>
        <v>221383</v>
      </c>
      <c r="D5" s="129">
        <f>'Page-4'!H30</f>
        <v>292560</v>
      </c>
      <c r="E5" s="129">
        <f>'Page-4'!H53</f>
        <v>311464</v>
      </c>
      <c r="F5" s="129">
        <f>'Page-4'!H76</f>
        <v>487692</v>
      </c>
      <c r="G5" s="129">
        <f>'Page-4'!H99</f>
        <v>612773</v>
      </c>
      <c r="H5" s="129">
        <f>'Page-4'!H122</f>
        <v>490948</v>
      </c>
      <c r="I5" s="129">
        <f>'Page-4'!H145</f>
        <v>268170</v>
      </c>
      <c r="J5" s="135">
        <f>C5+D5+E5+F5+G5+H5+I5</f>
        <v>2684990</v>
      </c>
    </row>
    <row r="6" spans="1:10">
      <c r="A6" s="128">
        <v>2</v>
      </c>
      <c r="B6" s="129" t="s">
        <v>105</v>
      </c>
      <c r="C6" s="129">
        <f>'Page-4'!H8</f>
        <v>400</v>
      </c>
      <c r="D6" s="129">
        <f>'Page-4'!H31</f>
        <v>370</v>
      </c>
      <c r="E6" s="129">
        <f>'Page-4'!H54</f>
        <v>300</v>
      </c>
      <c r="F6" s="129">
        <f>'Page-4'!H77</f>
        <v>800</v>
      </c>
      <c r="G6" s="129">
        <f>'Page-4'!H100</f>
        <v>1800</v>
      </c>
      <c r="H6" s="129">
        <f>'Page-4'!H123</f>
        <v>1270</v>
      </c>
      <c r="I6" s="129">
        <f>'Page-4'!H146</f>
        <v>700</v>
      </c>
      <c r="J6" s="135">
        <f t="shared" ref="J6:J20" si="0">C6+D6+E6+F6+G6+H6+I6</f>
        <v>5640</v>
      </c>
    </row>
    <row r="7" spans="1:10" ht="20.25" customHeight="1">
      <c r="A7" s="128">
        <v>3</v>
      </c>
      <c r="B7" s="129" t="s">
        <v>104</v>
      </c>
      <c r="C7" s="129">
        <f>'Page-4'!H9</f>
        <v>12922</v>
      </c>
      <c r="D7" s="129">
        <f>'Page-4'!H32</f>
        <v>7500</v>
      </c>
      <c r="E7" s="129">
        <f>'Page-4'!H55</f>
        <v>12500</v>
      </c>
      <c r="F7" s="129">
        <f>'Page-4'!H78</f>
        <v>10000</v>
      </c>
      <c r="G7" s="129">
        <f>'Page-4'!H101</f>
        <v>15600</v>
      </c>
      <c r="H7" s="129">
        <f>'Page-4'!H124</f>
        <v>10300</v>
      </c>
      <c r="I7" s="129">
        <f>'Page-4'!H147</f>
        <v>7000</v>
      </c>
      <c r="J7" s="135">
        <f t="shared" si="0"/>
        <v>75822</v>
      </c>
    </row>
    <row r="8" spans="1:10" ht="20.25" customHeight="1">
      <c r="A8" s="128">
        <v>4</v>
      </c>
      <c r="B8" s="175" t="s">
        <v>118</v>
      </c>
      <c r="C8" s="129">
        <f>'Page-4'!H10</f>
        <v>420</v>
      </c>
      <c r="D8" s="129">
        <f>'Page-4'!H33</f>
        <v>500</v>
      </c>
      <c r="E8" s="129">
        <f>'Page-4'!H56</f>
        <v>1700</v>
      </c>
      <c r="F8" s="129">
        <f>'Page-4'!H79</f>
        <v>450</v>
      </c>
      <c r="G8" s="129">
        <f>'Page-4'!H102</f>
        <v>420</v>
      </c>
      <c r="H8" s="129">
        <f>'Page-4'!H125</f>
        <v>3800</v>
      </c>
      <c r="I8" s="129">
        <f>'Page-4'!H148</f>
        <v>480</v>
      </c>
      <c r="J8" s="135">
        <f>C8+D8+E8+F8+G8+H8+I8</f>
        <v>7770</v>
      </c>
    </row>
    <row r="9" spans="1:10">
      <c r="A9" s="128">
        <v>5</v>
      </c>
      <c r="B9" s="129" t="s">
        <v>115</v>
      </c>
      <c r="C9" s="129">
        <f>'Page-4'!H11</f>
        <v>700</v>
      </c>
      <c r="D9" s="129">
        <f>'Page-4'!H34</f>
        <v>1000</v>
      </c>
      <c r="E9" s="129">
        <f>'Page-4'!H57</f>
        <v>1200</v>
      </c>
      <c r="F9" s="129">
        <f>'Page-4'!H80</f>
        <v>4000</v>
      </c>
      <c r="G9" s="129">
        <f>'Page-4'!H103</f>
        <v>6000</v>
      </c>
      <c r="H9" s="129">
        <f>'Page-4'!H126</f>
        <v>4570</v>
      </c>
      <c r="I9" s="129">
        <f>'Page-4'!H149</f>
        <v>2000</v>
      </c>
      <c r="J9" s="135">
        <f t="shared" si="0"/>
        <v>19470</v>
      </c>
    </row>
    <row r="10" spans="1:10">
      <c r="A10" s="128">
        <v>6</v>
      </c>
      <c r="B10" s="129" t="s">
        <v>96</v>
      </c>
      <c r="C10" s="129">
        <f>'Page-4'!H12</f>
        <v>9081</v>
      </c>
      <c r="D10" s="129">
        <f>'Page-4'!H35</f>
        <v>20000</v>
      </c>
      <c r="E10" s="129">
        <f>'Page-4'!H58</f>
        <v>9600</v>
      </c>
      <c r="F10" s="129">
        <f>'Page-4'!H81</f>
        <v>10000</v>
      </c>
      <c r="G10" s="129">
        <f>'Page-4'!H104</f>
        <v>40000</v>
      </c>
      <c r="H10" s="129">
        <f>'Page-4'!H127</f>
        <v>12500</v>
      </c>
      <c r="I10" s="129">
        <f>'Page-4'!H150</f>
        <v>9000</v>
      </c>
      <c r="J10" s="135">
        <f t="shared" si="0"/>
        <v>110181</v>
      </c>
    </row>
    <row r="11" spans="1:10">
      <c r="A11" s="128">
        <v>7</v>
      </c>
      <c r="B11" s="129" t="s">
        <v>107</v>
      </c>
      <c r="C11" s="129">
        <f>'Page-4'!H13</f>
        <v>0</v>
      </c>
      <c r="D11" s="129">
        <f>'Page-4'!H36</f>
        <v>0</v>
      </c>
      <c r="E11" s="129">
        <f>'Page-4'!H59</f>
        <v>500</v>
      </c>
      <c r="F11" s="129">
        <f>'Page-4'!H82</f>
        <v>7500</v>
      </c>
      <c r="G11" s="129">
        <f>'Page-4'!H105</f>
        <v>4200</v>
      </c>
      <c r="H11" s="129">
        <f>'Page-4'!H128</f>
        <v>2350</v>
      </c>
      <c r="I11" s="129">
        <f>'Page-4'!H151</f>
        <v>850</v>
      </c>
      <c r="J11" s="135">
        <f t="shared" si="0"/>
        <v>15400</v>
      </c>
    </row>
    <row r="12" spans="1:10">
      <c r="A12" s="128">
        <v>8</v>
      </c>
      <c r="B12" s="175" t="s">
        <v>119</v>
      </c>
      <c r="C12" s="129">
        <f>'Page-4'!H14</f>
        <v>0</v>
      </c>
      <c r="D12" s="129">
        <f>'Page-4'!H37</f>
        <v>0</v>
      </c>
      <c r="E12" s="129">
        <f>'Page-4'!H60</f>
        <v>0</v>
      </c>
      <c r="F12" s="129">
        <f>'Page-4'!H83</f>
        <v>0</v>
      </c>
      <c r="G12" s="129">
        <f>'Page-4'!H106</f>
        <v>0</v>
      </c>
      <c r="H12" s="129">
        <f>'Page-4'!H129</f>
        <v>300</v>
      </c>
      <c r="I12" s="129">
        <f>'Page-4'!H152</f>
        <v>0</v>
      </c>
      <c r="J12" s="135">
        <f>C12+D12+E12+F12+G12+H12+I12</f>
        <v>300</v>
      </c>
    </row>
    <row r="13" spans="1:10">
      <c r="A13" s="128">
        <v>9</v>
      </c>
      <c r="B13" s="129" t="s">
        <v>97</v>
      </c>
      <c r="C13" s="129">
        <f>'Page-4'!H15</f>
        <v>4500</v>
      </c>
      <c r="D13" s="129">
        <f>'Page-4'!H38</f>
        <v>1000</v>
      </c>
      <c r="E13" s="129">
        <f>'Page-4'!H61</f>
        <v>2000</v>
      </c>
      <c r="F13" s="129">
        <f>'Page-4'!H84</f>
        <v>2000</v>
      </c>
      <c r="G13" s="129">
        <f>'Page-4'!H107</f>
        <v>2400</v>
      </c>
      <c r="H13" s="129">
        <f>'Page-4'!H130</f>
        <v>31840</v>
      </c>
      <c r="I13" s="129">
        <f>'Page-4'!H153</f>
        <v>800</v>
      </c>
      <c r="J13" s="135">
        <f t="shared" si="0"/>
        <v>44540</v>
      </c>
    </row>
    <row r="14" spans="1:10">
      <c r="A14" s="128">
        <v>10</v>
      </c>
      <c r="B14" s="175" t="s">
        <v>98</v>
      </c>
      <c r="C14" s="129">
        <f>'Page-4'!H16</f>
        <v>680</v>
      </c>
      <c r="D14" s="129">
        <f>'Page-4'!H39</f>
        <v>0</v>
      </c>
      <c r="E14" s="129">
        <f>'Page-4'!H62</f>
        <v>0</v>
      </c>
      <c r="F14" s="129">
        <f>'Page-4'!H85</f>
        <v>0</v>
      </c>
      <c r="G14" s="129">
        <f>'Page-4'!H108</f>
        <v>0</v>
      </c>
      <c r="H14" s="129">
        <f>'Page-4'!H131</f>
        <v>0</v>
      </c>
      <c r="I14" s="129">
        <f>'Page-4'!H154</f>
        <v>0</v>
      </c>
      <c r="J14" s="135">
        <f t="shared" si="0"/>
        <v>680</v>
      </c>
    </row>
    <row r="15" spans="1:10">
      <c r="A15" s="128">
        <v>11</v>
      </c>
      <c r="B15" s="129" t="s">
        <v>99</v>
      </c>
      <c r="C15" s="129">
        <f>'Page-4'!H17</f>
        <v>3050</v>
      </c>
      <c r="D15" s="129">
        <f>'Page-4'!H40</f>
        <v>1000</v>
      </c>
      <c r="E15" s="129">
        <f>'Page-4'!H63</f>
        <v>1600</v>
      </c>
      <c r="F15" s="129">
        <f>'Page-4'!H86</f>
        <v>5000</v>
      </c>
      <c r="G15" s="129">
        <f>'Page-4'!H109</f>
        <v>14400</v>
      </c>
      <c r="H15" s="129">
        <f>'Page-4'!H132</f>
        <v>3300</v>
      </c>
      <c r="I15" s="129">
        <f>'Page-4'!H155</f>
        <v>2000</v>
      </c>
      <c r="J15" s="135">
        <f t="shared" si="0"/>
        <v>30350</v>
      </c>
    </row>
    <row r="16" spans="1:10">
      <c r="A16" s="128">
        <v>12</v>
      </c>
      <c r="B16" s="129" t="s">
        <v>100</v>
      </c>
      <c r="C16" s="129">
        <f>'Page-4'!H18</f>
        <v>1080</v>
      </c>
      <c r="D16" s="129">
        <f>'Page-4'!H41</f>
        <v>670</v>
      </c>
      <c r="E16" s="129">
        <f>'Page-4'!H64</f>
        <v>8500</v>
      </c>
      <c r="F16" s="129">
        <f>'Page-4'!H87</f>
        <v>2500</v>
      </c>
      <c r="G16" s="129">
        <f>'Page-4'!H110</f>
        <v>1800</v>
      </c>
      <c r="H16" s="129">
        <f>'Page-4'!H133</f>
        <v>1852</v>
      </c>
      <c r="I16" s="129">
        <f>'Page-4'!H156</f>
        <v>1000</v>
      </c>
      <c r="J16" s="135">
        <f t="shared" si="0"/>
        <v>17402</v>
      </c>
    </row>
    <row r="17" spans="1:10">
      <c r="A17" s="128">
        <v>13</v>
      </c>
      <c r="B17" s="129" t="s">
        <v>101</v>
      </c>
      <c r="C17" s="129">
        <f>'Page-4'!H19</f>
        <v>1280</v>
      </c>
      <c r="D17" s="129">
        <f>'Page-4'!H42</f>
        <v>0</v>
      </c>
      <c r="E17" s="129">
        <f>'Page-4'!H65</f>
        <v>0</v>
      </c>
      <c r="F17" s="129">
        <f>'Page-4'!H88</f>
        <v>0</v>
      </c>
      <c r="G17" s="129">
        <f>'Page-4'!H111</f>
        <v>0</v>
      </c>
      <c r="H17" s="129">
        <f>'Page-4'!H134</f>
        <v>0</v>
      </c>
      <c r="I17" s="129">
        <f>'Page-4'!H157</f>
        <v>0</v>
      </c>
      <c r="J17" s="135">
        <f t="shared" si="0"/>
        <v>1280</v>
      </c>
    </row>
    <row r="18" spans="1:10">
      <c r="A18" s="128">
        <v>14</v>
      </c>
      <c r="B18" s="129" t="s">
        <v>106</v>
      </c>
      <c r="C18" s="129">
        <f>'Page-4'!H20</f>
        <v>650</v>
      </c>
      <c r="D18" s="129">
        <f>'Page-4'!H43</f>
        <v>0</v>
      </c>
      <c r="E18" s="129">
        <f>'Page-4'!H66</f>
        <v>0</v>
      </c>
      <c r="F18" s="129">
        <f>'Page-4'!H89</f>
        <v>500</v>
      </c>
      <c r="G18" s="129">
        <f>'Page-4'!H112</f>
        <v>900</v>
      </c>
      <c r="H18" s="129">
        <f>'Page-4'!H135</f>
        <v>28200</v>
      </c>
      <c r="I18" s="129">
        <f>'Page-4'!H158</f>
        <v>0</v>
      </c>
      <c r="J18" s="135">
        <f t="shared" si="0"/>
        <v>30250</v>
      </c>
    </row>
    <row r="19" spans="1:10">
      <c r="A19" s="128">
        <v>15</v>
      </c>
      <c r="B19" s="129" t="s">
        <v>103</v>
      </c>
      <c r="C19" s="129">
        <f>'Page-4'!H21</f>
        <v>0</v>
      </c>
      <c r="D19" s="129">
        <f>'Page-4'!H44</f>
        <v>0</v>
      </c>
      <c r="E19" s="129">
        <f>'Page-4'!H67</f>
        <v>1900</v>
      </c>
      <c r="F19" s="129">
        <f>'Page-4'!H90</f>
        <v>1000</v>
      </c>
      <c r="G19" s="129">
        <f>'Page-4'!H113</f>
        <v>2160</v>
      </c>
      <c r="H19" s="129">
        <f>'Page-4'!H136</f>
        <v>2810</v>
      </c>
      <c r="I19" s="129">
        <f>'Page-4'!H159</f>
        <v>0</v>
      </c>
      <c r="J19" s="135">
        <f t="shared" si="0"/>
        <v>7870</v>
      </c>
    </row>
    <row r="20" spans="1:10" ht="14.4" thickBot="1">
      <c r="A20" s="400" t="s">
        <v>9</v>
      </c>
      <c r="B20" s="401"/>
      <c r="C20" s="134">
        <f>C5+C6+C7+C9+C10+C11+C13+C14+C15+C16+C17+C18+C19</f>
        <v>255726</v>
      </c>
      <c r="D20" s="134">
        <f t="shared" ref="D20:I20" si="1">D5+D6+D7+D9+D10+D11+D13+D14+D15+D16+D17+D18+D19</f>
        <v>324100</v>
      </c>
      <c r="E20" s="134">
        <f t="shared" si="1"/>
        <v>349564</v>
      </c>
      <c r="F20" s="134">
        <f t="shared" si="1"/>
        <v>530992</v>
      </c>
      <c r="G20" s="134">
        <f t="shared" si="1"/>
        <v>702033</v>
      </c>
      <c r="H20" s="134">
        <f t="shared" si="1"/>
        <v>589940</v>
      </c>
      <c r="I20" s="134">
        <f t="shared" si="1"/>
        <v>291520</v>
      </c>
      <c r="J20" s="135">
        <f t="shared" si="0"/>
        <v>3043875</v>
      </c>
    </row>
    <row r="21" spans="1:10" ht="23.25" customHeight="1" thickTop="1">
      <c r="A21" s="130"/>
      <c r="B21" s="131"/>
      <c r="C21" s="130"/>
      <c r="D21" s="130"/>
      <c r="E21" s="130"/>
    </row>
    <row r="22" spans="1:10">
      <c r="A22" s="404"/>
      <c r="B22" s="404"/>
      <c r="C22" s="185"/>
      <c r="D22" s="185"/>
      <c r="E22" s="185"/>
      <c r="F22" s="185"/>
      <c r="G22" s="185"/>
      <c r="H22" s="185"/>
      <c r="I22" s="185"/>
      <c r="J22" s="185">
        <v>2713607</v>
      </c>
    </row>
  </sheetData>
  <mergeCells count="5">
    <mergeCell ref="A20:B20"/>
    <mergeCell ref="A1:J1"/>
    <mergeCell ref="A2:J2"/>
    <mergeCell ref="A3:J3"/>
    <mergeCell ref="A22:B22"/>
  </mergeCells>
  <pageMargins left="0.78740157480314965" right="0.39370078740157483" top="0.59055118110236227" bottom="0.59055118110236227" header="0.19685039370078741" footer="0.19685039370078741"/>
  <pageSetup paperSize="5" scale="11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0"/>
  <sheetViews>
    <sheetView view="pageBreakPreview" topLeftCell="A3" zoomScale="90" zoomScaleNormal="100" zoomScaleSheetLayoutView="90" workbookViewId="0">
      <selection activeCell="H14" sqref="H14"/>
    </sheetView>
  </sheetViews>
  <sheetFormatPr defaultColWidth="9.109375" defaultRowHeight="15.6"/>
  <cols>
    <col min="1" max="1" width="6.6640625" style="235" customWidth="1"/>
    <col min="2" max="2" width="14" style="249" customWidth="1"/>
    <col min="3" max="3" width="12.33203125" style="251" customWidth="1"/>
    <col min="4" max="5" width="10.88671875" style="235" customWidth="1"/>
    <col min="6" max="6" width="10.33203125" style="235" customWidth="1"/>
    <col min="7" max="7" width="10.5546875" style="235" customWidth="1"/>
    <col min="8" max="8" width="11.5546875" style="235" customWidth="1"/>
    <col min="9" max="16384" width="9.109375" style="235"/>
  </cols>
  <sheetData>
    <row r="2" spans="1:15" ht="26.25" customHeight="1">
      <c r="A2" s="406" t="s">
        <v>125</v>
      </c>
      <c r="B2" s="406"/>
      <c r="C2" s="406"/>
      <c r="D2" s="406"/>
      <c r="E2" s="406"/>
      <c r="F2" s="406"/>
      <c r="G2" s="406"/>
      <c r="H2" s="406"/>
    </row>
    <row r="3" spans="1:15" ht="3" customHeight="1">
      <c r="A3" s="236"/>
      <c r="B3" s="236"/>
      <c r="C3" s="236"/>
      <c r="D3" s="236"/>
      <c r="E3" s="236"/>
      <c r="F3" s="236"/>
      <c r="G3" s="236"/>
      <c r="H3" s="236"/>
    </row>
    <row r="4" spans="1:15" ht="3.75" customHeight="1">
      <c r="A4" s="236"/>
      <c r="B4" s="236"/>
      <c r="C4" s="236"/>
      <c r="D4" s="236"/>
      <c r="E4" s="236"/>
      <c r="F4" s="236"/>
      <c r="G4" s="236"/>
      <c r="H4" s="236"/>
    </row>
    <row r="5" spans="1:15" s="238" customFormat="1" ht="29.25" customHeight="1">
      <c r="A5" s="406" t="s">
        <v>156</v>
      </c>
      <c r="B5" s="406"/>
      <c r="C5" s="406"/>
      <c r="D5" s="406"/>
      <c r="E5" s="406"/>
      <c r="F5" s="406"/>
      <c r="G5" s="406"/>
      <c r="H5" s="406"/>
      <c r="I5" s="237"/>
      <c r="J5" s="237"/>
      <c r="K5" s="237"/>
      <c r="L5" s="237"/>
      <c r="M5" s="237"/>
      <c r="N5" s="237"/>
      <c r="O5" s="237"/>
    </row>
    <row r="6" spans="1:15" s="238" customFormat="1" ht="26.25" customHeight="1">
      <c r="A6" s="407" t="s">
        <v>17</v>
      </c>
      <c r="B6" s="407"/>
      <c r="C6" s="407"/>
      <c r="D6" s="407"/>
      <c r="E6" s="407"/>
      <c r="F6" s="407"/>
      <c r="G6" s="407"/>
      <c r="H6" s="407"/>
      <c r="I6" s="239"/>
      <c r="J6" s="239"/>
      <c r="K6" s="239"/>
      <c r="L6" s="239"/>
      <c r="M6" s="239"/>
      <c r="N6" s="239"/>
      <c r="O6" s="239"/>
    </row>
    <row r="7" spans="1:15" s="238" customFormat="1" ht="9.75" customHeight="1">
      <c r="A7" s="240"/>
      <c r="B7" s="240"/>
      <c r="C7" s="240"/>
      <c r="D7" s="240"/>
      <c r="E7" s="240"/>
      <c r="F7" s="240"/>
      <c r="G7" s="240"/>
      <c r="H7" s="240"/>
      <c r="I7" s="239"/>
      <c r="J7" s="239"/>
      <c r="K7" s="239"/>
      <c r="L7" s="239"/>
      <c r="M7" s="239"/>
      <c r="N7" s="239"/>
      <c r="O7" s="239"/>
    </row>
    <row r="8" spans="1:15" ht="27" customHeight="1">
      <c r="A8" s="406" t="s">
        <v>126</v>
      </c>
      <c r="B8" s="406"/>
      <c r="C8" s="406"/>
      <c r="D8" s="406"/>
      <c r="E8" s="406"/>
      <c r="F8" s="406"/>
      <c r="G8" s="406"/>
      <c r="H8" s="406"/>
    </row>
    <row r="9" spans="1:15" s="241" customFormat="1" ht="15">
      <c r="B9" s="242"/>
      <c r="C9" s="242"/>
    </row>
    <row r="10" spans="1:15" s="241" customFormat="1" ht="33" customHeight="1">
      <c r="A10" s="379" t="s">
        <v>78</v>
      </c>
      <c r="B10" s="379" t="s">
        <v>127</v>
      </c>
      <c r="C10" s="381" t="s">
        <v>5</v>
      </c>
      <c r="D10" s="382"/>
      <c r="E10" s="381" t="s">
        <v>57</v>
      </c>
      <c r="F10" s="382"/>
      <c r="G10" s="381" t="s">
        <v>58</v>
      </c>
      <c r="H10" s="382"/>
      <c r="J10" s="379" t="s">
        <v>127</v>
      </c>
      <c r="K10" s="381" t="s">
        <v>5</v>
      </c>
      <c r="L10" s="382"/>
    </row>
    <row r="11" spans="1:15" s="241" customFormat="1" ht="33.75" customHeight="1">
      <c r="A11" s="380"/>
      <c r="B11" s="380"/>
      <c r="C11" s="243" t="s">
        <v>16</v>
      </c>
      <c r="D11" s="243" t="s">
        <v>37</v>
      </c>
      <c r="E11" s="243" t="s">
        <v>16</v>
      </c>
      <c r="F11" s="243" t="s">
        <v>37</v>
      </c>
      <c r="G11" s="243" t="s">
        <v>16</v>
      </c>
      <c r="H11" s="243" t="s">
        <v>37</v>
      </c>
      <c r="J11" s="380"/>
      <c r="K11" s="243" t="s">
        <v>16</v>
      </c>
      <c r="L11" s="243" t="s">
        <v>37</v>
      </c>
    </row>
    <row r="12" spans="1:15" s="241" customFormat="1" ht="33" customHeight="1">
      <c r="A12" s="244">
        <v>1</v>
      </c>
      <c r="B12" s="244" t="s">
        <v>128</v>
      </c>
      <c r="C12" s="243">
        <f t="shared" ref="C12:D15" si="0">E12+G12</f>
        <v>70</v>
      </c>
      <c r="D12" s="243">
        <f t="shared" si="0"/>
        <v>50</v>
      </c>
      <c r="E12" s="243">
        <v>67</v>
      </c>
      <c r="F12" s="243">
        <v>44</v>
      </c>
      <c r="G12" s="243">
        <v>3</v>
      </c>
      <c r="H12" s="243">
        <v>6</v>
      </c>
      <c r="J12" s="244" t="s">
        <v>128</v>
      </c>
      <c r="K12" s="243">
        <v>59</v>
      </c>
      <c r="L12" s="243">
        <v>50</v>
      </c>
      <c r="M12" s="241">
        <f>K12+L12</f>
        <v>109</v>
      </c>
      <c r="N12" s="241">
        <f>C12+D12</f>
        <v>120</v>
      </c>
    </row>
    <row r="13" spans="1:15" s="241" customFormat="1" ht="32.25" customHeight="1">
      <c r="A13" s="244">
        <v>2</v>
      </c>
      <c r="B13" s="244" t="s">
        <v>129</v>
      </c>
      <c r="C13" s="243">
        <f t="shared" si="0"/>
        <v>47</v>
      </c>
      <c r="D13" s="243">
        <f t="shared" si="0"/>
        <v>101</v>
      </c>
      <c r="E13" s="243">
        <v>44</v>
      </c>
      <c r="F13" s="243">
        <v>84</v>
      </c>
      <c r="G13" s="243">
        <v>3</v>
      </c>
      <c r="H13" s="243">
        <v>17</v>
      </c>
      <c r="J13" s="244" t="s">
        <v>129</v>
      </c>
      <c r="K13" s="243">
        <v>58</v>
      </c>
      <c r="L13" s="243">
        <v>100</v>
      </c>
      <c r="M13" s="241">
        <f>K13+L13</f>
        <v>158</v>
      </c>
      <c r="N13" s="241">
        <f>C13+D13</f>
        <v>148</v>
      </c>
    </row>
    <row r="14" spans="1:15" s="241" customFormat="1" ht="35.25" customHeight="1">
      <c r="A14" s="245">
        <v>3</v>
      </c>
      <c r="B14" s="244" t="s">
        <v>19</v>
      </c>
      <c r="C14" s="243">
        <f t="shared" si="0"/>
        <v>422</v>
      </c>
      <c r="D14" s="243">
        <f t="shared" si="0"/>
        <v>854</v>
      </c>
      <c r="E14" s="243">
        <v>343</v>
      </c>
      <c r="F14" s="243">
        <v>642</v>
      </c>
      <c r="G14" s="243">
        <v>79</v>
      </c>
      <c r="H14" s="243">
        <v>212</v>
      </c>
      <c r="J14" s="244" t="s">
        <v>19</v>
      </c>
      <c r="K14" s="243">
        <v>422</v>
      </c>
      <c r="L14" s="243">
        <v>840</v>
      </c>
      <c r="M14" s="241">
        <f>K14+L14</f>
        <v>1262</v>
      </c>
      <c r="N14" s="241">
        <f>C14+D14</f>
        <v>1276</v>
      </c>
    </row>
    <row r="15" spans="1:15" s="241" customFormat="1" ht="33" customHeight="1">
      <c r="A15" s="244">
        <v>4</v>
      </c>
      <c r="B15" s="244" t="s">
        <v>20</v>
      </c>
      <c r="C15" s="243">
        <f t="shared" si="0"/>
        <v>290</v>
      </c>
      <c r="D15" s="243">
        <f t="shared" si="0"/>
        <v>254</v>
      </c>
      <c r="E15" s="243">
        <v>204</v>
      </c>
      <c r="F15" s="243">
        <v>172</v>
      </c>
      <c r="G15" s="243">
        <v>86</v>
      </c>
      <c r="H15" s="243">
        <v>82</v>
      </c>
      <c r="J15" s="244" t="s">
        <v>20</v>
      </c>
      <c r="K15" s="243">
        <v>295</v>
      </c>
      <c r="L15" s="243">
        <v>276</v>
      </c>
      <c r="M15" s="241">
        <f>K15+L15</f>
        <v>571</v>
      </c>
      <c r="N15" s="241">
        <f>C15+D15</f>
        <v>544</v>
      </c>
    </row>
    <row r="16" spans="1:15" s="241" customFormat="1" ht="29.25" customHeight="1">
      <c r="A16" s="246" t="s">
        <v>0</v>
      </c>
      <c r="B16" s="246" t="s">
        <v>9</v>
      </c>
      <c r="C16" s="247">
        <f t="shared" ref="C16:H16" si="1">C12+C13+C14+C15</f>
        <v>829</v>
      </c>
      <c r="D16" s="247">
        <f t="shared" si="1"/>
        <v>1259</v>
      </c>
      <c r="E16" s="247">
        <f t="shared" si="1"/>
        <v>658</v>
      </c>
      <c r="F16" s="247">
        <f t="shared" si="1"/>
        <v>942</v>
      </c>
      <c r="G16" s="247">
        <f t="shared" si="1"/>
        <v>171</v>
      </c>
      <c r="H16" s="247">
        <f t="shared" si="1"/>
        <v>317</v>
      </c>
      <c r="J16" s="246" t="s">
        <v>9</v>
      </c>
      <c r="K16" s="247">
        <f>K12+K13+K14+K15</f>
        <v>834</v>
      </c>
      <c r="L16" s="247">
        <f>L12+L13+L14+L15</f>
        <v>1266</v>
      </c>
      <c r="M16" s="241">
        <f>K16+L16</f>
        <v>2100</v>
      </c>
      <c r="N16" s="247">
        <f>N12+N13+N14+N15</f>
        <v>2088</v>
      </c>
    </row>
    <row r="17" spans="2:12" s="248" customFormat="1" ht="25.5" customHeight="1">
      <c r="K17" s="241"/>
      <c r="L17" s="241"/>
    </row>
    <row r="18" spans="2:12" s="248" customFormat="1" ht="25.5" customHeight="1">
      <c r="K18" s="249"/>
      <c r="L18" s="249"/>
    </row>
    <row r="19" spans="2:12" s="248" customFormat="1" ht="21" customHeight="1"/>
    <row r="20" spans="2:12" ht="23.25" customHeight="1">
      <c r="B20" s="250"/>
      <c r="C20" s="250"/>
      <c r="D20" s="250"/>
      <c r="E20" s="405" t="s">
        <v>150</v>
      </c>
      <c r="F20" s="405"/>
      <c r="G20" s="405"/>
      <c r="H20" s="405"/>
    </row>
  </sheetData>
  <mergeCells count="12">
    <mergeCell ref="E20:H20"/>
    <mergeCell ref="J10:J11"/>
    <mergeCell ref="K10:L10"/>
    <mergeCell ref="A2:H2"/>
    <mergeCell ref="A5:H5"/>
    <mergeCell ref="A6:H6"/>
    <mergeCell ref="A8:H8"/>
    <mergeCell ref="A10:A11"/>
    <mergeCell ref="B10:B11"/>
    <mergeCell ref="C10:D10"/>
    <mergeCell ref="E10:F10"/>
    <mergeCell ref="G10:H10"/>
  </mergeCells>
  <pageMargins left="0.78740157480314965" right="0.39370078740157483" top="0.74803149606299213" bottom="0.74803149606299213" header="0.31496062992125984" footer="0.31496062992125984"/>
  <pageSetup paperSize="5" scale="10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Page-1</vt:lpstr>
      <vt:lpstr>Page-2</vt:lpstr>
      <vt:lpstr>Page-3</vt:lpstr>
      <vt:lpstr>Page-4</vt:lpstr>
      <vt:lpstr>Page-5</vt:lpstr>
      <vt:lpstr>Distrs.wise Abstract</vt:lpstr>
      <vt:lpstr>Table-D</vt:lpstr>
      <vt:lpstr>'Distrs.wise Abstract'!Print_Area</vt:lpstr>
      <vt:lpstr>'Page-1'!Print_Area</vt:lpstr>
      <vt:lpstr>'Page-2'!Print_Area</vt:lpstr>
      <vt:lpstr>'Page-3'!Print_Area</vt:lpstr>
      <vt:lpstr>'Page-4'!Print_Area</vt:lpstr>
      <vt:lpstr>'Page-5'!Print_Area</vt:lpstr>
      <vt:lpstr>'Table-D'!Print_Area</vt:lpstr>
      <vt:lpstr>'Page-5'!Print_Titles</vt:lpstr>
    </vt:vector>
  </TitlesOfParts>
  <Company>KOKAN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prasad somvanshi</cp:lastModifiedBy>
  <cp:lastPrinted>2024-10-18T11:11:46Z</cp:lastPrinted>
  <dcterms:created xsi:type="dcterms:W3CDTF">2012-06-14T05:07:46Z</dcterms:created>
  <dcterms:modified xsi:type="dcterms:W3CDTF">2025-09-23T16:03:16Z</dcterms:modified>
</cp:coreProperties>
</file>