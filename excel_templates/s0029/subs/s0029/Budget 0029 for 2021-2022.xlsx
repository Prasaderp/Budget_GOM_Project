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spr\Downloads\"/>
    </mc:Choice>
  </mc:AlternateContent>
  <xr:revisionPtr revIDLastSave="0" documentId="13_ncr:1_{2CC08464-1C9D-41D7-95D9-CD248C701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29 Budget Dist" sheetId="1" r:id="rId1"/>
    <sheet name="0029 Budget Division" sheetId="5" r:id="rId2"/>
  </sheets>
  <definedNames>
    <definedName name="_xlnm.Print_Area" localSheetId="0">'0029 Budget Dist'!$A$1:$H$299</definedName>
    <definedName name="_xlnm.Print_Titles" localSheetId="0">'0029 Budget Dist'!$1:$6</definedName>
    <definedName name="_xlnm.Print_Titles" localSheetId="1">'0029 Budget Division'!$1:$6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" i="1" l="1"/>
  <c r="H15" i="5" s="1"/>
  <c r="G95" i="1"/>
  <c r="G15" i="5"/>
  <c r="F95" i="1"/>
  <c r="F15" i="5" s="1"/>
  <c r="F36" i="5" s="1"/>
  <c r="E95" i="1"/>
  <c r="E15" i="5" s="1"/>
  <c r="D95" i="1"/>
  <c r="D15" i="5" s="1"/>
  <c r="C95" i="1"/>
  <c r="C15" i="5"/>
  <c r="A1" i="5"/>
  <c r="C5" i="5"/>
  <c r="D5" i="5"/>
  <c r="E5" i="5"/>
  <c r="F5" i="5"/>
  <c r="G5" i="5"/>
  <c r="H5" i="5"/>
  <c r="C15" i="1"/>
  <c r="C7" i="5"/>
  <c r="D15" i="1"/>
  <c r="D7" i="5"/>
  <c r="E15" i="1"/>
  <c r="F15" i="1"/>
  <c r="F295" i="1" s="1"/>
  <c r="F7" i="5"/>
  <c r="G15" i="1"/>
  <c r="G7" i="5"/>
  <c r="H15" i="1"/>
  <c r="H295" i="1" s="1"/>
  <c r="H7" i="5"/>
  <c r="C25" i="1"/>
  <c r="C8" i="5"/>
  <c r="D25" i="1"/>
  <c r="D8" i="5"/>
  <c r="E25" i="1"/>
  <c r="E8" i="5"/>
  <c r="F25" i="1"/>
  <c r="F8" i="5"/>
  <c r="G25" i="1"/>
  <c r="G8" i="5"/>
  <c r="H25" i="1"/>
  <c r="H8" i="5"/>
  <c r="C35" i="1"/>
  <c r="C9" i="5"/>
  <c r="D35" i="1"/>
  <c r="D9" i="5"/>
  <c r="E35" i="1"/>
  <c r="E9" i="5"/>
  <c r="F35" i="1"/>
  <c r="F9" i="5"/>
  <c r="G35" i="1"/>
  <c r="G9" i="5"/>
  <c r="H35" i="1"/>
  <c r="H9" i="5"/>
  <c r="C45" i="1"/>
  <c r="C10" i="5"/>
  <c r="D45" i="1"/>
  <c r="D10" i="5"/>
  <c r="E45" i="1"/>
  <c r="E10" i="5"/>
  <c r="F45" i="1"/>
  <c r="F10" i="5"/>
  <c r="G45" i="1"/>
  <c r="G10" i="5"/>
  <c r="H45" i="1"/>
  <c r="H10" i="5"/>
  <c r="C55" i="1"/>
  <c r="C11" i="5"/>
  <c r="D55" i="1"/>
  <c r="D11" i="5"/>
  <c r="E55" i="1"/>
  <c r="E11" i="5"/>
  <c r="F55" i="1"/>
  <c r="F11" i="5"/>
  <c r="G55" i="1"/>
  <c r="G11" i="5"/>
  <c r="H55" i="1"/>
  <c r="H11" i="5"/>
  <c r="C65" i="1"/>
  <c r="C12" i="5"/>
  <c r="D65" i="1"/>
  <c r="D12" i="5"/>
  <c r="E65" i="1"/>
  <c r="E12" i="5"/>
  <c r="F65" i="1"/>
  <c r="F12" i="5"/>
  <c r="G65" i="1"/>
  <c r="G12" i="5"/>
  <c r="H65" i="1"/>
  <c r="H12" i="5"/>
  <c r="C75" i="1"/>
  <c r="C13" i="5"/>
  <c r="D75" i="1"/>
  <c r="D13" i="5"/>
  <c r="E75" i="1"/>
  <c r="E13" i="5"/>
  <c r="F75" i="1"/>
  <c r="F13" i="5"/>
  <c r="G75" i="1"/>
  <c r="G13" i="5"/>
  <c r="H75" i="1"/>
  <c r="H13" i="5"/>
  <c r="C85" i="1"/>
  <c r="C14" i="5"/>
  <c r="D85" i="1"/>
  <c r="D14" i="5"/>
  <c r="E85" i="1"/>
  <c r="E14" i="5"/>
  <c r="F85" i="1"/>
  <c r="F14" i="5"/>
  <c r="G85" i="1"/>
  <c r="G14" i="5"/>
  <c r="H85" i="1"/>
  <c r="H14" i="5"/>
  <c r="C105" i="1"/>
  <c r="C16" i="5"/>
  <c r="D105" i="1"/>
  <c r="D16" i="5"/>
  <c r="E105" i="1"/>
  <c r="E16" i="5"/>
  <c r="F105" i="1"/>
  <c r="F16" i="5"/>
  <c r="G105" i="1"/>
  <c r="G16" i="5"/>
  <c r="H105" i="1"/>
  <c r="H16" i="5"/>
  <c r="C115" i="1"/>
  <c r="C17" i="5"/>
  <c r="D115" i="1"/>
  <c r="D17" i="5"/>
  <c r="E115" i="1"/>
  <c r="E17" i="5"/>
  <c r="F115" i="1"/>
  <c r="F17" i="5"/>
  <c r="G115" i="1"/>
  <c r="G17" i="5"/>
  <c r="H115" i="1"/>
  <c r="H17" i="5"/>
  <c r="C125" i="1"/>
  <c r="C18" i="5"/>
  <c r="D125" i="1"/>
  <c r="D18" i="5"/>
  <c r="E125" i="1"/>
  <c r="E18" i="5"/>
  <c r="F125" i="1"/>
  <c r="F18" i="5"/>
  <c r="G125" i="1"/>
  <c r="G18" i="5"/>
  <c r="G36" i="5" s="1"/>
  <c r="H125" i="1"/>
  <c r="H18" i="5" s="1"/>
  <c r="C135" i="1"/>
  <c r="C19" i="5"/>
  <c r="D135" i="1"/>
  <c r="D295" i="1" s="1"/>
  <c r="E135" i="1"/>
  <c r="E19" i="5"/>
  <c r="F135" i="1"/>
  <c r="F19" i="5"/>
  <c r="G135" i="1"/>
  <c r="G19" i="5"/>
  <c r="H135" i="1"/>
  <c r="H19" i="5" s="1"/>
  <c r="C145" i="1"/>
  <c r="C20" i="5"/>
  <c r="D145" i="1"/>
  <c r="D20" i="5" s="1"/>
  <c r="E145" i="1"/>
  <c r="E20" i="5"/>
  <c r="F145" i="1"/>
  <c r="F20" i="5"/>
  <c r="G145" i="1"/>
  <c r="G20" i="5"/>
  <c r="H145" i="1"/>
  <c r="H20" i="5" s="1"/>
  <c r="C155" i="1"/>
  <c r="C21" i="5"/>
  <c r="D155" i="1"/>
  <c r="D21" i="5" s="1"/>
  <c r="E155" i="1"/>
  <c r="E21" i="5"/>
  <c r="F155" i="1"/>
  <c r="F21" i="5"/>
  <c r="G155" i="1"/>
  <c r="G21" i="5"/>
  <c r="H155" i="1"/>
  <c r="H21" i="5" s="1"/>
  <c r="C165" i="1"/>
  <c r="C22" i="5"/>
  <c r="D165" i="1"/>
  <c r="D22" i="5" s="1"/>
  <c r="E165" i="1"/>
  <c r="E22" i="5"/>
  <c r="F165" i="1"/>
  <c r="F22" i="5"/>
  <c r="G165" i="1"/>
  <c r="G22" i="5"/>
  <c r="H165" i="1"/>
  <c r="H22" i="5" s="1"/>
  <c r="C175" i="1"/>
  <c r="C23" i="5"/>
  <c r="D175" i="1"/>
  <c r="D23" i="5" s="1"/>
  <c r="E175" i="1"/>
  <c r="E23" i="5"/>
  <c r="F175" i="1"/>
  <c r="F23" i="5"/>
  <c r="G175" i="1"/>
  <c r="G23" i="5"/>
  <c r="H175" i="1"/>
  <c r="H23" i="5" s="1"/>
  <c r="C185" i="1"/>
  <c r="C24" i="5"/>
  <c r="D185" i="1"/>
  <c r="D24" i="5" s="1"/>
  <c r="E185" i="1"/>
  <c r="E24" i="5"/>
  <c r="F185" i="1"/>
  <c r="F24" i="5"/>
  <c r="G185" i="1"/>
  <c r="G24" i="5"/>
  <c r="H185" i="1"/>
  <c r="H24" i="5" s="1"/>
  <c r="C195" i="1"/>
  <c r="C25" i="5"/>
  <c r="D195" i="1"/>
  <c r="D25" i="5" s="1"/>
  <c r="E195" i="1"/>
  <c r="E25" i="5"/>
  <c r="F195" i="1"/>
  <c r="F25" i="5"/>
  <c r="G195" i="1"/>
  <c r="G25" i="5"/>
  <c r="H195" i="1"/>
  <c r="H25" i="5" s="1"/>
  <c r="C205" i="1"/>
  <c r="C26" i="5"/>
  <c r="D205" i="1"/>
  <c r="D26" i="5" s="1"/>
  <c r="E205" i="1"/>
  <c r="E26" i="5"/>
  <c r="F205" i="1"/>
  <c r="F26" i="5"/>
  <c r="G205" i="1"/>
  <c r="G26" i="5"/>
  <c r="H205" i="1"/>
  <c r="H26" i="5" s="1"/>
  <c r="C215" i="1"/>
  <c r="C27" i="5"/>
  <c r="D215" i="1"/>
  <c r="D27" i="5" s="1"/>
  <c r="E215" i="1"/>
  <c r="E27" i="5"/>
  <c r="F215" i="1"/>
  <c r="F27" i="5"/>
  <c r="G215" i="1"/>
  <c r="G27" i="5"/>
  <c r="H215" i="1"/>
  <c r="H27" i="5" s="1"/>
  <c r="C225" i="1"/>
  <c r="C28" i="5"/>
  <c r="D225" i="1"/>
  <c r="D28" i="5" s="1"/>
  <c r="E225" i="1"/>
  <c r="E28" i="5"/>
  <c r="F225" i="1"/>
  <c r="F28" i="5"/>
  <c r="G225" i="1"/>
  <c r="G28" i="5"/>
  <c r="H225" i="1"/>
  <c r="H28" i="5" s="1"/>
  <c r="C235" i="1"/>
  <c r="C29" i="5"/>
  <c r="D235" i="1"/>
  <c r="D29" i="5" s="1"/>
  <c r="E235" i="1"/>
  <c r="E29" i="5"/>
  <c r="F235" i="1"/>
  <c r="F29" i="5"/>
  <c r="G235" i="1"/>
  <c r="G29" i="5"/>
  <c r="H235" i="1"/>
  <c r="H29" i="5" s="1"/>
  <c r="C245" i="1"/>
  <c r="C30" i="5"/>
  <c r="D245" i="1"/>
  <c r="D30" i="5" s="1"/>
  <c r="E245" i="1"/>
  <c r="E30" i="5"/>
  <c r="F245" i="1"/>
  <c r="F30" i="5"/>
  <c r="G245" i="1"/>
  <c r="G30" i="5"/>
  <c r="H245" i="1"/>
  <c r="H30" i="5" s="1"/>
  <c r="C255" i="1"/>
  <c r="C31" i="5"/>
  <c r="D255" i="1"/>
  <c r="D31" i="5" s="1"/>
  <c r="E255" i="1"/>
  <c r="E31" i="5"/>
  <c r="F255" i="1"/>
  <c r="F31" i="5"/>
  <c r="G255" i="1"/>
  <c r="G31" i="5"/>
  <c r="H255" i="1"/>
  <c r="H31" i="5" s="1"/>
  <c r="C265" i="1"/>
  <c r="C32" i="5"/>
  <c r="D265" i="1"/>
  <c r="D32" i="5" s="1"/>
  <c r="E265" i="1"/>
  <c r="E32" i="5"/>
  <c r="F265" i="1"/>
  <c r="F32" i="5"/>
  <c r="G265" i="1"/>
  <c r="G32" i="5"/>
  <c r="H265" i="1"/>
  <c r="H32" i="5" s="1"/>
  <c r="C275" i="1"/>
  <c r="C33" i="5"/>
  <c r="D275" i="1"/>
  <c r="D33" i="5" s="1"/>
  <c r="E275" i="1"/>
  <c r="E33" i="5"/>
  <c r="F275" i="1"/>
  <c r="F33" i="5"/>
  <c r="G275" i="1"/>
  <c r="G33" i="5"/>
  <c r="H275" i="1"/>
  <c r="H33" i="5" s="1"/>
  <c r="C285" i="1"/>
  <c r="C34" i="5"/>
  <c r="D285" i="1"/>
  <c r="D34" i="5" s="1"/>
  <c r="E285" i="1"/>
  <c r="E34" i="5"/>
  <c r="F285" i="1"/>
  <c r="F34" i="5"/>
  <c r="G285" i="1"/>
  <c r="G34" i="5"/>
  <c r="H285" i="1"/>
  <c r="H34" i="5" s="1"/>
  <c r="C294" i="1"/>
  <c r="C35" i="5"/>
  <c r="D294" i="1"/>
  <c r="D35" i="5" s="1"/>
  <c r="E294" i="1"/>
  <c r="E35" i="5"/>
  <c r="F294" i="1"/>
  <c r="F35" i="5"/>
  <c r="G294" i="1"/>
  <c r="G35" i="5"/>
  <c r="H294" i="1"/>
  <c r="H35" i="5" s="1"/>
  <c r="C295" i="1"/>
  <c r="E7" i="5"/>
  <c r="E295" i="1"/>
  <c r="C36" i="5"/>
  <c r="G295" i="1"/>
  <c r="E36" i="5" l="1"/>
  <c r="D36" i="5"/>
  <c r="H36" i="5"/>
  <c r="D19" i="5"/>
</calcChain>
</file>

<file path=xl/sharedStrings.xml><?xml version="1.0" encoding="utf-8"?>
<sst xmlns="http://schemas.openxmlformats.org/spreadsheetml/2006/main" count="321" uniqueCount="68">
  <si>
    <t>अ. क्र.</t>
  </si>
  <si>
    <t>उपलेखाशिर्ष</t>
  </si>
  <si>
    <t>101- जमीन महसूल /कर  101 (01) सर्वसाधारण वसूली (01) (01) (00290258)</t>
  </si>
  <si>
    <t>(101) (02) रोजगार हमी योजनेकरीता जमीन महसूलातील वाढ (02) (01)(00290311)</t>
  </si>
  <si>
    <t>103 (01) जमिनीवरील पट्टी व उपकर (01) महाराष्ट्र जिल्हा परिषद आणि पंचायत समिती अधिनियम 1961 खाली तरतुदीनुसार जमा केलेला जमीन महसूलावरील उपकर (01) (01) (00290383)</t>
  </si>
  <si>
    <t>(02) मुंबई ग्रामपंचायत अधिनियम 1958 उप विभाग 127 खाली वसूल केलेल्या जमीन महसूलावरील उपकर (02) (01) (00290445)</t>
  </si>
  <si>
    <t>(03) जमिनीवरील इतर पट्टी व उपकर (02) (01) (00290507)</t>
  </si>
  <si>
    <t>104 भूतपूर्व जमीनदारीच्या मालमत्ता व्यवस्थापनापासून मिळणा-या जमा रकमा (01) जमिनीवरील इतर पट्टी व उपकर (01) (01) (00290572)</t>
  </si>
  <si>
    <t>105 शासकीय मालमत्तेच्या विक्रीपासून मिळणा-या जमा रकमा (01) शासकीय मालमत्तेच्या विक्रीपासून मिळणा-या जमा रकमा (01) (01) (00290641)</t>
  </si>
  <si>
    <t>107 पडीत जमिनीच्या विक्री पासून मिळणारे उत्पन्न व भूमी विमोचन कर  (01) शासकीय मालमत्तेच्या विक्रीपासून मिळणा-या जमा रकमा (01) (01) (00290712)</t>
  </si>
  <si>
    <t>800 इतर जमा रकमा 800 (01) सर्वेक्षण व जमाबंदी कामाबाबतचे उत्पन्न (01) (01) (00290866)</t>
  </si>
  <si>
    <t>800 (02) सीमा स्तंभाच्या परिक्षण खर्चाची वसूली (02) (01) (00290937)</t>
  </si>
  <si>
    <t>800 (05) इतर बाबी (05) (01) (00291111)</t>
  </si>
  <si>
    <t>800 (06) पोटहिस्सा भूमापन कामावरील वसूली (06) (01) (00291174)</t>
  </si>
  <si>
    <t>800 (09)सीमा चिन्हांच्या खर्चामुळे मिळणा-या वसुलीच्या रकमा (09)(01)(00291245)</t>
  </si>
  <si>
    <t>800 (10) अतिप्रदानामुळे मिळणा-या वसूलीच्या रकमा (10) (01) (00291307)</t>
  </si>
  <si>
    <t>800 (11) अधिकाराभिलेखामुळे मिळणा-या वसूलीच्या रकमा (11) (01) (00291361)</t>
  </si>
  <si>
    <t>800 (14) भाडे, दंड व जप्तीच्या रकमा (14) (01) (00291541)</t>
  </si>
  <si>
    <t>800 (15) जमीन महसूलीच्या थकबाकीवरील व्याज (15) (01) (00291601)</t>
  </si>
  <si>
    <t>800 (16) संकिर्ण (16) (01) (00291666)</t>
  </si>
  <si>
    <t>800 (03) (01) रजा व वेतन अंशदाने (00290991)</t>
  </si>
  <si>
    <t>800 (04) (01) रद्दी कागद व इतर वस्तू यांचे विक्रीचे उत्पन्न (00291058)</t>
  </si>
  <si>
    <t>800(12)(01) केंद्र सरकार कडून मिळणा-या वसुलीच्या रकमा (00291423)</t>
  </si>
  <si>
    <t>800(13)(01) चावडी मुळे स्थानिक संस्थांकडून मिळणा-या अंशदानाच्या रकमा (00291488)</t>
  </si>
  <si>
    <t>800 (17) (01) अकृषिक आकारणी (00291728)</t>
  </si>
  <si>
    <t>प्रत्यक्ष रक्कमा (जमा)</t>
  </si>
  <si>
    <t>अर्थसंकल्पीय जमा अंदाज</t>
  </si>
  <si>
    <t>सुधारीत जमा अंदाज</t>
  </si>
  <si>
    <t>अर्थसंकल्पीय जमा अंदाजपत्रक</t>
  </si>
  <si>
    <t>मुख्य लेखाशिर्ष 0029 जमीन महसूल</t>
  </si>
  <si>
    <t>(आकडे हजारात)</t>
  </si>
  <si>
    <t>मुंबई उपनगर</t>
  </si>
  <si>
    <t>101  जमीन महसूल /कर  101 (01) सर्वसाधारण वसूली (01) (01) (00290258)</t>
  </si>
  <si>
    <t>मुंबई शहर</t>
  </si>
  <si>
    <t>ठाणे</t>
  </si>
  <si>
    <t>रायगड</t>
  </si>
  <si>
    <t>रत्नागिरी</t>
  </si>
  <si>
    <t>सिुधुदर्ग</t>
  </si>
  <si>
    <t>एकूण कोकण विभाग</t>
  </si>
  <si>
    <t>103(01)जमिनीवरील पट्टी व उपकर(01)महाराष्ट्र जिल्हापरिषद आणि पंचायत समिती अधिनियम 1961 खाली तरतुदीनुसार जमा केलेला जमीन महसूलावरील उपकर(01)(01)(00290383)</t>
  </si>
  <si>
    <t>104 भूतपूर्व जमीनदारीच्या मालमत्ता व्यवस्थापनापासून मिळणा या जमा रकमा (01) जमिनीवरील इतर पट्टी व उपकर (01) (01) (00290572)</t>
  </si>
  <si>
    <t>105 शासकीय मालमत्तेच्या विक्रीपासून मिळणा या जमा रकमा (01) शासकीय मालमत्तेच्या विक्रीपासून मिळणा या जमा रकमा (01) (01) (00290641)</t>
  </si>
  <si>
    <t>107 पडीत जमिनीच्या विक्री पासून मिळणारे उत्पन्न व भूमी विमोचन कर  (01) शासकीय मालमत्तेच्या विक्रीपासून मिळणा या जमा रकमा (01) (01) (00290712)</t>
  </si>
  <si>
    <t>800 (09)सीमा चिन्हांच्या खर्चामुळे मिळणा या वसुलीच्या रकमा (09)(01)(00291245)</t>
  </si>
  <si>
    <t>800 (10) अतिप्रदानामुळे मिळणा या वसूलीच्या रकमा (10) (01) (00291307)</t>
  </si>
  <si>
    <t>800 (11) अधिकाराभिलेखामुळे मिळणा या वसूलीच्या रकमा (11) (01) (00291361)</t>
  </si>
  <si>
    <t>800(12)(01) केंद्र सरकार कडून मिळणा या वसुलीच्या रकमा (00291423)</t>
  </si>
  <si>
    <t>800(13)(01) चावडी मुळे स्थानिक संस्थांकडून मिळणा या अंशदानाच्या रकमा (00291488)</t>
  </si>
  <si>
    <t>पालघर</t>
  </si>
  <si>
    <t>2017-2018</t>
  </si>
  <si>
    <t>800 (18)  बिनशेती परवानगीसाठी करावयाच्या अर्जामुळे मिळणा-या रकमा (00290231)</t>
  </si>
  <si>
    <t>इतर</t>
  </si>
  <si>
    <t>2018-2019</t>
  </si>
  <si>
    <t>2019-2020</t>
  </si>
  <si>
    <t>2020-2021</t>
  </si>
  <si>
    <t>मा.उप आयुक्त (महसूल) कोकण विभाग यांची स्थळप्रतीवर स्वाक्षरी असे   )</t>
  </si>
  <si>
    <t>(विनिता भूमकर)</t>
  </si>
  <si>
    <t>सहाय्यक संचालक (लेखा) कोकण विभाग</t>
  </si>
  <si>
    <t>अर्थसंकल्पीय अंदाजपत्रक सन 2021-2022</t>
  </si>
  <si>
    <t>2021-2022</t>
  </si>
  <si>
    <t>101 (03) महाराष्ट्र धारण जमिनीचे तुकडे पाडण्यास प्रतिबंध करण्याबाबत व त्याचे एकत्रिकरण करण्याबाबत अधिनियम 1947 च्या कलम 9 मध्ये महाराष्ट्र अधिनियम क्र.58/2017 (03)(01)(00291782)</t>
  </si>
  <si>
    <t>501 सेवा व सेवा फी, 501 (01) केलेल्या सेवांकरीता प्रदानांची वसुली वजा वसुली (00290857)</t>
  </si>
  <si>
    <t>(00)(01)मुंबई स्पेशल इकॉनॉमिकझोन प्रायव्हेट लि.मुंबई या कंपनीसाठी केलेल्या भूसंपादनाच्या कामासाठी कार्यरत असणा या पदाच्या खर्चाची प्रतिपूर्ती (00290249)</t>
  </si>
  <si>
    <t>501,सेवा वसेवाफी(01)(01)(00290786)</t>
  </si>
  <si>
    <t>(00) (01) मुंबई स्पेशल इकॉनॉमिक झोन प्रायव्हेट लिमीटेड मुंबई या कंपनीसाठी केलेल्या भूसंपादनाच्या कामासाठी कार्यरत असणा-या पदाच्या खर्चाची प्रतिपूर्ती (00290249)</t>
  </si>
  <si>
    <t>501, सेवा व सेवा फी (01) (01) (00290786)</t>
  </si>
  <si>
    <t>कोकण विभाग  (एकूण 1 ते 29 बाबी)</t>
  </si>
  <si>
    <t>कोकण विभाग एकूण (1 ते 29 बाबी)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</si>
</sst>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0"/>
      <name val="Arial"/>
    </font>
    <font>
      <sz val="8"/>
      <name val="Arial"/>
      <family val="2"/>
    </font>
    <font>
      <sz val="13"/>
      <name val="DVOT-Surekh"/>
    </font>
    <font>
      <b/>
      <sz val="10"/>
      <name val="DVOT-Surekh"/>
    </font>
    <font>
      <sz val="10"/>
      <name val="DVOT-Surekh"/>
    </font>
    <font>
      <sz val="11"/>
      <name val="DVOT-Surekh"/>
    </font>
    <font>
      <sz val="10"/>
      <color indexed="8"/>
      <name val="DVOT-Surekh"/>
    </font>
    <font>
      <b/>
      <sz val="12"/>
      <color theme="1"/>
      <name val="DVOT-Surekh"/>
    </font>
    <font>
      <b/>
      <sz val="10"/>
      <color theme="1"/>
      <name val="DVOT-Surek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1" xfId="0" quotePrefix="1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top" wrapText="1"/>
    </xf>
    <xf numFmtId="1" fontId="6" fillId="0" borderId="3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4" fontId="5" fillId="0" borderId="4" xfId="0" applyNumberFormat="1" applyFont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right" vertical="top" wrapText="1"/>
    </xf>
    <xf numFmtId="1" fontId="6" fillId="2" borderId="0" xfId="0" applyNumberFormat="1" applyFont="1" applyFill="1" applyAlignment="1">
      <alignment horizontal="left" vertical="top" wrapText="1"/>
    </xf>
    <xf numFmtId="1" fontId="6" fillId="2" borderId="6" xfId="0" applyNumberFormat="1" applyFont="1" applyFill="1" applyBorder="1" applyAlignment="1">
      <alignment horizontal="left" vertical="top" wrapText="1"/>
    </xf>
    <xf numFmtId="164" fontId="6" fillId="2" borderId="4" xfId="0" applyNumberFormat="1" applyFont="1" applyFill="1" applyBorder="1" applyAlignment="1">
      <alignment horizontal="right" vertical="top" wrapText="1"/>
    </xf>
    <xf numFmtId="164" fontId="4" fillId="2" borderId="0" xfId="0" applyNumberFormat="1" applyFont="1" applyFill="1" applyAlignment="1">
      <alignment horizontal="righ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1" fontId="6" fillId="2" borderId="7" xfId="0" applyNumberFormat="1" applyFont="1" applyFill="1" applyBorder="1" applyAlignment="1">
      <alignment horizontal="left" vertical="top" wrapText="1"/>
    </xf>
    <xf numFmtId="164" fontId="6" fillId="2" borderId="7" xfId="0" applyNumberFormat="1" applyFont="1" applyFill="1" applyBorder="1" applyAlignment="1">
      <alignment horizontal="right" vertical="top" wrapText="1"/>
    </xf>
    <xf numFmtId="164" fontId="4" fillId="2" borderId="0" xfId="0" applyNumberFormat="1" applyFont="1" applyFill="1" applyAlignment="1">
      <alignment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164" fontId="4" fillId="2" borderId="6" xfId="0" applyNumberFormat="1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" fontId="3" fillId="2" borderId="0" xfId="0" applyNumberFormat="1" applyFont="1" applyFill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"/>
  <sheetViews>
    <sheetView tabSelected="1" view="pageBreakPreview" zoomScale="110" zoomScaleNormal="100" zoomScaleSheetLayoutView="110" workbookViewId="0">
      <pane ySplit="6" topLeftCell="A24" activePane="bottomLeft" state="frozen"/>
      <selection pane="bottomLeft" activeCell="C32" sqref="C32"/>
    </sheetView>
  </sheetViews>
  <sheetFormatPr defaultColWidth="9.109375" defaultRowHeight="18" customHeight="1"/>
  <cols>
    <col min="1" max="1" width="3.88671875" style="20" customWidth="1"/>
    <col min="2" max="2" width="78.109375" style="20" customWidth="1"/>
    <col min="3" max="3" width="12.109375" style="33" customWidth="1"/>
    <col min="4" max="4" width="12.33203125" style="33" customWidth="1"/>
    <col min="5" max="5" width="12.109375" style="33" customWidth="1"/>
    <col min="6" max="6" width="12.5546875" style="33" customWidth="1"/>
    <col min="7" max="7" width="12.44140625" style="33" bestFit="1" customWidth="1"/>
    <col min="8" max="8" width="14.5546875" style="33" customWidth="1"/>
    <col min="9" max="16384" width="9.109375" style="20"/>
  </cols>
  <sheetData>
    <row r="1" spans="1:8" ht="15.75" customHeight="1">
      <c r="A1" s="37" t="s">
        <v>58</v>
      </c>
      <c r="B1" s="37"/>
      <c r="C1" s="37"/>
      <c r="D1" s="37"/>
      <c r="E1" s="37"/>
      <c r="F1" s="37"/>
      <c r="G1" s="37"/>
      <c r="H1" s="37"/>
    </row>
    <row r="2" spans="1:8" ht="15.75" customHeight="1">
      <c r="A2" s="37" t="s">
        <v>29</v>
      </c>
      <c r="B2" s="37"/>
      <c r="C2" s="37"/>
      <c r="D2" s="37"/>
      <c r="E2" s="37"/>
      <c r="F2" s="37"/>
      <c r="G2" s="37"/>
      <c r="H2" s="37"/>
    </row>
    <row r="3" spans="1:8" ht="14.25" customHeight="1">
      <c r="A3" s="41" t="s">
        <v>30</v>
      </c>
      <c r="B3" s="41"/>
      <c r="C3" s="41"/>
      <c r="D3" s="41"/>
      <c r="E3" s="41"/>
      <c r="F3" s="41"/>
      <c r="G3" s="41"/>
      <c r="H3" s="41"/>
    </row>
    <row r="4" spans="1:8" ht="26.4">
      <c r="A4" s="38" t="s">
        <v>0</v>
      </c>
      <c r="B4" s="38" t="s">
        <v>1</v>
      </c>
      <c r="C4" s="40" t="s">
        <v>25</v>
      </c>
      <c r="D4" s="40"/>
      <c r="E4" s="40"/>
      <c r="F4" s="34" t="s">
        <v>26</v>
      </c>
      <c r="G4" s="34" t="s">
        <v>27</v>
      </c>
      <c r="H4" s="34" t="s">
        <v>28</v>
      </c>
    </row>
    <row r="5" spans="1:8" ht="18" customHeight="1">
      <c r="A5" s="38"/>
      <c r="B5" s="38"/>
      <c r="C5" s="34" t="s">
        <v>49</v>
      </c>
      <c r="D5" s="34" t="s">
        <v>52</v>
      </c>
      <c r="E5" s="34" t="s">
        <v>53</v>
      </c>
      <c r="F5" s="34" t="s">
        <v>54</v>
      </c>
      <c r="G5" s="34" t="s">
        <v>54</v>
      </c>
      <c r="H5" s="34" t="s">
        <v>59</v>
      </c>
    </row>
    <row r="6" spans="1:8" ht="18" customHeight="1">
      <c r="A6" s="21">
        <v>1</v>
      </c>
      <c r="B6" s="21">
        <v>2</v>
      </c>
      <c r="C6" s="22">
        <v>3</v>
      </c>
      <c r="D6" s="22">
        <v>4</v>
      </c>
      <c r="E6" s="22">
        <v>5</v>
      </c>
      <c r="F6" s="22">
        <v>6</v>
      </c>
      <c r="G6" s="22">
        <v>7</v>
      </c>
      <c r="H6" s="23">
        <v>8</v>
      </c>
    </row>
    <row r="7" spans="1:8" s="26" customFormat="1" ht="13.2">
      <c r="A7" s="24">
        <v>1</v>
      </c>
      <c r="B7" s="24" t="s">
        <v>32</v>
      </c>
      <c r="C7" s="25"/>
      <c r="D7" s="25"/>
      <c r="E7" s="25"/>
      <c r="F7" s="25"/>
      <c r="G7" s="25"/>
      <c r="H7" s="25"/>
    </row>
    <row r="8" spans="1:8" s="26" customFormat="1" ht="18" customHeight="1">
      <c r="A8" s="24"/>
      <c r="B8" s="24" t="s">
        <v>33</v>
      </c>
      <c r="C8" s="25">
        <v>162431</v>
      </c>
      <c r="D8" s="25">
        <v>277827</v>
      </c>
      <c r="E8" s="25">
        <v>402747</v>
      </c>
      <c r="F8" s="25">
        <v>336169</v>
      </c>
      <c r="G8" s="25">
        <v>443021</v>
      </c>
      <c r="H8" s="25">
        <v>487323</v>
      </c>
    </row>
    <row r="9" spans="1:8" s="26" customFormat="1" ht="18" customHeight="1">
      <c r="A9" s="24"/>
      <c r="B9" s="24" t="s">
        <v>31</v>
      </c>
      <c r="C9" s="25">
        <v>2712388</v>
      </c>
      <c r="D9" s="25">
        <v>1029827</v>
      </c>
      <c r="E9" s="25">
        <v>1139021</v>
      </c>
      <c r="F9" s="25">
        <v>1135384</v>
      </c>
      <c r="G9" s="25">
        <v>1031002</v>
      </c>
      <c r="H9" s="25">
        <v>1082552</v>
      </c>
    </row>
    <row r="10" spans="1:8" s="26" customFormat="1" ht="18" customHeight="1">
      <c r="A10" s="24"/>
      <c r="B10" s="24" t="s">
        <v>34</v>
      </c>
      <c r="C10" s="25">
        <v>6160</v>
      </c>
      <c r="D10" s="25">
        <v>6468</v>
      </c>
      <c r="E10" s="25">
        <v>23231</v>
      </c>
      <c r="F10" s="25">
        <v>7629.1</v>
      </c>
      <c r="G10" s="25">
        <v>8010.5550000000003</v>
      </c>
      <c r="H10" s="25">
        <v>8392.01</v>
      </c>
    </row>
    <row r="11" spans="1:8" s="26" customFormat="1" ht="18" customHeight="1">
      <c r="A11" s="24"/>
      <c r="B11" s="24" t="s">
        <v>48</v>
      </c>
      <c r="C11" s="25">
        <v>36532</v>
      </c>
      <c r="D11" s="25">
        <v>22629</v>
      </c>
      <c r="E11" s="25">
        <v>15937</v>
      </c>
      <c r="F11" s="25">
        <v>22666</v>
      </c>
      <c r="G11" s="25">
        <v>23799</v>
      </c>
      <c r="H11" s="25">
        <v>23799</v>
      </c>
    </row>
    <row r="12" spans="1:8" s="26" customFormat="1" ht="18" customHeight="1">
      <c r="A12" s="24"/>
      <c r="B12" s="24" t="s">
        <v>35</v>
      </c>
      <c r="C12" s="25">
        <v>17947</v>
      </c>
      <c r="D12" s="25">
        <v>17911.810000000001</v>
      </c>
      <c r="E12" s="25">
        <v>18014.53</v>
      </c>
      <c r="F12" s="25">
        <v>23280.89</v>
      </c>
      <c r="G12" s="25">
        <v>20595.48</v>
      </c>
      <c r="H12" s="25">
        <v>21625.26</v>
      </c>
    </row>
    <row r="13" spans="1:8" s="26" customFormat="1" ht="18" customHeight="1">
      <c r="A13" s="24"/>
      <c r="B13" s="24" t="s">
        <v>36</v>
      </c>
      <c r="C13" s="25">
        <v>3819</v>
      </c>
      <c r="D13" s="25">
        <v>6586</v>
      </c>
      <c r="E13" s="25">
        <v>9498</v>
      </c>
      <c r="F13" s="25">
        <v>6852.07</v>
      </c>
      <c r="G13" s="25">
        <v>9687.9599999999991</v>
      </c>
      <c r="H13" s="25">
        <v>9881.7199999999993</v>
      </c>
    </row>
    <row r="14" spans="1:8" s="26" customFormat="1" ht="18" customHeight="1">
      <c r="A14" s="24"/>
      <c r="B14" s="24" t="s">
        <v>37</v>
      </c>
      <c r="C14" s="25">
        <v>2094</v>
      </c>
      <c r="D14" s="25">
        <v>2730</v>
      </c>
      <c r="E14" s="25">
        <v>2594</v>
      </c>
      <c r="F14" s="25">
        <v>3000</v>
      </c>
      <c r="G14" s="25">
        <v>2600</v>
      </c>
      <c r="H14" s="25">
        <v>3000</v>
      </c>
    </row>
    <row r="15" spans="1:8" s="26" customFormat="1" ht="18" customHeight="1">
      <c r="A15" s="24"/>
      <c r="B15" s="24" t="s">
        <v>38</v>
      </c>
      <c r="C15" s="25">
        <f t="shared" ref="C15:H15" si="0">SUM(C8:C14)</f>
        <v>2941371</v>
      </c>
      <c r="D15" s="25">
        <f t="shared" si="0"/>
        <v>1363978.81</v>
      </c>
      <c r="E15" s="25">
        <f t="shared" si="0"/>
        <v>1611042.53</v>
      </c>
      <c r="F15" s="25">
        <f t="shared" si="0"/>
        <v>1534981.06</v>
      </c>
      <c r="G15" s="25">
        <f t="shared" si="0"/>
        <v>1538715.9949999999</v>
      </c>
      <c r="H15" s="25">
        <f t="shared" si="0"/>
        <v>1636572.99</v>
      </c>
    </row>
    <row r="16" spans="1:8" s="26" customFormat="1" ht="5.25" customHeight="1">
      <c r="A16" s="24"/>
      <c r="B16" s="24"/>
      <c r="C16" s="25"/>
      <c r="D16" s="25"/>
      <c r="E16" s="25"/>
      <c r="F16" s="25"/>
      <c r="G16" s="25"/>
      <c r="H16" s="25"/>
    </row>
    <row r="17" spans="1:8" s="26" customFormat="1" ht="17.25" customHeight="1">
      <c r="A17" s="24">
        <v>2</v>
      </c>
      <c r="B17" s="24" t="s">
        <v>3</v>
      </c>
      <c r="C17" s="25"/>
      <c r="D17" s="25"/>
      <c r="E17" s="25"/>
      <c r="F17" s="25"/>
      <c r="G17" s="25"/>
      <c r="H17" s="25"/>
    </row>
    <row r="18" spans="1:8" s="26" customFormat="1" ht="17.25" customHeight="1">
      <c r="A18" s="24"/>
      <c r="B18" s="24" t="s">
        <v>33</v>
      </c>
      <c r="C18" s="25">
        <v>0</v>
      </c>
      <c r="D18" s="25">
        <v>0</v>
      </c>
      <c r="E18" s="25">
        <v>2</v>
      </c>
      <c r="F18" s="25">
        <v>0</v>
      </c>
      <c r="G18" s="25">
        <v>0</v>
      </c>
      <c r="H18" s="25">
        <v>0</v>
      </c>
    </row>
    <row r="19" spans="1:8" s="26" customFormat="1" ht="17.25" customHeight="1">
      <c r="A19" s="24"/>
      <c r="B19" s="24" t="s">
        <v>31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</row>
    <row r="20" spans="1:8" s="26" customFormat="1" ht="17.25" customHeight="1">
      <c r="A20" s="24"/>
      <c r="B20" s="24" t="s">
        <v>34</v>
      </c>
      <c r="C20" s="25">
        <v>3171</v>
      </c>
      <c r="D20" s="25">
        <v>3330</v>
      </c>
      <c r="E20" s="25">
        <v>3252</v>
      </c>
      <c r="F20" s="25">
        <v>3909.78</v>
      </c>
      <c r="G20" s="25">
        <v>4105.2690000000002</v>
      </c>
      <c r="H20" s="25">
        <v>4300.7579999999998</v>
      </c>
    </row>
    <row r="21" spans="1:8" s="26" customFormat="1" ht="17.25" customHeight="1">
      <c r="A21" s="24"/>
      <c r="B21" s="24" t="s">
        <v>48</v>
      </c>
      <c r="C21" s="25">
        <v>3478</v>
      </c>
      <c r="D21" s="25">
        <v>153</v>
      </c>
      <c r="E21" s="25">
        <v>0</v>
      </c>
      <c r="F21" s="25">
        <v>150</v>
      </c>
      <c r="G21" s="25">
        <v>157</v>
      </c>
      <c r="H21" s="25">
        <v>157</v>
      </c>
    </row>
    <row r="22" spans="1:8" s="26" customFormat="1" ht="17.25" customHeight="1">
      <c r="A22" s="24"/>
      <c r="B22" s="24" t="s">
        <v>35</v>
      </c>
      <c r="C22" s="25">
        <v>3113</v>
      </c>
      <c r="D22" s="25">
        <v>1985</v>
      </c>
      <c r="E22" s="25">
        <v>1507.22</v>
      </c>
      <c r="F22" s="25">
        <v>22724.47</v>
      </c>
      <c r="G22" s="25">
        <v>22724.47</v>
      </c>
      <c r="H22" s="25">
        <v>23860.69</v>
      </c>
    </row>
    <row r="23" spans="1:8" s="26" customFormat="1" ht="17.25" customHeight="1">
      <c r="A23" s="24"/>
      <c r="B23" s="24" t="s">
        <v>36</v>
      </c>
      <c r="C23" s="25">
        <v>3020</v>
      </c>
      <c r="D23" s="25">
        <v>4866</v>
      </c>
      <c r="E23" s="25">
        <v>3306</v>
      </c>
      <c r="F23" s="25">
        <v>5062.59</v>
      </c>
      <c r="G23" s="25">
        <v>3372.12</v>
      </c>
      <c r="H23" s="25">
        <v>3439.56</v>
      </c>
    </row>
    <row r="24" spans="1:8" s="26" customFormat="1" ht="17.25" customHeight="1">
      <c r="A24" s="24"/>
      <c r="B24" s="24" t="s">
        <v>37</v>
      </c>
      <c r="C24" s="25">
        <v>418</v>
      </c>
      <c r="D24" s="25">
        <v>968</v>
      </c>
      <c r="E24" s="25">
        <v>1224</v>
      </c>
      <c r="F24" s="25">
        <v>1530</v>
      </c>
      <c r="G24" s="25">
        <v>1400</v>
      </c>
      <c r="H24" s="25">
        <v>1000</v>
      </c>
    </row>
    <row r="25" spans="1:8" s="26" customFormat="1" ht="17.25" customHeight="1">
      <c r="A25" s="24"/>
      <c r="B25" s="24" t="s">
        <v>38</v>
      </c>
      <c r="C25" s="25">
        <f t="shared" ref="C25:H25" si="1">SUM(C18:C24)</f>
        <v>13200</v>
      </c>
      <c r="D25" s="25">
        <f t="shared" si="1"/>
        <v>11302</v>
      </c>
      <c r="E25" s="25">
        <f t="shared" si="1"/>
        <v>9291.2200000000012</v>
      </c>
      <c r="F25" s="25">
        <f t="shared" si="1"/>
        <v>33376.839999999997</v>
      </c>
      <c r="G25" s="25">
        <f t="shared" si="1"/>
        <v>31758.859</v>
      </c>
      <c r="H25" s="25">
        <f t="shared" si="1"/>
        <v>32758.007999999998</v>
      </c>
    </row>
    <row r="26" spans="1:8" s="26" customFormat="1" ht="6" customHeight="1">
      <c r="A26" s="24"/>
      <c r="B26" s="24"/>
      <c r="C26" s="25"/>
      <c r="D26" s="25"/>
      <c r="E26" s="25"/>
      <c r="F26" s="25"/>
      <c r="G26" s="25"/>
      <c r="H26" s="25"/>
    </row>
    <row r="27" spans="1:8" s="26" customFormat="1" ht="26.4">
      <c r="A27" s="24">
        <v>3</v>
      </c>
      <c r="B27" s="24" t="s">
        <v>39</v>
      </c>
      <c r="C27" s="25"/>
      <c r="D27" s="25"/>
      <c r="E27" s="25"/>
      <c r="F27" s="25"/>
      <c r="G27" s="25"/>
      <c r="H27" s="25"/>
    </row>
    <row r="28" spans="1:8" s="26" customFormat="1" ht="17.25" customHeight="1">
      <c r="A28" s="24"/>
      <c r="B28" s="24" t="s">
        <v>33</v>
      </c>
      <c r="C28" s="25">
        <v>0</v>
      </c>
      <c r="D28" s="25">
        <v>0</v>
      </c>
      <c r="E28" s="25">
        <v>2</v>
      </c>
      <c r="F28" s="25">
        <v>0</v>
      </c>
      <c r="G28" s="25">
        <v>0</v>
      </c>
      <c r="H28" s="25">
        <v>0</v>
      </c>
    </row>
    <row r="29" spans="1:8" s="26" customFormat="1" ht="17.25" customHeight="1">
      <c r="A29" s="24"/>
      <c r="B29" s="24" t="s">
        <v>31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</row>
    <row r="30" spans="1:8" s="26" customFormat="1" ht="17.25" customHeight="1">
      <c r="A30" s="24"/>
      <c r="B30" s="24" t="s">
        <v>34</v>
      </c>
      <c r="C30" s="25">
        <v>35289</v>
      </c>
      <c r="D30" s="25">
        <v>37053</v>
      </c>
      <c r="E30" s="25">
        <v>37567</v>
      </c>
      <c r="F30" s="25">
        <v>43710.57</v>
      </c>
      <c r="G30" s="25">
        <v>45896.099000000002</v>
      </c>
      <c r="H30" s="25">
        <v>48081.627</v>
      </c>
    </row>
    <row r="31" spans="1:8" s="26" customFormat="1" ht="17.25" customHeight="1">
      <c r="A31" s="24"/>
      <c r="B31" s="24" t="s">
        <v>48</v>
      </c>
      <c r="C31" s="25">
        <v>60576</v>
      </c>
      <c r="D31" s="25">
        <v>53428</v>
      </c>
      <c r="E31" s="25">
        <v>41284</v>
      </c>
      <c r="F31" s="25">
        <v>53366</v>
      </c>
      <c r="G31" s="25">
        <v>56034</v>
      </c>
      <c r="H31" s="25">
        <v>56034</v>
      </c>
    </row>
    <row r="32" spans="1:8" s="26" customFormat="1" ht="17.25" customHeight="1">
      <c r="A32" s="24"/>
      <c r="B32" s="24" t="s">
        <v>35</v>
      </c>
      <c r="C32" s="25">
        <v>131136</v>
      </c>
      <c r="D32" s="25">
        <v>112518.45</v>
      </c>
      <c r="E32" s="25">
        <v>112218.45</v>
      </c>
      <c r="F32" s="25">
        <v>178844.56</v>
      </c>
      <c r="G32" s="25">
        <v>177844.56</v>
      </c>
      <c r="H32" s="25">
        <v>186736.79</v>
      </c>
    </row>
    <row r="33" spans="1:8" s="26" customFormat="1" ht="17.25" customHeight="1">
      <c r="A33" s="24"/>
      <c r="B33" s="24" t="s">
        <v>36</v>
      </c>
      <c r="C33" s="25">
        <v>72342</v>
      </c>
      <c r="D33" s="25">
        <v>70895</v>
      </c>
      <c r="E33" s="25">
        <v>73758</v>
      </c>
      <c r="F33" s="25">
        <v>73759.16</v>
      </c>
      <c r="G33" s="25">
        <v>75233.16</v>
      </c>
      <c r="H33" s="25">
        <v>76737.820000000007</v>
      </c>
    </row>
    <row r="34" spans="1:8" s="26" customFormat="1" ht="17.25" customHeight="1">
      <c r="A34" s="24"/>
      <c r="B34" s="24" t="s">
        <v>37</v>
      </c>
      <c r="C34" s="25">
        <v>22430</v>
      </c>
      <c r="D34" s="25">
        <v>37921</v>
      </c>
      <c r="E34" s="25">
        <v>35605</v>
      </c>
      <c r="F34" s="25">
        <v>35000</v>
      </c>
      <c r="G34" s="25">
        <v>33000</v>
      </c>
      <c r="H34" s="25">
        <v>35000</v>
      </c>
    </row>
    <row r="35" spans="1:8" s="26" customFormat="1" ht="17.25" customHeight="1">
      <c r="A35" s="24"/>
      <c r="B35" s="24" t="s">
        <v>38</v>
      </c>
      <c r="C35" s="25">
        <f t="shared" ref="C35:H35" si="2">SUM(C28:C34)</f>
        <v>321773</v>
      </c>
      <c r="D35" s="25">
        <f t="shared" si="2"/>
        <v>311815.45</v>
      </c>
      <c r="E35" s="25">
        <f t="shared" si="2"/>
        <v>300434.45</v>
      </c>
      <c r="F35" s="25">
        <f t="shared" si="2"/>
        <v>384680.29000000004</v>
      </c>
      <c r="G35" s="25">
        <f t="shared" si="2"/>
        <v>388007.81900000002</v>
      </c>
      <c r="H35" s="25">
        <f t="shared" si="2"/>
        <v>402590.23700000002</v>
      </c>
    </row>
    <row r="36" spans="1:8" s="26" customFormat="1" ht="6" customHeight="1">
      <c r="A36" s="24"/>
      <c r="B36" s="24"/>
      <c r="C36" s="25"/>
      <c r="D36" s="25"/>
      <c r="E36" s="25"/>
      <c r="F36" s="25"/>
      <c r="G36" s="25"/>
      <c r="H36" s="25"/>
    </row>
    <row r="37" spans="1:8" s="26" customFormat="1" ht="32.25" customHeight="1">
      <c r="A37" s="24">
        <v>4</v>
      </c>
      <c r="B37" s="24" t="s">
        <v>5</v>
      </c>
      <c r="C37" s="25"/>
      <c r="D37" s="25"/>
      <c r="E37" s="25"/>
      <c r="F37" s="25"/>
      <c r="G37" s="25"/>
      <c r="H37" s="25"/>
    </row>
    <row r="38" spans="1:8" s="26" customFormat="1" ht="17.25" customHeight="1">
      <c r="A38" s="24"/>
      <c r="B38" s="24" t="s">
        <v>33</v>
      </c>
      <c r="C38" s="25">
        <v>0</v>
      </c>
      <c r="D38" s="25">
        <v>0</v>
      </c>
      <c r="E38" s="25">
        <v>1</v>
      </c>
      <c r="F38" s="25">
        <v>0</v>
      </c>
      <c r="G38" s="25">
        <v>0</v>
      </c>
      <c r="H38" s="25">
        <v>0</v>
      </c>
    </row>
    <row r="39" spans="1:8" s="26" customFormat="1" ht="17.25" customHeight="1">
      <c r="A39" s="24"/>
      <c r="B39" s="24" t="s">
        <v>31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</row>
    <row r="40" spans="1:8" s="26" customFormat="1" ht="17.25" customHeight="1">
      <c r="A40" s="24"/>
      <c r="B40" s="24" t="s">
        <v>34</v>
      </c>
      <c r="C40" s="25">
        <v>6662</v>
      </c>
      <c r="D40" s="25">
        <v>6995</v>
      </c>
      <c r="E40" s="25">
        <v>4789</v>
      </c>
      <c r="F40" s="25">
        <v>7128.34</v>
      </c>
      <c r="G40" s="25">
        <v>7484.7569999999996</v>
      </c>
      <c r="H40" s="25">
        <v>7841.174</v>
      </c>
    </row>
    <row r="41" spans="1:8" s="26" customFormat="1" ht="17.25" customHeight="1">
      <c r="A41" s="24"/>
      <c r="B41" s="24" t="s">
        <v>48</v>
      </c>
      <c r="C41" s="25">
        <v>10500</v>
      </c>
      <c r="D41" s="25">
        <v>7976</v>
      </c>
      <c r="E41" s="25">
        <v>7331</v>
      </c>
      <c r="F41" s="25">
        <v>7712</v>
      </c>
      <c r="G41" s="25">
        <v>8097</v>
      </c>
      <c r="H41" s="25">
        <v>8097</v>
      </c>
    </row>
    <row r="42" spans="1:8" s="26" customFormat="1" ht="17.25" customHeight="1">
      <c r="A42" s="24"/>
      <c r="B42" s="24" t="s">
        <v>35</v>
      </c>
      <c r="C42" s="25">
        <v>20987</v>
      </c>
      <c r="D42" s="25">
        <v>17231.79</v>
      </c>
      <c r="E42" s="25">
        <v>18804.72</v>
      </c>
      <c r="F42" s="25">
        <v>29735.14</v>
      </c>
      <c r="G42" s="25">
        <v>29735.14</v>
      </c>
      <c r="H42" s="25">
        <v>31221.9</v>
      </c>
    </row>
    <row r="43" spans="1:8" s="26" customFormat="1" ht="17.25" customHeight="1">
      <c r="A43" s="24"/>
      <c r="B43" s="24" t="s">
        <v>36</v>
      </c>
      <c r="C43" s="25">
        <v>10515</v>
      </c>
      <c r="D43" s="25">
        <v>10567</v>
      </c>
      <c r="E43" s="25">
        <v>10674</v>
      </c>
      <c r="F43" s="25">
        <v>10993.91</v>
      </c>
      <c r="G43" s="25">
        <v>10887.48</v>
      </c>
      <c r="H43" s="25">
        <v>11105.23</v>
      </c>
    </row>
    <row r="44" spans="1:8" s="26" customFormat="1" ht="17.25" customHeight="1">
      <c r="A44" s="24"/>
      <c r="B44" s="24" t="s">
        <v>37</v>
      </c>
      <c r="C44" s="25">
        <v>3199</v>
      </c>
      <c r="D44" s="25">
        <v>5502</v>
      </c>
      <c r="E44" s="25">
        <v>5179</v>
      </c>
      <c r="F44" s="25">
        <v>5000</v>
      </c>
      <c r="G44" s="25">
        <v>4500</v>
      </c>
      <c r="H44" s="25">
        <v>4500</v>
      </c>
    </row>
    <row r="45" spans="1:8" s="26" customFormat="1" ht="17.25" customHeight="1">
      <c r="A45" s="24"/>
      <c r="B45" s="24" t="s">
        <v>38</v>
      </c>
      <c r="C45" s="25">
        <f t="shared" ref="C45:H45" si="3">SUM(C38:C44)</f>
        <v>51863</v>
      </c>
      <c r="D45" s="25">
        <f t="shared" si="3"/>
        <v>48271.79</v>
      </c>
      <c r="E45" s="25">
        <f t="shared" si="3"/>
        <v>46778.720000000001</v>
      </c>
      <c r="F45" s="25">
        <f t="shared" si="3"/>
        <v>60569.39</v>
      </c>
      <c r="G45" s="25">
        <f t="shared" si="3"/>
        <v>60704.376999999993</v>
      </c>
      <c r="H45" s="25">
        <f t="shared" si="3"/>
        <v>62765.304000000004</v>
      </c>
    </row>
    <row r="46" spans="1:8" s="26" customFormat="1" ht="5.25" customHeight="1">
      <c r="A46" s="24"/>
      <c r="B46" s="24"/>
      <c r="C46" s="25"/>
      <c r="D46" s="25"/>
      <c r="E46" s="25"/>
      <c r="F46" s="25"/>
      <c r="G46" s="25"/>
      <c r="H46" s="25"/>
    </row>
    <row r="47" spans="1:8" s="26" customFormat="1" ht="18" customHeight="1">
      <c r="A47" s="24">
        <v>5</v>
      </c>
      <c r="B47" s="24" t="s">
        <v>6</v>
      </c>
      <c r="C47" s="25"/>
      <c r="D47" s="25"/>
      <c r="E47" s="25"/>
      <c r="F47" s="25"/>
      <c r="G47" s="25"/>
      <c r="H47" s="25"/>
    </row>
    <row r="48" spans="1:8" s="26" customFormat="1" ht="17.25" customHeight="1">
      <c r="A48" s="24"/>
      <c r="B48" s="24" t="s">
        <v>33</v>
      </c>
      <c r="C48" s="25">
        <v>0</v>
      </c>
      <c r="D48" s="25">
        <v>0</v>
      </c>
      <c r="E48" s="25">
        <v>9</v>
      </c>
      <c r="F48" s="25">
        <v>0</v>
      </c>
      <c r="G48" s="25">
        <v>0</v>
      </c>
      <c r="H48" s="25">
        <v>0</v>
      </c>
    </row>
    <row r="49" spans="1:8" s="26" customFormat="1" ht="17.25" customHeight="1">
      <c r="A49" s="24"/>
      <c r="B49" s="24" t="s">
        <v>31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</row>
    <row r="50" spans="1:8" s="26" customFormat="1" ht="17.25" customHeight="1">
      <c r="A50" s="24"/>
      <c r="B50" s="24" t="s">
        <v>34</v>
      </c>
      <c r="C50" s="25">
        <v>3</v>
      </c>
      <c r="D50" s="25">
        <v>3.15</v>
      </c>
      <c r="E50" s="25">
        <v>0</v>
      </c>
      <c r="F50" s="25">
        <v>3.702</v>
      </c>
      <c r="G50" s="25">
        <v>3.887</v>
      </c>
      <c r="H50" s="25">
        <v>4.0720000000000001</v>
      </c>
    </row>
    <row r="51" spans="1:8" s="26" customFormat="1" ht="17.25" customHeight="1">
      <c r="A51" s="24"/>
      <c r="B51" s="24" t="s">
        <v>48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</row>
    <row r="52" spans="1:8" s="26" customFormat="1" ht="17.25" customHeight="1">
      <c r="A52" s="24"/>
      <c r="B52" s="24" t="s">
        <v>35</v>
      </c>
      <c r="C52" s="25">
        <v>3288</v>
      </c>
      <c r="D52" s="25">
        <v>1893</v>
      </c>
      <c r="E52" s="25">
        <v>6233.72</v>
      </c>
      <c r="F52" s="25">
        <v>9118.02</v>
      </c>
      <c r="G52" s="25">
        <v>13236.3</v>
      </c>
      <c r="H52" s="25">
        <v>13898.12</v>
      </c>
    </row>
    <row r="53" spans="1:8" s="26" customFormat="1" ht="17.25" customHeight="1">
      <c r="A53" s="24"/>
      <c r="B53" s="24" t="s">
        <v>36</v>
      </c>
      <c r="C53" s="25">
        <v>22</v>
      </c>
      <c r="D53" s="25">
        <v>57</v>
      </c>
      <c r="E53" s="25">
        <v>17</v>
      </c>
      <c r="F53" s="25">
        <v>58.14</v>
      </c>
      <c r="G53" s="25">
        <v>17</v>
      </c>
      <c r="H53" s="25">
        <v>17.34</v>
      </c>
    </row>
    <row r="54" spans="1:8" s="26" customFormat="1" ht="17.25" customHeight="1">
      <c r="A54" s="24"/>
      <c r="B54" s="24" t="s">
        <v>37</v>
      </c>
      <c r="C54" s="25">
        <v>1</v>
      </c>
      <c r="D54" s="25">
        <v>0</v>
      </c>
      <c r="E54" s="25">
        <v>92</v>
      </c>
      <c r="F54" s="25">
        <v>0</v>
      </c>
      <c r="G54" s="25">
        <v>0</v>
      </c>
      <c r="H54" s="25">
        <v>0</v>
      </c>
    </row>
    <row r="55" spans="1:8" s="26" customFormat="1" ht="17.25" customHeight="1">
      <c r="A55" s="24"/>
      <c r="B55" s="24" t="s">
        <v>38</v>
      </c>
      <c r="C55" s="25">
        <f t="shared" ref="C55:H55" si="4">SUM(C48:C54)</f>
        <v>3314</v>
      </c>
      <c r="D55" s="25">
        <f t="shared" si="4"/>
        <v>1953.15</v>
      </c>
      <c r="E55" s="25">
        <f t="shared" si="4"/>
        <v>6351.72</v>
      </c>
      <c r="F55" s="25">
        <f t="shared" si="4"/>
        <v>9179.8619999999992</v>
      </c>
      <c r="G55" s="25">
        <f t="shared" si="4"/>
        <v>13257.187</v>
      </c>
      <c r="H55" s="25">
        <f t="shared" si="4"/>
        <v>13919.532000000001</v>
      </c>
    </row>
    <row r="56" spans="1:8" s="26" customFormat="1" ht="3.75" customHeight="1">
      <c r="A56" s="24"/>
      <c r="B56" s="24"/>
      <c r="C56" s="25"/>
      <c r="D56" s="25"/>
      <c r="E56" s="25"/>
      <c r="F56" s="25"/>
      <c r="G56" s="25"/>
      <c r="H56" s="25"/>
    </row>
    <row r="57" spans="1:8" s="26" customFormat="1" ht="26.4">
      <c r="A57" s="24">
        <v>6</v>
      </c>
      <c r="B57" s="24" t="s">
        <v>40</v>
      </c>
      <c r="C57" s="25"/>
      <c r="D57" s="25"/>
      <c r="E57" s="25"/>
      <c r="F57" s="25"/>
      <c r="G57" s="25"/>
      <c r="H57" s="25"/>
    </row>
    <row r="58" spans="1:8" s="26" customFormat="1" ht="17.25" customHeight="1">
      <c r="A58" s="24"/>
      <c r="B58" s="24" t="s">
        <v>33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</row>
    <row r="59" spans="1:8" s="26" customFormat="1" ht="17.25" customHeight="1">
      <c r="A59" s="24"/>
      <c r="B59" s="24" t="s">
        <v>31</v>
      </c>
      <c r="C59" s="25"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</row>
    <row r="60" spans="1:8" s="26" customFormat="1" ht="17.25" customHeight="1">
      <c r="A60" s="24"/>
      <c r="B60" s="24" t="s">
        <v>34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</row>
    <row r="61" spans="1:8" s="26" customFormat="1" ht="17.25" customHeight="1">
      <c r="A61" s="24"/>
      <c r="B61" s="24" t="s">
        <v>48</v>
      </c>
      <c r="C61" s="25">
        <v>76449</v>
      </c>
      <c r="D61" s="25">
        <v>52366</v>
      </c>
      <c r="E61" s="25">
        <v>99008</v>
      </c>
      <c r="F61" s="25">
        <v>30000</v>
      </c>
      <c r="G61" s="25">
        <v>31500</v>
      </c>
      <c r="H61" s="25">
        <v>31500</v>
      </c>
    </row>
    <row r="62" spans="1:8" s="26" customFormat="1" ht="17.25" customHeight="1">
      <c r="A62" s="24"/>
      <c r="B62" s="24" t="s">
        <v>35</v>
      </c>
      <c r="C62" s="25">
        <v>14206</v>
      </c>
      <c r="D62" s="25">
        <v>21117.95</v>
      </c>
      <c r="E62" s="25">
        <v>15456.11</v>
      </c>
      <c r="F62" s="25">
        <v>900</v>
      </c>
      <c r="G62" s="25">
        <v>1066.23</v>
      </c>
      <c r="H62" s="25">
        <v>1119.54</v>
      </c>
    </row>
    <row r="63" spans="1:8" s="26" customFormat="1" ht="17.25" customHeight="1">
      <c r="A63" s="24"/>
      <c r="B63" s="24" t="s">
        <v>36</v>
      </c>
      <c r="C63" s="25">
        <v>0</v>
      </c>
      <c r="D63" s="25">
        <v>0</v>
      </c>
      <c r="E63" s="25">
        <v>724</v>
      </c>
      <c r="F63" s="25">
        <v>0</v>
      </c>
      <c r="G63" s="25">
        <v>738.48</v>
      </c>
      <c r="H63" s="25">
        <v>753.25</v>
      </c>
    </row>
    <row r="64" spans="1:8" s="26" customFormat="1" ht="17.25" customHeight="1">
      <c r="A64" s="24"/>
      <c r="B64" s="24" t="s">
        <v>37</v>
      </c>
      <c r="C64" s="25">
        <v>69</v>
      </c>
      <c r="D64" s="25">
        <v>293</v>
      </c>
      <c r="E64" s="25">
        <v>495</v>
      </c>
      <c r="F64" s="25">
        <v>300</v>
      </c>
      <c r="G64" s="25">
        <v>200</v>
      </c>
      <c r="H64" s="25">
        <v>350</v>
      </c>
    </row>
    <row r="65" spans="1:8" s="26" customFormat="1" ht="17.25" customHeight="1">
      <c r="A65" s="24"/>
      <c r="B65" s="24" t="s">
        <v>38</v>
      </c>
      <c r="C65" s="25">
        <f t="shared" ref="C65:H65" si="5">SUM(C58:C64)</f>
        <v>90724</v>
      </c>
      <c r="D65" s="25">
        <f t="shared" si="5"/>
        <v>73776.95</v>
      </c>
      <c r="E65" s="25">
        <f t="shared" si="5"/>
        <v>115683.11</v>
      </c>
      <c r="F65" s="25">
        <f t="shared" si="5"/>
        <v>31200</v>
      </c>
      <c r="G65" s="25">
        <f t="shared" si="5"/>
        <v>33504.71</v>
      </c>
      <c r="H65" s="25">
        <f t="shared" si="5"/>
        <v>33722.79</v>
      </c>
    </row>
    <row r="66" spans="1:8" s="26" customFormat="1" ht="4.5" customHeight="1">
      <c r="A66" s="24"/>
      <c r="B66" s="24"/>
      <c r="C66" s="25"/>
      <c r="D66" s="25"/>
      <c r="E66" s="25"/>
      <c r="F66" s="25"/>
      <c r="G66" s="25"/>
      <c r="H66" s="25"/>
    </row>
    <row r="67" spans="1:8" s="26" customFormat="1" ht="33" customHeight="1">
      <c r="A67" s="24">
        <v>7</v>
      </c>
      <c r="B67" s="24" t="s">
        <v>41</v>
      </c>
      <c r="C67" s="25"/>
      <c r="D67" s="25"/>
      <c r="E67" s="25"/>
      <c r="F67" s="25"/>
      <c r="G67" s="25"/>
      <c r="H67" s="25"/>
    </row>
    <row r="68" spans="1:8" s="26" customFormat="1" ht="17.25" customHeight="1">
      <c r="A68" s="24"/>
      <c r="B68" s="24" t="s">
        <v>33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</row>
    <row r="69" spans="1:8" s="26" customFormat="1" ht="17.25" customHeight="1">
      <c r="A69" s="24"/>
      <c r="B69" s="24" t="s">
        <v>31</v>
      </c>
      <c r="C69" s="25">
        <v>613639</v>
      </c>
      <c r="D69" s="25">
        <v>3498177</v>
      </c>
      <c r="E69" s="25">
        <v>603176</v>
      </c>
      <c r="F69" s="25">
        <v>3856740</v>
      </c>
      <c r="G69" s="25">
        <v>887969</v>
      </c>
      <c r="H69" s="25">
        <v>932368</v>
      </c>
    </row>
    <row r="70" spans="1:8" s="26" customFormat="1" ht="17.25" customHeight="1">
      <c r="A70" s="24"/>
      <c r="B70" s="24" t="s">
        <v>34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</row>
    <row r="71" spans="1:8" s="26" customFormat="1" ht="17.25" customHeight="1">
      <c r="A71" s="24"/>
      <c r="B71" s="24" t="s">
        <v>48</v>
      </c>
      <c r="C71" s="25">
        <v>1</v>
      </c>
      <c r="D71" s="25">
        <v>117</v>
      </c>
      <c r="E71" s="25">
        <v>3384</v>
      </c>
      <c r="F71" s="25">
        <v>196</v>
      </c>
      <c r="G71" s="25">
        <v>206</v>
      </c>
      <c r="H71" s="25">
        <v>206</v>
      </c>
    </row>
    <row r="72" spans="1:8" s="26" customFormat="1" ht="17.25" customHeight="1">
      <c r="A72" s="24"/>
      <c r="B72" s="24" t="s">
        <v>35</v>
      </c>
      <c r="C72" s="25">
        <v>39038</v>
      </c>
      <c r="D72" s="25">
        <v>282987</v>
      </c>
      <c r="E72" s="25">
        <v>603433.51</v>
      </c>
      <c r="F72" s="25">
        <v>400</v>
      </c>
      <c r="G72" s="25">
        <v>355</v>
      </c>
      <c r="H72" s="25">
        <v>372.75</v>
      </c>
    </row>
    <row r="73" spans="1:8" s="26" customFormat="1" ht="17.25" customHeight="1">
      <c r="A73" s="24"/>
      <c r="B73" s="24" t="s">
        <v>36</v>
      </c>
      <c r="C73" s="25">
        <v>3775</v>
      </c>
      <c r="D73" s="25">
        <v>3024</v>
      </c>
      <c r="E73" s="25">
        <v>2880</v>
      </c>
      <c r="F73" s="25">
        <v>3146.17</v>
      </c>
      <c r="G73" s="25">
        <v>2937.6</v>
      </c>
      <c r="H73" s="25">
        <v>2996.35</v>
      </c>
    </row>
    <row r="74" spans="1:8" s="26" customFormat="1" ht="17.25" customHeight="1">
      <c r="A74" s="24"/>
      <c r="B74" s="24" t="s">
        <v>37</v>
      </c>
      <c r="C74" s="25">
        <v>24867</v>
      </c>
      <c r="D74" s="25">
        <v>32864</v>
      </c>
      <c r="E74" s="25">
        <v>727</v>
      </c>
      <c r="F74" s="25">
        <v>0</v>
      </c>
      <c r="G74" s="25">
        <v>0</v>
      </c>
      <c r="H74" s="25">
        <v>0</v>
      </c>
    </row>
    <row r="75" spans="1:8" s="26" customFormat="1" ht="17.25" customHeight="1">
      <c r="A75" s="24"/>
      <c r="B75" s="24" t="s">
        <v>38</v>
      </c>
      <c r="C75" s="25">
        <f t="shared" ref="C75:H75" si="6">SUM(C68:C74)</f>
        <v>681320</v>
      </c>
      <c r="D75" s="25">
        <f t="shared" si="6"/>
        <v>3817169</v>
      </c>
      <c r="E75" s="25">
        <f t="shared" si="6"/>
        <v>1213600.51</v>
      </c>
      <c r="F75" s="25">
        <f t="shared" si="6"/>
        <v>3860482.17</v>
      </c>
      <c r="G75" s="25">
        <f t="shared" si="6"/>
        <v>891467.6</v>
      </c>
      <c r="H75" s="25">
        <f t="shared" si="6"/>
        <v>935943.1</v>
      </c>
    </row>
    <row r="76" spans="1:8" s="26" customFormat="1" ht="4.5" customHeight="1">
      <c r="A76" s="24"/>
      <c r="B76" s="24"/>
      <c r="C76" s="25"/>
      <c r="D76" s="25"/>
      <c r="E76" s="25"/>
      <c r="F76" s="25"/>
      <c r="G76" s="25"/>
      <c r="H76" s="25"/>
    </row>
    <row r="77" spans="1:8" s="26" customFormat="1" ht="32.25" customHeight="1">
      <c r="A77" s="24">
        <v>8</v>
      </c>
      <c r="B77" s="24" t="s">
        <v>42</v>
      </c>
      <c r="C77" s="25"/>
      <c r="D77" s="25"/>
      <c r="E77" s="25"/>
      <c r="F77" s="25"/>
      <c r="G77" s="25"/>
      <c r="H77" s="25"/>
    </row>
    <row r="78" spans="1:8" s="26" customFormat="1" ht="17.25" customHeight="1">
      <c r="A78" s="24"/>
      <c r="B78" s="24" t="s">
        <v>33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</row>
    <row r="79" spans="1:8" s="26" customFormat="1" ht="17.25" customHeight="1">
      <c r="A79" s="24"/>
      <c r="B79" s="24" t="s">
        <v>31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</row>
    <row r="80" spans="1:8" s="26" customFormat="1" ht="17.25" customHeight="1">
      <c r="A80" s="24"/>
      <c r="B80" s="24" t="s">
        <v>34</v>
      </c>
      <c r="C80" s="25">
        <v>0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</row>
    <row r="81" spans="1:8" s="26" customFormat="1" ht="17.25" customHeight="1">
      <c r="A81" s="24"/>
      <c r="B81" s="24" t="s">
        <v>48</v>
      </c>
      <c r="C81" s="25">
        <v>0</v>
      </c>
      <c r="D81" s="25">
        <v>0</v>
      </c>
      <c r="E81" s="25">
        <v>0</v>
      </c>
      <c r="F81" s="25">
        <v>0</v>
      </c>
      <c r="G81" s="25">
        <v>0</v>
      </c>
      <c r="H81" s="25">
        <v>0</v>
      </c>
    </row>
    <row r="82" spans="1:8" s="26" customFormat="1" ht="17.25" customHeight="1">
      <c r="A82" s="24"/>
      <c r="B82" s="24" t="s">
        <v>35</v>
      </c>
      <c r="C82" s="25">
        <v>37</v>
      </c>
      <c r="D82" s="25">
        <v>0</v>
      </c>
      <c r="E82" s="25">
        <v>18.43</v>
      </c>
      <c r="F82" s="25">
        <v>0</v>
      </c>
      <c r="G82" s="25">
        <v>0</v>
      </c>
      <c r="H82" s="25">
        <v>0</v>
      </c>
    </row>
    <row r="83" spans="1:8" s="26" customFormat="1" ht="17.25" customHeight="1">
      <c r="A83" s="24"/>
      <c r="B83" s="24" t="s">
        <v>36</v>
      </c>
      <c r="C83" s="25">
        <v>0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</row>
    <row r="84" spans="1:8" s="26" customFormat="1" ht="17.25" customHeight="1">
      <c r="A84" s="24"/>
      <c r="B84" s="24" t="s">
        <v>37</v>
      </c>
      <c r="C84" s="25">
        <v>0</v>
      </c>
      <c r="D84" s="25">
        <v>0</v>
      </c>
      <c r="E84" s="25">
        <v>0</v>
      </c>
      <c r="F84" s="25">
        <v>0</v>
      </c>
      <c r="G84" s="25">
        <v>0</v>
      </c>
      <c r="H84" s="25">
        <v>0</v>
      </c>
    </row>
    <row r="85" spans="1:8" s="26" customFormat="1" ht="17.25" customHeight="1">
      <c r="A85" s="24"/>
      <c r="B85" s="24" t="s">
        <v>38</v>
      </c>
      <c r="C85" s="25">
        <f t="shared" ref="C85:H85" si="7">SUM(C78:C84)</f>
        <v>37</v>
      </c>
      <c r="D85" s="25">
        <f t="shared" si="7"/>
        <v>0</v>
      </c>
      <c r="E85" s="25">
        <f t="shared" si="7"/>
        <v>18.43</v>
      </c>
      <c r="F85" s="25">
        <f t="shared" si="7"/>
        <v>0</v>
      </c>
      <c r="G85" s="25">
        <f t="shared" si="7"/>
        <v>0</v>
      </c>
      <c r="H85" s="25">
        <f t="shared" si="7"/>
        <v>0</v>
      </c>
    </row>
    <row r="86" spans="1:8" s="26" customFormat="1" ht="8.25" customHeight="1">
      <c r="A86" s="24"/>
      <c r="B86" s="24"/>
      <c r="C86" s="25"/>
      <c r="D86" s="25"/>
      <c r="E86" s="25"/>
      <c r="F86" s="25"/>
      <c r="G86" s="25"/>
      <c r="H86" s="25"/>
    </row>
    <row r="87" spans="1:8" s="26" customFormat="1" ht="34.5" customHeight="1">
      <c r="A87" s="24">
        <v>9</v>
      </c>
      <c r="B87" s="24" t="s">
        <v>62</v>
      </c>
      <c r="C87" s="25"/>
      <c r="D87" s="25"/>
      <c r="E87" s="25"/>
      <c r="F87" s="25"/>
      <c r="G87" s="25"/>
      <c r="H87" s="25"/>
    </row>
    <row r="88" spans="1:8" s="26" customFormat="1" ht="17.25" customHeight="1">
      <c r="A88" s="24"/>
      <c r="B88" s="24" t="s">
        <v>33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</row>
    <row r="89" spans="1:8" s="26" customFormat="1" ht="17.25" customHeight="1">
      <c r="A89" s="24"/>
      <c r="B89" s="24" t="s">
        <v>31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</row>
    <row r="90" spans="1:8" s="26" customFormat="1" ht="17.25" customHeight="1">
      <c r="A90" s="24"/>
      <c r="B90" s="24" t="s">
        <v>34</v>
      </c>
      <c r="C90" s="25">
        <v>0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</row>
    <row r="91" spans="1:8" s="26" customFormat="1" ht="17.25" customHeight="1">
      <c r="A91" s="24"/>
      <c r="B91" s="24" t="s">
        <v>48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</row>
    <row r="92" spans="1:8" s="26" customFormat="1" ht="17.25" customHeight="1">
      <c r="A92" s="24"/>
      <c r="B92" s="24" t="s">
        <v>35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</row>
    <row r="93" spans="1:8" s="26" customFormat="1" ht="17.25" customHeight="1">
      <c r="A93" s="24"/>
      <c r="B93" s="24" t="s">
        <v>36</v>
      </c>
      <c r="C93" s="25">
        <v>0</v>
      </c>
      <c r="D93" s="25">
        <v>0</v>
      </c>
      <c r="E93" s="25">
        <v>0</v>
      </c>
      <c r="F93" s="25">
        <v>0</v>
      </c>
      <c r="G93" s="25">
        <v>0</v>
      </c>
      <c r="H93" s="25">
        <v>0</v>
      </c>
    </row>
    <row r="94" spans="1:8" s="26" customFormat="1" ht="17.25" customHeight="1">
      <c r="A94" s="24"/>
      <c r="B94" s="24" t="s">
        <v>37</v>
      </c>
      <c r="C94" s="25">
        <v>0</v>
      </c>
      <c r="D94" s="25">
        <v>0</v>
      </c>
      <c r="E94" s="25">
        <v>0</v>
      </c>
      <c r="F94" s="25">
        <v>0</v>
      </c>
      <c r="G94" s="25">
        <v>0</v>
      </c>
      <c r="H94" s="25">
        <v>0</v>
      </c>
    </row>
    <row r="95" spans="1:8" s="26" customFormat="1" ht="17.25" customHeight="1">
      <c r="A95" s="24"/>
      <c r="B95" s="24" t="s">
        <v>38</v>
      </c>
      <c r="C95" s="25">
        <f t="shared" ref="C95:H95" si="8">SUM(C88:C94)</f>
        <v>0</v>
      </c>
      <c r="D95" s="25">
        <f t="shared" si="8"/>
        <v>0</v>
      </c>
      <c r="E95" s="25">
        <f t="shared" si="8"/>
        <v>0</v>
      </c>
      <c r="F95" s="25">
        <f t="shared" si="8"/>
        <v>0</v>
      </c>
      <c r="G95" s="25">
        <f t="shared" si="8"/>
        <v>0</v>
      </c>
      <c r="H95" s="25">
        <f t="shared" si="8"/>
        <v>0</v>
      </c>
    </row>
    <row r="96" spans="1:8" s="26" customFormat="1" ht="4.5" customHeight="1">
      <c r="A96" s="24"/>
      <c r="B96" s="24"/>
      <c r="C96" s="25"/>
      <c r="D96" s="25"/>
      <c r="E96" s="25"/>
      <c r="F96" s="25"/>
      <c r="G96" s="25"/>
      <c r="H96" s="25"/>
    </row>
    <row r="97" spans="1:8" s="26" customFormat="1" ht="13.2">
      <c r="A97" s="24">
        <v>10</v>
      </c>
      <c r="B97" s="24" t="s">
        <v>63</v>
      </c>
      <c r="C97" s="25"/>
      <c r="D97" s="25"/>
      <c r="E97" s="25"/>
      <c r="F97" s="25"/>
      <c r="G97" s="25"/>
      <c r="H97" s="25"/>
    </row>
    <row r="98" spans="1:8" s="26" customFormat="1" ht="17.25" customHeight="1">
      <c r="A98" s="24"/>
      <c r="B98" s="24" t="s">
        <v>33</v>
      </c>
      <c r="C98" s="25">
        <v>111</v>
      </c>
      <c r="D98" s="25">
        <v>19</v>
      </c>
      <c r="E98" s="25">
        <v>1</v>
      </c>
      <c r="F98" s="25">
        <v>22</v>
      </c>
      <c r="G98" s="25">
        <v>1</v>
      </c>
      <c r="H98" s="25">
        <v>1</v>
      </c>
    </row>
    <row r="99" spans="1:8" s="26" customFormat="1" ht="17.25" customHeight="1">
      <c r="A99" s="24"/>
      <c r="B99" s="24" t="s">
        <v>31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</row>
    <row r="100" spans="1:8" s="26" customFormat="1" ht="17.25" customHeight="1">
      <c r="A100" s="24"/>
      <c r="B100" s="24" t="s">
        <v>34</v>
      </c>
      <c r="C100" s="25">
        <v>0</v>
      </c>
      <c r="D100" s="25">
        <v>0</v>
      </c>
      <c r="E100" s="25">
        <v>0</v>
      </c>
      <c r="F100" s="25">
        <v>0</v>
      </c>
      <c r="G100" s="25">
        <v>0</v>
      </c>
      <c r="H100" s="25">
        <v>0</v>
      </c>
    </row>
    <row r="101" spans="1:8" s="26" customFormat="1" ht="17.25" customHeight="1">
      <c r="A101" s="24"/>
      <c r="B101" s="24" t="s">
        <v>48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</row>
    <row r="102" spans="1:8" s="26" customFormat="1" ht="17.25" customHeight="1">
      <c r="A102" s="24"/>
      <c r="B102" s="24" t="s">
        <v>35</v>
      </c>
      <c r="C102" s="25">
        <v>301513</v>
      </c>
      <c r="D102" s="25">
        <v>113361.9</v>
      </c>
      <c r="E102" s="25">
        <v>28030.639999999999</v>
      </c>
      <c r="F102" s="25">
        <v>0</v>
      </c>
      <c r="G102" s="25">
        <v>39989</v>
      </c>
      <c r="H102" s="25">
        <v>0</v>
      </c>
    </row>
    <row r="103" spans="1:8" s="26" customFormat="1" ht="17.25" customHeight="1">
      <c r="A103" s="24"/>
      <c r="B103" s="24" t="s">
        <v>36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</row>
    <row r="104" spans="1:8" s="26" customFormat="1" ht="17.25" customHeight="1">
      <c r="A104" s="24"/>
      <c r="B104" s="24" t="s">
        <v>37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</row>
    <row r="105" spans="1:8" s="26" customFormat="1" ht="17.25" customHeight="1">
      <c r="A105" s="24"/>
      <c r="B105" s="24" t="s">
        <v>38</v>
      </c>
      <c r="C105" s="25">
        <f t="shared" ref="C105:H105" si="9">SUM(C98:C104)</f>
        <v>301624</v>
      </c>
      <c r="D105" s="25">
        <f t="shared" si="9"/>
        <v>113380.9</v>
      </c>
      <c r="E105" s="25">
        <f t="shared" si="9"/>
        <v>28031.64</v>
      </c>
      <c r="F105" s="25">
        <f t="shared" si="9"/>
        <v>22</v>
      </c>
      <c r="G105" s="25">
        <f t="shared" si="9"/>
        <v>39990</v>
      </c>
      <c r="H105" s="25">
        <f t="shared" si="9"/>
        <v>1</v>
      </c>
    </row>
    <row r="106" spans="1:8" s="26" customFormat="1" ht="3" customHeight="1">
      <c r="A106" s="24"/>
      <c r="B106" s="24"/>
      <c r="C106" s="25"/>
      <c r="D106" s="25"/>
      <c r="E106" s="25"/>
      <c r="F106" s="25"/>
      <c r="G106" s="25"/>
      <c r="H106" s="25"/>
    </row>
    <row r="107" spans="1:8" s="26" customFormat="1" ht="13.2">
      <c r="A107" s="24">
        <v>11</v>
      </c>
      <c r="B107" s="24" t="s">
        <v>10</v>
      </c>
      <c r="C107" s="25"/>
      <c r="D107" s="25"/>
      <c r="E107" s="25"/>
      <c r="F107" s="25"/>
      <c r="G107" s="25"/>
      <c r="H107" s="25"/>
    </row>
    <row r="108" spans="1:8" s="26" customFormat="1" ht="18" customHeight="1">
      <c r="A108" s="24"/>
      <c r="B108" s="24" t="s">
        <v>33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</row>
    <row r="109" spans="1:8" s="26" customFormat="1" ht="18" customHeight="1">
      <c r="A109" s="24"/>
      <c r="B109" s="24" t="s">
        <v>31</v>
      </c>
      <c r="C109" s="25">
        <v>498</v>
      </c>
      <c r="D109" s="25">
        <v>264</v>
      </c>
      <c r="E109" s="25">
        <v>341</v>
      </c>
      <c r="F109" s="25">
        <v>291</v>
      </c>
      <c r="G109" s="25">
        <v>315</v>
      </c>
      <c r="H109" s="25">
        <v>331</v>
      </c>
    </row>
    <row r="110" spans="1:8" s="26" customFormat="1" ht="18" customHeight="1">
      <c r="A110" s="24"/>
      <c r="B110" s="24" t="s">
        <v>34</v>
      </c>
      <c r="C110" s="25">
        <v>70542</v>
      </c>
      <c r="D110" s="25">
        <v>74069</v>
      </c>
      <c r="E110" s="25">
        <v>132375</v>
      </c>
      <c r="F110" s="25">
        <v>87377.27</v>
      </c>
      <c r="G110" s="25">
        <v>91746.134000000005</v>
      </c>
      <c r="H110" s="25">
        <v>96114.997000000003</v>
      </c>
    </row>
    <row r="111" spans="1:8" s="26" customFormat="1" ht="18" customHeight="1">
      <c r="A111" s="24"/>
      <c r="B111" s="24" t="s">
        <v>48</v>
      </c>
      <c r="C111" s="25">
        <v>113</v>
      </c>
      <c r="D111" s="25">
        <v>0</v>
      </c>
      <c r="E111" s="25">
        <v>4</v>
      </c>
      <c r="F111" s="25">
        <v>0</v>
      </c>
      <c r="G111" s="25">
        <v>0</v>
      </c>
      <c r="H111" s="25">
        <v>0</v>
      </c>
    </row>
    <row r="112" spans="1:8" s="26" customFormat="1" ht="18" customHeight="1">
      <c r="A112" s="24"/>
      <c r="B112" s="24" t="s">
        <v>35</v>
      </c>
      <c r="C112" s="25">
        <v>2</v>
      </c>
      <c r="D112" s="25">
        <v>0</v>
      </c>
      <c r="E112" s="25">
        <v>0</v>
      </c>
      <c r="F112" s="25">
        <v>0</v>
      </c>
      <c r="G112" s="25">
        <v>30</v>
      </c>
      <c r="H112" s="25">
        <v>31.5</v>
      </c>
    </row>
    <row r="113" spans="1:8" s="26" customFormat="1" ht="18" customHeight="1">
      <c r="A113" s="24"/>
      <c r="B113" s="24" t="s">
        <v>36</v>
      </c>
      <c r="C113" s="25">
        <v>50076</v>
      </c>
      <c r="D113" s="25">
        <v>0</v>
      </c>
      <c r="E113" s="25">
        <v>0</v>
      </c>
      <c r="F113" s="25">
        <v>0</v>
      </c>
      <c r="G113" s="25">
        <v>0</v>
      </c>
      <c r="H113" s="25">
        <v>0</v>
      </c>
    </row>
    <row r="114" spans="1:8" s="26" customFormat="1" ht="18" customHeight="1">
      <c r="A114" s="24"/>
      <c r="B114" s="24" t="s">
        <v>37</v>
      </c>
      <c r="C114" s="25">
        <v>43</v>
      </c>
      <c r="D114" s="25">
        <v>93</v>
      </c>
      <c r="E114" s="25">
        <v>28</v>
      </c>
      <c r="F114" s="25">
        <v>100</v>
      </c>
      <c r="G114" s="25">
        <v>80</v>
      </c>
      <c r="H114" s="25">
        <v>50</v>
      </c>
    </row>
    <row r="115" spans="1:8" s="26" customFormat="1" ht="18" customHeight="1">
      <c r="A115" s="24"/>
      <c r="B115" s="24" t="s">
        <v>38</v>
      </c>
      <c r="C115" s="25">
        <f t="shared" ref="C115:H115" si="10">SUM(C108:C114)</f>
        <v>121274</v>
      </c>
      <c r="D115" s="25">
        <f t="shared" si="10"/>
        <v>74426</v>
      </c>
      <c r="E115" s="25">
        <f t="shared" si="10"/>
        <v>132748</v>
      </c>
      <c r="F115" s="25">
        <f t="shared" si="10"/>
        <v>87768.27</v>
      </c>
      <c r="G115" s="25">
        <f t="shared" si="10"/>
        <v>92171.134000000005</v>
      </c>
      <c r="H115" s="25">
        <f t="shared" si="10"/>
        <v>96527.497000000003</v>
      </c>
    </row>
    <row r="116" spans="1:8" s="26" customFormat="1" ht="3.75" customHeight="1">
      <c r="A116" s="24"/>
      <c r="B116" s="24"/>
      <c r="C116" s="25"/>
      <c r="D116" s="25"/>
      <c r="E116" s="25"/>
      <c r="F116" s="25"/>
      <c r="G116" s="25"/>
      <c r="H116" s="25"/>
    </row>
    <row r="117" spans="1:8" s="26" customFormat="1" ht="18" customHeight="1">
      <c r="A117" s="24">
        <v>12</v>
      </c>
      <c r="B117" s="24" t="s">
        <v>11</v>
      </c>
      <c r="C117" s="25"/>
      <c r="D117" s="25"/>
      <c r="E117" s="25"/>
      <c r="F117" s="25"/>
      <c r="G117" s="25"/>
      <c r="H117" s="25"/>
    </row>
    <row r="118" spans="1:8" s="26" customFormat="1" ht="18" customHeight="1">
      <c r="A118" s="24"/>
      <c r="B118" s="24" t="s">
        <v>33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</row>
    <row r="119" spans="1:8" s="26" customFormat="1" ht="18" customHeight="1">
      <c r="A119" s="24"/>
      <c r="B119" s="24" t="s">
        <v>31</v>
      </c>
      <c r="C119" s="25">
        <v>0</v>
      </c>
      <c r="D119" s="25">
        <v>0</v>
      </c>
      <c r="E119" s="25">
        <v>0</v>
      </c>
      <c r="F119" s="25">
        <v>0</v>
      </c>
      <c r="G119" s="25">
        <v>0</v>
      </c>
      <c r="H119" s="25">
        <v>0</v>
      </c>
    </row>
    <row r="120" spans="1:8" s="26" customFormat="1" ht="18" customHeight="1">
      <c r="A120" s="24"/>
      <c r="B120" s="24" t="s">
        <v>34</v>
      </c>
      <c r="C120" s="25">
        <v>0</v>
      </c>
      <c r="D120" s="25">
        <v>0</v>
      </c>
      <c r="E120" s="25">
        <v>0</v>
      </c>
      <c r="F120" s="25">
        <v>0</v>
      </c>
      <c r="G120" s="25">
        <v>0</v>
      </c>
      <c r="H120" s="25">
        <v>0</v>
      </c>
    </row>
    <row r="121" spans="1:8" s="26" customFormat="1" ht="18" customHeight="1">
      <c r="A121" s="24"/>
      <c r="B121" s="24" t="s">
        <v>48</v>
      </c>
      <c r="C121" s="25">
        <v>9</v>
      </c>
      <c r="D121" s="25">
        <v>6</v>
      </c>
      <c r="E121" s="25">
        <v>0</v>
      </c>
      <c r="F121" s="25">
        <v>9</v>
      </c>
      <c r="G121" s="25">
        <v>9</v>
      </c>
      <c r="H121" s="25">
        <v>9</v>
      </c>
    </row>
    <row r="122" spans="1:8" s="26" customFormat="1" ht="18" customHeight="1">
      <c r="A122" s="24"/>
      <c r="B122" s="24" t="s">
        <v>35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</row>
    <row r="123" spans="1:8" s="26" customFormat="1" ht="18" customHeight="1">
      <c r="A123" s="24"/>
      <c r="B123" s="24" t="s">
        <v>36</v>
      </c>
      <c r="C123" s="25">
        <v>0</v>
      </c>
      <c r="D123" s="25">
        <v>0</v>
      </c>
      <c r="E123" s="25">
        <v>0</v>
      </c>
      <c r="F123" s="25">
        <v>0</v>
      </c>
      <c r="G123" s="25">
        <v>0</v>
      </c>
      <c r="H123" s="25">
        <v>0</v>
      </c>
    </row>
    <row r="124" spans="1:8" s="26" customFormat="1" ht="18" customHeight="1">
      <c r="A124" s="24"/>
      <c r="B124" s="24" t="s">
        <v>37</v>
      </c>
      <c r="C124" s="25">
        <v>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</row>
    <row r="125" spans="1:8" s="26" customFormat="1" ht="18" customHeight="1">
      <c r="A125" s="24"/>
      <c r="B125" s="24" t="s">
        <v>38</v>
      </c>
      <c r="C125" s="25">
        <f t="shared" ref="C125:H125" si="11">SUM(C118:C124)</f>
        <v>9</v>
      </c>
      <c r="D125" s="25">
        <f t="shared" si="11"/>
        <v>6</v>
      </c>
      <c r="E125" s="25">
        <f t="shared" si="11"/>
        <v>0</v>
      </c>
      <c r="F125" s="25">
        <f t="shared" si="11"/>
        <v>9</v>
      </c>
      <c r="G125" s="25">
        <f t="shared" si="11"/>
        <v>9</v>
      </c>
      <c r="H125" s="25">
        <f t="shared" si="11"/>
        <v>9</v>
      </c>
    </row>
    <row r="126" spans="1:8" s="26" customFormat="1" ht="3.75" customHeight="1">
      <c r="A126" s="24"/>
      <c r="B126" s="24"/>
      <c r="C126" s="25"/>
      <c r="D126" s="25"/>
      <c r="E126" s="25"/>
      <c r="F126" s="25"/>
      <c r="G126" s="25"/>
      <c r="H126" s="25"/>
    </row>
    <row r="127" spans="1:8" s="26" customFormat="1" ht="18" customHeight="1">
      <c r="A127" s="24">
        <v>13</v>
      </c>
      <c r="B127" s="24" t="s">
        <v>12</v>
      </c>
      <c r="C127" s="25"/>
      <c r="D127" s="25"/>
      <c r="E127" s="25"/>
      <c r="F127" s="25"/>
      <c r="G127" s="25"/>
      <c r="H127" s="25"/>
    </row>
    <row r="128" spans="1:8" s="26" customFormat="1" ht="18" customHeight="1">
      <c r="A128" s="24"/>
      <c r="B128" s="24" t="s">
        <v>33</v>
      </c>
      <c r="C128" s="25">
        <v>719735</v>
      </c>
      <c r="D128" s="25">
        <v>2033316</v>
      </c>
      <c r="E128" s="25">
        <v>2651763</v>
      </c>
      <c r="F128" s="25">
        <v>2460311</v>
      </c>
      <c r="G128" s="25">
        <v>2916939</v>
      </c>
      <c r="H128" s="25">
        <v>3208632</v>
      </c>
    </row>
    <row r="129" spans="1:8" s="26" customFormat="1" ht="18" customHeight="1">
      <c r="A129" s="24"/>
      <c r="B129" s="24" t="s">
        <v>31</v>
      </c>
      <c r="C129" s="25">
        <v>0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</row>
    <row r="130" spans="1:8" s="26" customFormat="1" ht="18" customHeight="1">
      <c r="A130" s="24"/>
      <c r="B130" s="24" t="s">
        <v>34</v>
      </c>
      <c r="C130" s="25">
        <v>85144</v>
      </c>
      <c r="D130" s="25">
        <v>89401</v>
      </c>
      <c r="E130" s="25">
        <v>264960</v>
      </c>
      <c r="F130" s="25">
        <v>105465.62</v>
      </c>
      <c r="G130" s="25">
        <v>110738.901</v>
      </c>
      <c r="H130" s="25">
        <v>116012.182</v>
      </c>
    </row>
    <row r="131" spans="1:8" s="26" customFormat="1" ht="18" customHeight="1">
      <c r="A131" s="24"/>
      <c r="B131" s="24" t="s">
        <v>48</v>
      </c>
      <c r="C131" s="25">
        <v>428539</v>
      </c>
      <c r="D131" s="25">
        <v>484950</v>
      </c>
      <c r="E131" s="25">
        <v>701915</v>
      </c>
      <c r="F131" s="25">
        <v>300000</v>
      </c>
      <c r="G131" s="25">
        <v>315000</v>
      </c>
      <c r="H131" s="25">
        <v>315000</v>
      </c>
    </row>
    <row r="132" spans="1:8" s="26" customFormat="1" ht="18" customHeight="1">
      <c r="A132" s="24"/>
      <c r="B132" s="24" t="s">
        <v>35</v>
      </c>
      <c r="C132" s="25">
        <v>920</v>
      </c>
      <c r="D132" s="25">
        <v>62.5</v>
      </c>
      <c r="E132" s="25">
        <v>49093.83</v>
      </c>
      <c r="F132" s="25">
        <v>0</v>
      </c>
      <c r="G132" s="25">
        <v>1052.48</v>
      </c>
      <c r="H132" s="25">
        <v>1105.0999999999999</v>
      </c>
    </row>
    <row r="133" spans="1:8" s="26" customFormat="1" ht="18" customHeight="1">
      <c r="A133" s="24"/>
      <c r="B133" s="24" t="s">
        <v>36</v>
      </c>
      <c r="C133" s="25">
        <v>259</v>
      </c>
      <c r="D133" s="25">
        <v>214</v>
      </c>
      <c r="E133" s="25">
        <v>204</v>
      </c>
      <c r="F133" s="25">
        <v>222.65</v>
      </c>
      <c r="G133" s="25">
        <v>208.08</v>
      </c>
      <c r="H133" s="25">
        <v>212.24</v>
      </c>
    </row>
    <row r="134" spans="1:8" s="26" customFormat="1" ht="18" customHeight="1">
      <c r="A134" s="24"/>
      <c r="B134" s="24" t="s">
        <v>37</v>
      </c>
      <c r="C134" s="25">
        <v>350</v>
      </c>
      <c r="D134" s="25">
        <v>422</v>
      </c>
      <c r="E134" s="25">
        <v>401</v>
      </c>
      <c r="F134" s="25">
        <v>530</v>
      </c>
      <c r="G134" s="25">
        <v>500</v>
      </c>
      <c r="H134" s="25">
        <v>530</v>
      </c>
    </row>
    <row r="135" spans="1:8" s="26" customFormat="1" ht="18" customHeight="1">
      <c r="A135" s="24"/>
      <c r="B135" s="24" t="s">
        <v>38</v>
      </c>
      <c r="C135" s="25">
        <f t="shared" ref="C135:H135" si="12">SUM(C128:C134)</f>
        <v>1234947</v>
      </c>
      <c r="D135" s="25">
        <f t="shared" si="12"/>
        <v>2608365.5</v>
      </c>
      <c r="E135" s="25">
        <f t="shared" si="12"/>
        <v>3668336.83</v>
      </c>
      <c r="F135" s="25">
        <f t="shared" si="12"/>
        <v>2866529.27</v>
      </c>
      <c r="G135" s="25">
        <f t="shared" si="12"/>
        <v>3344438.4610000001</v>
      </c>
      <c r="H135" s="25">
        <f t="shared" si="12"/>
        <v>3641491.5220000003</v>
      </c>
    </row>
    <row r="136" spans="1:8" s="26" customFormat="1" ht="6" customHeight="1">
      <c r="A136" s="24"/>
      <c r="B136" s="24"/>
      <c r="C136" s="25"/>
      <c r="D136" s="25"/>
      <c r="E136" s="25"/>
      <c r="F136" s="25"/>
      <c r="G136" s="25"/>
      <c r="H136" s="25"/>
    </row>
    <row r="137" spans="1:8" s="26" customFormat="1" ht="18" customHeight="1">
      <c r="A137" s="24">
        <v>14</v>
      </c>
      <c r="B137" s="24" t="s">
        <v>13</v>
      </c>
      <c r="C137" s="25"/>
      <c r="D137" s="25"/>
      <c r="E137" s="25"/>
      <c r="F137" s="25"/>
      <c r="G137" s="25"/>
      <c r="H137" s="25"/>
    </row>
    <row r="138" spans="1:8" s="26" customFormat="1" ht="18" customHeight="1">
      <c r="A138" s="24"/>
      <c r="B138" s="24" t="s">
        <v>33</v>
      </c>
      <c r="C138" s="25">
        <v>0</v>
      </c>
      <c r="D138" s="25">
        <v>0</v>
      </c>
      <c r="E138" s="25">
        <v>0</v>
      </c>
      <c r="F138" s="25">
        <v>0</v>
      </c>
      <c r="G138" s="25">
        <v>0</v>
      </c>
      <c r="H138" s="25">
        <v>0</v>
      </c>
    </row>
    <row r="139" spans="1:8" s="26" customFormat="1" ht="18" customHeight="1">
      <c r="A139" s="24"/>
      <c r="B139" s="24" t="s">
        <v>31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0</v>
      </c>
    </row>
    <row r="140" spans="1:8" s="26" customFormat="1" ht="18" customHeight="1">
      <c r="A140" s="24"/>
      <c r="B140" s="24" t="s">
        <v>34</v>
      </c>
      <c r="C140" s="25">
        <v>0</v>
      </c>
      <c r="D140" s="25">
        <v>0</v>
      </c>
      <c r="E140" s="25">
        <v>2862</v>
      </c>
      <c r="F140" s="25">
        <v>0</v>
      </c>
      <c r="G140" s="25">
        <v>0</v>
      </c>
      <c r="H140" s="25">
        <v>0</v>
      </c>
    </row>
    <row r="141" spans="1:8" s="26" customFormat="1" ht="18" customHeight="1">
      <c r="A141" s="24"/>
      <c r="B141" s="24" t="s">
        <v>48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</row>
    <row r="142" spans="1:8" s="26" customFormat="1" ht="18" customHeight="1">
      <c r="A142" s="24"/>
      <c r="B142" s="24" t="s">
        <v>35</v>
      </c>
      <c r="C142" s="25">
        <v>0</v>
      </c>
      <c r="D142" s="25">
        <v>1.29</v>
      </c>
      <c r="E142" s="25">
        <v>0</v>
      </c>
      <c r="F142" s="25">
        <v>0</v>
      </c>
      <c r="G142" s="25">
        <v>0</v>
      </c>
      <c r="H142" s="25">
        <v>0</v>
      </c>
    </row>
    <row r="143" spans="1:8" s="26" customFormat="1" ht="18" customHeight="1">
      <c r="A143" s="24"/>
      <c r="B143" s="24" t="s">
        <v>36</v>
      </c>
      <c r="C143" s="25">
        <v>0</v>
      </c>
      <c r="D143" s="25">
        <v>6</v>
      </c>
      <c r="E143" s="25">
        <v>0</v>
      </c>
      <c r="F143" s="25">
        <v>0</v>
      </c>
      <c r="G143" s="25">
        <v>0</v>
      </c>
      <c r="H143" s="25">
        <v>0</v>
      </c>
    </row>
    <row r="144" spans="1:8" s="26" customFormat="1" ht="18" customHeight="1">
      <c r="A144" s="24"/>
      <c r="B144" s="24" t="s">
        <v>37</v>
      </c>
      <c r="C144" s="25">
        <v>248</v>
      </c>
      <c r="D144" s="25">
        <v>164</v>
      </c>
      <c r="E144" s="25">
        <v>153</v>
      </c>
      <c r="F144" s="25">
        <v>250</v>
      </c>
      <c r="G144" s="25">
        <v>200</v>
      </c>
      <c r="H144" s="25">
        <v>200</v>
      </c>
    </row>
    <row r="145" spans="1:8" s="26" customFormat="1" ht="18" customHeight="1">
      <c r="A145" s="24"/>
      <c r="B145" s="24" t="s">
        <v>38</v>
      </c>
      <c r="C145" s="25">
        <f t="shared" ref="C145:H145" si="13">SUM(C138:C144)</f>
        <v>248</v>
      </c>
      <c r="D145" s="25">
        <f t="shared" si="13"/>
        <v>171.29</v>
      </c>
      <c r="E145" s="25">
        <f t="shared" si="13"/>
        <v>3015</v>
      </c>
      <c r="F145" s="25">
        <f t="shared" si="13"/>
        <v>250</v>
      </c>
      <c r="G145" s="25">
        <f t="shared" si="13"/>
        <v>200</v>
      </c>
      <c r="H145" s="25">
        <f t="shared" si="13"/>
        <v>200</v>
      </c>
    </row>
    <row r="146" spans="1:8" s="26" customFormat="1" ht="4.5" customHeight="1">
      <c r="A146" s="24"/>
      <c r="B146" s="24"/>
      <c r="C146" s="25"/>
      <c r="D146" s="25"/>
      <c r="E146" s="25"/>
      <c r="F146" s="25"/>
      <c r="G146" s="25"/>
      <c r="H146" s="25"/>
    </row>
    <row r="147" spans="1:8" s="26" customFormat="1" ht="18" customHeight="1">
      <c r="A147" s="24">
        <v>15</v>
      </c>
      <c r="B147" s="24" t="s">
        <v>43</v>
      </c>
      <c r="C147" s="25"/>
      <c r="D147" s="25"/>
      <c r="E147" s="25"/>
      <c r="F147" s="25"/>
      <c r="G147" s="25"/>
      <c r="H147" s="25"/>
    </row>
    <row r="148" spans="1:8" s="26" customFormat="1" ht="18" customHeight="1">
      <c r="A148" s="24"/>
      <c r="B148" s="24" t="s">
        <v>33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</row>
    <row r="149" spans="1:8" s="26" customFormat="1" ht="18" customHeight="1">
      <c r="A149" s="24"/>
      <c r="B149" s="24" t="s">
        <v>31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</row>
    <row r="150" spans="1:8" s="26" customFormat="1" ht="18" customHeight="1">
      <c r="A150" s="24"/>
      <c r="B150" s="24" t="s">
        <v>34</v>
      </c>
      <c r="C150" s="25">
        <v>5533</v>
      </c>
      <c r="D150" s="25">
        <v>5810</v>
      </c>
      <c r="E150" s="25">
        <v>160</v>
      </c>
      <c r="F150" s="25">
        <v>6838.37</v>
      </c>
      <c r="G150" s="25">
        <v>7180.2889999999998</v>
      </c>
      <c r="H150" s="25">
        <v>7522.2070000000003</v>
      </c>
    </row>
    <row r="151" spans="1:8" s="26" customFormat="1" ht="18" customHeight="1">
      <c r="A151" s="24"/>
      <c r="B151" s="24" t="s">
        <v>48</v>
      </c>
      <c r="C151" s="25">
        <v>1790</v>
      </c>
      <c r="D151" s="25">
        <v>1690</v>
      </c>
      <c r="E151" s="25">
        <v>1850</v>
      </c>
      <c r="F151" s="25">
        <v>1688</v>
      </c>
      <c r="G151" s="25">
        <v>1772</v>
      </c>
      <c r="H151" s="25">
        <v>1772</v>
      </c>
    </row>
    <row r="152" spans="1:8" s="26" customFormat="1" ht="18" customHeight="1">
      <c r="A152" s="24"/>
      <c r="B152" s="24" t="s">
        <v>35</v>
      </c>
      <c r="C152" s="25">
        <v>0</v>
      </c>
      <c r="D152" s="25">
        <v>0</v>
      </c>
      <c r="E152" s="25">
        <v>0</v>
      </c>
      <c r="F152" s="25">
        <v>0</v>
      </c>
      <c r="G152" s="25">
        <v>0</v>
      </c>
      <c r="H152" s="25">
        <v>0</v>
      </c>
    </row>
    <row r="153" spans="1:8" s="26" customFormat="1" ht="18" customHeight="1">
      <c r="A153" s="24"/>
      <c r="B153" s="24" t="s">
        <v>36</v>
      </c>
      <c r="C153" s="25">
        <v>0</v>
      </c>
      <c r="D153" s="25">
        <v>0</v>
      </c>
      <c r="E153" s="25">
        <v>0</v>
      </c>
      <c r="F153" s="25">
        <v>0</v>
      </c>
      <c r="G153" s="25">
        <v>0</v>
      </c>
      <c r="H153" s="25">
        <v>0</v>
      </c>
    </row>
    <row r="154" spans="1:8" s="26" customFormat="1" ht="18" customHeight="1">
      <c r="A154" s="24"/>
      <c r="B154" s="24" t="s">
        <v>37</v>
      </c>
      <c r="C154" s="25">
        <v>0</v>
      </c>
      <c r="D154" s="25">
        <v>0</v>
      </c>
      <c r="E154" s="25">
        <v>0</v>
      </c>
      <c r="F154" s="25">
        <v>0</v>
      </c>
      <c r="G154" s="25">
        <v>0</v>
      </c>
      <c r="H154" s="25">
        <v>0</v>
      </c>
    </row>
    <row r="155" spans="1:8" s="26" customFormat="1" ht="18" customHeight="1">
      <c r="A155" s="24"/>
      <c r="B155" s="24" t="s">
        <v>38</v>
      </c>
      <c r="C155" s="25">
        <f t="shared" ref="C155:H155" si="14">SUM(C148:C154)</f>
        <v>7323</v>
      </c>
      <c r="D155" s="25">
        <f t="shared" si="14"/>
        <v>7500</v>
      </c>
      <c r="E155" s="25">
        <f t="shared" si="14"/>
        <v>2010</v>
      </c>
      <c r="F155" s="25">
        <f t="shared" si="14"/>
        <v>8526.369999999999</v>
      </c>
      <c r="G155" s="25">
        <f t="shared" si="14"/>
        <v>8952.2890000000007</v>
      </c>
      <c r="H155" s="25">
        <f t="shared" si="14"/>
        <v>9294.2070000000003</v>
      </c>
    </row>
    <row r="156" spans="1:8" s="26" customFormat="1" ht="3.75" customHeight="1">
      <c r="A156" s="24"/>
      <c r="B156" s="24"/>
      <c r="C156" s="25"/>
      <c r="D156" s="25"/>
      <c r="E156" s="25"/>
      <c r="F156" s="25"/>
      <c r="G156" s="25"/>
      <c r="H156" s="25"/>
    </row>
    <row r="157" spans="1:8" s="26" customFormat="1" ht="18" customHeight="1">
      <c r="A157" s="24">
        <v>16</v>
      </c>
      <c r="B157" s="24" t="s">
        <v>44</v>
      </c>
      <c r="C157" s="25"/>
      <c r="D157" s="25"/>
      <c r="E157" s="25"/>
      <c r="F157" s="25"/>
      <c r="G157" s="25"/>
      <c r="H157" s="25"/>
    </row>
    <row r="158" spans="1:8" s="26" customFormat="1" ht="18" customHeight="1">
      <c r="A158" s="24"/>
      <c r="B158" s="24" t="s">
        <v>33</v>
      </c>
      <c r="C158" s="25">
        <v>0</v>
      </c>
      <c r="D158" s="25">
        <v>0</v>
      </c>
      <c r="E158" s="25">
        <v>0</v>
      </c>
      <c r="F158" s="25">
        <v>0</v>
      </c>
      <c r="G158" s="25">
        <v>0</v>
      </c>
      <c r="H158" s="25">
        <v>0</v>
      </c>
    </row>
    <row r="159" spans="1:8" s="26" customFormat="1" ht="18" customHeight="1">
      <c r="A159" s="24"/>
      <c r="B159" s="24" t="s">
        <v>31</v>
      </c>
      <c r="C159" s="25">
        <v>0</v>
      </c>
      <c r="D159" s="25">
        <v>0</v>
      </c>
      <c r="E159" s="25">
        <v>0</v>
      </c>
      <c r="F159" s="25">
        <v>0</v>
      </c>
      <c r="G159" s="25">
        <v>0</v>
      </c>
      <c r="H159" s="25">
        <v>0</v>
      </c>
    </row>
    <row r="160" spans="1:8" s="26" customFormat="1" ht="18" customHeight="1">
      <c r="A160" s="24"/>
      <c r="B160" s="24" t="s">
        <v>34</v>
      </c>
      <c r="C160" s="25">
        <v>0</v>
      </c>
      <c r="D160" s="25">
        <v>0</v>
      </c>
      <c r="E160" s="25">
        <v>0</v>
      </c>
      <c r="F160" s="25">
        <v>0</v>
      </c>
      <c r="G160" s="25">
        <v>0</v>
      </c>
      <c r="H160" s="25">
        <v>0</v>
      </c>
    </row>
    <row r="161" spans="1:8" s="26" customFormat="1" ht="18" customHeight="1">
      <c r="A161" s="24"/>
      <c r="B161" s="24" t="s">
        <v>48</v>
      </c>
      <c r="C161" s="25">
        <v>253</v>
      </c>
      <c r="D161" s="25">
        <v>0</v>
      </c>
      <c r="E161" s="25">
        <v>0</v>
      </c>
      <c r="F161" s="25">
        <v>20</v>
      </c>
      <c r="G161" s="25">
        <v>21</v>
      </c>
      <c r="H161" s="25">
        <v>21</v>
      </c>
    </row>
    <row r="162" spans="1:8" s="26" customFormat="1" ht="18" customHeight="1">
      <c r="A162" s="24"/>
      <c r="B162" s="24" t="s">
        <v>35</v>
      </c>
      <c r="C162" s="25">
        <v>0</v>
      </c>
      <c r="D162" s="25">
        <v>12.14</v>
      </c>
      <c r="E162" s="25">
        <v>0</v>
      </c>
      <c r="F162" s="25">
        <v>0</v>
      </c>
      <c r="G162" s="25">
        <v>0</v>
      </c>
      <c r="H162" s="25">
        <v>0</v>
      </c>
    </row>
    <row r="163" spans="1:8" s="26" customFormat="1" ht="18" customHeight="1">
      <c r="A163" s="24"/>
      <c r="B163" s="24" t="s">
        <v>36</v>
      </c>
      <c r="C163" s="25">
        <v>0</v>
      </c>
      <c r="D163" s="25">
        <v>0</v>
      </c>
      <c r="E163" s="25">
        <v>23</v>
      </c>
      <c r="F163" s="25">
        <v>0</v>
      </c>
      <c r="G163" s="25">
        <v>23.46</v>
      </c>
      <c r="H163" s="25">
        <v>23.93</v>
      </c>
    </row>
    <row r="164" spans="1:8" s="26" customFormat="1" ht="18" customHeight="1">
      <c r="A164" s="24"/>
      <c r="B164" s="24" t="s">
        <v>37</v>
      </c>
      <c r="C164" s="25">
        <v>0</v>
      </c>
      <c r="D164" s="25">
        <v>0</v>
      </c>
      <c r="E164" s="25">
        <v>0</v>
      </c>
      <c r="F164" s="25">
        <v>0</v>
      </c>
      <c r="G164" s="25">
        <v>0</v>
      </c>
      <c r="H164" s="25">
        <v>0</v>
      </c>
    </row>
    <row r="165" spans="1:8" s="26" customFormat="1" ht="18" customHeight="1">
      <c r="A165" s="24"/>
      <c r="B165" s="24" t="s">
        <v>38</v>
      </c>
      <c r="C165" s="25">
        <f t="shared" ref="C165:H165" si="15">SUM(C158:C164)</f>
        <v>253</v>
      </c>
      <c r="D165" s="25">
        <f t="shared" si="15"/>
        <v>12.14</v>
      </c>
      <c r="E165" s="25">
        <f t="shared" si="15"/>
        <v>23</v>
      </c>
      <c r="F165" s="25">
        <f t="shared" si="15"/>
        <v>20</v>
      </c>
      <c r="G165" s="25">
        <f t="shared" si="15"/>
        <v>44.46</v>
      </c>
      <c r="H165" s="25">
        <f t="shared" si="15"/>
        <v>44.93</v>
      </c>
    </row>
    <row r="166" spans="1:8" s="26" customFormat="1" ht="4.5" customHeight="1">
      <c r="A166" s="24"/>
      <c r="B166" s="24"/>
      <c r="C166" s="25"/>
      <c r="D166" s="25"/>
      <c r="E166" s="25"/>
      <c r="F166" s="25"/>
      <c r="G166" s="25"/>
      <c r="H166" s="25"/>
    </row>
    <row r="167" spans="1:8" s="26" customFormat="1" ht="18" customHeight="1">
      <c r="A167" s="24">
        <v>17</v>
      </c>
      <c r="B167" s="24" t="s">
        <v>45</v>
      </c>
      <c r="C167" s="25"/>
      <c r="D167" s="25"/>
      <c r="E167" s="25"/>
      <c r="F167" s="25"/>
      <c r="G167" s="25"/>
      <c r="H167" s="25"/>
    </row>
    <row r="168" spans="1:8" s="26" customFormat="1" ht="18" customHeight="1">
      <c r="A168" s="24"/>
      <c r="B168" s="24" t="s">
        <v>33</v>
      </c>
      <c r="C168" s="25">
        <v>624</v>
      </c>
      <c r="D168" s="25">
        <v>628</v>
      </c>
      <c r="E168" s="25">
        <v>578</v>
      </c>
      <c r="F168" s="25">
        <v>759</v>
      </c>
      <c r="G168" s="25">
        <v>635</v>
      </c>
      <c r="H168" s="25">
        <v>698</v>
      </c>
    </row>
    <row r="169" spans="1:8" s="26" customFormat="1" ht="18" customHeight="1">
      <c r="A169" s="24"/>
      <c r="B169" s="24" t="s">
        <v>31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</row>
    <row r="170" spans="1:8" s="26" customFormat="1" ht="18" customHeight="1">
      <c r="A170" s="24"/>
      <c r="B170" s="24" t="s">
        <v>34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</row>
    <row r="171" spans="1:8" s="26" customFormat="1" ht="18" customHeight="1">
      <c r="A171" s="24"/>
      <c r="B171" s="24" t="s">
        <v>48</v>
      </c>
      <c r="C171" s="25">
        <v>3043</v>
      </c>
      <c r="D171" s="25">
        <v>6382</v>
      </c>
      <c r="E171" s="25">
        <v>178</v>
      </c>
      <c r="F171" s="25">
        <v>6146</v>
      </c>
      <c r="G171" s="25">
        <v>6453</v>
      </c>
      <c r="H171" s="25">
        <v>6453</v>
      </c>
    </row>
    <row r="172" spans="1:8" s="26" customFormat="1" ht="18" customHeight="1">
      <c r="A172" s="24"/>
      <c r="B172" s="24" t="s">
        <v>35</v>
      </c>
      <c r="C172" s="25">
        <v>1773</v>
      </c>
      <c r="D172" s="25">
        <v>1857.06</v>
      </c>
      <c r="E172" s="25">
        <v>1777.05</v>
      </c>
      <c r="F172" s="25">
        <v>4131.16</v>
      </c>
      <c r="G172" s="25">
        <v>2046.75</v>
      </c>
      <c r="H172" s="25">
        <v>2149.09</v>
      </c>
    </row>
    <row r="173" spans="1:8" s="26" customFormat="1" ht="18" customHeight="1">
      <c r="A173" s="24"/>
      <c r="B173" s="24" t="s">
        <v>36</v>
      </c>
      <c r="C173" s="25">
        <v>1881</v>
      </c>
      <c r="D173" s="25">
        <v>1615</v>
      </c>
      <c r="E173" s="25">
        <v>1839</v>
      </c>
      <c r="F173" s="25">
        <v>1680.25</v>
      </c>
      <c r="G173" s="25">
        <v>1875.78</v>
      </c>
      <c r="H173" s="25">
        <v>1913.3</v>
      </c>
    </row>
    <row r="174" spans="1:8" s="26" customFormat="1" ht="18" customHeight="1">
      <c r="A174" s="24"/>
      <c r="B174" s="24" t="s">
        <v>37</v>
      </c>
      <c r="C174" s="25">
        <v>107</v>
      </c>
      <c r="D174" s="25">
        <v>80</v>
      </c>
      <c r="E174" s="25">
        <v>110</v>
      </c>
      <c r="F174" s="25">
        <v>185</v>
      </c>
      <c r="G174" s="25">
        <v>150</v>
      </c>
      <c r="H174" s="25">
        <v>150</v>
      </c>
    </row>
    <row r="175" spans="1:8" s="26" customFormat="1" ht="18" customHeight="1">
      <c r="A175" s="24"/>
      <c r="B175" s="24" t="s">
        <v>38</v>
      </c>
      <c r="C175" s="25">
        <f t="shared" ref="C175:H175" si="16">SUM(C168:C174)</f>
        <v>7428</v>
      </c>
      <c r="D175" s="25">
        <f t="shared" si="16"/>
        <v>10562.06</v>
      </c>
      <c r="E175" s="25">
        <f t="shared" si="16"/>
        <v>4482.05</v>
      </c>
      <c r="F175" s="25">
        <f t="shared" si="16"/>
        <v>12901.41</v>
      </c>
      <c r="G175" s="25">
        <f t="shared" si="16"/>
        <v>11160.53</v>
      </c>
      <c r="H175" s="25">
        <f t="shared" si="16"/>
        <v>11363.39</v>
      </c>
    </row>
    <row r="176" spans="1:8" s="26" customFormat="1" ht="5.25" customHeight="1">
      <c r="A176" s="24"/>
      <c r="B176" s="24"/>
      <c r="C176" s="25"/>
      <c r="D176" s="25"/>
      <c r="E176" s="25"/>
      <c r="F176" s="25"/>
      <c r="G176" s="25"/>
      <c r="H176" s="25"/>
    </row>
    <row r="177" spans="1:8" s="26" customFormat="1" ht="18" customHeight="1">
      <c r="A177" s="24">
        <v>18</v>
      </c>
      <c r="B177" s="24" t="s">
        <v>17</v>
      </c>
      <c r="C177" s="25"/>
      <c r="D177" s="25"/>
      <c r="E177" s="25"/>
      <c r="F177" s="25"/>
      <c r="G177" s="25"/>
      <c r="H177" s="25"/>
    </row>
    <row r="178" spans="1:8" s="26" customFormat="1" ht="18" customHeight="1">
      <c r="A178" s="24"/>
      <c r="B178" s="24" t="s">
        <v>33</v>
      </c>
      <c r="C178" s="25">
        <v>5</v>
      </c>
      <c r="D178" s="25">
        <v>2</v>
      </c>
      <c r="E178" s="25">
        <v>1</v>
      </c>
      <c r="F178" s="25">
        <v>2</v>
      </c>
      <c r="G178" s="25">
        <v>1</v>
      </c>
      <c r="H178" s="25">
        <v>1</v>
      </c>
    </row>
    <row r="179" spans="1:8" s="26" customFormat="1" ht="18" customHeight="1">
      <c r="A179" s="24"/>
      <c r="B179" s="24" t="s">
        <v>31</v>
      </c>
      <c r="C179" s="25">
        <v>0</v>
      </c>
      <c r="D179" s="25">
        <v>0</v>
      </c>
      <c r="E179" s="25">
        <v>0</v>
      </c>
      <c r="F179" s="25">
        <v>0</v>
      </c>
      <c r="G179" s="25">
        <v>0</v>
      </c>
      <c r="H179" s="25">
        <v>0</v>
      </c>
    </row>
    <row r="180" spans="1:8" s="26" customFormat="1" ht="18" customHeight="1">
      <c r="A180" s="24"/>
      <c r="B180" s="24" t="s">
        <v>34</v>
      </c>
      <c r="C180" s="25">
        <v>0</v>
      </c>
      <c r="D180" s="25">
        <v>0</v>
      </c>
      <c r="E180" s="25">
        <v>0</v>
      </c>
      <c r="F180" s="25">
        <v>0</v>
      </c>
      <c r="G180" s="25">
        <v>0</v>
      </c>
      <c r="H180" s="25">
        <v>0</v>
      </c>
    </row>
    <row r="181" spans="1:8" s="26" customFormat="1" ht="18" customHeight="1">
      <c r="A181" s="24"/>
      <c r="B181" s="24" t="s">
        <v>48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5">
        <v>0</v>
      </c>
    </row>
    <row r="182" spans="1:8" s="26" customFormat="1" ht="18" customHeight="1">
      <c r="A182" s="24"/>
      <c r="B182" s="24" t="s">
        <v>35</v>
      </c>
      <c r="C182" s="25">
        <v>56458</v>
      </c>
      <c r="D182" s="25">
        <v>26053.21</v>
      </c>
      <c r="E182" s="25">
        <v>23259.82</v>
      </c>
      <c r="F182" s="25">
        <v>66175.12</v>
      </c>
      <c r="G182" s="25">
        <v>65175.12</v>
      </c>
      <c r="H182" s="25">
        <v>68433.88</v>
      </c>
    </row>
    <row r="183" spans="1:8" s="26" customFormat="1" ht="18" customHeight="1">
      <c r="A183" s="24"/>
      <c r="B183" s="24" t="s">
        <v>36</v>
      </c>
      <c r="C183" s="25">
        <v>154</v>
      </c>
      <c r="D183" s="25">
        <v>119</v>
      </c>
      <c r="E183" s="25">
        <v>100</v>
      </c>
      <c r="F183" s="25">
        <v>123.81</v>
      </c>
      <c r="G183" s="25">
        <v>102</v>
      </c>
      <c r="H183" s="25">
        <v>104.04</v>
      </c>
    </row>
    <row r="184" spans="1:8" s="26" customFormat="1" ht="18" customHeight="1">
      <c r="A184" s="24"/>
      <c r="B184" s="24" t="s">
        <v>37</v>
      </c>
      <c r="C184" s="25">
        <v>0</v>
      </c>
      <c r="D184" s="25">
        <v>45</v>
      </c>
      <c r="E184" s="25">
        <v>99</v>
      </c>
      <c r="F184" s="25">
        <v>0</v>
      </c>
      <c r="G184" s="25">
        <v>0</v>
      </c>
      <c r="H184" s="25">
        <v>0</v>
      </c>
    </row>
    <row r="185" spans="1:8" s="26" customFormat="1" ht="18" customHeight="1">
      <c r="A185" s="24"/>
      <c r="B185" s="24" t="s">
        <v>38</v>
      </c>
      <c r="C185" s="25">
        <f t="shared" ref="C185:H185" si="17">SUM(C178:C184)</f>
        <v>56617</v>
      </c>
      <c r="D185" s="25">
        <f t="shared" si="17"/>
        <v>26219.21</v>
      </c>
      <c r="E185" s="25">
        <f t="shared" si="17"/>
        <v>23459.82</v>
      </c>
      <c r="F185" s="25">
        <f t="shared" si="17"/>
        <v>66300.929999999993</v>
      </c>
      <c r="G185" s="25">
        <f t="shared" si="17"/>
        <v>65278.12</v>
      </c>
      <c r="H185" s="25">
        <f t="shared" si="17"/>
        <v>68538.92</v>
      </c>
    </row>
    <row r="186" spans="1:8" s="26" customFormat="1" ht="4.5" customHeight="1">
      <c r="A186" s="24"/>
      <c r="B186" s="24"/>
      <c r="C186" s="25"/>
      <c r="D186" s="25"/>
      <c r="E186" s="25"/>
      <c r="F186" s="25"/>
      <c r="G186" s="25"/>
      <c r="H186" s="25"/>
    </row>
    <row r="187" spans="1:8" s="26" customFormat="1" ht="18" customHeight="1">
      <c r="A187" s="24">
        <v>19</v>
      </c>
      <c r="B187" s="24" t="s">
        <v>18</v>
      </c>
      <c r="C187" s="25"/>
      <c r="D187" s="25"/>
      <c r="E187" s="25"/>
      <c r="F187" s="25"/>
      <c r="G187" s="25"/>
      <c r="H187" s="25"/>
    </row>
    <row r="188" spans="1:8" s="26" customFormat="1" ht="18" customHeight="1">
      <c r="A188" s="24"/>
      <c r="B188" s="24" t="s">
        <v>33</v>
      </c>
      <c r="C188" s="25">
        <v>14578</v>
      </c>
      <c r="D188" s="25">
        <v>14497</v>
      </c>
      <c r="E188" s="25">
        <v>4453</v>
      </c>
      <c r="F188" s="25">
        <v>17540</v>
      </c>
      <c r="G188" s="25">
        <v>4898</v>
      </c>
      <c r="H188" s="25">
        <v>5387</v>
      </c>
    </row>
    <row r="189" spans="1:8" s="26" customFormat="1" ht="18" customHeight="1">
      <c r="A189" s="24"/>
      <c r="B189" s="24" t="s">
        <v>31</v>
      </c>
      <c r="C189" s="25">
        <v>0</v>
      </c>
      <c r="D189" s="25">
        <v>0</v>
      </c>
      <c r="E189" s="25">
        <v>0</v>
      </c>
      <c r="F189" s="25">
        <v>0</v>
      </c>
      <c r="G189" s="25">
        <v>0</v>
      </c>
      <c r="H189" s="25">
        <v>0</v>
      </c>
    </row>
    <row r="190" spans="1:8" s="26" customFormat="1" ht="18" customHeight="1">
      <c r="A190" s="24"/>
      <c r="B190" s="24" t="s">
        <v>34</v>
      </c>
      <c r="C190" s="25">
        <v>0</v>
      </c>
      <c r="D190" s="25">
        <v>0</v>
      </c>
      <c r="E190" s="25">
        <v>0</v>
      </c>
      <c r="F190" s="25">
        <v>0</v>
      </c>
      <c r="G190" s="25">
        <v>0</v>
      </c>
      <c r="H190" s="25">
        <v>0</v>
      </c>
    </row>
    <row r="191" spans="1:8" s="26" customFormat="1" ht="18" customHeight="1">
      <c r="A191" s="24"/>
      <c r="B191" s="24" t="s">
        <v>48</v>
      </c>
      <c r="C191" s="25">
        <v>19</v>
      </c>
      <c r="D191" s="25">
        <v>786</v>
      </c>
      <c r="E191" s="25">
        <v>144057</v>
      </c>
      <c r="F191" s="25">
        <v>859</v>
      </c>
      <c r="G191" s="25">
        <v>902</v>
      </c>
      <c r="H191" s="25">
        <v>902</v>
      </c>
    </row>
    <row r="192" spans="1:8" s="26" customFormat="1" ht="18" customHeight="1">
      <c r="A192" s="24"/>
      <c r="B192" s="24" t="s">
        <v>35</v>
      </c>
      <c r="C192" s="25">
        <v>14</v>
      </c>
      <c r="D192" s="25">
        <v>0</v>
      </c>
      <c r="E192" s="25">
        <v>0</v>
      </c>
      <c r="F192" s="25">
        <v>0</v>
      </c>
      <c r="G192" s="25">
        <v>0</v>
      </c>
      <c r="H192" s="25">
        <v>7549.5</v>
      </c>
    </row>
    <row r="193" spans="1:8" s="26" customFormat="1" ht="18" customHeight="1">
      <c r="A193" s="24"/>
      <c r="B193" s="24" t="s">
        <v>36</v>
      </c>
      <c r="C193" s="25">
        <v>0</v>
      </c>
      <c r="D193" s="25">
        <v>2</v>
      </c>
      <c r="E193" s="25">
        <v>0</v>
      </c>
      <c r="F193" s="25">
        <v>0</v>
      </c>
      <c r="G193" s="25">
        <v>0</v>
      </c>
      <c r="H193" s="25">
        <v>0</v>
      </c>
    </row>
    <row r="194" spans="1:8" s="26" customFormat="1" ht="18" customHeight="1">
      <c r="A194" s="24"/>
      <c r="B194" s="24" t="s">
        <v>37</v>
      </c>
      <c r="C194" s="25">
        <v>14</v>
      </c>
      <c r="D194" s="25">
        <v>0</v>
      </c>
      <c r="E194" s="25">
        <v>28</v>
      </c>
      <c r="F194" s="25">
        <v>0</v>
      </c>
      <c r="G194" s="25">
        <v>0</v>
      </c>
      <c r="H194" s="25">
        <v>0</v>
      </c>
    </row>
    <row r="195" spans="1:8" s="26" customFormat="1" ht="18" customHeight="1">
      <c r="A195" s="24"/>
      <c r="B195" s="24" t="s">
        <v>38</v>
      </c>
      <c r="C195" s="25">
        <f t="shared" ref="C195:H195" si="18">SUM(C188:C194)</f>
        <v>14625</v>
      </c>
      <c r="D195" s="25">
        <f t="shared" si="18"/>
        <v>15285</v>
      </c>
      <c r="E195" s="25">
        <f t="shared" si="18"/>
        <v>148538</v>
      </c>
      <c r="F195" s="25">
        <f t="shared" si="18"/>
        <v>18399</v>
      </c>
      <c r="G195" s="25">
        <f t="shared" si="18"/>
        <v>5800</v>
      </c>
      <c r="H195" s="25">
        <f t="shared" si="18"/>
        <v>13838.5</v>
      </c>
    </row>
    <row r="196" spans="1:8" s="26" customFormat="1" ht="6.75" customHeight="1">
      <c r="A196" s="24"/>
      <c r="B196" s="24"/>
      <c r="C196" s="25"/>
      <c r="D196" s="25"/>
      <c r="E196" s="25"/>
      <c r="F196" s="25"/>
      <c r="G196" s="25"/>
      <c r="H196" s="25"/>
    </row>
    <row r="197" spans="1:8" s="26" customFormat="1" ht="18" customHeight="1">
      <c r="A197" s="24">
        <v>20</v>
      </c>
      <c r="B197" s="24" t="s">
        <v>19</v>
      </c>
      <c r="C197" s="25"/>
      <c r="D197" s="25"/>
      <c r="E197" s="25"/>
      <c r="F197" s="25"/>
      <c r="G197" s="25"/>
      <c r="H197" s="25"/>
    </row>
    <row r="198" spans="1:8" s="26" customFormat="1" ht="18" customHeight="1">
      <c r="A198" s="24"/>
      <c r="B198" s="24" t="s">
        <v>33</v>
      </c>
      <c r="C198" s="25">
        <v>191</v>
      </c>
      <c r="D198" s="25">
        <v>1963</v>
      </c>
      <c r="E198" s="25">
        <v>2052</v>
      </c>
      <c r="F198" s="25">
        <v>0</v>
      </c>
      <c r="G198" s="25">
        <v>2257</v>
      </c>
      <c r="H198" s="25">
        <v>2482</v>
      </c>
    </row>
    <row r="199" spans="1:8" s="26" customFormat="1" ht="18" customHeight="1">
      <c r="A199" s="24"/>
      <c r="B199" s="24" t="s">
        <v>31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</row>
    <row r="200" spans="1:8" s="26" customFormat="1" ht="18" customHeight="1">
      <c r="A200" s="24"/>
      <c r="B200" s="24" t="s">
        <v>34</v>
      </c>
      <c r="C200" s="25">
        <v>5382889</v>
      </c>
      <c r="D200" s="25">
        <v>5652033</v>
      </c>
      <c r="E200" s="25">
        <v>3418576</v>
      </c>
      <c r="F200" s="25">
        <v>6667562.6900000004</v>
      </c>
      <c r="G200" s="25">
        <v>700940.82499999995</v>
      </c>
      <c r="H200" s="25">
        <v>7334318.9589999998</v>
      </c>
    </row>
    <row r="201" spans="1:8" s="26" customFormat="1" ht="18" customHeight="1">
      <c r="A201" s="24"/>
      <c r="B201" s="24" t="s">
        <v>48</v>
      </c>
      <c r="C201" s="25">
        <v>274199</v>
      </c>
      <c r="D201" s="25">
        <v>364490</v>
      </c>
      <c r="E201" s="25">
        <v>35313</v>
      </c>
      <c r="F201" s="25">
        <v>368245</v>
      </c>
      <c r="G201" s="25">
        <v>386657</v>
      </c>
      <c r="H201" s="25">
        <v>386657</v>
      </c>
    </row>
    <row r="202" spans="1:8" s="26" customFormat="1" ht="18" customHeight="1">
      <c r="A202" s="24"/>
      <c r="B202" s="24" t="s">
        <v>35</v>
      </c>
      <c r="C202" s="25">
        <v>280686</v>
      </c>
      <c r="D202" s="25">
        <v>254457.32</v>
      </c>
      <c r="E202" s="25">
        <v>149612.39000000001</v>
      </c>
      <c r="F202" s="25">
        <v>591767.55000000005</v>
      </c>
      <c r="G202" s="25">
        <v>590767.55000000005</v>
      </c>
      <c r="H202" s="25">
        <v>620305.93000000005</v>
      </c>
    </row>
    <row r="203" spans="1:8" s="26" customFormat="1" ht="18" customHeight="1">
      <c r="A203" s="24"/>
      <c r="B203" s="24" t="s">
        <v>36</v>
      </c>
      <c r="C203" s="25">
        <v>29536</v>
      </c>
      <c r="D203" s="25">
        <v>54552</v>
      </c>
      <c r="E203" s="25">
        <v>377384</v>
      </c>
      <c r="F203" s="25">
        <v>56755.9</v>
      </c>
      <c r="G203" s="25">
        <v>42105</v>
      </c>
      <c r="H203" s="25">
        <v>42947.1</v>
      </c>
    </row>
    <row r="204" spans="1:8" s="26" customFormat="1" ht="18" customHeight="1">
      <c r="A204" s="24"/>
      <c r="B204" s="24" t="s">
        <v>37</v>
      </c>
      <c r="C204" s="25">
        <v>14438</v>
      </c>
      <c r="D204" s="25">
        <v>20340</v>
      </c>
      <c r="E204" s="25">
        <v>169031</v>
      </c>
      <c r="F204" s="25">
        <v>25000</v>
      </c>
      <c r="G204" s="25">
        <v>65000</v>
      </c>
      <c r="H204" s="25">
        <v>80000</v>
      </c>
    </row>
    <row r="205" spans="1:8" s="26" customFormat="1" ht="18" customHeight="1">
      <c r="A205" s="24"/>
      <c r="B205" s="24" t="s">
        <v>38</v>
      </c>
      <c r="C205" s="25">
        <f t="shared" ref="C205:H205" si="19">SUM(C198:C204)</f>
        <v>5981939</v>
      </c>
      <c r="D205" s="25">
        <f t="shared" si="19"/>
        <v>6347835.3200000003</v>
      </c>
      <c r="E205" s="25">
        <f t="shared" si="19"/>
        <v>4151968.39</v>
      </c>
      <c r="F205" s="25">
        <f t="shared" si="19"/>
        <v>7709331.1400000006</v>
      </c>
      <c r="G205" s="25">
        <f t="shared" si="19"/>
        <v>1787727.375</v>
      </c>
      <c r="H205" s="25">
        <f t="shared" si="19"/>
        <v>8466710.9890000001</v>
      </c>
    </row>
    <row r="206" spans="1:8" s="26" customFormat="1" ht="4.5" customHeight="1">
      <c r="A206" s="24"/>
      <c r="B206" s="24"/>
      <c r="C206" s="25"/>
      <c r="D206" s="25"/>
      <c r="E206" s="25"/>
      <c r="F206" s="25"/>
      <c r="G206" s="25"/>
      <c r="H206" s="25"/>
    </row>
    <row r="207" spans="1:8" s="26" customFormat="1" ht="18" customHeight="1">
      <c r="A207" s="24">
        <v>21</v>
      </c>
      <c r="B207" s="24" t="s">
        <v>20</v>
      </c>
      <c r="C207" s="25"/>
      <c r="D207" s="25"/>
      <c r="E207" s="25"/>
      <c r="F207" s="25"/>
      <c r="G207" s="25"/>
      <c r="H207" s="25"/>
    </row>
    <row r="208" spans="1:8" s="26" customFormat="1" ht="18" customHeight="1">
      <c r="A208" s="24"/>
      <c r="B208" s="24" t="s">
        <v>33</v>
      </c>
      <c r="C208" s="25">
        <v>0</v>
      </c>
      <c r="D208" s="25">
        <v>0</v>
      </c>
      <c r="E208" s="25">
        <v>0</v>
      </c>
      <c r="F208" s="25">
        <v>0</v>
      </c>
      <c r="G208" s="25">
        <v>0</v>
      </c>
      <c r="H208" s="25">
        <v>0</v>
      </c>
    </row>
    <row r="209" spans="1:8" s="26" customFormat="1" ht="18" customHeight="1">
      <c r="A209" s="24"/>
      <c r="B209" s="24" t="s">
        <v>31</v>
      </c>
      <c r="C209" s="25">
        <v>0</v>
      </c>
      <c r="D209" s="25">
        <v>0</v>
      </c>
      <c r="E209" s="25">
        <v>0</v>
      </c>
      <c r="F209" s="25">
        <v>0</v>
      </c>
      <c r="G209" s="25">
        <v>0</v>
      </c>
      <c r="H209" s="25">
        <v>0</v>
      </c>
    </row>
    <row r="210" spans="1:8" s="26" customFormat="1" ht="18" customHeight="1">
      <c r="A210" s="24"/>
      <c r="B210" s="24" t="s">
        <v>34</v>
      </c>
      <c r="C210" s="25">
        <v>0</v>
      </c>
      <c r="D210" s="25">
        <v>0</v>
      </c>
      <c r="E210" s="25">
        <v>0</v>
      </c>
      <c r="F210" s="25">
        <v>0</v>
      </c>
      <c r="G210" s="25">
        <v>0</v>
      </c>
      <c r="H210" s="25">
        <v>0</v>
      </c>
    </row>
    <row r="211" spans="1:8" s="26" customFormat="1" ht="18" customHeight="1">
      <c r="A211" s="24"/>
      <c r="B211" s="24" t="s">
        <v>48</v>
      </c>
      <c r="C211" s="25">
        <v>0</v>
      </c>
      <c r="D211" s="25">
        <v>9</v>
      </c>
      <c r="E211" s="25">
        <v>0</v>
      </c>
      <c r="F211" s="25">
        <v>0</v>
      </c>
      <c r="G211" s="25">
        <v>0</v>
      </c>
      <c r="H211" s="25">
        <v>0</v>
      </c>
    </row>
    <row r="212" spans="1:8" s="26" customFormat="1" ht="18" customHeight="1">
      <c r="A212" s="24"/>
      <c r="B212" s="24" t="s">
        <v>35</v>
      </c>
      <c r="C212" s="25">
        <v>0</v>
      </c>
      <c r="D212" s="25">
        <v>0</v>
      </c>
      <c r="E212" s="25">
        <v>20.399999999999999</v>
      </c>
      <c r="F212" s="25">
        <v>0</v>
      </c>
      <c r="G212" s="25">
        <v>0</v>
      </c>
      <c r="H212" s="25">
        <v>0</v>
      </c>
    </row>
    <row r="213" spans="1:8" s="26" customFormat="1" ht="18" customHeight="1">
      <c r="A213" s="24"/>
      <c r="B213" s="24" t="s">
        <v>36</v>
      </c>
      <c r="C213" s="25">
        <v>0</v>
      </c>
      <c r="D213" s="25">
        <v>0</v>
      </c>
      <c r="E213" s="25">
        <v>0</v>
      </c>
      <c r="F213" s="25">
        <v>0</v>
      </c>
      <c r="G213" s="25">
        <v>0</v>
      </c>
      <c r="H213" s="25">
        <v>0</v>
      </c>
    </row>
    <row r="214" spans="1:8" s="26" customFormat="1" ht="18" customHeight="1">
      <c r="A214" s="24"/>
      <c r="B214" s="24" t="s">
        <v>37</v>
      </c>
      <c r="C214" s="25">
        <v>0</v>
      </c>
      <c r="D214" s="25">
        <v>0</v>
      </c>
      <c r="E214" s="25">
        <v>0</v>
      </c>
      <c r="F214" s="25">
        <v>0</v>
      </c>
      <c r="G214" s="25">
        <v>0</v>
      </c>
      <c r="H214" s="25">
        <v>0</v>
      </c>
    </row>
    <row r="215" spans="1:8" s="26" customFormat="1" ht="18" customHeight="1">
      <c r="A215" s="24"/>
      <c r="B215" s="24" t="s">
        <v>38</v>
      </c>
      <c r="C215" s="25">
        <f t="shared" ref="C215:H215" si="20">SUM(C208:C214)</f>
        <v>0</v>
      </c>
      <c r="D215" s="25">
        <f t="shared" si="20"/>
        <v>9</v>
      </c>
      <c r="E215" s="25">
        <f t="shared" si="20"/>
        <v>20.399999999999999</v>
      </c>
      <c r="F215" s="25">
        <f t="shared" si="20"/>
        <v>0</v>
      </c>
      <c r="G215" s="25">
        <f t="shared" si="20"/>
        <v>0</v>
      </c>
      <c r="H215" s="25">
        <f t="shared" si="20"/>
        <v>0</v>
      </c>
    </row>
    <row r="216" spans="1:8" s="26" customFormat="1" ht="4.5" customHeight="1">
      <c r="A216" s="24"/>
      <c r="B216" s="24"/>
      <c r="C216" s="25"/>
      <c r="D216" s="25"/>
      <c r="E216" s="25"/>
      <c r="F216" s="25"/>
      <c r="G216" s="25"/>
      <c r="H216" s="25"/>
    </row>
    <row r="217" spans="1:8" s="26" customFormat="1" ht="18" customHeight="1">
      <c r="A217" s="24">
        <v>22</v>
      </c>
      <c r="B217" s="24" t="s">
        <v>21</v>
      </c>
      <c r="C217" s="25"/>
      <c r="D217" s="25"/>
      <c r="E217" s="25"/>
      <c r="F217" s="25"/>
      <c r="G217" s="25"/>
      <c r="H217" s="25"/>
    </row>
    <row r="218" spans="1:8" s="26" customFormat="1" ht="18" customHeight="1">
      <c r="A218" s="24"/>
      <c r="B218" s="24" t="s">
        <v>33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</row>
    <row r="219" spans="1:8" s="26" customFormat="1" ht="18" customHeight="1">
      <c r="A219" s="24"/>
      <c r="B219" s="24" t="s">
        <v>31</v>
      </c>
      <c r="C219" s="25">
        <v>0</v>
      </c>
      <c r="D219" s="25">
        <v>0</v>
      </c>
      <c r="E219" s="25">
        <v>0</v>
      </c>
      <c r="F219" s="25">
        <v>0</v>
      </c>
      <c r="G219" s="25">
        <v>0</v>
      </c>
      <c r="H219" s="25">
        <v>0</v>
      </c>
    </row>
    <row r="220" spans="1:8" s="26" customFormat="1" ht="18" customHeight="1">
      <c r="A220" s="24"/>
      <c r="B220" s="24" t="s">
        <v>34</v>
      </c>
      <c r="C220" s="25">
        <v>0</v>
      </c>
      <c r="D220" s="25">
        <v>0</v>
      </c>
      <c r="E220" s="25">
        <v>0</v>
      </c>
      <c r="F220" s="25">
        <v>0</v>
      </c>
      <c r="G220" s="25">
        <v>0</v>
      </c>
      <c r="H220" s="25">
        <v>0</v>
      </c>
    </row>
    <row r="221" spans="1:8" s="26" customFormat="1" ht="18" customHeight="1">
      <c r="A221" s="24"/>
      <c r="B221" s="24" t="s">
        <v>48</v>
      </c>
      <c r="C221" s="25">
        <v>0</v>
      </c>
      <c r="D221" s="25">
        <v>0</v>
      </c>
      <c r="E221" s="25">
        <v>0</v>
      </c>
      <c r="F221" s="25">
        <v>0</v>
      </c>
      <c r="G221" s="25">
        <v>0</v>
      </c>
      <c r="H221" s="25">
        <v>0</v>
      </c>
    </row>
    <row r="222" spans="1:8" s="26" customFormat="1" ht="18" customHeight="1">
      <c r="A222" s="24"/>
      <c r="B222" s="24" t="s">
        <v>35</v>
      </c>
      <c r="C222" s="25">
        <v>8</v>
      </c>
      <c r="D222" s="25">
        <v>0</v>
      </c>
      <c r="E222" s="25">
        <v>0</v>
      </c>
      <c r="F222" s="25">
        <v>0</v>
      </c>
      <c r="G222" s="25">
        <v>0</v>
      </c>
      <c r="H222" s="25">
        <v>0</v>
      </c>
    </row>
    <row r="223" spans="1:8" s="26" customFormat="1" ht="18" customHeight="1">
      <c r="A223" s="24"/>
      <c r="B223" s="24" t="s">
        <v>36</v>
      </c>
      <c r="C223" s="25">
        <v>0</v>
      </c>
      <c r="D223" s="25">
        <v>0</v>
      </c>
      <c r="E223" s="25">
        <v>0</v>
      </c>
      <c r="F223" s="25">
        <v>0</v>
      </c>
      <c r="G223" s="25">
        <v>0</v>
      </c>
      <c r="H223" s="25">
        <v>0</v>
      </c>
    </row>
    <row r="224" spans="1:8" s="26" customFormat="1" ht="18" customHeight="1">
      <c r="A224" s="24"/>
      <c r="B224" s="24" t="s">
        <v>37</v>
      </c>
      <c r="C224" s="25">
        <v>0</v>
      </c>
      <c r="D224" s="25">
        <v>0</v>
      </c>
      <c r="E224" s="25">
        <v>0</v>
      </c>
      <c r="F224" s="25">
        <v>0</v>
      </c>
      <c r="G224" s="25">
        <v>0</v>
      </c>
      <c r="H224" s="25">
        <v>0</v>
      </c>
    </row>
    <row r="225" spans="1:8" s="26" customFormat="1" ht="18" customHeight="1">
      <c r="A225" s="24"/>
      <c r="B225" s="24" t="s">
        <v>38</v>
      </c>
      <c r="C225" s="25">
        <f t="shared" ref="C225:H225" si="21">SUM(C218:C224)</f>
        <v>8</v>
      </c>
      <c r="D225" s="25">
        <f t="shared" si="21"/>
        <v>0</v>
      </c>
      <c r="E225" s="25">
        <f t="shared" si="21"/>
        <v>0</v>
      </c>
      <c r="F225" s="25">
        <f t="shared" si="21"/>
        <v>0</v>
      </c>
      <c r="G225" s="25">
        <f t="shared" si="21"/>
        <v>0</v>
      </c>
      <c r="H225" s="25">
        <f t="shared" si="21"/>
        <v>0</v>
      </c>
    </row>
    <row r="226" spans="1:8" s="26" customFormat="1" ht="6" customHeight="1">
      <c r="A226" s="24"/>
      <c r="B226" s="24"/>
      <c r="C226" s="25"/>
      <c r="D226" s="25"/>
      <c r="E226" s="25"/>
      <c r="F226" s="25"/>
      <c r="G226" s="25"/>
      <c r="H226" s="25"/>
    </row>
    <row r="227" spans="1:8" s="26" customFormat="1" ht="15" customHeight="1">
      <c r="A227" s="24">
        <v>23</v>
      </c>
      <c r="B227" s="24" t="s">
        <v>46</v>
      </c>
      <c r="C227" s="25"/>
      <c r="D227" s="25"/>
      <c r="E227" s="25"/>
      <c r="F227" s="25"/>
      <c r="G227" s="25"/>
      <c r="H227" s="25"/>
    </row>
    <row r="228" spans="1:8" s="26" customFormat="1" ht="17.25" customHeight="1">
      <c r="A228" s="24"/>
      <c r="B228" s="24" t="s">
        <v>33</v>
      </c>
      <c r="C228" s="25">
        <v>0</v>
      </c>
      <c r="D228" s="25">
        <v>0</v>
      </c>
      <c r="E228" s="25">
        <v>0</v>
      </c>
      <c r="F228" s="25">
        <v>0</v>
      </c>
      <c r="G228" s="25">
        <v>0</v>
      </c>
      <c r="H228" s="25">
        <v>0</v>
      </c>
    </row>
    <row r="229" spans="1:8" s="26" customFormat="1" ht="17.25" customHeight="1">
      <c r="A229" s="24"/>
      <c r="B229" s="24" t="s">
        <v>31</v>
      </c>
      <c r="C229" s="25">
        <v>0</v>
      </c>
      <c r="D229" s="25">
        <v>0</v>
      </c>
      <c r="E229" s="25">
        <v>0</v>
      </c>
      <c r="F229" s="25">
        <v>0</v>
      </c>
      <c r="G229" s="25">
        <v>0</v>
      </c>
      <c r="H229" s="25">
        <v>0</v>
      </c>
    </row>
    <row r="230" spans="1:8" s="26" customFormat="1" ht="17.25" customHeight="1">
      <c r="A230" s="24"/>
      <c r="B230" s="24" t="s">
        <v>34</v>
      </c>
      <c r="C230" s="25">
        <v>0</v>
      </c>
      <c r="D230" s="25">
        <v>0</v>
      </c>
      <c r="E230" s="25">
        <v>0</v>
      </c>
      <c r="F230" s="25">
        <v>0</v>
      </c>
      <c r="G230" s="25">
        <v>0</v>
      </c>
      <c r="H230" s="25">
        <v>0</v>
      </c>
    </row>
    <row r="231" spans="1:8" s="26" customFormat="1" ht="17.25" customHeight="1">
      <c r="A231" s="24"/>
      <c r="B231" s="24" t="s">
        <v>48</v>
      </c>
      <c r="C231" s="25">
        <v>1</v>
      </c>
      <c r="D231" s="25">
        <v>3</v>
      </c>
      <c r="E231" s="25">
        <v>0</v>
      </c>
      <c r="F231" s="25">
        <v>1</v>
      </c>
      <c r="G231" s="25">
        <v>1</v>
      </c>
      <c r="H231" s="25">
        <v>1</v>
      </c>
    </row>
    <row r="232" spans="1:8" s="26" customFormat="1" ht="17.25" customHeight="1">
      <c r="A232" s="24"/>
      <c r="B232" s="24" t="s">
        <v>35</v>
      </c>
      <c r="C232" s="25">
        <v>0</v>
      </c>
      <c r="D232" s="25">
        <v>0</v>
      </c>
      <c r="E232" s="25">
        <v>4.8600000000000003</v>
      </c>
      <c r="F232" s="25">
        <v>0</v>
      </c>
      <c r="G232" s="25">
        <v>0</v>
      </c>
      <c r="H232" s="25">
        <v>0</v>
      </c>
    </row>
    <row r="233" spans="1:8" s="26" customFormat="1" ht="17.25" customHeight="1">
      <c r="A233" s="24"/>
      <c r="B233" s="24" t="s">
        <v>36</v>
      </c>
      <c r="C233" s="25">
        <v>2</v>
      </c>
      <c r="D233" s="25">
        <v>0</v>
      </c>
      <c r="E233" s="25">
        <v>0</v>
      </c>
      <c r="F233" s="25">
        <v>0</v>
      </c>
      <c r="G233" s="25">
        <v>0</v>
      </c>
      <c r="H233" s="25">
        <v>0</v>
      </c>
    </row>
    <row r="234" spans="1:8" s="26" customFormat="1" ht="17.25" customHeight="1">
      <c r="A234" s="24"/>
      <c r="B234" s="24" t="s">
        <v>37</v>
      </c>
      <c r="C234" s="25">
        <v>0</v>
      </c>
      <c r="D234" s="25">
        <v>0</v>
      </c>
      <c r="E234" s="25">
        <v>0</v>
      </c>
      <c r="F234" s="25">
        <v>0</v>
      </c>
      <c r="G234" s="25">
        <v>0</v>
      </c>
      <c r="H234" s="25">
        <v>0</v>
      </c>
    </row>
    <row r="235" spans="1:8" s="26" customFormat="1" ht="17.25" customHeight="1">
      <c r="A235" s="24"/>
      <c r="B235" s="24" t="s">
        <v>38</v>
      </c>
      <c r="C235" s="25">
        <f t="shared" ref="C235:H235" si="22">SUM(C228:C234)</f>
        <v>3</v>
      </c>
      <c r="D235" s="25">
        <f t="shared" si="22"/>
        <v>3</v>
      </c>
      <c r="E235" s="25">
        <f t="shared" si="22"/>
        <v>4.8600000000000003</v>
      </c>
      <c r="F235" s="25">
        <f t="shared" si="22"/>
        <v>1</v>
      </c>
      <c r="G235" s="25">
        <f t="shared" si="22"/>
        <v>1</v>
      </c>
      <c r="H235" s="25">
        <f t="shared" si="22"/>
        <v>1</v>
      </c>
    </row>
    <row r="236" spans="1:8" s="26" customFormat="1" ht="5.25" customHeight="1">
      <c r="A236" s="24"/>
      <c r="B236" s="24"/>
      <c r="C236" s="25"/>
      <c r="D236" s="25"/>
      <c r="E236" s="25"/>
      <c r="F236" s="25"/>
      <c r="G236" s="25"/>
      <c r="H236" s="25"/>
    </row>
    <row r="237" spans="1:8" s="26" customFormat="1" ht="14.25" customHeight="1">
      <c r="A237" s="24">
        <v>24</v>
      </c>
      <c r="B237" s="24" t="s">
        <v>47</v>
      </c>
      <c r="C237" s="25"/>
      <c r="D237" s="25"/>
      <c r="E237" s="25"/>
      <c r="F237" s="25"/>
      <c r="G237" s="25"/>
      <c r="H237" s="25"/>
    </row>
    <row r="238" spans="1:8" s="26" customFormat="1" ht="17.25" customHeight="1">
      <c r="A238" s="24"/>
      <c r="B238" s="24" t="s">
        <v>33</v>
      </c>
      <c r="C238" s="25">
        <v>0</v>
      </c>
      <c r="D238" s="25">
        <v>0</v>
      </c>
      <c r="E238" s="25">
        <v>0</v>
      </c>
      <c r="F238" s="25">
        <v>0</v>
      </c>
      <c r="G238" s="25">
        <v>0</v>
      </c>
      <c r="H238" s="25">
        <v>0</v>
      </c>
    </row>
    <row r="239" spans="1:8" s="26" customFormat="1" ht="17.25" customHeight="1">
      <c r="A239" s="24"/>
      <c r="B239" s="24" t="s">
        <v>31</v>
      </c>
      <c r="C239" s="25">
        <v>0</v>
      </c>
      <c r="D239" s="25">
        <v>0</v>
      </c>
      <c r="E239" s="25">
        <v>0</v>
      </c>
      <c r="F239" s="25">
        <v>0</v>
      </c>
      <c r="G239" s="25">
        <v>0</v>
      </c>
      <c r="H239" s="25">
        <v>0</v>
      </c>
    </row>
    <row r="240" spans="1:8" s="26" customFormat="1" ht="17.25" customHeight="1">
      <c r="A240" s="24"/>
      <c r="B240" s="24" t="s">
        <v>34</v>
      </c>
      <c r="C240" s="25">
        <v>0</v>
      </c>
      <c r="D240" s="25">
        <v>0</v>
      </c>
      <c r="E240" s="25">
        <v>0</v>
      </c>
      <c r="F240" s="25">
        <v>0</v>
      </c>
      <c r="G240" s="25">
        <v>0</v>
      </c>
      <c r="H240" s="25">
        <v>0</v>
      </c>
    </row>
    <row r="241" spans="1:8" s="26" customFormat="1" ht="17.25" customHeight="1">
      <c r="A241" s="24"/>
      <c r="B241" s="24" t="s">
        <v>48</v>
      </c>
      <c r="C241" s="25">
        <v>0</v>
      </c>
      <c r="D241" s="25">
        <v>0</v>
      </c>
      <c r="E241" s="25">
        <v>0</v>
      </c>
      <c r="F241" s="25">
        <v>1</v>
      </c>
      <c r="G241" s="25">
        <v>1</v>
      </c>
      <c r="H241" s="25">
        <v>1</v>
      </c>
    </row>
    <row r="242" spans="1:8" s="26" customFormat="1" ht="17.25" customHeight="1">
      <c r="A242" s="24"/>
      <c r="B242" s="24" t="s">
        <v>35</v>
      </c>
      <c r="C242" s="25">
        <v>0</v>
      </c>
      <c r="D242" s="25">
        <v>50</v>
      </c>
      <c r="E242" s="25">
        <v>0</v>
      </c>
      <c r="F242" s="25">
        <v>0</v>
      </c>
      <c r="G242" s="25">
        <v>0</v>
      </c>
      <c r="H242" s="25">
        <v>0</v>
      </c>
    </row>
    <row r="243" spans="1:8" s="26" customFormat="1" ht="17.25" customHeight="1">
      <c r="A243" s="24"/>
      <c r="B243" s="24" t="s">
        <v>36</v>
      </c>
      <c r="C243" s="25">
        <v>0</v>
      </c>
      <c r="D243" s="25">
        <v>0</v>
      </c>
      <c r="E243" s="25">
        <v>0</v>
      </c>
      <c r="F243" s="25">
        <v>0</v>
      </c>
      <c r="G243" s="25">
        <v>0</v>
      </c>
      <c r="H243" s="25">
        <v>0</v>
      </c>
    </row>
    <row r="244" spans="1:8" s="26" customFormat="1" ht="17.25" customHeight="1">
      <c r="A244" s="24"/>
      <c r="B244" s="24" t="s">
        <v>37</v>
      </c>
      <c r="C244" s="25">
        <v>0</v>
      </c>
      <c r="D244" s="25">
        <v>0</v>
      </c>
      <c r="E244" s="25">
        <v>0</v>
      </c>
      <c r="F244" s="25">
        <v>0</v>
      </c>
      <c r="G244" s="25">
        <v>0</v>
      </c>
      <c r="H244" s="25">
        <v>0</v>
      </c>
    </row>
    <row r="245" spans="1:8" s="26" customFormat="1" ht="17.25" customHeight="1">
      <c r="A245" s="24"/>
      <c r="B245" s="24" t="s">
        <v>38</v>
      </c>
      <c r="C245" s="25">
        <f t="shared" ref="C245:H245" si="23">SUM(C238:C244)</f>
        <v>0</v>
      </c>
      <c r="D245" s="25">
        <f t="shared" si="23"/>
        <v>50</v>
      </c>
      <c r="E245" s="25">
        <f t="shared" si="23"/>
        <v>0</v>
      </c>
      <c r="F245" s="25">
        <f t="shared" si="23"/>
        <v>1</v>
      </c>
      <c r="G245" s="25">
        <f t="shared" si="23"/>
        <v>1</v>
      </c>
      <c r="H245" s="25">
        <f t="shared" si="23"/>
        <v>1</v>
      </c>
    </row>
    <row r="246" spans="1:8" s="26" customFormat="1" ht="5.25" customHeight="1">
      <c r="A246" s="24"/>
      <c r="B246" s="24"/>
      <c r="C246" s="25"/>
      <c r="D246" s="25"/>
      <c r="E246" s="25"/>
      <c r="F246" s="25"/>
      <c r="G246" s="25"/>
      <c r="H246" s="25"/>
    </row>
    <row r="247" spans="1:8" s="26" customFormat="1" ht="15.75" customHeight="1">
      <c r="A247" s="24">
        <v>25</v>
      </c>
      <c r="B247" s="24" t="s">
        <v>24</v>
      </c>
      <c r="C247" s="25"/>
      <c r="D247" s="25"/>
      <c r="E247" s="25"/>
      <c r="F247" s="25"/>
      <c r="G247" s="25"/>
      <c r="H247" s="25"/>
    </row>
    <row r="248" spans="1:8" s="26" customFormat="1" ht="17.25" customHeight="1">
      <c r="A248" s="24"/>
      <c r="B248" s="24" t="s">
        <v>33</v>
      </c>
      <c r="C248" s="25">
        <v>0</v>
      </c>
      <c r="D248" s="25">
        <v>291</v>
      </c>
      <c r="E248" s="25">
        <v>19</v>
      </c>
      <c r="F248" s="25">
        <v>0</v>
      </c>
      <c r="G248" s="25">
        <v>0</v>
      </c>
      <c r="H248" s="25">
        <v>0</v>
      </c>
    </row>
    <row r="249" spans="1:8" s="26" customFormat="1" ht="17.25" customHeight="1">
      <c r="A249" s="24"/>
      <c r="B249" s="24" t="s">
        <v>31</v>
      </c>
      <c r="C249" s="25">
        <v>0</v>
      </c>
      <c r="D249" s="25">
        <v>0</v>
      </c>
      <c r="E249" s="25">
        <v>0</v>
      </c>
      <c r="F249" s="25">
        <v>0</v>
      </c>
      <c r="G249" s="25">
        <v>0</v>
      </c>
      <c r="H249" s="25">
        <v>0</v>
      </c>
    </row>
    <row r="250" spans="1:8" s="26" customFormat="1" ht="17.25" customHeight="1">
      <c r="A250" s="24"/>
      <c r="B250" s="24" t="s">
        <v>34</v>
      </c>
      <c r="C250" s="25">
        <v>135131</v>
      </c>
      <c r="D250" s="25">
        <v>141888</v>
      </c>
      <c r="E250" s="25">
        <v>199014</v>
      </c>
      <c r="F250" s="25">
        <v>167381.17000000001</v>
      </c>
      <c r="G250" s="25">
        <v>175750.22899999999</v>
      </c>
      <c r="H250" s="25">
        <v>184119.28700000001</v>
      </c>
    </row>
    <row r="251" spans="1:8" s="26" customFormat="1" ht="17.25" customHeight="1">
      <c r="A251" s="24"/>
      <c r="B251" s="24" t="s">
        <v>48</v>
      </c>
      <c r="C251" s="25">
        <v>88723</v>
      </c>
      <c r="D251" s="25">
        <v>54140</v>
      </c>
      <c r="E251" s="25">
        <v>39380</v>
      </c>
      <c r="F251" s="25">
        <v>53954</v>
      </c>
      <c r="G251" s="25">
        <v>56652</v>
      </c>
      <c r="H251" s="25">
        <v>56652</v>
      </c>
    </row>
    <row r="252" spans="1:8" s="26" customFormat="1" ht="17.25" customHeight="1">
      <c r="A252" s="24"/>
      <c r="B252" s="24" t="s">
        <v>35</v>
      </c>
      <c r="C252" s="25">
        <v>87701</v>
      </c>
      <c r="D252" s="25">
        <v>96172.47</v>
      </c>
      <c r="E252" s="25">
        <v>27786.27</v>
      </c>
      <c r="F252" s="25">
        <v>126060.77</v>
      </c>
      <c r="G252" s="25">
        <v>29175.3</v>
      </c>
      <c r="H252" s="25">
        <v>30634.07</v>
      </c>
    </row>
    <row r="253" spans="1:8" s="26" customFormat="1" ht="17.25" customHeight="1">
      <c r="A253" s="24"/>
      <c r="B253" s="24" t="s">
        <v>36</v>
      </c>
      <c r="C253" s="25">
        <v>6724</v>
      </c>
      <c r="D253" s="25">
        <v>15806</v>
      </c>
      <c r="E253" s="25">
        <v>11863</v>
      </c>
      <c r="F253" s="25">
        <v>16444.560000000001</v>
      </c>
      <c r="G253" s="25">
        <v>12100.26</v>
      </c>
      <c r="H253" s="25">
        <v>12342.27</v>
      </c>
    </row>
    <row r="254" spans="1:8" s="26" customFormat="1" ht="17.25" customHeight="1">
      <c r="A254" s="24"/>
      <c r="B254" s="24" t="s">
        <v>37</v>
      </c>
      <c r="C254" s="25">
        <v>3056</v>
      </c>
      <c r="D254" s="25">
        <v>3012</v>
      </c>
      <c r="E254" s="25">
        <v>2360</v>
      </c>
      <c r="F254" s="25">
        <v>3550</v>
      </c>
      <c r="G254" s="25">
        <v>3550</v>
      </c>
      <c r="H254" s="25">
        <v>3550</v>
      </c>
    </row>
    <row r="255" spans="1:8" s="26" customFormat="1" ht="17.25" customHeight="1" thickBot="1">
      <c r="A255" s="24"/>
      <c r="B255" s="27" t="s">
        <v>38</v>
      </c>
      <c r="C255" s="28">
        <f t="shared" ref="C255:H255" si="24">SUM(C248:C254)</f>
        <v>321335</v>
      </c>
      <c r="D255" s="28">
        <f t="shared" si="24"/>
        <v>311309.46999999997</v>
      </c>
      <c r="E255" s="28">
        <f t="shared" si="24"/>
        <v>280422.27</v>
      </c>
      <c r="F255" s="28">
        <f t="shared" si="24"/>
        <v>367390.5</v>
      </c>
      <c r="G255" s="28">
        <f t="shared" si="24"/>
        <v>277227.78899999999</v>
      </c>
      <c r="H255" s="28">
        <f t="shared" si="24"/>
        <v>287297.62700000004</v>
      </c>
    </row>
    <row r="256" spans="1:8" s="26" customFormat="1" ht="7.5" customHeight="1" thickTop="1">
      <c r="A256" s="24"/>
      <c r="B256" s="24"/>
      <c r="C256" s="25"/>
      <c r="D256" s="25"/>
      <c r="E256" s="25"/>
      <c r="F256" s="25"/>
      <c r="G256" s="25"/>
      <c r="H256" s="25"/>
    </row>
    <row r="257" spans="1:8" s="26" customFormat="1" ht="16.5" customHeight="1">
      <c r="A257" s="24">
        <v>26</v>
      </c>
      <c r="B257" s="24" t="s">
        <v>50</v>
      </c>
      <c r="C257" s="25"/>
      <c r="D257" s="25"/>
      <c r="E257" s="25"/>
      <c r="F257" s="25"/>
      <c r="G257" s="25"/>
      <c r="H257" s="25"/>
    </row>
    <row r="258" spans="1:8" s="26" customFormat="1" ht="16.5" customHeight="1">
      <c r="A258" s="24"/>
      <c r="B258" s="24" t="s">
        <v>33</v>
      </c>
      <c r="C258" s="25">
        <v>0</v>
      </c>
      <c r="D258" s="25">
        <v>0</v>
      </c>
      <c r="E258" s="25">
        <v>0</v>
      </c>
      <c r="F258" s="25">
        <v>0</v>
      </c>
      <c r="G258" s="25">
        <v>0</v>
      </c>
      <c r="H258" s="25">
        <v>0</v>
      </c>
    </row>
    <row r="259" spans="1:8" s="26" customFormat="1" ht="16.5" customHeight="1">
      <c r="A259" s="24"/>
      <c r="B259" s="24" t="s">
        <v>31</v>
      </c>
      <c r="C259" s="25">
        <v>0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</row>
    <row r="260" spans="1:8" s="26" customFormat="1" ht="16.5" customHeight="1">
      <c r="A260" s="24"/>
      <c r="B260" s="24" t="s">
        <v>34</v>
      </c>
      <c r="C260" s="25">
        <v>0</v>
      </c>
      <c r="D260" s="25">
        <v>0</v>
      </c>
      <c r="E260" s="25">
        <v>0</v>
      </c>
      <c r="F260" s="25">
        <v>0</v>
      </c>
      <c r="G260" s="25">
        <v>0</v>
      </c>
      <c r="H260" s="25">
        <v>0</v>
      </c>
    </row>
    <row r="261" spans="1:8" s="26" customFormat="1" ht="16.5" customHeight="1">
      <c r="A261" s="24"/>
      <c r="B261" s="24" t="s">
        <v>48</v>
      </c>
      <c r="C261" s="25">
        <v>0</v>
      </c>
      <c r="D261" s="25">
        <v>0</v>
      </c>
      <c r="E261" s="25">
        <v>24</v>
      </c>
      <c r="F261" s="25">
        <v>0</v>
      </c>
      <c r="G261" s="25">
        <v>0</v>
      </c>
      <c r="H261" s="25">
        <v>0</v>
      </c>
    </row>
    <row r="262" spans="1:8" s="26" customFormat="1" ht="16.5" customHeight="1">
      <c r="A262" s="24"/>
      <c r="B262" s="24" t="s">
        <v>35</v>
      </c>
      <c r="C262" s="25">
        <v>0</v>
      </c>
      <c r="D262" s="25">
        <v>0</v>
      </c>
      <c r="E262" s="25">
        <v>0</v>
      </c>
      <c r="F262" s="25">
        <v>0</v>
      </c>
      <c r="G262" s="25">
        <v>0</v>
      </c>
      <c r="H262" s="25">
        <v>0</v>
      </c>
    </row>
    <row r="263" spans="1:8" s="26" customFormat="1" ht="16.5" customHeight="1">
      <c r="A263" s="24"/>
      <c r="B263" s="24" t="s">
        <v>36</v>
      </c>
      <c r="C263" s="25">
        <v>0</v>
      </c>
      <c r="D263" s="25">
        <v>0</v>
      </c>
      <c r="E263" s="25">
        <v>0</v>
      </c>
      <c r="F263" s="25">
        <v>0</v>
      </c>
      <c r="G263" s="25">
        <v>0</v>
      </c>
      <c r="H263" s="25">
        <v>0</v>
      </c>
    </row>
    <row r="264" spans="1:8" ht="16.5" customHeight="1">
      <c r="A264" s="24"/>
      <c r="B264" s="24" t="s">
        <v>37</v>
      </c>
      <c r="C264" s="25">
        <v>0</v>
      </c>
      <c r="D264" s="25">
        <v>0</v>
      </c>
      <c r="E264" s="25">
        <v>0</v>
      </c>
      <c r="F264" s="25">
        <v>0</v>
      </c>
      <c r="G264" s="25">
        <v>0</v>
      </c>
      <c r="H264" s="25">
        <v>0</v>
      </c>
    </row>
    <row r="265" spans="1:8" ht="18" customHeight="1" thickBot="1">
      <c r="A265" s="24"/>
      <c r="B265" s="27" t="s">
        <v>38</v>
      </c>
      <c r="C265" s="28">
        <f t="shared" ref="C265:H265" si="25">SUM(C258:C264)</f>
        <v>0</v>
      </c>
      <c r="D265" s="28">
        <f t="shared" si="25"/>
        <v>0</v>
      </c>
      <c r="E265" s="28">
        <f t="shared" si="25"/>
        <v>24</v>
      </c>
      <c r="F265" s="28">
        <f t="shared" si="25"/>
        <v>0</v>
      </c>
      <c r="G265" s="28">
        <f t="shared" si="25"/>
        <v>0</v>
      </c>
      <c r="H265" s="28">
        <f t="shared" si="25"/>
        <v>0</v>
      </c>
    </row>
    <row r="266" spans="1:8" ht="3" customHeight="1" thickTop="1">
      <c r="C266" s="29"/>
      <c r="D266" s="29"/>
      <c r="E266" s="29"/>
      <c r="F266" s="29"/>
      <c r="G266" s="29"/>
      <c r="H266" s="29"/>
    </row>
    <row r="267" spans="1:8" ht="13.2">
      <c r="A267" s="24">
        <v>27</v>
      </c>
      <c r="B267" s="24" t="s">
        <v>61</v>
      </c>
      <c r="C267" s="25"/>
      <c r="D267" s="25"/>
      <c r="E267" s="25"/>
      <c r="F267" s="25"/>
      <c r="G267" s="25"/>
      <c r="H267" s="25"/>
    </row>
    <row r="268" spans="1:8" ht="16.5" customHeight="1">
      <c r="A268" s="24"/>
      <c r="B268" s="24" t="s">
        <v>33</v>
      </c>
      <c r="C268" s="25">
        <v>0</v>
      </c>
      <c r="D268" s="25">
        <v>0</v>
      </c>
      <c r="E268" s="25">
        <v>0</v>
      </c>
      <c r="F268" s="25">
        <v>0</v>
      </c>
      <c r="G268" s="25">
        <v>0</v>
      </c>
      <c r="H268" s="25">
        <v>0</v>
      </c>
    </row>
    <row r="269" spans="1:8" ht="16.5" customHeight="1">
      <c r="A269" s="24"/>
      <c r="B269" s="24" t="s">
        <v>31</v>
      </c>
      <c r="C269" s="25">
        <v>0</v>
      </c>
      <c r="D269" s="25">
        <v>0</v>
      </c>
      <c r="E269" s="25">
        <v>0</v>
      </c>
      <c r="F269" s="25">
        <v>0</v>
      </c>
      <c r="G269" s="25">
        <v>0</v>
      </c>
      <c r="H269" s="25">
        <v>0</v>
      </c>
    </row>
    <row r="270" spans="1:8" ht="16.5" customHeight="1">
      <c r="A270" s="24"/>
      <c r="B270" s="24" t="s">
        <v>34</v>
      </c>
      <c r="C270" s="25">
        <v>0</v>
      </c>
      <c r="D270" s="25">
        <v>0</v>
      </c>
      <c r="E270" s="25">
        <v>0</v>
      </c>
      <c r="F270" s="25">
        <v>0</v>
      </c>
      <c r="G270" s="25">
        <v>0</v>
      </c>
      <c r="H270" s="25">
        <v>0</v>
      </c>
    </row>
    <row r="271" spans="1:8" ht="16.5" customHeight="1">
      <c r="A271" s="24"/>
      <c r="B271" s="24" t="s">
        <v>48</v>
      </c>
      <c r="C271" s="25">
        <v>0</v>
      </c>
      <c r="D271" s="25">
        <v>0</v>
      </c>
      <c r="E271" s="25">
        <v>0</v>
      </c>
      <c r="F271" s="25">
        <v>0</v>
      </c>
      <c r="G271" s="25">
        <v>0</v>
      </c>
      <c r="H271" s="25">
        <v>0</v>
      </c>
    </row>
    <row r="272" spans="1:8" ht="16.5" customHeight="1">
      <c r="A272" s="24"/>
      <c r="B272" s="24" t="s">
        <v>35</v>
      </c>
      <c r="C272" s="25">
        <v>0</v>
      </c>
      <c r="D272" s="25">
        <v>0</v>
      </c>
      <c r="E272" s="25">
        <v>0</v>
      </c>
      <c r="F272" s="25">
        <v>0</v>
      </c>
      <c r="G272" s="25">
        <v>0</v>
      </c>
      <c r="H272" s="25">
        <v>0</v>
      </c>
    </row>
    <row r="273" spans="1:8" ht="16.5" customHeight="1">
      <c r="A273" s="24"/>
      <c r="B273" s="24" t="s">
        <v>36</v>
      </c>
      <c r="C273" s="25">
        <v>321500</v>
      </c>
      <c r="D273" s="25">
        <v>93575</v>
      </c>
      <c r="E273" s="25">
        <v>1430</v>
      </c>
      <c r="F273" s="25">
        <v>0</v>
      </c>
      <c r="G273" s="25">
        <v>0</v>
      </c>
      <c r="H273" s="25">
        <v>0</v>
      </c>
    </row>
    <row r="274" spans="1:8" ht="16.5" customHeight="1">
      <c r="A274" s="24"/>
      <c r="B274" s="24" t="s">
        <v>37</v>
      </c>
      <c r="C274" s="25">
        <v>206581</v>
      </c>
      <c r="D274" s="25">
        <v>64792</v>
      </c>
      <c r="E274" s="25">
        <v>1138</v>
      </c>
      <c r="F274" s="25">
        <v>67020</v>
      </c>
      <c r="G274" s="25">
        <v>40000</v>
      </c>
      <c r="H274" s="25">
        <v>30000</v>
      </c>
    </row>
    <row r="275" spans="1:8" ht="18" customHeight="1" thickBot="1">
      <c r="A275" s="24"/>
      <c r="B275" s="27" t="s">
        <v>38</v>
      </c>
      <c r="C275" s="28">
        <f t="shared" ref="C275:H275" si="26">SUM(C268:C274)</f>
        <v>528081</v>
      </c>
      <c r="D275" s="28">
        <f t="shared" si="26"/>
        <v>158367</v>
      </c>
      <c r="E275" s="28">
        <f t="shared" si="26"/>
        <v>2568</v>
      </c>
      <c r="F275" s="28">
        <f t="shared" si="26"/>
        <v>67020</v>
      </c>
      <c r="G275" s="28">
        <f t="shared" si="26"/>
        <v>40000</v>
      </c>
      <c r="H275" s="28">
        <f t="shared" si="26"/>
        <v>30000</v>
      </c>
    </row>
    <row r="276" spans="1:8" ht="5.25" customHeight="1" thickTop="1">
      <c r="A276" s="30"/>
      <c r="B276" s="31"/>
      <c r="C276" s="32"/>
      <c r="D276" s="32"/>
      <c r="E276" s="32"/>
      <c r="F276" s="32"/>
      <c r="G276" s="32"/>
      <c r="H276" s="32"/>
    </row>
    <row r="277" spans="1:8" ht="26.4">
      <c r="A277" s="30">
        <v>28</v>
      </c>
      <c r="B277" s="24" t="s">
        <v>60</v>
      </c>
      <c r="C277" s="25"/>
      <c r="D277" s="25"/>
      <c r="E277" s="25"/>
      <c r="F277" s="25"/>
      <c r="G277" s="25"/>
      <c r="H277" s="25"/>
    </row>
    <row r="278" spans="1:8" ht="16.5" customHeight="1">
      <c r="A278" s="30"/>
      <c r="B278" s="24" t="s">
        <v>33</v>
      </c>
      <c r="C278" s="25">
        <v>0</v>
      </c>
      <c r="D278" s="25">
        <v>0</v>
      </c>
      <c r="E278" s="25">
        <v>0</v>
      </c>
      <c r="F278" s="25">
        <v>0</v>
      </c>
      <c r="G278" s="25">
        <v>0</v>
      </c>
      <c r="H278" s="25">
        <v>0</v>
      </c>
    </row>
    <row r="279" spans="1:8" ht="16.5" customHeight="1">
      <c r="A279" s="30"/>
      <c r="B279" s="24" t="s">
        <v>31</v>
      </c>
      <c r="C279" s="25">
        <v>0</v>
      </c>
      <c r="D279" s="25">
        <v>0</v>
      </c>
      <c r="E279" s="25">
        <v>0</v>
      </c>
      <c r="F279" s="25">
        <v>0</v>
      </c>
      <c r="G279" s="25">
        <v>0</v>
      </c>
      <c r="H279" s="25">
        <v>0</v>
      </c>
    </row>
    <row r="280" spans="1:8" ht="16.5" customHeight="1">
      <c r="A280" s="30"/>
      <c r="B280" s="24" t="s">
        <v>34</v>
      </c>
      <c r="C280" s="25">
        <v>0</v>
      </c>
      <c r="D280" s="25">
        <v>0</v>
      </c>
      <c r="E280" s="25">
        <v>0</v>
      </c>
      <c r="F280" s="25">
        <v>0</v>
      </c>
      <c r="G280" s="25">
        <v>0</v>
      </c>
      <c r="H280" s="25">
        <v>0</v>
      </c>
    </row>
    <row r="281" spans="1:8" ht="16.5" customHeight="1">
      <c r="A281" s="30"/>
      <c r="B281" s="24" t="s">
        <v>48</v>
      </c>
      <c r="C281" s="25">
        <v>0</v>
      </c>
      <c r="D281" s="25">
        <v>0</v>
      </c>
      <c r="E281" s="25">
        <v>0</v>
      </c>
      <c r="F281" s="25">
        <v>0</v>
      </c>
      <c r="G281" s="25">
        <v>0</v>
      </c>
      <c r="H281" s="25">
        <v>0</v>
      </c>
    </row>
    <row r="282" spans="1:8" ht="16.5" customHeight="1">
      <c r="A282" s="30"/>
      <c r="B282" s="24" t="s">
        <v>35</v>
      </c>
      <c r="C282" s="25">
        <v>0</v>
      </c>
      <c r="D282" s="25">
        <v>0</v>
      </c>
      <c r="E282" s="25">
        <v>0</v>
      </c>
      <c r="F282" s="25">
        <v>0</v>
      </c>
      <c r="G282" s="25">
        <v>0</v>
      </c>
      <c r="H282" s="25">
        <v>0</v>
      </c>
    </row>
    <row r="283" spans="1:8" ht="16.5" customHeight="1">
      <c r="A283" s="30"/>
      <c r="B283" s="24" t="s">
        <v>36</v>
      </c>
      <c r="C283" s="25">
        <v>0</v>
      </c>
      <c r="D283" s="25">
        <v>0</v>
      </c>
      <c r="E283" s="25">
        <v>0</v>
      </c>
      <c r="F283" s="25">
        <v>0</v>
      </c>
      <c r="G283" s="25">
        <v>0</v>
      </c>
      <c r="H283" s="25">
        <v>0</v>
      </c>
    </row>
    <row r="284" spans="1:8" ht="16.5" customHeight="1">
      <c r="A284" s="30"/>
      <c r="B284" s="24" t="s">
        <v>37</v>
      </c>
      <c r="C284" s="25">
        <v>0</v>
      </c>
      <c r="D284" s="25">
        <v>0</v>
      </c>
      <c r="E284" s="25">
        <v>66</v>
      </c>
      <c r="F284" s="25">
        <v>0</v>
      </c>
      <c r="G284" s="25">
        <v>0</v>
      </c>
      <c r="H284" s="25">
        <v>0</v>
      </c>
    </row>
    <row r="285" spans="1:8" ht="16.5" customHeight="1" thickBot="1">
      <c r="A285" s="30"/>
      <c r="B285" s="27" t="s">
        <v>38</v>
      </c>
      <c r="C285" s="28">
        <f t="shared" ref="C285:H285" si="27">SUM(C278:C284)</f>
        <v>0</v>
      </c>
      <c r="D285" s="28">
        <f t="shared" si="27"/>
        <v>0</v>
      </c>
      <c r="E285" s="28">
        <f t="shared" si="27"/>
        <v>66</v>
      </c>
      <c r="F285" s="28">
        <f t="shared" si="27"/>
        <v>0</v>
      </c>
      <c r="G285" s="28">
        <f t="shared" si="27"/>
        <v>0</v>
      </c>
      <c r="H285" s="28">
        <f t="shared" si="27"/>
        <v>0</v>
      </c>
    </row>
    <row r="286" spans="1:8" ht="15.75" customHeight="1" thickTop="1">
      <c r="A286" s="24">
        <v>29</v>
      </c>
      <c r="B286" s="24" t="s">
        <v>51</v>
      </c>
      <c r="C286" s="25"/>
      <c r="D286" s="25"/>
      <c r="E286" s="25"/>
      <c r="F286" s="25"/>
      <c r="G286" s="25"/>
      <c r="H286" s="25"/>
    </row>
    <row r="287" spans="1:8" ht="15.75" customHeight="1">
      <c r="A287" s="24"/>
      <c r="B287" s="24" t="s">
        <v>33</v>
      </c>
      <c r="C287" s="25">
        <v>0</v>
      </c>
      <c r="D287" s="25">
        <v>0</v>
      </c>
      <c r="E287" s="25">
        <v>0</v>
      </c>
      <c r="F287" s="25">
        <v>0</v>
      </c>
      <c r="G287" s="25">
        <v>0</v>
      </c>
      <c r="H287" s="25">
        <v>0</v>
      </c>
    </row>
    <row r="288" spans="1:8" ht="15.75" customHeight="1">
      <c r="A288" s="24"/>
      <c r="B288" s="24" t="s">
        <v>31</v>
      </c>
      <c r="C288" s="25">
        <v>0</v>
      </c>
      <c r="D288" s="25">
        <v>0</v>
      </c>
      <c r="E288" s="25">
        <v>0</v>
      </c>
      <c r="F288" s="25">
        <v>0</v>
      </c>
      <c r="G288" s="25">
        <v>0</v>
      </c>
      <c r="H288" s="25">
        <v>0</v>
      </c>
    </row>
    <row r="289" spans="1:8" ht="15.75" customHeight="1">
      <c r="A289" s="24"/>
      <c r="B289" s="24" t="s">
        <v>34</v>
      </c>
      <c r="C289" s="25">
        <v>0</v>
      </c>
      <c r="D289" s="25">
        <v>0</v>
      </c>
      <c r="E289" s="25">
        <v>0</v>
      </c>
      <c r="F289" s="25">
        <v>0</v>
      </c>
      <c r="G289" s="25">
        <v>0</v>
      </c>
      <c r="H289" s="25">
        <v>0</v>
      </c>
    </row>
    <row r="290" spans="1:8" ht="15.75" customHeight="1">
      <c r="A290" s="24"/>
      <c r="B290" s="24" t="s">
        <v>48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5">
        <v>0</v>
      </c>
    </row>
    <row r="291" spans="1:8" ht="15.75" customHeight="1">
      <c r="A291" s="24"/>
      <c r="B291" s="24" t="s">
        <v>35</v>
      </c>
      <c r="C291" s="25">
        <v>0</v>
      </c>
      <c r="D291" s="25">
        <v>0</v>
      </c>
      <c r="E291" s="25">
        <v>0</v>
      </c>
      <c r="F291" s="25">
        <v>0</v>
      </c>
      <c r="G291" s="25">
        <v>2500</v>
      </c>
      <c r="H291" s="25">
        <v>2625</v>
      </c>
    </row>
    <row r="292" spans="1:8" ht="15.75" customHeight="1">
      <c r="A292" s="24"/>
      <c r="B292" s="24" t="s">
        <v>36</v>
      </c>
      <c r="C292" s="25">
        <v>0</v>
      </c>
      <c r="D292" s="25">
        <v>0</v>
      </c>
      <c r="E292" s="25">
        <v>3039</v>
      </c>
      <c r="F292" s="25">
        <v>0</v>
      </c>
      <c r="G292" s="25">
        <v>3069.39</v>
      </c>
      <c r="H292" s="25">
        <v>3130.78</v>
      </c>
    </row>
    <row r="293" spans="1:8" ht="15.75" customHeight="1">
      <c r="A293" s="24"/>
      <c r="B293" s="24" t="s">
        <v>37</v>
      </c>
      <c r="C293" s="25">
        <v>0</v>
      </c>
      <c r="D293" s="25">
        <v>0</v>
      </c>
      <c r="E293" s="25">
        <v>0</v>
      </c>
      <c r="F293" s="25">
        <v>0</v>
      </c>
      <c r="G293" s="25">
        <v>0</v>
      </c>
      <c r="H293" s="25">
        <v>0</v>
      </c>
    </row>
    <row r="294" spans="1:8" ht="18" customHeight="1" thickBot="1">
      <c r="A294" s="24"/>
      <c r="B294" s="27" t="s">
        <v>38</v>
      </c>
      <c r="C294" s="28">
        <f t="shared" ref="C294:H294" si="28">SUM(C287:C293)</f>
        <v>0</v>
      </c>
      <c r="D294" s="28">
        <f t="shared" si="28"/>
        <v>0</v>
      </c>
      <c r="E294" s="28">
        <f t="shared" si="28"/>
        <v>3039</v>
      </c>
      <c r="F294" s="28">
        <f t="shared" si="28"/>
        <v>0</v>
      </c>
      <c r="G294" s="28">
        <f t="shared" si="28"/>
        <v>5569.3899999999994</v>
      </c>
      <c r="H294" s="28">
        <f t="shared" si="28"/>
        <v>5755.7800000000007</v>
      </c>
    </row>
    <row r="295" spans="1:8" ht="18" customHeight="1" thickTop="1" thickBot="1">
      <c r="A295" s="24"/>
      <c r="B295" s="27" t="s">
        <v>66</v>
      </c>
      <c r="C295" s="35">
        <f t="shared" ref="C295:H295" si="29">SUM(C15+C25+C35+C45+C55+C65+C75+C85+C105+C115+C125+C135+C145+C155+C165+C175+C185+C195+C205+C215+C225+C235+C245+C255+C265+C275+C285+C294)</f>
        <v>12679316</v>
      </c>
      <c r="D295" s="35">
        <f t="shared" si="29"/>
        <v>15301769.040000003</v>
      </c>
      <c r="E295" s="35">
        <f t="shared" si="29"/>
        <v>11751957.949999999</v>
      </c>
      <c r="F295" s="35">
        <f t="shared" si="29"/>
        <v>17118939.501999997</v>
      </c>
      <c r="G295" s="35">
        <f t="shared" si="29"/>
        <v>8635987.0950000007</v>
      </c>
      <c r="H295" s="35">
        <f t="shared" si="29"/>
        <v>15749347.323000001</v>
      </c>
    </row>
    <row r="296" spans="1:8" ht="15.75" customHeight="1" thickTop="1">
      <c r="C296" s="29"/>
      <c r="D296" s="29"/>
      <c r="E296" s="29"/>
      <c r="F296" s="29"/>
      <c r="G296" s="29"/>
      <c r="H296" s="29"/>
    </row>
    <row r="297" spans="1:8" ht="15.75" customHeight="1">
      <c r="A297" s="42" t="s">
        <v>55</v>
      </c>
      <c r="B297" s="42"/>
      <c r="C297" s="29"/>
      <c r="D297" s="29"/>
      <c r="E297" s="29"/>
      <c r="F297" s="29"/>
      <c r="G297" s="39"/>
      <c r="H297" s="39"/>
    </row>
    <row r="298" spans="1:8" ht="15" customHeight="1">
      <c r="C298" s="29"/>
      <c r="D298" s="29"/>
      <c r="E298" s="29"/>
      <c r="F298" s="36" t="s">
        <v>56</v>
      </c>
      <c r="G298" s="36"/>
      <c r="H298" s="36"/>
    </row>
    <row r="299" spans="1:8" ht="14.25" customHeight="1">
      <c r="C299" s="29"/>
      <c r="D299" s="29"/>
      <c r="E299" s="29"/>
      <c r="F299" s="36" t="s">
        <v>57</v>
      </c>
      <c r="G299" s="36"/>
      <c r="H299" s="36"/>
    </row>
    <row r="300" spans="1:8" ht="18" customHeight="1">
      <c r="C300" s="29"/>
      <c r="D300" s="29"/>
      <c r="E300" s="29"/>
      <c r="F300" s="29"/>
      <c r="G300" s="29"/>
      <c r="H300" s="29"/>
    </row>
    <row r="301" spans="1:8" ht="18" customHeight="1">
      <c r="C301" s="29"/>
      <c r="D301" s="29"/>
      <c r="E301" s="29"/>
      <c r="F301" s="29"/>
      <c r="G301" s="29"/>
      <c r="H301" s="29"/>
    </row>
    <row r="302" spans="1:8" ht="18" customHeight="1">
      <c r="C302" s="29"/>
      <c r="D302" s="29"/>
      <c r="E302" s="29"/>
      <c r="F302" s="29"/>
      <c r="G302" s="29"/>
      <c r="H302" s="29"/>
    </row>
    <row r="303" spans="1:8" ht="18" customHeight="1">
      <c r="C303" s="29"/>
      <c r="D303" s="29"/>
      <c r="E303" s="29"/>
      <c r="F303" s="29"/>
      <c r="G303" s="29"/>
      <c r="H303" s="29"/>
    </row>
    <row r="304" spans="1:8" ht="18" customHeight="1">
      <c r="C304" s="29"/>
      <c r="D304" s="29"/>
      <c r="E304" s="29"/>
      <c r="F304" s="29"/>
      <c r="G304" s="29"/>
      <c r="H304" s="29"/>
    </row>
    <row r="305" spans="3:8" ht="18" customHeight="1">
      <c r="C305" s="29"/>
      <c r="D305" s="29"/>
      <c r="E305" s="29"/>
      <c r="F305" s="29"/>
      <c r="G305" s="29"/>
      <c r="H305" s="29"/>
    </row>
    <row r="306" spans="3:8" ht="18" customHeight="1">
      <c r="C306" s="29"/>
      <c r="D306" s="29"/>
      <c r="E306" s="29"/>
      <c r="F306" s="29"/>
      <c r="G306" s="29"/>
      <c r="H306" s="29"/>
    </row>
    <row r="307" spans="3:8" ht="18" customHeight="1">
      <c r="C307" s="29"/>
      <c r="D307" s="29"/>
      <c r="E307" s="29"/>
      <c r="F307" s="29"/>
      <c r="G307" s="29"/>
      <c r="H307" s="29"/>
    </row>
    <row r="308" spans="3:8" ht="18" customHeight="1">
      <c r="C308" s="29"/>
      <c r="D308" s="29"/>
      <c r="E308" s="29"/>
      <c r="F308" s="29"/>
      <c r="G308" s="29"/>
      <c r="H308" s="29"/>
    </row>
    <row r="309" spans="3:8" ht="18" customHeight="1">
      <c r="C309" s="29"/>
      <c r="D309" s="29"/>
      <c r="E309" s="29"/>
      <c r="F309" s="29"/>
      <c r="G309" s="29"/>
      <c r="H309" s="29"/>
    </row>
    <row r="310" spans="3:8" ht="18" customHeight="1">
      <c r="C310" s="29"/>
      <c r="D310" s="29"/>
      <c r="E310" s="29"/>
      <c r="F310" s="29"/>
      <c r="G310" s="29"/>
      <c r="H310" s="29"/>
    </row>
    <row r="311" spans="3:8" ht="18" customHeight="1">
      <c r="C311" s="29"/>
      <c r="D311" s="29"/>
      <c r="E311" s="29"/>
      <c r="F311" s="29"/>
      <c r="G311" s="29"/>
      <c r="H311" s="29"/>
    </row>
    <row r="312" spans="3:8" ht="18" customHeight="1">
      <c r="C312" s="29"/>
      <c r="D312" s="29"/>
      <c r="E312" s="29"/>
      <c r="F312" s="29"/>
      <c r="G312" s="29"/>
      <c r="H312" s="29"/>
    </row>
    <row r="313" spans="3:8" ht="18" customHeight="1">
      <c r="C313" s="29"/>
      <c r="D313" s="29"/>
      <c r="E313" s="29"/>
      <c r="F313" s="29"/>
      <c r="G313" s="29"/>
      <c r="H313" s="29"/>
    </row>
    <row r="314" spans="3:8" ht="18" customHeight="1">
      <c r="C314" s="29"/>
      <c r="D314" s="29"/>
      <c r="E314" s="29"/>
      <c r="F314" s="29"/>
      <c r="G314" s="29"/>
      <c r="H314" s="29"/>
    </row>
    <row r="315" spans="3:8" ht="18" customHeight="1">
      <c r="C315" s="29"/>
      <c r="D315" s="29"/>
      <c r="E315" s="29"/>
      <c r="F315" s="29"/>
      <c r="G315" s="29"/>
      <c r="H315" s="29"/>
    </row>
    <row r="316" spans="3:8" ht="18" customHeight="1">
      <c r="C316" s="29"/>
      <c r="D316" s="29"/>
      <c r="E316" s="29"/>
      <c r="F316" s="29"/>
      <c r="G316" s="29"/>
      <c r="H316" s="29"/>
    </row>
    <row r="317" spans="3:8" ht="18" customHeight="1">
      <c r="C317" s="29"/>
      <c r="D317" s="29"/>
      <c r="E317" s="29"/>
      <c r="F317" s="29"/>
      <c r="G317" s="29"/>
      <c r="H317" s="29"/>
    </row>
    <row r="318" spans="3:8" ht="18" customHeight="1">
      <c r="C318" s="29"/>
      <c r="D318" s="29"/>
      <c r="E318" s="29"/>
      <c r="F318" s="29"/>
      <c r="G318" s="29"/>
      <c r="H318" s="29"/>
    </row>
    <row r="319" spans="3:8" ht="18" customHeight="1">
      <c r="C319" s="29"/>
      <c r="D319" s="29"/>
      <c r="E319" s="29"/>
      <c r="F319" s="29"/>
      <c r="G319" s="29"/>
      <c r="H319" s="29"/>
    </row>
    <row r="320" spans="3:8" ht="18" customHeight="1">
      <c r="C320" s="29"/>
      <c r="D320" s="29"/>
      <c r="E320" s="29"/>
      <c r="F320" s="29"/>
      <c r="G320" s="29"/>
      <c r="H320" s="29"/>
    </row>
    <row r="321" spans="3:8" ht="18" customHeight="1">
      <c r="C321" s="29"/>
      <c r="D321" s="29"/>
      <c r="E321" s="29"/>
      <c r="F321" s="29"/>
      <c r="G321" s="29"/>
      <c r="H321" s="29"/>
    </row>
    <row r="322" spans="3:8" ht="18" customHeight="1">
      <c r="C322" s="29"/>
      <c r="D322" s="29"/>
      <c r="E322" s="29"/>
      <c r="F322" s="29"/>
      <c r="G322" s="29"/>
      <c r="H322" s="29"/>
    </row>
    <row r="323" spans="3:8" ht="18" customHeight="1">
      <c r="C323" s="29"/>
      <c r="D323" s="29"/>
      <c r="E323" s="29"/>
      <c r="F323" s="29"/>
      <c r="G323" s="29"/>
      <c r="H323" s="29"/>
    </row>
    <row r="324" spans="3:8" ht="18" customHeight="1">
      <c r="C324" s="29"/>
      <c r="D324" s="29"/>
      <c r="E324" s="29"/>
      <c r="F324" s="29"/>
      <c r="G324" s="29"/>
      <c r="H324" s="29"/>
    </row>
    <row r="325" spans="3:8" ht="18" customHeight="1">
      <c r="C325" s="29"/>
      <c r="D325" s="29"/>
      <c r="E325" s="29"/>
      <c r="F325" s="29"/>
      <c r="G325" s="29"/>
      <c r="H325" s="29"/>
    </row>
    <row r="326" spans="3:8" ht="18" customHeight="1">
      <c r="C326" s="29"/>
      <c r="D326" s="29"/>
      <c r="E326" s="29"/>
      <c r="F326" s="29"/>
      <c r="G326" s="29"/>
      <c r="H326" s="29"/>
    </row>
    <row r="327" spans="3:8" ht="18" customHeight="1">
      <c r="C327" s="29"/>
      <c r="D327" s="29"/>
      <c r="E327" s="29"/>
      <c r="F327" s="29"/>
      <c r="G327" s="29"/>
      <c r="H327" s="29"/>
    </row>
    <row r="328" spans="3:8" ht="18" customHeight="1">
      <c r="C328" s="29"/>
      <c r="D328" s="29"/>
      <c r="E328" s="29"/>
      <c r="F328" s="29"/>
      <c r="G328" s="29"/>
      <c r="H328" s="29"/>
    </row>
    <row r="329" spans="3:8" ht="18" customHeight="1">
      <c r="C329" s="29"/>
      <c r="D329" s="29"/>
      <c r="E329" s="29"/>
      <c r="F329" s="29"/>
      <c r="G329" s="29"/>
      <c r="H329" s="29"/>
    </row>
    <row r="330" spans="3:8" ht="18" customHeight="1">
      <c r="C330" s="29"/>
      <c r="D330" s="29"/>
      <c r="E330" s="29"/>
      <c r="F330" s="29"/>
      <c r="G330" s="29"/>
      <c r="H330" s="29"/>
    </row>
    <row r="331" spans="3:8" ht="18" customHeight="1">
      <c r="C331" s="29"/>
      <c r="D331" s="29"/>
      <c r="E331" s="29"/>
      <c r="F331" s="29"/>
      <c r="G331" s="29"/>
      <c r="H331" s="29"/>
    </row>
    <row r="332" spans="3:8" ht="18" customHeight="1">
      <c r="C332" s="29"/>
      <c r="D332" s="29"/>
      <c r="E332" s="29"/>
      <c r="F332" s="29"/>
      <c r="G332" s="29"/>
      <c r="H332" s="29"/>
    </row>
    <row r="333" spans="3:8" ht="18" customHeight="1">
      <c r="C333" s="29"/>
      <c r="D333" s="29"/>
      <c r="E333" s="29"/>
      <c r="F333" s="29"/>
      <c r="G333" s="29"/>
      <c r="H333" s="29"/>
    </row>
    <row r="334" spans="3:8" ht="18" customHeight="1">
      <c r="C334" s="29"/>
      <c r="D334" s="29"/>
      <c r="E334" s="29"/>
      <c r="F334" s="29"/>
      <c r="G334" s="29"/>
      <c r="H334" s="29"/>
    </row>
  </sheetData>
  <mergeCells count="10">
    <mergeCell ref="F298:H298"/>
    <mergeCell ref="F299:H299"/>
    <mergeCell ref="A1:H1"/>
    <mergeCell ref="A2:H2"/>
    <mergeCell ref="A4:A5"/>
    <mergeCell ref="G297:H297"/>
    <mergeCell ref="C4:E4"/>
    <mergeCell ref="B4:B5"/>
    <mergeCell ref="A3:H3"/>
    <mergeCell ref="A297:B297"/>
  </mergeCells>
  <phoneticPr fontId="1" type="noConversion"/>
  <pageMargins left="0.5" right="0.25" top="0.23" bottom="0.35" header="0.17" footer="0.16"/>
  <pageSetup paperSize="9" scale="86" orientation="landscape" verticalDpi="4294967293" r:id="rId1"/>
  <headerFooter alignWithMargins="0">
    <oddFooter>&amp;Z&amp;F&amp;RPage &amp;P</oddFooter>
  </headerFooter>
  <rowBreaks count="9" manualBreakCount="9">
    <brk id="36" max="16383" man="1"/>
    <brk id="66" max="16383" man="1"/>
    <brk id="96" max="7" man="1"/>
    <brk id="126" max="7" man="1"/>
    <brk id="156" max="7" man="1"/>
    <brk id="186" max="7" man="1"/>
    <brk id="216" max="7" man="1"/>
    <brk id="246" max="7" man="1"/>
    <brk id="27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view="pageBreakPreview" zoomScaleNormal="100" workbookViewId="0">
      <selection activeCell="C7" sqref="C7"/>
    </sheetView>
  </sheetViews>
  <sheetFormatPr defaultColWidth="9.109375" defaultRowHeight="20.25" customHeight="1"/>
  <cols>
    <col min="1" max="1" width="3.88671875" style="2" customWidth="1"/>
    <col min="2" max="2" width="59.109375" style="1" customWidth="1"/>
    <col min="3" max="3" width="14.5546875" style="3" customWidth="1"/>
    <col min="4" max="4" width="14.109375" style="3" customWidth="1"/>
    <col min="5" max="5" width="13.88671875" style="3" customWidth="1"/>
    <col min="6" max="6" width="14.5546875" style="3" customWidth="1"/>
    <col min="7" max="7" width="14.88671875" style="3" customWidth="1"/>
    <col min="8" max="8" width="14.109375" style="3" customWidth="1"/>
    <col min="9" max="16384" width="9.109375" style="1"/>
  </cols>
  <sheetData>
    <row r="1" spans="1:8" ht="20.25" customHeight="1">
      <c r="A1" s="43" t="str">
        <f>'0029 Budget Dist'!$A$1</f>
        <v>अर्थसंकल्पीय अंदाजपत्रक सन 2021-2022</v>
      </c>
      <c r="B1" s="43"/>
      <c r="C1" s="43"/>
      <c r="D1" s="43"/>
      <c r="E1" s="43"/>
      <c r="F1" s="43"/>
      <c r="G1" s="43"/>
      <c r="H1" s="43"/>
    </row>
    <row r="2" spans="1:8" ht="20.25" customHeight="1">
      <c r="A2" s="43" t="s">
        <v>29</v>
      </c>
      <c r="B2" s="43"/>
      <c r="C2" s="43"/>
      <c r="D2" s="43"/>
      <c r="E2" s="43"/>
      <c r="F2" s="43"/>
      <c r="G2" s="43"/>
      <c r="H2" s="43"/>
    </row>
    <row r="3" spans="1:8" ht="20.25" customHeight="1">
      <c r="A3" s="46" t="s">
        <v>30</v>
      </c>
      <c r="B3" s="46"/>
      <c r="C3" s="46"/>
      <c r="D3" s="46"/>
      <c r="E3" s="46"/>
      <c r="F3" s="46"/>
      <c r="G3" s="46"/>
      <c r="H3" s="46"/>
    </row>
    <row r="4" spans="1:8" ht="26.4">
      <c r="A4" s="44" t="s">
        <v>0</v>
      </c>
      <c r="B4" s="44" t="s">
        <v>1</v>
      </c>
      <c r="C4" s="45" t="s">
        <v>25</v>
      </c>
      <c r="D4" s="45"/>
      <c r="E4" s="45"/>
      <c r="F4" s="5" t="s">
        <v>26</v>
      </c>
      <c r="G4" s="6" t="s">
        <v>27</v>
      </c>
      <c r="H4" s="5" t="s">
        <v>28</v>
      </c>
    </row>
    <row r="5" spans="1:8" ht="20.25" customHeight="1">
      <c r="A5" s="44"/>
      <c r="B5" s="44"/>
      <c r="C5" s="5" t="str">
        <f>'0029 Budget Dist'!C5</f>
        <v>2017-2018</v>
      </c>
      <c r="D5" s="5" t="str">
        <f>'0029 Budget Dist'!D5</f>
        <v>2018-2019</v>
      </c>
      <c r="E5" s="5" t="str">
        <f>'0029 Budget Dist'!E5</f>
        <v>2019-2020</v>
      </c>
      <c r="F5" s="5" t="str">
        <f>'0029 Budget Dist'!F5</f>
        <v>2020-2021</v>
      </c>
      <c r="G5" s="5" t="str">
        <f>'0029 Budget Dist'!G5</f>
        <v>2020-2021</v>
      </c>
      <c r="H5" s="5" t="str">
        <f>'0029 Budget Dist'!H5</f>
        <v>2021-2022</v>
      </c>
    </row>
    <row r="6" spans="1:8" ht="20.25" customHeight="1">
      <c r="A6" s="4">
        <v>1</v>
      </c>
      <c r="B6" s="9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7">
        <v>8</v>
      </c>
    </row>
    <row r="7" spans="1:8" ht="26.4">
      <c r="A7" s="10">
        <v>1</v>
      </c>
      <c r="B7" s="11" t="s">
        <v>2</v>
      </c>
      <c r="C7" s="17">
        <f>'0029 Budget Dist'!C15</f>
        <v>2941371</v>
      </c>
      <c r="D7" s="17">
        <f>'0029 Budget Dist'!D15</f>
        <v>1363978.81</v>
      </c>
      <c r="E7" s="17">
        <f>'0029 Budget Dist'!E15</f>
        <v>1611042.53</v>
      </c>
      <c r="F7" s="17">
        <f>'0029 Budget Dist'!F15</f>
        <v>1534981.06</v>
      </c>
      <c r="G7" s="17">
        <f>'0029 Budget Dist'!G15</f>
        <v>1538715.9949999999</v>
      </c>
      <c r="H7" s="17">
        <f>'0029 Budget Dist'!H15</f>
        <v>1636572.99</v>
      </c>
    </row>
    <row r="8" spans="1:8" ht="26.4">
      <c r="A8" s="10">
        <v>2</v>
      </c>
      <c r="B8" s="24" t="s">
        <v>3</v>
      </c>
      <c r="C8" s="17">
        <f>'0029 Budget Dist'!C25</f>
        <v>13200</v>
      </c>
      <c r="D8" s="17">
        <f>'0029 Budget Dist'!D25</f>
        <v>11302</v>
      </c>
      <c r="E8" s="17">
        <f>'0029 Budget Dist'!E25</f>
        <v>9291.2200000000012</v>
      </c>
      <c r="F8" s="17">
        <f>'0029 Budget Dist'!F25</f>
        <v>33376.839999999997</v>
      </c>
      <c r="G8" s="17">
        <f>'0029 Budget Dist'!G25</f>
        <v>31758.859</v>
      </c>
      <c r="H8" s="17">
        <f>'0029 Budget Dist'!H25</f>
        <v>32758.007999999998</v>
      </c>
    </row>
    <row r="9" spans="1:8" ht="39.6">
      <c r="A9" s="10">
        <v>3</v>
      </c>
      <c r="B9" s="12" t="s">
        <v>4</v>
      </c>
      <c r="C9" s="17">
        <f>'0029 Budget Dist'!C35</f>
        <v>321773</v>
      </c>
      <c r="D9" s="17">
        <f>'0029 Budget Dist'!D35</f>
        <v>311815.45</v>
      </c>
      <c r="E9" s="17">
        <f>'0029 Budget Dist'!E35</f>
        <v>300434.45</v>
      </c>
      <c r="F9" s="17">
        <f>'0029 Budget Dist'!F35</f>
        <v>384680.29000000004</v>
      </c>
      <c r="G9" s="17">
        <f>'0029 Budget Dist'!G35</f>
        <v>388007.81900000002</v>
      </c>
      <c r="H9" s="17">
        <f>'0029 Budget Dist'!H35</f>
        <v>402590.23700000002</v>
      </c>
    </row>
    <row r="10" spans="1:8" ht="26.4">
      <c r="A10" s="10">
        <v>4</v>
      </c>
      <c r="B10" s="13" t="s">
        <v>5</v>
      </c>
      <c r="C10" s="17">
        <f>'0029 Budget Dist'!C45</f>
        <v>51863</v>
      </c>
      <c r="D10" s="17">
        <f>'0029 Budget Dist'!D45</f>
        <v>48271.79</v>
      </c>
      <c r="E10" s="17">
        <f>'0029 Budget Dist'!E45</f>
        <v>46778.720000000001</v>
      </c>
      <c r="F10" s="17">
        <f>'0029 Budget Dist'!F45</f>
        <v>60569.39</v>
      </c>
      <c r="G10" s="17">
        <f>'0029 Budget Dist'!G45</f>
        <v>60704.376999999993</v>
      </c>
      <c r="H10" s="17">
        <f>'0029 Budget Dist'!H45</f>
        <v>62765.304000000004</v>
      </c>
    </row>
    <row r="11" spans="1:8" ht="16.8">
      <c r="A11" s="10">
        <v>5</v>
      </c>
      <c r="B11" s="13" t="s">
        <v>6</v>
      </c>
      <c r="C11" s="17">
        <f>'0029 Budget Dist'!C55</f>
        <v>3314</v>
      </c>
      <c r="D11" s="17">
        <f>'0029 Budget Dist'!D55</f>
        <v>1953.15</v>
      </c>
      <c r="E11" s="17">
        <f>'0029 Budget Dist'!E55</f>
        <v>6351.72</v>
      </c>
      <c r="F11" s="17">
        <f>'0029 Budget Dist'!F55</f>
        <v>9179.8619999999992</v>
      </c>
      <c r="G11" s="17">
        <f>'0029 Budget Dist'!G55</f>
        <v>13257.187</v>
      </c>
      <c r="H11" s="17">
        <f>'0029 Budget Dist'!H55</f>
        <v>13919.532000000001</v>
      </c>
    </row>
    <row r="12" spans="1:8" ht="26.4">
      <c r="A12" s="10">
        <v>6</v>
      </c>
      <c r="B12" s="12" t="s">
        <v>7</v>
      </c>
      <c r="C12" s="17">
        <f>'0029 Budget Dist'!C65</f>
        <v>90724</v>
      </c>
      <c r="D12" s="17">
        <f>'0029 Budget Dist'!D65</f>
        <v>73776.95</v>
      </c>
      <c r="E12" s="17">
        <f>'0029 Budget Dist'!E65</f>
        <v>115683.11</v>
      </c>
      <c r="F12" s="17">
        <f>'0029 Budget Dist'!F65</f>
        <v>31200</v>
      </c>
      <c r="G12" s="17">
        <f>'0029 Budget Dist'!G65</f>
        <v>33504.71</v>
      </c>
      <c r="H12" s="17">
        <f>'0029 Budget Dist'!H65</f>
        <v>33722.79</v>
      </c>
    </row>
    <row r="13" spans="1:8" ht="26.4">
      <c r="A13" s="10">
        <v>7</v>
      </c>
      <c r="B13" s="12" t="s">
        <v>8</v>
      </c>
      <c r="C13" s="17">
        <f>'0029 Budget Dist'!C75</f>
        <v>681320</v>
      </c>
      <c r="D13" s="17">
        <f>'0029 Budget Dist'!D75</f>
        <v>3817169</v>
      </c>
      <c r="E13" s="17">
        <f>'0029 Budget Dist'!E75</f>
        <v>1213600.51</v>
      </c>
      <c r="F13" s="17">
        <f>'0029 Budget Dist'!F75</f>
        <v>3860482.17</v>
      </c>
      <c r="G13" s="17">
        <f>'0029 Budget Dist'!G75</f>
        <v>891467.6</v>
      </c>
      <c r="H13" s="17">
        <f>'0029 Budget Dist'!H75</f>
        <v>935943.1</v>
      </c>
    </row>
    <row r="14" spans="1:8" ht="39.6">
      <c r="A14" s="10">
        <v>8</v>
      </c>
      <c r="B14" s="13" t="s">
        <v>9</v>
      </c>
      <c r="C14" s="17">
        <f>'0029 Budget Dist'!C85</f>
        <v>37</v>
      </c>
      <c r="D14" s="17">
        <f>'0029 Budget Dist'!D85</f>
        <v>0</v>
      </c>
      <c r="E14" s="17">
        <f>'0029 Budget Dist'!E85</f>
        <v>18.43</v>
      </c>
      <c r="F14" s="17">
        <f>'0029 Budget Dist'!F85</f>
        <v>0</v>
      </c>
      <c r="G14" s="17">
        <f>'0029 Budget Dist'!G85</f>
        <v>0</v>
      </c>
      <c r="H14" s="17">
        <f>'0029 Budget Dist'!H85</f>
        <v>0</v>
      </c>
    </row>
    <row r="15" spans="1:8" ht="39.6">
      <c r="A15" s="10">
        <v>9</v>
      </c>
      <c r="B15" s="13" t="s">
        <v>64</v>
      </c>
      <c r="C15" s="17">
        <f>SUM('0029 Budget Dist'!C95)</f>
        <v>0</v>
      </c>
      <c r="D15" s="17">
        <f>SUM('0029 Budget Dist'!D95)</f>
        <v>0</v>
      </c>
      <c r="E15" s="17">
        <f>SUM('0029 Budget Dist'!E95)</f>
        <v>0</v>
      </c>
      <c r="F15" s="17">
        <f>SUM('0029 Budget Dist'!F95)</f>
        <v>0</v>
      </c>
      <c r="G15" s="17">
        <f>SUM('0029 Budget Dist'!G95)</f>
        <v>0</v>
      </c>
      <c r="H15" s="17">
        <f>SUM('0029 Budget Dist'!H95)</f>
        <v>0</v>
      </c>
    </row>
    <row r="16" spans="1:8" ht="16.8">
      <c r="A16" s="10">
        <v>10</v>
      </c>
      <c r="B16" s="12" t="s">
        <v>65</v>
      </c>
      <c r="C16" s="17">
        <f>SUM('0029 Budget Dist'!C105)</f>
        <v>301624</v>
      </c>
      <c r="D16" s="17">
        <f>SUM('0029 Budget Dist'!D105)</f>
        <v>113380.9</v>
      </c>
      <c r="E16" s="17">
        <f>SUM('0029 Budget Dist'!E105)</f>
        <v>28031.64</v>
      </c>
      <c r="F16" s="17">
        <f>SUM('0029 Budget Dist'!F105)</f>
        <v>22</v>
      </c>
      <c r="G16" s="17">
        <f>SUM('0029 Budget Dist'!G105)</f>
        <v>39990</v>
      </c>
      <c r="H16" s="17">
        <f>SUM('0029 Budget Dist'!H105)</f>
        <v>1</v>
      </c>
    </row>
    <row r="17" spans="1:8" ht="26.4">
      <c r="A17" s="10">
        <v>11</v>
      </c>
      <c r="B17" s="12" t="s">
        <v>10</v>
      </c>
      <c r="C17" s="17">
        <f>'0029 Budget Dist'!C115</f>
        <v>121274</v>
      </c>
      <c r="D17" s="17">
        <f>'0029 Budget Dist'!D115</f>
        <v>74426</v>
      </c>
      <c r="E17" s="17">
        <f>'0029 Budget Dist'!E115</f>
        <v>132748</v>
      </c>
      <c r="F17" s="17">
        <f>'0029 Budget Dist'!F115</f>
        <v>87768.27</v>
      </c>
      <c r="G17" s="17">
        <f>'0029 Budget Dist'!G115</f>
        <v>92171.134000000005</v>
      </c>
      <c r="H17" s="17">
        <f>'0029 Budget Dist'!H115</f>
        <v>96527.497000000003</v>
      </c>
    </row>
    <row r="18" spans="1:8" ht="16.8">
      <c r="A18" s="10">
        <v>12</v>
      </c>
      <c r="B18" s="12" t="s">
        <v>11</v>
      </c>
      <c r="C18" s="17">
        <f>'0029 Budget Dist'!C125</f>
        <v>9</v>
      </c>
      <c r="D18" s="17">
        <f>'0029 Budget Dist'!D125</f>
        <v>6</v>
      </c>
      <c r="E18" s="17">
        <f>'0029 Budget Dist'!E125</f>
        <v>0</v>
      </c>
      <c r="F18" s="17">
        <f>'0029 Budget Dist'!F125</f>
        <v>9</v>
      </c>
      <c r="G18" s="17">
        <f>'0029 Budget Dist'!G125</f>
        <v>9</v>
      </c>
      <c r="H18" s="17">
        <f>'0029 Budget Dist'!H125</f>
        <v>9</v>
      </c>
    </row>
    <row r="19" spans="1:8" ht="16.8">
      <c r="A19" s="10">
        <v>13</v>
      </c>
      <c r="B19" s="12" t="s">
        <v>12</v>
      </c>
      <c r="C19" s="17">
        <f>'0029 Budget Dist'!C135</f>
        <v>1234947</v>
      </c>
      <c r="D19" s="17">
        <f>'0029 Budget Dist'!D135</f>
        <v>2608365.5</v>
      </c>
      <c r="E19" s="17">
        <f>'0029 Budget Dist'!E135</f>
        <v>3668336.83</v>
      </c>
      <c r="F19" s="17">
        <f>'0029 Budget Dist'!F135</f>
        <v>2866529.27</v>
      </c>
      <c r="G19" s="17">
        <f>'0029 Budget Dist'!G135</f>
        <v>3344438.4610000001</v>
      </c>
      <c r="H19" s="17">
        <f>'0029 Budget Dist'!H135</f>
        <v>3641491.5220000003</v>
      </c>
    </row>
    <row r="20" spans="1:8" ht="16.8">
      <c r="A20" s="10">
        <v>14</v>
      </c>
      <c r="B20" s="12" t="s">
        <v>13</v>
      </c>
      <c r="C20" s="17">
        <f>'0029 Budget Dist'!C145</f>
        <v>248</v>
      </c>
      <c r="D20" s="17">
        <f>'0029 Budget Dist'!D145</f>
        <v>171.29</v>
      </c>
      <c r="E20" s="17">
        <f>'0029 Budget Dist'!E145</f>
        <v>3015</v>
      </c>
      <c r="F20" s="17">
        <f>'0029 Budget Dist'!F145</f>
        <v>250</v>
      </c>
      <c r="G20" s="17">
        <f>'0029 Budget Dist'!G145</f>
        <v>200</v>
      </c>
      <c r="H20" s="17">
        <f>'0029 Budget Dist'!H145</f>
        <v>200</v>
      </c>
    </row>
    <row r="21" spans="1:8" ht="26.4">
      <c r="A21" s="10">
        <v>15</v>
      </c>
      <c r="B21" s="12" t="s">
        <v>14</v>
      </c>
      <c r="C21" s="17">
        <f>'0029 Budget Dist'!C155</f>
        <v>7323</v>
      </c>
      <c r="D21" s="17">
        <f>'0029 Budget Dist'!D155</f>
        <v>7500</v>
      </c>
      <c r="E21" s="17">
        <f>'0029 Budget Dist'!E155</f>
        <v>2010</v>
      </c>
      <c r="F21" s="17">
        <f>'0029 Budget Dist'!F155</f>
        <v>8526.369999999999</v>
      </c>
      <c r="G21" s="17">
        <f>'0029 Budget Dist'!G155</f>
        <v>8952.2890000000007</v>
      </c>
      <c r="H21" s="17">
        <f>'0029 Budget Dist'!H155</f>
        <v>9294.2070000000003</v>
      </c>
    </row>
    <row r="22" spans="1:8" ht="16.8">
      <c r="A22" s="10">
        <v>16</v>
      </c>
      <c r="B22" s="12" t="s">
        <v>15</v>
      </c>
      <c r="C22" s="17">
        <f>'0029 Budget Dist'!C165</f>
        <v>253</v>
      </c>
      <c r="D22" s="17">
        <f>'0029 Budget Dist'!D165</f>
        <v>12.14</v>
      </c>
      <c r="E22" s="17">
        <f>'0029 Budget Dist'!E165</f>
        <v>23</v>
      </c>
      <c r="F22" s="17">
        <f>'0029 Budget Dist'!F165</f>
        <v>20</v>
      </c>
      <c r="G22" s="17">
        <f>'0029 Budget Dist'!G165</f>
        <v>44.46</v>
      </c>
      <c r="H22" s="17">
        <f>'0029 Budget Dist'!H165</f>
        <v>44.93</v>
      </c>
    </row>
    <row r="23" spans="1:8" ht="26.4">
      <c r="A23" s="10">
        <v>17</v>
      </c>
      <c r="B23" s="12" t="s">
        <v>16</v>
      </c>
      <c r="C23" s="17">
        <f>'0029 Budget Dist'!C175</f>
        <v>7428</v>
      </c>
      <c r="D23" s="17">
        <f>'0029 Budget Dist'!D175</f>
        <v>10562.06</v>
      </c>
      <c r="E23" s="17">
        <f>'0029 Budget Dist'!E175</f>
        <v>4482.05</v>
      </c>
      <c r="F23" s="17">
        <f>'0029 Budget Dist'!F175</f>
        <v>12901.41</v>
      </c>
      <c r="G23" s="17">
        <f>'0029 Budget Dist'!G175</f>
        <v>11160.53</v>
      </c>
      <c r="H23" s="17">
        <f>'0029 Budget Dist'!H175</f>
        <v>11363.39</v>
      </c>
    </row>
    <row r="24" spans="1:8" ht="16.8">
      <c r="A24" s="10">
        <v>18</v>
      </c>
      <c r="B24" s="12" t="s">
        <v>17</v>
      </c>
      <c r="C24" s="17">
        <f>'0029 Budget Dist'!C185</f>
        <v>56617</v>
      </c>
      <c r="D24" s="17">
        <f>'0029 Budget Dist'!D185</f>
        <v>26219.21</v>
      </c>
      <c r="E24" s="17">
        <f>'0029 Budget Dist'!E185</f>
        <v>23459.82</v>
      </c>
      <c r="F24" s="17">
        <f>'0029 Budget Dist'!F185</f>
        <v>66300.929999999993</v>
      </c>
      <c r="G24" s="17">
        <f>'0029 Budget Dist'!G185</f>
        <v>65278.12</v>
      </c>
      <c r="H24" s="17">
        <f>'0029 Budget Dist'!H185</f>
        <v>68538.92</v>
      </c>
    </row>
    <row r="25" spans="1:8" ht="16.8">
      <c r="A25" s="10">
        <v>19</v>
      </c>
      <c r="B25" s="12" t="s">
        <v>18</v>
      </c>
      <c r="C25" s="17">
        <f>'0029 Budget Dist'!C195</f>
        <v>14625</v>
      </c>
      <c r="D25" s="17">
        <f>'0029 Budget Dist'!D195</f>
        <v>15285</v>
      </c>
      <c r="E25" s="17">
        <f>'0029 Budget Dist'!E195</f>
        <v>148538</v>
      </c>
      <c r="F25" s="17">
        <f>'0029 Budget Dist'!F195</f>
        <v>18399</v>
      </c>
      <c r="G25" s="17">
        <f>'0029 Budget Dist'!G195</f>
        <v>5800</v>
      </c>
      <c r="H25" s="17">
        <f>'0029 Budget Dist'!H195</f>
        <v>13838.5</v>
      </c>
    </row>
    <row r="26" spans="1:8" ht="16.8">
      <c r="A26" s="10">
        <v>20</v>
      </c>
      <c r="B26" s="12" t="s">
        <v>19</v>
      </c>
      <c r="C26" s="17">
        <f>'0029 Budget Dist'!C205</f>
        <v>5981939</v>
      </c>
      <c r="D26" s="17">
        <f>'0029 Budget Dist'!D205</f>
        <v>6347835.3200000003</v>
      </c>
      <c r="E26" s="17">
        <f>'0029 Budget Dist'!E205</f>
        <v>4151968.39</v>
      </c>
      <c r="F26" s="17">
        <f>'0029 Budget Dist'!F205</f>
        <v>7709331.1400000006</v>
      </c>
      <c r="G26" s="17">
        <f>'0029 Budget Dist'!G205</f>
        <v>1787727.375</v>
      </c>
      <c r="H26" s="17">
        <f>'0029 Budget Dist'!H205</f>
        <v>8466710.9890000001</v>
      </c>
    </row>
    <row r="27" spans="1:8" ht="16.8">
      <c r="A27" s="10">
        <v>21</v>
      </c>
      <c r="B27" s="12" t="s">
        <v>20</v>
      </c>
      <c r="C27" s="17">
        <f>'0029 Budget Dist'!C215</f>
        <v>0</v>
      </c>
      <c r="D27" s="17">
        <f>'0029 Budget Dist'!D215</f>
        <v>9</v>
      </c>
      <c r="E27" s="17">
        <f>'0029 Budget Dist'!E215</f>
        <v>20.399999999999999</v>
      </c>
      <c r="F27" s="17">
        <f>'0029 Budget Dist'!F215</f>
        <v>0</v>
      </c>
      <c r="G27" s="17">
        <f>'0029 Budget Dist'!G215</f>
        <v>0</v>
      </c>
      <c r="H27" s="17">
        <f>'0029 Budget Dist'!H215</f>
        <v>0</v>
      </c>
    </row>
    <row r="28" spans="1:8" ht="16.8">
      <c r="A28" s="10">
        <v>22</v>
      </c>
      <c r="B28" s="12" t="s">
        <v>21</v>
      </c>
      <c r="C28" s="17">
        <f>'0029 Budget Dist'!C225</f>
        <v>8</v>
      </c>
      <c r="D28" s="17">
        <f>'0029 Budget Dist'!D225</f>
        <v>0</v>
      </c>
      <c r="E28" s="17">
        <f>'0029 Budget Dist'!E225</f>
        <v>0</v>
      </c>
      <c r="F28" s="17">
        <f>'0029 Budget Dist'!F225</f>
        <v>0</v>
      </c>
      <c r="G28" s="17">
        <f>'0029 Budget Dist'!G225</f>
        <v>0</v>
      </c>
      <c r="H28" s="17">
        <f>'0029 Budget Dist'!H225</f>
        <v>0</v>
      </c>
    </row>
    <row r="29" spans="1:8" ht="16.8">
      <c r="A29" s="10">
        <v>23</v>
      </c>
      <c r="B29" s="12" t="s">
        <v>22</v>
      </c>
      <c r="C29" s="17">
        <f>'0029 Budget Dist'!C235</f>
        <v>3</v>
      </c>
      <c r="D29" s="17">
        <f>'0029 Budget Dist'!D235</f>
        <v>3</v>
      </c>
      <c r="E29" s="17">
        <f>'0029 Budget Dist'!E235</f>
        <v>4.8600000000000003</v>
      </c>
      <c r="F29" s="17">
        <f>'0029 Budget Dist'!F235</f>
        <v>1</v>
      </c>
      <c r="G29" s="17">
        <f>'0029 Budget Dist'!G235</f>
        <v>1</v>
      </c>
      <c r="H29" s="17">
        <f>'0029 Budget Dist'!H235</f>
        <v>1</v>
      </c>
    </row>
    <row r="30" spans="1:8" ht="26.4">
      <c r="A30" s="10">
        <v>24</v>
      </c>
      <c r="B30" s="12" t="s">
        <v>23</v>
      </c>
      <c r="C30" s="17">
        <f>'0029 Budget Dist'!C245</f>
        <v>0</v>
      </c>
      <c r="D30" s="17">
        <f>'0029 Budget Dist'!D245</f>
        <v>50</v>
      </c>
      <c r="E30" s="17">
        <f>'0029 Budget Dist'!E245</f>
        <v>0</v>
      </c>
      <c r="F30" s="17">
        <f>'0029 Budget Dist'!F245</f>
        <v>1</v>
      </c>
      <c r="G30" s="17">
        <f>'0029 Budget Dist'!G245</f>
        <v>1</v>
      </c>
      <c r="H30" s="17">
        <f>'0029 Budget Dist'!H245</f>
        <v>1</v>
      </c>
    </row>
    <row r="31" spans="1:8" ht="16.8">
      <c r="A31" s="10">
        <v>25</v>
      </c>
      <c r="B31" s="12" t="s">
        <v>24</v>
      </c>
      <c r="C31" s="17">
        <f>'0029 Budget Dist'!C255</f>
        <v>321335</v>
      </c>
      <c r="D31" s="17">
        <f>'0029 Budget Dist'!D255</f>
        <v>311309.46999999997</v>
      </c>
      <c r="E31" s="17">
        <f>'0029 Budget Dist'!E255</f>
        <v>280422.27</v>
      </c>
      <c r="F31" s="17">
        <f>'0029 Budget Dist'!F255</f>
        <v>367390.5</v>
      </c>
      <c r="G31" s="17">
        <f>'0029 Budget Dist'!G255</f>
        <v>277227.78899999999</v>
      </c>
      <c r="H31" s="17">
        <f>'0029 Budget Dist'!H255</f>
        <v>287297.62700000004</v>
      </c>
    </row>
    <row r="32" spans="1:8" ht="26.4">
      <c r="A32" s="10">
        <v>26</v>
      </c>
      <c r="B32" s="8" t="s">
        <v>50</v>
      </c>
      <c r="C32" s="18">
        <f>SUM('0029 Budget Dist'!C265)</f>
        <v>0</v>
      </c>
      <c r="D32" s="18">
        <f>SUM('0029 Budget Dist'!D265)</f>
        <v>0</v>
      </c>
      <c r="E32" s="18">
        <f>SUM('0029 Budget Dist'!E265)</f>
        <v>24</v>
      </c>
      <c r="F32" s="18">
        <f>SUM('0029 Budget Dist'!F265)</f>
        <v>0</v>
      </c>
      <c r="G32" s="18">
        <f>SUM('0029 Budget Dist'!G265)</f>
        <v>0</v>
      </c>
      <c r="H32" s="18">
        <f>SUM('0029 Budget Dist'!H265)</f>
        <v>0</v>
      </c>
    </row>
    <row r="33" spans="1:8" ht="26.4">
      <c r="A33" s="10">
        <v>27</v>
      </c>
      <c r="B33" s="8" t="s">
        <v>61</v>
      </c>
      <c r="C33" s="18">
        <f>SUM('0029 Budget Dist'!C275)</f>
        <v>528081</v>
      </c>
      <c r="D33" s="18">
        <f>SUM('0029 Budget Dist'!D275)</f>
        <v>158367</v>
      </c>
      <c r="E33" s="18">
        <f>SUM('0029 Budget Dist'!E275)</f>
        <v>2568</v>
      </c>
      <c r="F33" s="18">
        <f>SUM('0029 Budget Dist'!F275)</f>
        <v>67020</v>
      </c>
      <c r="G33" s="18">
        <f>SUM('0029 Budget Dist'!G275)</f>
        <v>40000</v>
      </c>
      <c r="H33" s="18">
        <f>SUM('0029 Budget Dist'!H275)</f>
        <v>30000</v>
      </c>
    </row>
    <row r="34" spans="1:8" ht="39.6">
      <c r="A34" s="10">
        <v>28</v>
      </c>
      <c r="B34" s="24" t="s">
        <v>60</v>
      </c>
      <c r="C34" s="18">
        <f>SUM('0029 Budget Dist'!C285)</f>
        <v>0</v>
      </c>
      <c r="D34" s="18">
        <f>SUM('0029 Budget Dist'!D285)</f>
        <v>0</v>
      </c>
      <c r="E34" s="18">
        <f>SUM('0029 Budget Dist'!E285)</f>
        <v>66</v>
      </c>
      <c r="F34" s="18">
        <f>SUM('0029 Budget Dist'!F285)</f>
        <v>0</v>
      </c>
      <c r="G34" s="18">
        <f>SUM('0029 Budget Dist'!G285)</f>
        <v>0</v>
      </c>
      <c r="H34" s="18">
        <f>SUM('0029 Budget Dist'!H285)</f>
        <v>0</v>
      </c>
    </row>
    <row r="35" spans="1:8" ht="20.25" customHeight="1">
      <c r="A35" s="10">
        <v>29</v>
      </c>
      <c r="B35" s="15" t="s">
        <v>51</v>
      </c>
      <c r="C35" s="18">
        <f>SUM('0029 Budget Dist'!C294)</f>
        <v>0</v>
      </c>
      <c r="D35" s="18">
        <f>SUM('0029 Budget Dist'!D294)</f>
        <v>0</v>
      </c>
      <c r="E35" s="18">
        <f>SUM('0029 Budget Dist'!E294)</f>
        <v>3039</v>
      </c>
      <c r="F35" s="18">
        <f>SUM('0029 Budget Dist'!F294)</f>
        <v>0</v>
      </c>
      <c r="G35" s="18">
        <f>SUM('0029 Budget Dist'!G294)</f>
        <v>5569.3899999999994</v>
      </c>
      <c r="H35" s="18">
        <f>SUM('0029 Budget Dist'!H294)</f>
        <v>5755.7800000000007</v>
      </c>
    </row>
    <row r="36" spans="1:8" ht="20.25" customHeight="1" thickBot="1">
      <c r="A36" s="14"/>
      <c r="B36" s="14" t="s">
        <v>67</v>
      </c>
      <c r="C36" s="19">
        <f t="shared" ref="C36:H36" si="0">SUM(C7:C35)</f>
        <v>12679316</v>
      </c>
      <c r="D36" s="19">
        <f t="shared" si="0"/>
        <v>15301769.040000003</v>
      </c>
      <c r="E36" s="19">
        <f t="shared" si="0"/>
        <v>11751957.949999999</v>
      </c>
      <c r="F36" s="19">
        <f t="shared" si="0"/>
        <v>17118939.501999997</v>
      </c>
      <c r="G36" s="19">
        <f t="shared" si="0"/>
        <v>8635987.0950000007</v>
      </c>
      <c r="H36" s="19">
        <f t="shared" si="0"/>
        <v>15749347.323000001</v>
      </c>
    </row>
    <row r="37" spans="1:8" ht="20.25" customHeight="1" thickTop="1">
      <c r="C37" s="16"/>
      <c r="D37" s="16"/>
      <c r="E37" s="16"/>
      <c r="F37" s="16"/>
      <c r="G37" s="39"/>
      <c r="H37" s="39"/>
    </row>
    <row r="38" spans="1:8" ht="18" customHeight="1">
      <c r="A38" s="42" t="s">
        <v>55</v>
      </c>
      <c r="B38" s="42"/>
      <c r="C38" s="29"/>
      <c r="D38" s="29"/>
      <c r="E38" s="29"/>
      <c r="F38" s="29"/>
      <c r="G38" s="39"/>
      <c r="H38" s="39"/>
    </row>
    <row r="39" spans="1:8" ht="16.5" customHeight="1">
      <c r="A39" s="20"/>
      <c r="B39" s="20"/>
      <c r="C39" s="29"/>
      <c r="D39" s="29"/>
      <c r="E39" s="29"/>
      <c r="F39" s="36" t="s">
        <v>56</v>
      </c>
      <c r="G39" s="36"/>
      <c r="H39" s="36"/>
    </row>
    <row r="40" spans="1:8" ht="20.25" customHeight="1">
      <c r="A40" s="20"/>
      <c r="B40" s="20"/>
      <c r="C40" s="29"/>
      <c r="D40" s="29"/>
      <c r="E40" s="29"/>
      <c r="F40" s="36" t="s">
        <v>57</v>
      </c>
      <c r="G40" s="36"/>
      <c r="H40" s="36"/>
    </row>
  </sheetData>
  <mergeCells count="11">
    <mergeCell ref="F39:H39"/>
    <mergeCell ref="F40:H40"/>
    <mergeCell ref="A38:B38"/>
    <mergeCell ref="G38:H38"/>
    <mergeCell ref="G37:H37"/>
    <mergeCell ref="A1:H1"/>
    <mergeCell ref="A2:H2"/>
    <mergeCell ref="A4:A5"/>
    <mergeCell ref="B4:B5"/>
    <mergeCell ref="C4:E4"/>
    <mergeCell ref="A3:H3"/>
  </mergeCells>
  <phoneticPr fontId="1" type="noConversion"/>
  <pageMargins left="0.24" right="0.17" top="0.26" bottom="0.38" header="0.17" footer="0.17"/>
  <pageSetup scale="92" orientation="landscape" verticalDpi="4294967293" r:id="rId1"/>
  <headerFooter alignWithMargins="0">
    <oddFooter>&amp;Z&amp;F&amp;RPage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0029 Budget Dist</vt:lpstr>
      <vt:lpstr>0029 Budget Division</vt:lpstr>
      <vt:lpstr>'0029 Budget Dist'!Print_Area</vt:lpstr>
      <vt:lpstr>'0029 Budget Dist'!Print_Titles</vt:lpstr>
      <vt:lpstr>'0029 Budget Division'!Print_Titles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prasad somvanshi</cp:lastModifiedBy>
  <cp:lastPrinted>2020-11-02T09:44:42Z</cp:lastPrinted>
  <dcterms:created xsi:type="dcterms:W3CDTF">2012-07-11T05:14:23Z</dcterms:created>
  <dcterms:modified xsi:type="dcterms:W3CDTF">2026-01-21T05:41:35Z</dcterms:modified>
</cp:coreProperties>
</file>