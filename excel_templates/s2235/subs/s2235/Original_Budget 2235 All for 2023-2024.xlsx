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090915f1-30ea-4838-88a2-ee26fb1cf535\"/>
    </mc:Choice>
  </mc:AlternateContent>
  <xr:revisionPtr revIDLastSave="0" documentId="8_{504A2F33-19EF-45AD-BE8D-8AB8657C7D7C}" xr6:coauthVersionLast="47" xr6:coauthVersionMax="47" xr10:uidLastSave="{00000000-0000-0000-0000-000000000000}"/>
  <bookViews>
    <workbookView xWindow="-120" yWindow="-120" windowWidth="19440" windowHeight="10440"/>
  </bookViews>
  <sheets>
    <sheet name="22353195" sheetId="1" r:id="rId1"/>
    <sheet name="22350338" sheetId="5" r:id="rId2"/>
    <sheet name="22350311" sheetId="6" r:id="rId3"/>
    <sheet name="22353408" sheetId="7" r:id="rId4"/>
  </sheets>
  <definedNames>
    <definedName name="_xlnm.Print_Area" localSheetId="2">'22350311'!$A$1:$H$30</definedName>
    <definedName name="_xlnm.Print_Area" localSheetId="1">'22350338'!$A$1:$H$31</definedName>
    <definedName name="_xlnm.Print_Area" localSheetId="0">'22353195'!$A$1:$H$28</definedName>
    <definedName name="_xlnm.Print_Area" localSheetId="3">'22353408'!$A$1:$H$30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7" l="1"/>
  <c r="H23" i="7"/>
  <c r="G23" i="7"/>
  <c r="F23" i="7"/>
  <c r="E23" i="7"/>
  <c r="D23" i="7"/>
  <c r="C23" i="7"/>
  <c r="H22" i="7"/>
  <c r="G22" i="7"/>
  <c r="F22" i="7"/>
  <c r="C22" i="7"/>
  <c r="B22" i="7"/>
  <c r="A22" i="7"/>
  <c r="G21" i="7"/>
  <c r="A21" i="7"/>
  <c r="A20" i="7"/>
  <c r="H14" i="7"/>
  <c r="H25" i="7"/>
  <c r="G14" i="7"/>
  <c r="G25" i="7"/>
  <c r="F14" i="7"/>
  <c r="F25" i="7" s="1"/>
  <c r="E14" i="7"/>
  <c r="E25" i="7"/>
  <c r="D14" i="7"/>
  <c r="D25" i="7"/>
  <c r="C14" i="7"/>
  <c r="C25" i="7"/>
  <c r="H4" i="7"/>
  <c r="G4" i="7"/>
  <c r="F4" i="7"/>
  <c r="E4" i="7"/>
  <c r="D4" i="7"/>
  <c r="C4" i="7"/>
  <c r="H3" i="7"/>
  <c r="G3" i="7"/>
  <c r="F3" i="7"/>
  <c r="C3" i="7"/>
  <c r="B3" i="7"/>
  <c r="A3" i="7"/>
  <c r="G2" i="7"/>
  <c r="A2" i="7"/>
  <c r="A1" i="7"/>
  <c r="A20" i="6"/>
  <c r="A21" i="6"/>
  <c r="G21" i="6"/>
  <c r="A22" i="6"/>
  <c r="B22" i="6"/>
  <c r="C22" i="6"/>
  <c r="F22" i="6"/>
  <c r="G22" i="6"/>
  <c r="H22" i="6"/>
  <c r="C23" i="6"/>
  <c r="D23" i="6"/>
  <c r="E23" i="6"/>
  <c r="F23" i="6"/>
  <c r="G23" i="6"/>
  <c r="H23" i="6"/>
  <c r="A1" i="6"/>
  <c r="A2" i="6"/>
  <c r="G2" i="6"/>
  <c r="A3" i="6"/>
  <c r="B3" i="6"/>
  <c r="C3" i="6"/>
  <c r="F3" i="6"/>
  <c r="G3" i="6"/>
  <c r="H3" i="6"/>
  <c r="C4" i="6"/>
  <c r="D4" i="6"/>
  <c r="E4" i="6"/>
  <c r="F4" i="6"/>
  <c r="G4" i="6"/>
  <c r="H4" i="6"/>
  <c r="A21" i="5"/>
  <c r="A22" i="5"/>
  <c r="G22" i="5"/>
  <c r="A23" i="5"/>
  <c r="B23" i="5"/>
  <c r="C23" i="5"/>
  <c r="F23" i="5"/>
  <c r="G23" i="5"/>
  <c r="H23" i="5"/>
  <c r="C24" i="5"/>
  <c r="D24" i="5"/>
  <c r="E24" i="5"/>
  <c r="F24" i="5"/>
  <c r="G24" i="5"/>
  <c r="H24" i="5"/>
  <c r="A1" i="5"/>
  <c r="A2" i="5"/>
  <c r="G2" i="5"/>
  <c r="A3" i="5"/>
  <c r="B3" i="5"/>
  <c r="C3" i="5"/>
  <c r="F3" i="5"/>
  <c r="G3" i="5"/>
  <c r="H3" i="5"/>
  <c r="C4" i="5"/>
  <c r="D4" i="5"/>
  <c r="E4" i="5"/>
  <c r="F4" i="5"/>
  <c r="G4" i="5"/>
  <c r="H4" i="5"/>
  <c r="A18" i="1"/>
  <c r="A19" i="1"/>
  <c r="G19" i="1"/>
  <c r="A20" i="1"/>
  <c r="B20" i="1"/>
  <c r="C20" i="1"/>
  <c r="F20" i="1"/>
  <c r="G20" i="1"/>
  <c r="H20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H14" i="6"/>
  <c r="H25" i="6"/>
  <c r="G14" i="6"/>
  <c r="G25" i="6"/>
  <c r="F14" i="6"/>
  <c r="F25" i="6"/>
  <c r="E14" i="6"/>
  <c r="E25" i="6" s="1"/>
  <c r="D14" i="6"/>
  <c r="D25" i="6"/>
  <c r="C14" i="6"/>
  <c r="C25" i="6"/>
  <c r="H12" i="1"/>
  <c r="H23" i="1"/>
  <c r="G12" i="1"/>
  <c r="G23" i="1"/>
  <c r="F12" i="1"/>
  <c r="F23" i="1"/>
  <c r="E12" i="1"/>
  <c r="E23" i="1"/>
  <c r="D12" i="1"/>
  <c r="D23" i="1"/>
  <c r="C12" i="1"/>
  <c r="C23" i="1" s="1"/>
  <c r="H15" i="5"/>
  <c r="H26" i="5"/>
  <c r="G15" i="5"/>
  <c r="G26" i="5"/>
  <c r="F15" i="5"/>
  <c r="F26" i="5"/>
  <c r="E15" i="5"/>
  <c r="E26" i="5"/>
  <c r="D15" i="5"/>
  <c r="D26" i="5"/>
  <c r="C15" i="5"/>
  <c r="C26" i="5"/>
</calcChain>
</file>

<file path=xl/sharedStrings.xml><?xml version="1.0" encoding="utf-8"?>
<sst xmlns="http://schemas.openxmlformats.org/spreadsheetml/2006/main" count="59" uniqueCount="30">
  <si>
    <t>अ. क्र</t>
  </si>
  <si>
    <t>कोकण विभाग</t>
  </si>
  <si>
    <t>लेखाशिर्ष</t>
  </si>
  <si>
    <t>ठाणे</t>
  </si>
  <si>
    <t>रायगड</t>
  </si>
  <si>
    <t>रत्नागिरी</t>
  </si>
  <si>
    <t>सिंधुदुर्ग</t>
  </si>
  <si>
    <t>प्रत्यक्ष रक्कमा (खर्च)</t>
  </si>
  <si>
    <t>अर्थसंकल्पीय अनुदान</t>
  </si>
  <si>
    <t>(आकडे हजारात)</t>
  </si>
  <si>
    <t>सुधारीत अनुदान मागणी</t>
  </si>
  <si>
    <t>अर्थसंकल्पीय अंदाजपत्रक</t>
  </si>
  <si>
    <t>मुंबई शहर</t>
  </si>
  <si>
    <t>मुंबई उपनगर</t>
  </si>
  <si>
    <t>कोकण विभाग (एकूण)</t>
  </si>
  <si>
    <t>पालघर</t>
  </si>
  <si>
    <t xml:space="preserve"> एकूण</t>
  </si>
  <si>
    <t>विभागीय आयुक्त कोकण विभाग कार्यालय</t>
  </si>
  <si>
    <t xml:space="preserve">मागणी क्र.सी-5, मुख्य लेखाशिर्ष-2235, सामाजिक सुरक्षा व कल्याण 02 समाज कल्याण 104 वृद्ध, अपंग व निराश्रीतांचे कल्याण (00) (04) मुक्त वेठबिगरांसाठी पुनर्वसन योजना (कार्यक्रम)  (22353408) 31 सहाय्यक अनुदाने (वेतनेत्तर) </t>
  </si>
  <si>
    <t>मागणी क्र.सी-5, 2235, सामाजिक सुरक्षा व कल्याण 02, समाज कल्याण 104 वृद्ध, अपंग व निराश्रीतांचे कल्याण (00) (03) आत्महत्या केलेल्या शेतक-यांच्या वारसांना वित्तीय सहाय्य (अनिवार्य) 31, सहाय्यक अनुदाने (वेतनेत्तर) (दत्तमत) 22353195</t>
  </si>
  <si>
    <t xml:space="preserve">मागणी क्र.सी-5, 2235 सामाजिक सुरक्षा कल्याण, 60 इतर सामाजिक सुरक्षा व कल्याण कार्यक्रम, 104 ठेव संलग्न विमा योजना, शासकीय भविष्य निर्वाह निधी (00)(00)(01) ठेव संलग्न विमा योजने खालील प्रदाने, 50 इतर खर्च (22350338) </t>
  </si>
  <si>
    <t xml:space="preserve">मागणी क्र.सी-5, प्रधान लेखाशीर्ष 2235, 02, समाज कल्याण, 104, वृद्ध विकलांग व निराश्रीत व्यक्तींचे कल्याण (00)(01) आपघातग्रस्ताना आर्थिक मदत (अनिवार्य), 31, सहाय्यक अनुदाने (22350311) </t>
  </si>
  <si>
    <t>(व्हि.एम.गाडे)</t>
  </si>
  <si>
    <t>सहाय्यक संचालक(लेखा)</t>
  </si>
  <si>
    <t>2022-23</t>
  </si>
  <si>
    <t>2023-24</t>
  </si>
  <si>
    <t>2024-25</t>
  </si>
  <si>
    <t>2025-26</t>
  </si>
  <si>
    <t>2026-27</t>
  </si>
  <si>
    <t>अर्थसंकल्पीय अंदाजपत्रक सन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</si>
</sst>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7">
    <font>
      <sz val="10"/>
      <name val="Arial"/>
    </font>
    <font>
      <sz val="8"/>
      <name val="Arial"/>
      <family val="2"/>
    </font>
    <font>
      <sz val="11"/>
      <color indexed="8"/>
      <name val="DVOT-Surekh"/>
    </font>
    <font>
      <sz val="11"/>
      <name val="DVOT-Surekh"/>
    </font>
    <font>
      <b/>
      <sz val="11"/>
      <name val="DVOT-Surekh"/>
    </font>
    <font>
      <sz val="11"/>
      <color theme="1"/>
      <name val="Calibri"/>
      <family val="2"/>
      <scheme val="minor"/>
    </font>
    <font>
      <sz val="14"/>
      <color theme="1"/>
      <name val="DVB-TTSurekhEN"/>
      <family val="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Border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65" fontId="3" fillId="2" borderId="1" xfId="0" applyNumberFormat="1" applyFont="1" applyFill="1" applyBorder="1" applyAlignment="1">
      <alignment horizontal="right"/>
    </xf>
    <xf numFmtId="165" fontId="3" fillId="2" borderId="2" xfId="0" applyNumberFormat="1" applyFont="1" applyFill="1" applyBorder="1"/>
    <xf numFmtId="165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top" wrapText="1"/>
    </xf>
    <xf numFmtId="165" fontId="3" fillId="2" borderId="2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Border="1" applyAlignment="1">
      <alignment horizontal="right"/>
    </xf>
    <xf numFmtId="0" fontId="3" fillId="2" borderId="0" xfId="0" applyFont="1" applyFill="1" applyAlignment="1"/>
    <xf numFmtId="165" fontId="3" fillId="2" borderId="0" xfId="0" applyNumberFormat="1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view="pageBreakPreview" topLeftCell="A16" zoomScaleNormal="75" zoomScaleSheetLayoutView="100" workbookViewId="0">
      <selection activeCell="F6" sqref="F6"/>
    </sheetView>
  </sheetViews>
  <sheetFormatPr defaultRowHeight="14.25"/>
  <cols>
    <col min="1" max="1" width="4.42578125" style="3" customWidth="1"/>
    <col min="2" max="2" width="55.7109375" style="3" customWidth="1"/>
    <col min="3" max="3" width="11.85546875" style="3" customWidth="1"/>
    <col min="4" max="4" width="12.28515625" style="3" customWidth="1"/>
    <col min="5" max="5" width="12.5703125" style="3" customWidth="1"/>
    <col min="6" max="6" width="14.42578125" style="3" customWidth="1"/>
    <col min="7" max="7" width="15.140625" style="3" customWidth="1"/>
    <col min="8" max="8" width="15.28515625" style="3" customWidth="1"/>
    <col min="9" max="16384" width="9.140625" style="3"/>
  </cols>
  <sheetData>
    <row r="1" spans="1:8">
      <c r="A1" s="31" t="s">
        <v>29</v>
      </c>
      <c r="B1" s="31"/>
      <c r="C1" s="31"/>
      <c r="D1" s="31"/>
      <c r="E1" s="31"/>
      <c r="F1" s="31"/>
      <c r="G1" s="31"/>
      <c r="H1" s="31"/>
    </row>
    <row r="2" spans="1:8">
      <c r="A2" s="32" t="s">
        <v>1</v>
      </c>
      <c r="B2" s="32"/>
      <c r="C2" s="32"/>
      <c r="D2" s="4"/>
      <c r="E2" s="4"/>
      <c r="F2" s="4"/>
      <c r="G2" s="33" t="s">
        <v>9</v>
      </c>
      <c r="H2" s="33"/>
    </row>
    <row r="3" spans="1:8" ht="39" customHeight="1">
      <c r="A3" s="30" t="s">
        <v>0</v>
      </c>
      <c r="B3" s="30" t="s">
        <v>2</v>
      </c>
      <c r="C3" s="30" t="s">
        <v>7</v>
      </c>
      <c r="D3" s="30"/>
      <c r="E3" s="30"/>
      <c r="F3" s="26" t="s">
        <v>8</v>
      </c>
      <c r="G3" s="26" t="s">
        <v>10</v>
      </c>
      <c r="H3" s="26" t="s">
        <v>11</v>
      </c>
    </row>
    <row r="4" spans="1:8" ht="18">
      <c r="A4" s="30"/>
      <c r="B4" s="30"/>
      <c r="C4" s="27" t="s">
        <v>24</v>
      </c>
      <c r="D4" s="28" t="s">
        <v>25</v>
      </c>
      <c r="E4" s="28" t="s">
        <v>26</v>
      </c>
      <c r="F4" s="28" t="s">
        <v>27</v>
      </c>
      <c r="G4" s="28" t="s">
        <v>27</v>
      </c>
      <c r="H4" s="28" t="s">
        <v>28</v>
      </c>
    </row>
    <row r="5" spans="1:8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2">
        <v>8</v>
      </c>
    </row>
    <row r="6" spans="1:8" ht="72.75" customHeight="1">
      <c r="A6" s="1"/>
      <c r="B6" s="16" t="s">
        <v>19</v>
      </c>
      <c r="C6" s="26"/>
      <c r="D6" s="26"/>
      <c r="E6" s="26"/>
      <c r="F6" s="26"/>
      <c r="G6" s="26"/>
      <c r="H6" s="26"/>
    </row>
    <row r="7" spans="1:8">
      <c r="A7" s="2">
        <v>1</v>
      </c>
      <c r="B7" s="1" t="s">
        <v>3</v>
      </c>
      <c r="C7" s="13">
        <v>100</v>
      </c>
      <c r="D7" s="13">
        <v>0</v>
      </c>
      <c r="E7" s="13">
        <v>0</v>
      </c>
      <c r="F7" s="13">
        <v>100</v>
      </c>
      <c r="G7" s="13">
        <v>100</v>
      </c>
      <c r="H7" s="13">
        <v>100</v>
      </c>
    </row>
    <row r="8" spans="1:8">
      <c r="A8" s="2">
        <v>2</v>
      </c>
      <c r="B8" s="1" t="s">
        <v>15</v>
      </c>
      <c r="C8" s="13">
        <v>0</v>
      </c>
      <c r="D8" s="13">
        <v>0</v>
      </c>
      <c r="E8" s="13">
        <v>0</v>
      </c>
      <c r="F8" s="13">
        <v>500</v>
      </c>
      <c r="G8" s="13">
        <v>0</v>
      </c>
      <c r="H8" s="13">
        <v>400</v>
      </c>
    </row>
    <row r="9" spans="1:8">
      <c r="A9" s="2">
        <v>3</v>
      </c>
      <c r="B9" s="1" t="s">
        <v>4</v>
      </c>
      <c r="C9" s="13">
        <v>0</v>
      </c>
      <c r="D9" s="13">
        <v>0</v>
      </c>
      <c r="E9" s="13">
        <v>0</v>
      </c>
      <c r="F9" s="13">
        <v>200</v>
      </c>
      <c r="G9" s="13">
        <v>200</v>
      </c>
      <c r="H9" s="13">
        <v>200</v>
      </c>
    </row>
    <row r="10" spans="1:8">
      <c r="A10" s="2">
        <v>4</v>
      </c>
      <c r="B10" s="1" t="s">
        <v>5</v>
      </c>
      <c r="C10" s="13">
        <v>0</v>
      </c>
      <c r="D10" s="13">
        <v>0</v>
      </c>
      <c r="E10" s="13">
        <v>0</v>
      </c>
      <c r="F10" s="13">
        <v>300</v>
      </c>
      <c r="G10" s="13">
        <v>0</v>
      </c>
      <c r="H10" s="13">
        <v>300</v>
      </c>
    </row>
    <row r="11" spans="1:8">
      <c r="A11" s="2">
        <v>5</v>
      </c>
      <c r="B11" s="1" t="s">
        <v>6</v>
      </c>
      <c r="C11" s="13">
        <v>0</v>
      </c>
      <c r="D11" s="13">
        <v>0</v>
      </c>
      <c r="E11" s="13">
        <v>0</v>
      </c>
      <c r="F11" s="13">
        <v>100</v>
      </c>
      <c r="G11" s="13">
        <v>100</v>
      </c>
      <c r="H11" s="13">
        <v>100</v>
      </c>
    </row>
    <row r="12" spans="1:8" ht="15" thickBot="1">
      <c r="A12" s="8"/>
      <c r="B12" s="9" t="s">
        <v>16</v>
      </c>
      <c r="C12" s="17">
        <f t="shared" ref="C12:H12" si="0">SUM(C7:C11)</f>
        <v>100</v>
      </c>
      <c r="D12" s="17">
        <f t="shared" si="0"/>
        <v>0</v>
      </c>
      <c r="E12" s="17">
        <f t="shared" si="0"/>
        <v>0</v>
      </c>
      <c r="F12" s="17">
        <f t="shared" si="0"/>
        <v>1200</v>
      </c>
      <c r="G12" s="17">
        <f t="shared" si="0"/>
        <v>400</v>
      </c>
      <c r="H12" s="17">
        <f t="shared" si="0"/>
        <v>1100</v>
      </c>
    </row>
    <row r="13" spans="1:8" ht="15" thickTop="1">
      <c r="A13" s="10"/>
      <c r="B13" s="18"/>
      <c r="C13" s="22"/>
      <c r="D13" s="22"/>
      <c r="E13" s="22"/>
      <c r="F13" s="22"/>
      <c r="G13" s="22"/>
      <c r="H13" s="22"/>
    </row>
    <row r="14" spans="1:8">
      <c r="A14" s="10"/>
      <c r="B14" s="18"/>
      <c r="C14" s="10"/>
      <c r="D14" s="10"/>
      <c r="E14" s="10"/>
      <c r="F14" s="10"/>
      <c r="G14" s="10"/>
      <c r="H14" s="10"/>
    </row>
    <row r="15" spans="1:8" ht="15">
      <c r="A15" s="10"/>
      <c r="B15" s="18"/>
      <c r="C15" s="10"/>
      <c r="D15" s="10"/>
      <c r="E15" s="10"/>
      <c r="F15" s="10"/>
      <c r="G15" s="29"/>
      <c r="H15" s="29"/>
    </row>
    <row r="16" spans="1:8" ht="15">
      <c r="A16" s="10"/>
      <c r="B16" s="18"/>
      <c r="C16" s="10"/>
      <c r="D16" s="10"/>
      <c r="E16" s="10"/>
      <c r="F16" s="20"/>
      <c r="G16" s="29"/>
      <c r="H16" s="29"/>
    </row>
    <row r="17" spans="1:8" ht="15">
      <c r="A17" s="10"/>
      <c r="B17" s="18"/>
      <c r="C17" s="10"/>
      <c r="D17" s="10"/>
      <c r="E17" s="10"/>
      <c r="G17" s="29"/>
      <c r="H17" s="29"/>
    </row>
    <row r="18" spans="1:8">
      <c r="A18" s="31" t="str">
        <f t="shared" ref="A18:H22" si="1">A1</f>
        <v>अर्थसंकल्पीय अंदाजपत्रक सन 2026-2027</v>
      </c>
      <c r="B18" s="31"/>
      <c r="C18" s="31"/>
      <c r="D18" s="31"/>
      <c r="E18" s="31"/>
      <c r="F18" s="31"/>
      <c r="G18" s="31"/>
      <c r="H18" s="31"/>
    </row>
    <row r="19" spans="1:8">
      <c r="A19" s="32" t="str">
        <f t="shared" si="1"/>
        <v>कोकण विभाग</v>
      </c>
      <c r="B19" s="32"/>
      <c r="C19" s="32"/>
      <c r="D19" s="4"/>
      <c r="E19" s="4"/>
      <c r="F19" s="4"/>
      <c r="G19" s="33" t="str">
        <f t="shared" si="1"/>
        <v>(आकडे हजारात)</v>
      </c>
      <c r="H19" s="33"/>
    </row>
    <row r="20" spans="1:8" ht="39" customHeight="1">
      <c r="A20" s="30" t="str">
        <f t="shared" si="1"/>
        <v>अ. क्र</v>
      </c>
      <c r="B20" s="30" t="str">
        <f t="shared" si="1"/>
        <v>लेखाशिर्ष</v>
      </c>
      <c r="C20" s="30" t="str">
        <f t="shared" si="1"/>
        <v>प्रत्यक्ष रक्कमा (खर्च)</v>
      </c>
      <c r="D20" s="30"/>
      <c r="E20" s="30"/>
      <c r="F20" s="26" t="str">
        <f t="shared" si="1"/>
        <v>अर्थसंकल्पीय अनुदान</v>
      </c>
      <c r="G20" s="26" t="str">
        <f t="shared" si="1"/>
        <v>सुधारीत अनुदान मागणी</v>
      </c>
      <c r="H20" s="26" t="str">
        <f t="shared" si="1"/>
        <v>अर्थसंकल्पीय अंदाजपत्रक</v>
      </c>
    </row>
    <row r="21" spans="1:8">
      <c r="A21" s="30"/>
      <c r="B21" s="30"/>
      <c r="C21" s="26" t="str">
        <f t="shared" si="1"/>
        <v>2022-23</v>
      </c>
      <c r="D21" s="26" t="str">
        <f t="shared" si="1"/>
        <v>2023-24</v>
      </c>
      <c r="E21" s="26" t="str">
        <f t="shared" si="1"/>
        <v>2024-25</v>
      </c>
      <c r="F21" s="2" t="str">
        <f t="shared" si="1"/>
        <v>2025-26</v>
      </c>
      <c r="G21" s="2" t="str">
        <f t="shared" si="1"/>
        <v>2025-26</v>
      </c>
      <c r="H21" s="2" t="str">
        <f t="shared" si="1"/>
        <v>2026-27</v>
      </c>
    </row>
    <row r="22" spans="1:8">
      <c r="A22" s="5">
        <f t="shared" si="1"/>
        <v>1</v>
      </c>
      <c r="B22" s="5">
        <f t="shared" si="1"/>
        <v>2</v>
      </c>
      <c r="C22" s="5">
        <f t="shared" si="1"/>
        <v>3</v>
      </c>
      <c r="D22" s="5">
        <f t="shared" si="1"/>
        <v>4</v>
      </c>
      <c r="E22" s="5">
        <f t="shared" si="1"/>
        <v>5</v>
      </c>
      <c r="F22" s="5">
        <f t="shared" si="1"/>
        <v>6</v>
      </c>
      <c r="G22" s="5">
        <f t="shared" si="1"/>
        <v>7</v>
      </c>
      <c r="H22" s="2">
        <f t="shared" si="1"/>
        <v>8</v>
      </c>
    </row>
    <row r="23" spans="1:8" ht="57">
      <c r="A23" s="1"/>
      <c r="B23" s="16" t="s">
        <v>19</v>
      </c>
      <c r="C23" s="19">
        <f t="shared" ref="C23:H23" si="2">SUM(C12)</f>
        <v>100</v>
      </c>
      <c r="D23" s="19">
        <f t="shared" si="2"/>
        <v>0</v>
      </c>
      <c r="E23" s="19">
        <f t="shared" si="2"/>
        <v>0</v>
      </c>
      <c r="F23" s="19">
        <f t="shared" si="2"/>
        <v>1200</v>
      </c>
      <c r="G23" s="19">
        <f t="shared" si="2"/>
        <v>400</v>
      </c>
      <c r="H23" s="19">
        <f t="shared" si="2"/>
        <v>1100</v>
      </c>
    </row>
    <row r="26" spans="1:8" ht="15">
      <c r="F26" s="23"/>
      <c r="G26" s="29"/>
      <c r="H26" s="29"/>
    </row>
    <row r="27" spans="1:8" ht="15">
      <c r="G27" s="29"/>
      <c r="H27" s="29"/>
    </row>
    <row r="28" spans="1:8" ht="15">
      <c r="G28" s="29"/>
      <c r="H28" s="29"/>
    </row>
  </sheetData>
  <mergeCells count="18">
    <mergeCell ref="A20:A21"/>
    <mergeCell ref="B20:B21"/>
    <mergeCell ref="G19:H19"/>
    <mergeCell ref="A1:H1"/>
    <mergeCell ref="A2:C2"/>
    <mergeCell ref="G2:H2"/>
    <mergeCell ref="A3:A4"/>
    <mergeCell ref="B3:B4"/>
    <mergeCell ref="G28:H28"/>
    <mergeCell ref="G15:H15"/>
    <mergeCell ref="G16:H16"/>
    <mergeCell ref="G17:H17"/>
    <mergeCell ref="G26:H26"/>
    <mergeCell ref="C3:E3"/>
    <mergeCell ref="C20:E20"/>
    <mergeCell ref="A18:H18"/>
    <mergeCell ref="A19:C19"/>
    <mergeCell ref="G27:H27"/>
  </mergeCells>
  <phoneticPr fontId="1" type="noConversion"/>
  <pageMargins left="0.36" right="0.16" top="0.47" bottom="0.56999999999999995" header="0.17" footer="0.17"/>
  <pageSetup paperSize="9" orientation="landscape" r:id="rId1"/>
  <headerFooter alignWithMargins="0">
    <oddFooter>&amp;Z&amp;F&amp;RPage &amp;P</oddFooter>
  </headerFooter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view="pageBreakPreview" topLeftCell="A10" zoomScaleNormal="75" zoomScaleSheetLayoutView="100" workbookViewId="0">
      <selection activeCell="G20" sqref="G20:H20"/>
    </sheetView>
  </sheetViews>
  <sheetFormatPr defaultRowHeight="14.25"/>
  <cols>
    <col min="1" max="1" width="4.42578125" style="21" customWidth="1"/>
    <col min="2" max="2" width="53" style="3" customWidth="1"/>
    <col min="3" max="3" width="11.7109375" style="3" customWidth="1"/>
    <col min="4" max="4" width="12.5703125" style="3" customWidth="1"/>
    <col min="5" max="5" width="11.7109375" style="3" customWidth="1"/>
    <col min="6" max="6" width="16.7109375" style="3" customWidth="1"/>
    <col min="7" max="7" width="15.42578125" style="3" customWidth="1"/>
    <col min="8" max="8" width="18.85546875" style="3" customWidth="1"/>
    <col min="9" max="16384" width="9.140625" style="3"/>
  </cols>
  <sheetData>
    <row r="1" spans="1:8">
      <c r="A1" s="31" t="str">
        <f>'22353195'!A1</f>
        <v>अर्थसंकल्पीय अंदाजपत्रक सन 2026-2027</v>
      </c>
      <c r="B1" s="31"/>
      <c r="C1" s="31"/>
      <c r="D1" s="31"/>
      <c r="E1" s="31"/>
      <c r="F1" s="31"/>
      <c r="G1" s="31"/>
      <c r="H1" s="31"/>
    </row>
    <row r="2" spans="1:8">
      <c r="A2" s="32" t="str">
        <f>'22353195'!A2</f>
        <v>कोकण विभाग</v>
      </c>
      <c r="B2" s="32"/>
      <c r="C2" s="32"/>
      <c r="D2" s="4"/>
      <c r="E2" s="4"/>
      <c r="F2" s="4"/>
      <c r="G2" s="33" t="str">
        <f>'22353195'!G2</f>
        <v>(आकडे हजारात)</v>
      </c>
      <c r="H2" s="33"/>
    </row>
    <row r="3" spans="1:8" ht="36" customHeight="1">
      <c r="A3" s="30" t="str">
        <f>'22353195'!A3</f>
        <v>अ. क्र</v>
      </c>
      <c r="B3" s="30" t="str">
        <f>'22353195'!B3</f>
        <v>लेखाशिर्ष</v>
      </c>
      <c r="C3" s="30" t="str">
        <f>'22353195'!C3</f>
        <v>प्रत्यक्ष रक्कमा (खर्च)</v>
      </c>
      <c r="D3" s="30"/>
      <c r="E3" s="30"/>
      <c r="F3" s="26" t="str">
        <f>'22353195'!F3</f>
        <v>अर्थसंकल्पीय अनुदान</v>
      </c>
      <c r="G3" s="26" t="str">
        <f>'22353195'!G3</f>
        <v>सुधारीत अनुदान मागणी</v>
      </c>
      <c r="H3" s="26" t="str">
        <f>'22353195'!H3</f>
        <v>अर्थसंकल्पीय अंदाजपत्रक</v>
      </c>
    </row>
    <row r="4" spans="1:8">
      <c r="A4" s="30"/>
      <c r="B4" s="30"/>
      <c r="C4" s="26" t="str">
        <f>'22353195'!C4</f>
        <v>2022-23</v>
      </c>
      <c r="D4" s="26" t="str">
        <f>'22353195'!D4</f>
        <v>2023-24</v>
      </c>
      <c r="E4" s="26" t="str">
        <f>'22353195'!E4</f>
        <v>2024-25</v>
      </c>
      <c r="F4" s="2" t="str">
        <f>'22353195'!F4</f>
        <v>2025-26</v>
      </c>
      <c r="G4" s="2" t="str">
        <f>'22353195'!G4</f>
        <v>2025-26</v>
      </c>
      <c r="H4" s="2" t="str">
        <f>'22353195'!H4</f>
        <v>2026-27</v>
      </c>
    </row>
    <row r="5" spans="1:8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2">
        <v>8</v>
      </c>
    </row>
    <row r="6" spans="1:8" ht="57">
      <c r="A6" s="2"/>
      <c r="B6" s="6" t="s">
        <v>20</v>
      </c>
      <c r="C6" s="7"/>
      <c r="D6" s="7"/>
      <c r="E6" s="7"/>
      <c r="F6" s="7"/>
      <c r="G6" s="7"/>
      <c r="H6" s="7"/>
    </row>
    <row r="7" spans="1:8">
      <c r="A7" s="2">
        <v>1</v>
      </c>
      <c r="B7" s="2" t="s">
        <v>17</v>
      </c>
      <c r="C7" s="13">
        <v>60</v>
      </c>
      <c r="D7" s="13">
        <v>0</v>
      </c>
      <c r="E7" s="13">
        <v>0</v>
      </c>
      <c r="F7" s="13">
        <v>120</v>
      </c>
      <c r="G7" s="13">
        <v>120</v>
      </c>
      <c r="H7" s="13">
        <v>120</v>
      </c>
    </row>
    <row r="8" spans="1:8">
      <c r="A8" s="2">
        <v>2</v>
      </c>
      <c r="B8" s="2" t="s">
        <v>12</v>
      </c>
      <c r="C8" s="13">
        <v>60</v>
      </c>
      <c r="D8" s="13">
        <v>0</v>
      </c>
      <c r="E8" s="13">
        <v>0</v>
      </c>
      <c r="F8" s="13">
        <v>60</v>
      </c>
      <c r="G8" s="13">
        <v>60</v>
      </c>
      <c r="H8" s="13">
        <v>60</v>
      </c>
    </row>
    <row r="9" spans="1:8">
      <c r="A9" s="2">
        <v>3</v>
      </c>
      <c r="B9" s="2" t="s">
        <v>13</v>
      </c>
      <c r="C9" s="13">
        <v>120</v>
      </c>
      <c r="D9" s="13">
        <v>0</v>
      </c>
      <c r="E9" s="13">
        <v>60</v>
      </c>
      <c r="F9" s="13">
        <v>240</v>
      </c>
      <c r="G9" s="13">
        <v>240</v>
      </c>
      <c r="H9" s="13">
        <v>240</v>
      </c>
    </row>
    <row r="10" spans="1:8">
      <c r="A10" s="2">
        <v>4</v>
      </c>
      <c r="B10" s="2" t="s">
        <v>3</v>
      </c>
      <c r="C10" s="13">
        <v>60</v>
      </c>
      <c r="D10" s="13">
        <v>0</v>
      </c>
      <c r="E10" s="13">
        <v>60</v>
      </c>
      <c r="F10" s="13">
        <v>300</v>
      </c>
      <c r="G10" s="13">
        <v>300</v>
      </c>
      <c r="H10" s="13">
        <v>300</v>
      </c>
    </row>
    <row r="11" spans="1:8">
      <c r="A11" s="2">
        <v>5</v>
      </c>
      <c r="B11" s="2" t="s">
        <v>15</v>
      </c>
      <c r="C11" s="13">
        <v>0</v>
      </c>
      <c r="D11" s="13">
        <v>0</v>
      </c>
      <c r="E11" s="13">
        <v>0</v>
      </c>
      <c r="F11" s="13">
        <v>120</v>
      </c>
      <c r="G11" s="13">
        <v>120</v>
      </c>
      <c r="H11" s="13">
        <v>120</v>
      </c>
    </row>
    <row r="12" spans="1:8">
      <c r="A12" s="2">
        <v>6</v>
      </c>
      <c r="B12" s="2" t="s">
        <v>4</v>
      </c>
      <c r="C12" s="13">
        <v>0</v>
      </c>
      <c r="D12" s="13">
        <v>0</v>
      </c>
      <c r="E12" s="13">
        <v>0</v>
      </c>
      <c r="F12" s="13">
        <v>120</v>
      </c>
      <c r="G12" s="13">
        <v>240</v>
      </c>
      <c r="H12" s="13">
        <v>300</v>
      </c>
    </row>
    <row r="13" spans="1:8">
      <c r="A13" s="2">
        <v>7</v>
      </c>
      <c r="B13" s="2" t="s">
        <v>5</v>
      </c>
      <c r="C13" s="13">
        <v>60</v>
      </c>
      <c r="D13" s="13">
        <v>0</v>
      </c>
      <c r="E13" s="13">
        <v>0</v>
      </c>
      <c r="F13" s="13">
        <v>180</v>
      </c>
      <c r="G13" s="13">
        <v>120</v>
      </c>
      <c r="H13" s="13">
        <v>120</v>
      </c>
    </row>
    <row r="14" spans="1:8">
      <c r="A14" s="2">
        <v>8</v>
      </c>
      <c r="B14" s="2" t="s">
        <v>6</v>
      </c>
      <c r="C14" s="13">
        <v>0</v>
      </c>
      <c r="D14" s="13">
        <v>0</v>
      </c>
      <c r="E14" s="13">
        <v>0</v>
      </c>
      <c r="F14" s="13">
        <v>300</v>
      </c>
      <c r="G14" s="13">
        <v>300</v>
      </c>
      <c r="H14" s="13">
        <v>300</v>
      </c>
    </row>
    <row r="15" spans="1:8" ht="15" thickBot="1">
      <c r="A15" s="9"/>
      <c r="B15" s="9" t="s">
        <v>14</v>
      </c>
      <c r="C15" s="14">
        <f t="shared" ref="C15:H15" si="0">SUM(C7:C14)</f>
        <v>360</v>
      </c>
      <c r="D15" s="14">
        <f t="shared" si="0"/>
        <v>0</v>
      </c>
      <c r="E15" s="14">
        <f t="shared" si="0"/>
        <v>120</v>
      </c>
      <c r="F15" s="14">
        <f t="shared" si="0"/>
        <v>1440</v>
      </c>
      <c r="G15" s="14">
        <f t="shared" si="0"/>
        <v>1500</v>
      </c>
      <c r="H15" s="14">
        <f t="shared" si="0"/>
        <v>1560</v>
      </c>
    </row>
    <row r="16" spans="1:8" ht="15" thickTop="1">
      <c r="A16" s="18"/>
      <c r="B16" s="18"/>
      <c r="C16" s="24"/>
      <c r="D16" s="24"/>
      <c r="E16" s="24"/>
      <c r="F16" s="24"/>
      <c r="G16" s="24"/>
      <c r="H16" s="24"/>
    </row>
    <row r="18" spans="1:8" ht="15">
      <c r="G18" s="29"/>
      <c r="H18" s="29"/>
    </row>
    <row r="19" spans="1:8" ht="15">
      <c r="F19" s="20"/>
      <c r="G19" s="29"/>
      <c r="H19" s="29"/>
    </row>
    <row r="20" spans="1:8" ht="15">
      <c r="F20" s="23"/>
      <c r="G20" s="29"/>
      <c r="H20" s="29"/>
    </row>
    <row r="21" spans="1:8">
      <c r="A21" s="31" t="str">
        <f>'22353195'!A1</f>
        <v>अर्थसंकल्पीय अंदाजपत्रक सन 2026-2027</v>
      </c>
      <c r="B21" s="31"/>
      <c r="C21" s="31"/>
      <c r="D21" s="31"/>
      <c r="E21" s="31"/>
      <c r="F21" s="31"/>
      <c r="G21" s="31"/>
      <c r="H21" s="31"/>
    </row>
    <row r="22" spans="1:8">
      <c r="A22" s="32" t="str">
        <f>'22353195'!A2</f>
        <v>कोकण विभाग</v>
      </c>
      <c r="B22" s="32"/>
      <c r="C22" s="32"/>
      <c r="D22" s="4"/>
      <c r="E22" s="4"/>
      <c r="F22" s="4"/>
      <c r="G22" s="33" t="str">
        <f>'22353195'!G2</f>
        <v>(आकडे हजारात)</v>
      </c>
      <c r="H22" s="33"/>
    </row>
    <row r="23" spans="1:8" ht="36" customHeight="1">
      <c r="A23" s="30" t="str">
        <f>'22353195'!A3</f>
        <v>अ. क्र</v>
      </c>
      <c r="B23" s="30" t="str">
        <f>'22353195'!B3</f>
        <v>लेखाशिर्ष</v>
      </c>
      <c r="C23" s="30" t="str">
        <f>'22353195'!C3</f>
        <v>प्रत्यक्ष रक्कमा (खर्च)</v>
      </c>
      <c r="D23" s="30"/>
      <c r="E23" s="30"/>
      <c r="F23" s="26" t="str">
        <f>'22353195'!F3</f>
        <v>अर्थसंकल्पीय अनुदान</v>
      </c>
      <c r="G23" s="26" t="str">
        <f>'22353195'!G3</f>
        <v>सुधारीत अनुदान मागणी</v>
      </c>
      <c r="H23" s="26" t="str">
        <f>'22353195'!H3</f>
        <v>अर्थसंकल्पीय अंदाजपत्रक</v>
      </c>
    </row>
    <row r="24" spans="1:8">
      <c r="A24" s="30"/>
      <c r="B24" s="30"/>
      <c r="C24" s="26" t="str">
        <f>'22353195'!C4</f>
        <v>2022-23</v>
      </c>
      <c r="D24" s="26" t="str">
        <f>'22353195'!D4</f>
        <v>2023-24</v>
      </c>
      <c r="E24" s="26" t="str">
        <f>'22353195'!E4</f>
        <v>2024-25</v>
      </c>
      <c r="F24" s="2" t="str">
        <f>'22353195'!F4</f>
        <v>2025-26</v>
      </c>
      <c r="G24" s="2" t="str">
        <f>'22353195'!G4</f>
        <v>2025-26</v>
      </c>
      <c r="H24" s="2" t="str">
        <f>'22353195'!H4</f>
        <v>2026-27</v>
      </c>
    </row>
    <row r="25" spans="1:8">
      <c r="A25" s="5">
        <v>1</v>
      </c>
      <c r="B25" s="5">
        <v>2</v>
      </c>
      <c r="C25" s="5">
        <v>3</v>
      </c>
      <c r="D25" s="5">
        <v>4</v>
      </c>
      <c r="E25" s="5">
        <v>5</v>
      </c>
      <c r="F25" s="5">
        <v>6</v>
      </c>
      <c r="G25" s="5">
        <v>7</v>
      </c>
      <c r="H25" s="2">
        <v>8</v>
      </c>
    </row>
    <row r="26" spans="1:8" ht="95.25" customHeight="1">
      <c r="A26" s="2"/>
      <c r="B26" s="6" t="s">
        <v>20</v>
      </c>
      <c r="C26" s="15">
        <f t="shared" ref="C26:H26" si="1">SUM(C15)</f>
        <v>360</v>
      </c>
      <c r="D26" s="15">
        <f t="shared" si="1"/>
        <v>0</v>
      </c>
      <c r="E26" s="15">
        <f t="shared" si="1"/>
        <v>120</v>
      </c>
      <c r="F26" s="15">
        <f t="shared" si="1"/>
        <v>1440</v>
      </c>
      <c r="G26" s="15">
        <f t="shared" si="1"/>
        <v>1500</v>
      </c>
      <c r="H26" s="15">
        <f t="shared" si="1"/>
        <v>1560</v>
      </c>
    </row>
    <row r="27" spans="1:8">
      <c r="A27" s="18"/>
      <c r="B27" s="11"/>
      <c r="C27" s="12"/>
      <c r="D27" s="12"/>
      <c r="E27" s="12"/>
      <c r="F27" s="12"/>
      <c r="G27" s="12"/>
      <c r="H27" s="12"/>
    </row>
    <row r="28" spans="1:8">
      <c r="A28" s="18"/>
      <c r="B28" s="11"/>
      <c r="C28" s="12"/>
      <c r="D28" s="12"/>
      <c r="E28" s="12"/>
      <c r="F28" s="12"/>
      <c r="G28" s="12"/>
      <c r="H28" s="12"/>
    </row>
    <row r="29" spans="1:8" ht="15">
      <c r="F29" s="23"/>
      <c r="G29" s="29"/>
      <c r="H29" s="29"/>
    </row>
    <row r="30" spans="1:8" ht="15">
      <c r="G30" s="29"/>
      <c r="H30" s="29"/>
    </row>
    <row r="31" spans="1:8" ht="15">
      <c r="G31" s="29"/>
      <c r="H31" s="29"/>
    </row>
  </sheetData>
  <mergeCells count="18">
    <mergeCell ref="G31:H31"/>
    <mergeCell ref="G18:H18"/>
    <mergeCell ref="G19:H19"/>
    <mergeCell ref="G20:H20"/>
    <mergeCell ref="G29:H29"/>
    <mergeCell ref="G30:H30"/>
    <mergeCell ref="A21:H21"/>
    <mergeCell ref="A22:C22"/>
    <mergeCell ref="G22:H22"/>
    <mergeCell ref="A23:A24"/>
    <mergeCell ref="B23:B24"/>
    <mergeCell ref="C23:E23"/>
    <mergeCell ref="A1:H1"/>
    <mergeCell ref="A2:C2"/>
    <mergeCell ref="G2:H2"/>
    <mergeCell ref="A3:A4"/>
    <mergeCell ref="B3:B4"/>
    <mergeCell ref="C3:E3"/>
  </mergeCells>
  <phoneticPr fontId="1" type="noConversion"/>
  <pageMargins left="0.24" right="0.16" top="0.59" bottom="0.75" header="0.5" footer="0.5"/>
  <pageSetup paperSize="9" orientation="landscape" r:id="rId1"/>
  <headerFooter alignWithMargins="0"/>
  <rowBreaks count="1" manualBreakCount="1">
    <brk id="2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BreakPreview" zoomScaleNormal="100" zoomScaleSheetLayoutView="100" workbookViewId="0">
      <selection activeCell="G28" sqref="G28:H31"/>
    </sheetView>
  </sheetViews>
  <sheetFormatPr defaultRowHeight="14.25"/>
  <cols>
    <col min="1" max="1" width="4.42578125" style="21" customWidth="1"/>
    <col min="2" max="2" width="53" style="3" customWidth="1"/>
    <col min="3" max="3" width="11.7109375" style="3" customWidth="1"/>
    <col min="4" max="4" width="12.5703125" style="3" customWidth="1"/>
    <col min="5" max="5" width="11.7109375" style="3" customWidth="1"/>
    <col min="6" max="6" width="16.7109375" style="3" customWidth="1"/>
    <col min="7" max="7" width="15.42578125" style="3" customWidth="1"/>
    <col min="8" max="8" width="18.85546875" style="3" customWidth="1"/>
    <col min="9" max="16384" width="9.140625" style="3"/>
  </cols>
  <sheetData>
    <row r="1" spans="1:8">
      <c r="A1" s="31" t="str">
        <f>'22353195'!A1</f>
        <v>अर्थसंकल्पीय अंदाजपत्रक सन 2026-2027</v>
      </c>
      <c r="B1" s="31"/>
      <c r="C1" s="31"/>
      <c r="D1" s="31"/>
      <c r="E1" s="31"/>
      <c r="F1" s="31"/>
      <c r="G1" s="31"/>
      <c r="H1" s="31"/>
    </row>
    <row r="2" spans="1:8">
      <c r="A2" s="32" t="str">
        <f>'22353195'!A2</f>
        <v>कोकण विभाग</v>
      </c>
      <c r="B2" s="32"/>
      <c r="C2" s="32"/>
      <c r="D2" s="4"/>
      <c r="E2" s="4"/>
      <c r="F2" s="4"/>
      <c r="G2" s="33" t="str">
        <f>'22353195'!G2</f>
        <v>(आकडे हजारात)</v>
      </c>
      <c r="H2" s="33"/>
    </row>
    <row r="3" spans="1:8" ht="36" customHeight="1">
      <c r="A3" s="30" t="str">
        <f>'22353195'!A3</f>
        <v>अ. क्र</v>
      </c>
      <c r="B3" s="30" t="str">
        <f>'22353195'!B3</f>
        <v>लेखाशिर्ष</v>
      </c>
      <c r="C3" s="30" t="str">
        <f>'22353195'!C3</f>
        <v>प्रत्यक्ष रक्कमा (खर्च)</v>
      </c>
      <c r="D3" s="30"/>
      <c r="E3" s="30"/>
      <c r="F3" s="26" t="str">
        <f>'22353195'!F3</f>
        <v>अर्थसंकल्पीय अनुदान</v>
      </c>
      <c r="G3" s="26" t="str">
        <f>'22353195'!G3</f>
        <v>सुधारीत अनुदान मागणी</v>
      </c>
      <c r="H3" s="26" t="str">
        <f>'22353195'!H3</f>
        <v>अर्थसंकल्पीय अंदाजपत्रक</v>
      </c>
    </row>
    <row r="4" spans="1:8">
      <c r="A4" s="30"/>
      <c r="B4" s="30"/>
      <c r="C4" s="26" t="str">
        <f>'22353195'!C4</f>
        <v>2022-23</v>
      </c>
      <c r="D4" s="26" t="str">
        <f>'22353195'!D4</f>
        <v>2023-24</v>
      </c>
      <c r="E4" s="26" t="str">
        <f>'22353195'!E4</f>
        <v>2024-25</v>
      </c>
      <c r="F4" s="2" t="str">
        <f>'22353195'!F4</f>
        <v>2025-26</v>
      </c>
      <c r="G4" s="2" t="str">
        <f>'22353195'!G4</f>
        <v>2025-26</v>
      </c>
      <c r="H4" s="2" t="str">
        <f>'22353195'!H4</f>
        <v>2026-27</v>
      </c>
    </row>
    <row r="5" spans="1:8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2">
        <v>8</v>
      </c>
    </row>
    <row r="6" spans="1:8" ht="57">
      <c r="A6" s="2"/>
      <c r="B6" s="6" t="s">
        <v>21</v>
      </c>
      <c r="C6" s="7"/>
      <c r="D6" s="7"/>
      <c r="E6" s="7"/>
      <c r="F6" s="7"/>
      <c r="G6" s="7"/>
      <c r="H6" s="7"/>
    </row>
    <row r="7" spans="1:8">
      <c r="A7" s="2">
        <v>1</v>
      </c>
      <c r="B7" s="2" t="s">
        <v>12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</row>
    <row r="8" spans="1:8">
      <c r="A8" s="2">
        <v>2</v>
      </c>
      <c r="B8" s="2" t="s">
        <v>13</v>
      </c>
      <c r="C8" s="13">
        <v>0</v>
      </c>
      <c r="D8" s="13">
        <v>0</v>
      </c>
      <c r="E8" s="13">
        <v>0</v>
      </c>
      <c r="F8" s="13">
        <v>1000</v>
      </c>
      <c r="G8" s="13">
        <v>1</v>
      </c>
      <c r="H8" s="13">
        <v>1</v>
      </c>
    </row>
    <row r="9" spans="1:8">
      <c r="A9" s="2">
        <v>3</v>
      </c>
      <c r="B9" s="2" t="s">
        <v>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1:8">
      <c r="A10" s="2">
        <v>4</v>
      </c>
      <c r="B10" s="2" t="s">
        <v>15</v>
      </c>
      <c r="C10" s="13">
        <v>0</v>
      </c>
      <c r="D10" s="13">
        <v>0</v>
      </c>
      <c r="E10" s="13">
        <v>0</v>
      </c>
      <c r="F10" s="13">
        <v>400</v>
      </c>
      <c r="G10" s="13">
        <v>0</v>
      </c>
      <c r="H10" s="13">
        <v>400</v>
      </c>
    </row>
    <row r="11" spans="1:8">
      <c r="A11" s="2">
        <v>5</v>
      </c>
      <c r="B11" s="2" t="s">
        <v>4</v>
      </c>
      <c r="C11" s="13">
        <v>0</v>
      </c>
      <c r="D11" s="13">
        <v>6548</v>
      </c>
      <c r="E11" s="13">
        <v>0</v>
      </c>
      <c r="F11" s="13">
        <v>200</v>
      </c>
      <c r="G11" s="13">
        <v>0</v>
      </c>
      <c r="H11" s="13">
        <v>200</v>
      </c>
    </row>
    <row r="12" spans="1:8">
      <c r="A12" s="2">
        <v>6</v>
      </c>
      <c r="B12" s="2" t="s">
        <v>5</v>
      </c>
      <c r="C12" s="13">
        <v>0</v>
      </c>
      <c r="D12" s="13">
        <v>0</v>
      </c>
      <c r="E12" s="13">
        <v>0</v>
      </c>
      <c r="F12" s="13">
        <v>200</v>
      </c>
      <c r="G12" s="13">
        <v>0</v>
      </c>
      <c r="H12" s="13">
        <v>200</v>
      </c>
    </row>
    <row r="13" spans="1:8">
      <c r="A13" s="2">
        <v>7</v>
      </c>
      <c r="B13" s="2" t="s">
        <v>6</v>
      </c>
      <c r="C13" s="13">
        <v>0</v>
      </c>
      <c r="D13" s="13">
        <v>0</v>
      </c>
      <c r="E13" s="13">
        <v>0</v>
      </c>
      <c r="F13" s="13">
        <v>0</v>
      </c>
      <c r="G13" s="13">
        <v>100</v>
      </c>
      <c r="H13" s="13">
        <v>100</v>
      </c>
    </row>
    <row r="14" spans="1:8" ht="15" thickBot="1">
      <c r="A14" s="9"/>
      <c r="B14" s="9" t="s">
        <v>14</v>
      </c>
      <c r="C14" s="14">
        <f t="shared" ref="C14:H14" si="0">SUM(C7:C13)</f>
        <v>0</v>
      </c>
      <c r="D14" s="14">
        <f t="shared" si="0"/>
        <v>6548</v>
      </c>
      <c r="E14" s="14">
        <f t="shared" si="0"/>
        <v>0</v>
      </c>
      <c r="F14" s="14">
        <f t="shared" si="0"/>
        <v>1800</v>
      </c>
      <c r="G14" s="14">
        <f t="shared" si="0"/>
        <v>101</v>
      </c>
      <c r="H14" s="14">
        <f t="shared" si="0"/>
        <v>901</v>
      </c>
    </row>
    <row r="15" spans="1:8" ht="15" thickTop="1">
      <c r="A15" s="18"/>
      <c r="B15" s="18"/>
      <c r="C15" s="24"/>
      <c r="D15" s="24"/>
      <c r="E15" s="24"/>
      <c r="F15" s="24"/>
      <c r="G15" s="24"/>
      <c r="H15" s="24"/>
    </row>
    <row r="17" spans="1:8" ht="15">
      <c r="G17" s="29"/>
      <c r="H17" s="29"/>
    </row>
    <row r="18" spans="1:8" ht="15">
      <c r="F18" s="20"/>
      <c r="G18" s="29"/>
      <c r="H18" s="29"/>
    </row>
    <row r="19" spans="1:8" ht="15">
      <c r="F19" s="23"/>
      <c r="G19" s="29"/>
      <c r="H19" s="29"/>
    </row>
    <row r="20" spans="1:8">
      <c r="A20" s="31" t="str">
        <f>'22353195'!A1</f>
        <v>अर्थसंकल्पीय अंदाजपत्रक सन 2026-2027</v>
      </c>
      <c r="B20" s="31"/>
      <c r="C20" s="31"/>
      <c r="D20" s="31"/>
      <c r="E20" s="31"/>
      <c r="F20" s="31"/>
      <c r="G20" s="31"/>
      <c r="H20" s="31"/>
    </row>
    <row r="21" spans="1:8">
      <c r="A21" s="32" t="str">
        <f>'22353195'!A2</f>
        <v>कोकण विभाग</v>
      </c>
      <c r="B21" s="32"/>
      <c r="C21" s="32"/>
      <c r="D21" s="4"/>
      <c r="E21" s="4"/>
      <c r="F21" s="4"/>
      <c r="G21" s="33" t="str">
        <f>'22353195'!G2</f>
        <v>(आकडे हजारात)</v>
      </c>
      <c r="H21" s="33"/>
    </row>
    <row r="22" spans="1:8" ht="36" customHeight="1">
      <c r="A22" s="30" t="str">
        <f>'22353195'!A3</f>
        <v>अ. क्र</v>
      </c>
      <c r="B22" s="30" t="str">
        <f>'22353195'!B3</f>
        <v>लेखाशिर्ष</v>
      </c>
      <c r="C22" s="30" t="str">
        <f>'22353195'!C3</f>
        <v>प्रत्यक्ष रक्कमा (खर्च)</v>
      </c>
      <c r="D22" s="30"/>
      <c r="E22" s="30"/>
      <c r="F22" s="26" t="str">
        <f>'22353195'!F3</f>
        <v>अर्थसंकल्पीय अनुदान</v>
      </c>
      <c r="G22" s="26" t="str">
        <f>'22353195'!G3</f>
        <v>सुधारीत अनुदान मागणी</v>
      </c>
      <c r="H22" s="26" t="str">
        <f>'22353195'!H3</f>
        <v>अर्थसंकल्पीय अंदाजपत्रक</v>
      </c>
    </row>
    <row r="23" spans="1:8">
      <c r="A23" s="30"/>
      <c r="B23" s="30"/>
      <c r="C23" s="26" t="str">
        <f>'22353195'!C4</f>
        <v>2022-23</v>
      </c>
      <c r="D23" s="26" t="str">
        <f>'22353195'!D4</f>
        <v>2023-24</v>
      </c>
      <c r="E23" s="26" t="str">
        <f>'22353195'!E4</f>
        <v>2024-25</v>
      </c>
      <c r="F23" s="2" t="str">
        <f>'22353195'!F4</f>
        <v>2025-26</v>
      </c>
      <c r="G23" s="2" t="str">
        <f>'22353195'!G4</f>
        <v>2025-26</v>
      </c>
      <c r="H23" s="2" t="str">
        <f>'22353195'!H4</f>
        <v>2026-27</v>
      </c>
    </row>
    <row r="24" spans="1:8">
      <c r="A24" s="5">
        <v>1</v>
      </c>
      <c r="B24" s="5">
        <v>2</v>
      </c>
      <c r="C24" s="5">
        <v>3</v>
      </c>
      <c r="D24" s="5">
        <v>4</v>
      </c>
      <c r="E24" s="5">
        <v>5</v>
      </c>
      <c r="F24" s="5">
        <v>6</v>
      </c>
      <c r="G24" s="5">
        <v>7</v>
      </c>
      <c r="H24" s="2">
        <v>8</v>
      </c>
    </row>
    <row r="25" spans="1:8" ht="57">
      <c r="A25" s="2"/>
      <c r="B25" s="6" t="s">
        <v>21</v>
      </c>
      <c r="C25" s="15">
        <f t="shared" ref="C25:H25" si="1">SUM(C14)</f>
        <v>0</v>
      </c>
      <c r="D25" s="15">
        <f t="shared" si="1"/>
        <v>6548</v>
      </c>
      <c r="E25" s="15">
        <f t="shared" si="1"/>
        <v>0</v>
      </c>
      <c r="F25" s="15">
        <f t="shared" si="1"/>
        <v>1800</v>
      </c>
      <c r="G25" s="15">
        <f t="shared" si="1"/>
        <v>101</v>
      </c>
      <c r="H25" s="15">
        <f t="shared" si="1"/>
        <v>901</v>
      </c>
    </row>
    <row r="26" spans="1:8">
      <c r="A26" s="18"/>
      <c r="B26" s="11"/>
      <c r="C26" s="12"/>
      <c r="D26" s="12"/>
      <c r="E26" s="12"/>
      <c r="F26" s="12"/>
      <c r="G26" s="12"/>
      <c r="H26" s="12"/>
    </row>
    <row r="27" spans="1:8">
      <c r="A27" s="18"/>
      <c r="B27" s="11"/>
      <c r="C27" s="12"/>
      <c r="D27" s="12"/>
      <c r="E27" s="12"/>
      <c r="F27" s="12"/>
      <c r="G27" s="12"/>
      <c r="H27" s="12"/>
    </row>
    <row r="28" spans="1:8" ht="15">
      <c r="F28" s="23"/>
      <c r="G28" s="29"/>
      <c r="H28" s="29"/>
    </row>
    <row r="29" spans="1:8" ht="15">
      <c r="G29" s="29"/>
      <c r="H29" s="29"/>
    </row>
    <row r="30" spans="1:8" ht="15">
      <c r="G30" s="29"/>
      <c r="H30" s="29"/>
    </row>
  </sheetData>
  <mergeCells count="18">
    <mergeCell ref="A1:H1"/>
    <mergeCell ref="A2:C2"/>
    <mergeCell ref="G2:H2"/>
    <mergeCell ref="A3:A4"/>
    <mergeCell ref="B3:B4"/>
    <mergeCell ref="C3:E3"/>
    <mergeCell ref="G17:H17"/>
    <mergeCell ref="G18:H18"/>
    <mergeCell ref="G19:H19"/>
    <mergeCell ref="A20:H20"/>
    <mergeCell ref="A21:C21"/>
    <mergeCell ref="G21:H21"/>
    <mergeCell ref="A22:A23"/>
    <mergeCell ref="B22:B23"/>
    <mergeCell ref="C22:E22"/>
    <mergeCell ref="G28:H28"/>
    <mergeCell ref="G29:H29"/>
    <mergeCell ref="G30:H30"/>
  </mergeCells>
  <pageMargins left="0.24" right="0.16" top="0.47" bottom="0.75" header="0.3" footer="0.3"/>
  <pageSetup paperSize="9" orientation="landscape" r:id="rId1"/>
  <rowBreaks count="1" manualBreakCount="1">
    <brk id="19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view="pageBreakPreview" zoomScaleNormal="100" zoomScaleSheetLayoutView="100" workbookViewId="0">
      <selection activeCell="G28" sqref="G28:H30"/>
    </sheetView>
  </sheetViews>
  <sheetFormatPr defaultRowHeight="14.25"/>
  <cols>
    <col min="1" max="1" width="4.42578125" style="21" customWidth="1"/>
    <col min="2" max="2" width="53" style="3" customWidth="1"/>
    <col min="3" max="3" width="11.7109375" style="3" customWidth="1"/>
    <col min="4" max="4" width="12.5703125" style="3" customWidth="1"/>
    <col min="5" max="5" width="11.7109375" style="3" customWidth="1"/>
    <col min="6" max="6" width="16.7109375" style="3" customWidth="1"/>
    <col min="7" max="7" width="15.42578125" style="3" customWidth="1"/>
    <col min="8" max="8" width="18.85546875" style="3" customWidth="1"/>
    <col min="9" max="16384" width="9.140625" style="3"/>
  </cols>
  <sheetData>
    <row r="1" spans="1:8">
      <c r="A1" s="31" t="str">
        <f>'22353195'!A1</f>
        <v>अर्थसंकल्पीय अंदाजपत्रक सन 2026-2027</v>
      </c>
      <c r="B1" s="31"/>
      <c r="C1" s="31"/>
      <c r="D1" s="31"/>
      <c r="E1" s="31"/>
      <c r="F1" s="31"/>
      <c r="G1" s="31"/>
      <c r="H1" s="31"/>
    </row>
    <row r="2" spans="1:8">
      <c r="A2" s="32" t="str">
        <f>'22353195'!A2</f>
        <v>कोकण विभाग</v>
      </c>
      <c r="B2" s="32"/>
      <c r="C2" s="32"/>
      <c r="D2" s="4"/>
      <c r="E2" s="4"/>
      <c r="F2" s="4"/>
      <c r="G2" s="33" t="str">
        <f>'22353195'!G2</f>
        <v>(आकडे हजारात)</v>
      </c>
      <c r="H2" s="33"/>
    </row>
    <row r="3" spans="1:8" ht="36" customHeight="1">
      <c r="A3" s="30" t="str">
        <f>'22353195'!A3</f>
        <v>अ. क्र</v>
      </c>
      <c r="B3" s="30" t="str">
        <f>'22353195'!B3</f>
        <v>लेखाशिर्ष</v>
      </c>
      <c r="C3" s="30" t="str">
        <f>'22353195'!C3</f>
        <v>प्रत्यक्ष रक्कमा (खर्च)</v>
      </c>
      <c r="D3" s="30"/>
      <c r="E3" s="30"/>
      <c r="F3" s="25" t="str">
        <f>'22353195'!F3</f>
        <v>अर्थसंकल्पीय अनुदान</v>
      </c>
      <c r="G3" s="25" t="str">
        <f>'22353195'!G3</f>
        <v>सुधारीत अनुदान मागणी</v>
      </c>
      <c r="H3" s="25" t="str">
        <f>'22353195'!H3</f>
        <v>अर्थसंकल्पीय अंदाजपत्रक</v>
      </c>
    </row>
    <row r="4" spans="1:8">
      <c r="A4" s="30"/>
      <c r="B4" s="30"/>
      <c r="C4" s="25" t="str">
        <f>'22353195'!C4</f>
        <v>2022-23</v>
      </c>
      <c r="D4" s="25" t="str">
        <f>'22353195'!D4</f>
        <v>2023-24</v>
      </c>
      <c r="E4" s="25" t="str">
        <f>'22353195'!E4</f>
        <v>2024-25</v>
      </c>
      <c r="F4" s="2" t="str">
        <f>'22353195'!F4</f>
        <v>2025-26</v>
      </c>
      <c r="G4" s="2" t="str">
        <f>'22353195'!G4</f>
        <v>2025-26</v>
      </c>
      <c r="H4" s="2" t="str">
        <f>'22353195'!H4</f>
        <v>2026-27</v>
      </c>
    </row>
    <row r="5" spans="1:8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2">
        <v>8</v>
      </c>
    </row>
    <row r="6" spans="1:8" ht="57">
      <c r="A6" s="2"/>
      <c r="B6" s="6" t="s">
        <v>18</v>
      </c>
      <c r="C6" s="7"/>
      <c r="D6" s="7"/>
      <c r="E6" s="7"/>
      <c r="F6" s="7"/>
      <c r="G6" s="7"/>
      <c r="H6" s="7"/>
    </row>
    <row r="7" spans="1:8">
      <c r="A7" s="2">
        <v>1</v>
      </c>
      <c r="B7" s="2" t="s">
        <v>12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</row>
    <row r="8" spans="1:8">
      <c r="A8" s="2">
        <v>2</v>
      </c>
      <c r="B8" s="2" t="s">
        <v>13</v>
      </c>
      <c r="C8" s="13">
        <v>0</v>
      </c>
      <c r="D8" s="13">
        <v>0</v>
      </c>
      <c r="E8" s="13">
        <v>300</v>
      </c>
      <c r="F8" s="13">
        <v>1000</v>
      </c>
      <c r="G8" s="13">
        <v>1</v>
      </c>
      <c r="H8" s="13">
        <v>1</v>
      </c>
    </row>
    <row r="9" spans="1:8">
      <c r="A9" s="2">
        <v>3</v>
      </c>
      <c r="B9" s="2" t="s">
        <v>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spans="1:8">
      <c r="A10" s="2">
        <v>4</v>
      </c>
      <c r="B10" s="2" t="s">
        <v>15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</row>
    <row r="11" spans="1:8">
      <c r="A11" s="2">
        <v>5</v>
      </c>
      <c r="B11" s="2" t="s">
        <v>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>
      <c r="A12" s="2">
        <v>6</v>
      </c>
      <c r="B12" s="2" t="s">
        <v>5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>
      <c r="A13" s="2">
        <v>7</v>
      </c>
      <c r="B13" s="2" t="s">
        <v>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</row>
    <row r="14" spans="1:8" ht="15" thickBot="1">
      <c r="A14" s="9"/>
      <c r="B14" s="9" t="s">
        <v>14</v>
      </c>
      <c r="C14" s="14">
        <f t="shared" ref="C14:H14" si="0">SUM(C7:C13)</f>
        <v>0</v>
      </c>
      <c r="D14" s="14">
        <f t="shared" si="0"/>
        <v>0</v>
      </c>
      <c r="E14" s="14">
        <f t="shared" si="0"/>
        <v>300</v>
      </c>
      <c r="F14" s="14">
        <f t="shared" si="0"/>
        <v>1000</v>
      </c>
      <c r="G14" s="14">
        <f t="shared" si="0"/>
        <v>1</v>
      </c>
      <c r="H14" s="14">
        <f t="shared" si="0"/>
        <v>1</v>
      </c>
    </row>
    <row r="15" spans="1:8" ht="15" thickTop="1">
      <c r="A15" s="18"/>
      <c r="B15" s="18"/>
      <c r="C15" s="24"/>
      <c r="D15" s="24"/>
      <c r="E15" s="24"/>
      <c r="F15" s="24"/>
      <c r="G15" s="24"/>
      <c r="H15" s="24"/>
    </row>
    <row r="17" spans="1:8" ht="15">
      <c r="G17" s="29" t="s">
        <v>22</v>
      </c>
      <c r="H17" s="29"/>
    </row>
    <row r="18" spans="1:8" ht="15">
      <c r="F18" s="20"/>
      <c r="G18" s="29" t="s">
        <v>23</v>
      </c>
      <c r="H18" s="29"/>
    </row>
    <row r="19" spans="1:8" ht="15">
      <c r="F19" s="23"/>
      <c r="G19" s="29" t="s">
        <v>1</v>
      </c>
      <c r="H19" s="29"/>
    </row>
    <row r="20" spans="1:8">
      <c r="A20" s="31" t="str">
        <f>'22353195'!A1</f>
        <v>अर्थसंकल्पीय अंदाजपत्रक सन 2026-2027</v>
      </c>
      <c r="B20" s="31"/>
      <c r="C20" s="31"/>
      <c r="D20" s="31"/>
      <c r="E20" s="31"/>
      <c r="F20" s="31"/>
      <c r="G20" s="31"/>
      <c r="H20" s="31"/>
    </row>
    <row r="21" spans="1:8">
      <c r="A21" s="32" t="str">
        <f>'22353195'!A2</f>
        <v>कोकण विभाग</v>
      </c>
      <c r="B21" s="32"/>
      <c r="C21" s="32"/>
      <c r="D21" s="4"/>
      <c r="E21" s="4"/>
      <c r="F21" s="4"/>
      <c r="G21" s="33" t="str">
        <f>'22353195'!G2</f>
        <v>(आकडे हजारात)</v>
      </c>
      <c r="H21" s="33"/>
    </row>
    <row r="22" spans="1:8" ht="36" customHeight="1">
      <c r="A22" s="30" t="str">
        <f>'22353195'!A3</f>
        <v>अ. क्र</v>
      </c>
      <c r="B22" s="30" t="str">
        <f>'22353195'!B3</f>
        <v>लेखाशिर्ष</v>
      </c>
      <c r="C22" s="30" t="str">
        <f>'22353195'!C3</f>
        <v>प्रत्यक्ष रक्कमा (खर्च)</v>
      </c>
      <c r="D22" s="30"/>
      <c r="E22" s="30"/>
      <c r="F22" s="25" t="str">
        <f>'22353195'!F3</f>
        <v>अर्थसंकल्पीय अनुदान</v>
      </c>
      <c r="G22" s="25" t="str">
        <f>'22353195'!G3</f>
        <v>सुधारीत अनुदान मागणी</v>
      </c>
      <c r="H22" s="25" t="str">
        <f>'22353195'!H3</f>
        <v>अर्थसंकल्पीय अंदाजपत्रक</v>
      </c>
    </row>
    <row r="23" spans="1:8">
      <c r="A23" s="30"/>
      <c r="B23" s="30"/>
      <c r="C23" s="25" t="str">
        <f>'22353195'!C4</f>
        <v>2022-23</v>
      </c>
      <c r="D23" s="25" t="str">
        <f>'22353195'!D4</f>
        <v>2023-24</v>
      </c>
      <c r="E23" s="25" t="str">
        <f>'22353195'!E4</f>
        <v>2024-25</v>
      </c>
      <c r="F23" s="2" t="str">
        <f>'22353195'!F4</f>
        <v>2025-26</v>
      </c>
      <c r="G23" s="2" t="str">
        <f>'22353195'!G4</f>
        <v>2025-26</v>
      </c>
      <c r="H23" s="2" t="str">
        <f>'22353195'!H4</f>
        <v>2026-27</v>
      </c>
    </row>
    <row r="24" spans="1:8">
      <c r="A24" s="5">
        <v>1</v>
      </c>
      <c r="B24" s="5">
        <v>2</v>
      </c>
      <c r="C24" s="5">
        <v>3</v>
      </c>
      <c r="D24" s="5">
        <v>4</v>
      </c>
      <c r="E24" s="5">
        <v>5</v>
      </c>
      <c r="F24" s="5">
        <v>6</v>
      </c>
      <c r="G24" s="5">
        <v>7</v>
      </c>
      <c r="H24" s="2">
        <v>8</v>
      </c>
    </row>
    <row r="25" spans="1:8" ht="57">
      <c r="A25" s="2"/>
      <c r="B25" s="6" t="str">
        <f>$B$6</f>
        <v xml:space="preserve">मागणी क्र.सी-5, मुख्य लेखाशिर्ष-2235, सामाजिक सुरक्षा व कल्याण 02 समाज कल्याण 104 वृद्ध, अपंग व निराश्रीतांचे कल्याण (00) (04) मुक्त वेठबिगरांसाठी पुनर्वसन योजना (कार्यक्रम)  (22353408) 31 सहाय्यक अनुदाने (वेतनेत्तर) </v>
      </c>
      <c r="C25" s="15">
        <f t="shared" ref="C25:H25" si="1">SUM(C14)</f>
        <v>0</v>
      </c>
      <c r="D25" s="15">
        <f t="shared" si="1"/>
        <v>0</v>
      </c>
      <c r="E25" s="15">
        <f t="shared" si="1"/>
        <v>300</v>
      </c>
      <c r="F25" s="15">
        <f t="shared" si="1"/>
        <v>1000</v>
      </c>
      <c r="G25" s="15">
        <f t="shared" si="1"/>
        <v>1</v>
      </c>
      <c r="H25" s="15">
        <f t="shared" si="1"/>
        <v>1</v>
      </c>
    </row>
    <row r="26" spans="1:8">
      <c r="A26" s="18"/>
      <c r="B26" s="11"/>
      <c r="C26" s="12"/>
      <c r="D26" s="12"/>
      <c r="E26" s="12"/>
      <c r="F26" s="12"/>
      <c r="G26" s="12"/>
      <c r="H26" s="12"/>
    </row>
    <row r="27" spans="1:8">
      <c r="A27" s="18"/>
      <c r="B27" s="11"/>
      <c r="C27" s="12"/>
      <c r="D27" s="12"/>
      <c r="E27" s="12"/>
      <c r="F27" s="12"/>
      <c r="G27" s="12"/>
      <c r="H27" s="12"/>
    </row>
    <row r="28" spans="1:8" ht="15">
      <c r="F28" s="23"/>
      <c r="G28" s="29" t="s">
        <v>22</v>
      </c>
      <c r="H28" s="29"/>
    </row>
    <row r="29" spans="1:8" ht="15">
      <c r="G29" s="29" t="s">
        <v>23</v>
      </c>
      <c r="H29" s="29"/>
    </row>
    <row r="30" spans="1:8" ht="15">
      <c r="G30" s="29" t="s">
        <v>1</v>
      </c>
      <c r="H30" s="29"/>
    </row>
  </sheetData>
  <mergeCells count="18">
    <mergeCell ref="A1:H1"/>
    <mergeCell ref="A2:C2"/>
    <mergeCell ref="G2:H2"/>
    <mergeCell ref="A3:A4"/>
    <mergeCell ref="B3:B4"/>
    <mergeCell ref="C3:E3"/>
    <mergeCell ref="G17:H17"/>
    <mergeCell ref="G18:H18"/>
    <mergeCell ref="G19:H19"/>
    <mergeCell ref="A20:H20"/>
    <mergeCell ref="A21:C21"/>
    <mergeCell ref="G21:H21"/>
    <mergeCell ref="A22:A23"/>
    <mergeCell ref="B22:B23"/>
    <mergeCell ref="C22:E22"/>
    <mergeCell ref="G28:H28"/>
    <mergeCell ref="G29:H29"/>
    <mergeCell ref="G30:H30"/>
  </mergeCells>
  <pageMargins left="0.24" right="0.16" top="0.75" bottom="0.75" header="0.3" footer="0.3"/>
  <pageSetup paperSize="9" orientation="landscape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22353195</vt:lpstr>
      <vt:lpstr>22350338</vt:lpstr>
      <vt:lpstr>22350311</vt:lpstr>
      <vt:lpstr>22353408</vt:lpstr>
      <vt:lpstr>'22350311'!Print_Area</vt:lpstr>
      <vt:lpstr>'22350338'!Print_Area</vt:lpstr>
      <vt:lpstr>'22353195'!Print_Area</vt:lpstr>
      <vt:lpstr>'22353408'!Print_Area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mail</dc:creator>
  <cp:lastModifiedBy>cloudconvert_20</cp:lastModifiedBy>
  <cp:lastPrinted>2022-09-30T10:57:42Z</cp:lastPrinted>
  <dcterms:created xsi:type="dcterms:W3CDTF">2012-09-20T07:51:02Z</dcterms:created>
  <dcterms:modified xsi:type="dcterms:W3CDTF">2026-01-27T12:11:34Z</dcterms:modified>
</cp:coreProperties>
</file>