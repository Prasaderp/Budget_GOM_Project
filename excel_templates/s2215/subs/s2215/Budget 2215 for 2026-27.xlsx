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24226"/>
  <mc:AlternateContent xmlns:mc="http://schemas.openxmlformats.org/markup-compatibility/2006">
    <mc:Choice Requires="x15">
      <x15ac:absPath xmlns:x15ac="http://schemas.microsoft.com/office/spreadsheetml/2010/11/ac" url="\\host.lan\Data\files\tasks\99608cab-643a-43a3-8d2b-eb838f4e5143\"/>
    </mc:Choice>
  </mc:AlternateContent>
  <xr:revisionPtr revIDLastSave="0" documentId="8_{8840DA78-B0C9-435C-A567-E84FF6C264E7}" xr6:coauthVersionLast="47" xr6:coauthVersionMax="47" xr10:uidLastSave="{00000000-0000-0000-0000-000000000000}"/>
  <bookViews>
    <workbookView xWindow="-120" yWindow="-120" windowWidth="19440" windowHeight="10440" activeTab="3"/>
  </bookViews>
  <sheets>
    <sheet name="155 217 271 315  2461" sheetId="1" r:id="rId1"/>
    <sheet name="Div com" sheetId="4" r:id="rId2"/>
    <sheet name="22450093 22452185" sheetId="3" r:id="rId3"/>
    <sheet name="2215A195 2215A201" sheetId="6" r:id="rId4"/>
    <sheet name="Div Com WS" sheetId="5" r:id="rId5"/>
  </sheets>
  <definedNames>
    <definedName name="_xlnm.Print_Area" localSheetId="0">'155 217 271 315  2461'!$A$1:$H$318</definedName>
    <definedName name="_xlnm.Print_Area" localSheetId="3">'2215A195 2215A201'!$A$1:$J$26</definedName>
    <definedName name="_xlnm.Print_Area" localSheetId="2">'22450093 22452185'!$A$1:$I$44</definedName>
    <definedName name="_xlnm.Print_Area" localSheetId="1">'Div com'!$A$1:$H$45</definedName>
    <definedName name="_xlnm.Print_Area" localSheetId="4">'Div Com WS'!$A$1:$I$15</definedName>
    <definedName name="_xlnm.Print_Titles" localSheetId="0">'155 217 271 315  2461'!$1:$6</definedName>
    <definedName name="_xlnm.Print_Titles" localSheetId="2">'22450093 22452185'!$1:$7</definedName>
    <definedName name="_xlnm.Print_Titles" localSheetId="1">'Div com'!$1:$6</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3" i="6" l="1"/>
  <c r="F9" i="5" s="1"/>
  <c r="C263" i="1"/>
  <c r="C34" i="4"/>
  <c r="I39" i="3"/>
  <c r="I40" i="3" s="1"/>
  <c r="I8" i="5" s="1"/>
  <c r="H39" i="3"/>
  <c r="H40" i="3" s="1"/>
  <c r="H8" i="5" s="1"/>
  <c r="C33" i="4"/>
  <c r="H253" i="1"/>
  <c r="H33" i="4"/>
  <c r="G253" i="1"/>
  <c r="G33" i="4" s="1"/>
  <c r="F253" i="1"/>
  <c r="F33" i="4"/>
  <c r="E253" i="1"/>
  <c r="E33" i="4" s="1"/>
  <c r="D253" i="1"/>
  <c r="D33" i="4"/>
  <c r="C253" i="1"/>
  <c r="E32" i="4"/>
  <c r="D31" i="4"/>
  <c r="C31" i="4"/>
  <c r="H232" i="1"/>
  <c r="H31" i="4"/>
  <c r="G232" i="1"/>
  <c r="G31" i="4"/>
  <c r="F232" i="1"/>
  <c r="F31" i="4"/>
  <c r="E232" i="1"/>
  <c r="E31" i="4" s="1"/>
  <c r="D232" i="1"/>
  <c r="C232" i="1"/>
  <c r="E15" i="1"/>
  <c r="E7" i="4"/>
  <c r="F313" i="1"/>
  <c r="F39" i="4"/>
  <c r="F303" i="1"/>
  <c r="F38" i="4"/>
  <c r="F293" i="1"/>
  <c r="F37" i="4" s="1"/>
  <c r="F283" i="1"/>
  <c r="F36" i="4" s="1"/>
  <c r="F273" i="1"/>
  <c r="F35" i="4" s="1"/>
  <c r="F263" i="1"/>
  <c r="F34" i="4"/>
  <c r="F243" i="1"/>
  <c r="F32" i="4"/>
  <c r="F223" i="1"/>
  <c r="F30" i="4" s="1"/>
  <c r="F214" i="1"/>
  <c r="F29" i="4"/>
  <c r="F205" i="1"/>
  <c r="F28" i="4"/>
  <c r="F196" i="1"/>
  <c r="F27" i="4"/>
  <c r="F187" i="1"/>
  <c r="F26" i="4"/>
  <c r="F178" i="1"/>
  <c r="F168" i="1"/>
  <c r="F24" i="4"/>
  <c r="F159" i="1"/>
  <c r="F23" i="4"/>
  <c r="F141" i="1"/>
  <c r="F132" i="1"/>
  <c r="F123" i="1"/>
  <c r="F19" i="4"/>
  <c r="F114" i="1"/>
  <c r="F18" i="4"/>
  <c r="F105" i="1"/>
  <c r="F17" i="4"/>
  <c r="F96" i="1"/>
  <c r="F16" i="4" s="1"/>
  <c r="F87" i="1"/>
  <c r="F15" i="4"/>
  <c r="F78" i="1"/>
  <c r="F14" i="4"/>
  <c r="F69" i="1"/>
  <c r="F13" i="4" s="1"/>
  <c r="F60" i="1"/>
  <c r="F321" i="1" s="1"/>
  <c r="F12" i="4"/>
  <c r="F51" i="1"/>
  <c r="F11" i="4" s="1"/>
  <c r="F42" i="1"/>
  <c r="F10" i="4"/>
  <c r="F33" i="1"/>
  <c r="F9" i="4"/>
  <c r="F24" i="1"/>
  <c r="F8" i="4" s="1"/>
  <c r="F15" i="1"/>
  <c r="F7" i="4"/>
  <c r="D313" i="1"/>
  <c r="D39" i="4" s="1"/>
  <c r="C313" i="1"/>
  <c r="C39" i="4"/>
  <c r="D303" i="1"/>
  <c r="D38" i="4"/>
  <c r="C303" i="1"/>
  <c r="C38" i="4"/>
  <c r="D293" i="1"/>
  <c r="C293" i="1"/>
  <c r="D283" i="1"/>
  <c r="C283" i="1"/>
  <c r="D273" i="1"/>
  <c r="C273" i="1"/>
  <c r="D263" i="1"/>
  <c r="D34" i="4"/>
  <c r="D243" i="1"/>
  <c r="D32" i="4"/>
  <c r="C243" i="1"/>
  <c r="C32" i="4"/>
  <c r="D223" i="1"/>
  <c r="D30" i="4"/>
  <c r="C223" i="1"/>
  <c r="C30" i="4"/>
  <c r="D214" i="1"/>
  <c r="C214" i="1"/>
  <c r="C29" i="4"/>
  <c r="D205" i="1"/>
  <c r="D28" i="4"/>
  <c r="C205" i="1"/>
  <c r="C28" i="4"/>
  <c r="D196" i="1"/>
  <c r="D27" i="4"/>
  <c r="C196" i="1"/>
  <c r="C27" i="4"/>
  <c r="D187" i="1"/>
  <c r="D26" i="4" s="1"/>
  <c r="C187" i="1"/>
  <c r="C26" i="4"/>
  <c r="D178" i="1"/>
  <c r="D25" i="4" s="1"/>
  <c r="C178" i="1"/>
  <c r="C25" i="4" s="1"/>
  <c r="D168" i="1"/>
  <c r="D24" i="4" s="1"/>
  <c r="C168" i="1"/>
  <c r="C24" i="4"/>
  <c r="D159" i="1"/>
  <c r="D23" i="4"/>
  <c r="C159" i="1"/>
  <c r="C23" i="4"/>
  <c r="D22" i="4"/>
  <c r="C150" i="1"/>
  <c r="C22" i="4" s="1"/>
  <c r="D141" i="1"/>
  <c r="D21" i="4"/>
  <c r="C141" i="1"/>
  <c r="C21" i="4"/>
  <c r="D132" i="1"/>
  <c r="D20" i="4"/>
  <c r="C132" i="1"/>
  <c r="C20" i="4" s="1"/>
  <c r="D123" i="1"/>
  <c r="D19" i="4"/>
  <c r="C123" i="1"/>
  <c r="D114" i="1"/>
  <c r="D18" i="4"/>
  <c r="C114" i="1"/>
  <c r="C18" i="4"/>
  <c r="D105" i="1"/>
  <c r="D17" i="4" s="1"/>
  <c r="C105" i="1"/>
  <c r="C17" i="4"/>
  <c r="D96" i="1"/>
  <c r="D16" i="4" s="1"/>
  <c r="C96" i="1"/>
  <c r="C16" i="4" s="1"/>
  <c r="D87" i="1"/>
  <c r="D15" i="4"/>
  <c r="C87" i="1"/>
  <c r="C15" i="4" s="1"/>
  <c r="D78" i="1"/>
  <c r="D14" i="4"/>
  <c r="C78" i="1"/>
  <c r="C14" i="4"/>
  <c r="D69" i="1"/>
  <c r="D13" i="4"/>
  <c r="C69" i="1"/>
  <c r="C13" i="4" s="1"/>
  <c r="D60" i="1"/>
  <c r="D12" i="4"/>
  <c r="C60" i="1"/>
  <c r="C12" i="4"/>
  <c r="D51" i="1"/>
  <c r="D11" i="4"/>
  <c r="C51" i="1"/>
  <c r="C11" i="4" s="1"/>
  <c r="D42" i="1"/>
  <c r="D10" i="4"/>
  <c r="C42" i="1"/>
  <c r="D33" i="1"/>
  <c r="D9" i="4"/>
  <c r="C33" i="1"/>
  <c r="C9" i="4"/>
  <c r="D24" i="1"/>
  <c r="D8" i="4"/>
  <c r="C24" i="1"/>
  <c r="C8" i="4"/>
  <c r="D15" i="1"/>
  <c r="D321" i="1" s="1"/>
  <c r="D7" i="4"/>
  <c r="C15" i="1"/>
  <c r="C321" i="1" s="1"/>
  <c r="C7" i="4"/>
  <c r="J19" i="6"/>
  <c r="J18" i="6"/>
  <c r="J17" i="6"/>
  <c r="J16" i="6"/>
  <c r="J15" i="6"/>
  <c r="J20" i="6" s="1"/>
  <c r="J12" i="6"/>
  <c r="J11" i="6"/>
  <c r="J10" i="6"/>
  <c r="J9" i="6"/>
  <c r="J8" i="6"/>
  <c r="J13" i="6" s="1"/>
  <c r="E13" i="6"/>
  <c r="E9" i="5"/>
  <c r="D13" i="6"/>
  <c r="D9" i="5"/>
  <c r="G39" i="3"/>
  <c r="G40" i="3" s="1"/>
  <c r="G8" i="5" s="1"/>
  <c r="G36" i="3"/>
  <c r="G33" i="3"/>
  <c r="G30" i="3"/>
  <c r="G27" i="3"/>
  <c r="G22" i="3"/>
  <c r="G19" i="3"/>
  <c r="G16" i="3"/>
  <c r="G23" i="3" s="1"/>
  <c r="G7" i="5" s="1"/>
  <c r="G13" i="3"/>
  <c r="G10" i="3"/>
  <c r="E39" i="3"/>
  <c r="D39" i="3"/>
  <c r="D40" i="3" s="1"/>
  <c r="D8" i="5" s="1"/>
  <c r="E36" i="3"/>
  <c r="D36" i="3"/>
  <c r="E33" i="3"/>
  <c r="E40" i="3" s="1"/>
  <c r="E8" i="5" s="1"/>
  <c r="D33" i="3"/>
  <c r="E30" i="3"/>
  <c r="D30" i="3"/>
  <c r="E27" i="3"/>
  <c r="D27" i="3"/>
  <c r="E22" i="3"/>
  <c r="D22" i="3"/>
  <c r="D23" i="3" s="1"/>
  <c r="D7" i="5" s="1"/>
  <c r="E19" i="3"/>
  <c r="D19" i="3"/>
  <c r="E16" i="3"/>
  <c r="E23" i="3" s="1"/>
  <c r="E7" i="5" s="1"/>
  <c r="D16" i="3"/>
  <c r="E13" i="3"/>
  <c r="D13" i="3"/>
  <c r="E10" i="3"/>
  <c r="D10" i="3"/>
  <c r="I20" i="6"/>
  <c r="I10" i="5"/>
  <c r="H20" i="6"/>
  <c r="H10" i="5"/>
  <c r="G20" i="6"/>
  <c r="G10" i="5"/>
  <c r="F20" i="6"/>
  <c r="F10" i="5"/>
  <c r="E20" i="6"/>
  <c r="E10" i="5" s="1"/>
  <c r="D20" i="6"/>
  <c r="D10" i="5"/>
  <c r="I13" i="6"/>
  <c r="I9" i="5" s="1"/>
  <c r="H13" i="6"/>
  <c r="H9" i="5" s="1"/>
  <c r="G13" i="6"/>
  <c r="G9" i="5"/>
  <c r="B7" i="6"/>
  <c r="A7" i="6"/>
  <c r="B5" i="6"/>
  <c r="A5" i="6"/>
  <c r="A1" i="6"/>
  <c r="H313" i="1"/>
  <c r="H39" i="4"/>
  <c r="G313" i="1"/>
  <c r="G39" i="4"/>
  <c r="E313" i="1"/>
  <c r="E39" i="4" s="1"/>
  <c r="H303" i="1"/>
  <c r="H38" i="4" s="1"/>
  <c r="G303" i="1"/>
  <c r="G38" i="4" s="1"/>
  <c r="E303" i="1"/>
  <c r="E38" i="4"/>
  <c r="H293" i="1"/>
  <c r="H37" i="4"/>
  <c r="G293" i="1"/>
  <c r="G37" i="4"/>
  <c r="E293" i="1"/>
  <c r="E37" i="4" s="1"/>
  <c r="D37" i="4"/>
  <c r="C37" i="4"/>
  <c r="H283" i="1"/>
  <c r="H36" i="4"/>
  <c r="G283" i="1"/>
  <c r="G36" i="4"/>
  <c r="E283" i="1"/>
  <c r="E36" i="4" s="1"/>
  <c r="D36" i="4"/>
  <c r="C36" i="4"/>
  <c r="H273" i="1"/>
  <c r="G273" i="1"/>
  <c r="G35" i="4"/>
  <c r="E273" i="1"/>
  <c r="H263" i="1"/>
  <c r="H34" i="4"/>
  <c r="G263" i="1"/>
  <c r="G34" i="4"/>
  <c r="E263" i="1"/>
  <c r="E34" i="4" s="1"/>
  <c r="E243" i="1"/>
  <c r="H243" i="1"/>
  <c r="H32" i="4" s="1"/>
  <c r="G243" i="1"/>
  <c r="G32" i="4" s="1"/>
  <c r="H223" i="1"/>
  <c r="H30" i="4"/>
  <c r="G223" i="1"/>
  <c r="G30" i="4"/>
  <c r="E223" i="1"/>
  <c r="E30" i="4"/>
  <c r="H214" i="1"/>
  <c r="H29" i="4"/>
  <c r="G214" i="1"/>
  <c r="G29" i="4"/>
  <c r="E214" i="1"/>
  <c r="E29" i="4"/>
  <c r="H205" i="1"/>
  <c r="H28" i="4" s="1"/>
  <c r="G205" i="1"/>
  <c r="G28" i="4" s="1"/>
  <c r="E205" i="1"/>
  <c r="E28" i="4" s="1"/>
  <c r="H196" i="1"/>
  <c r="H27" i="4"/>
  <c r="G196" i="1"/>
  <c r="G27" i="4"/>
  <c r="E196" i="1"/>
  <c r="E27" i="4"/>
  <c r="H187" i="1"/>
  <c r="H26" i="4"/>
  <c r="G187" i="1"/>
  <c r="G26" i="4"/>
  <c r="E187" i="1"/>
  <c r="E26" i="4"/>
  <c r="H178" i="1"/>
  <c r="H25" i="4" s="1"/>
  <c r="G178" i="1"/>
  <c r="G25" i="4"/>
  <c r="E178" i="1"/>
  <c r="H168" i="1"/>
  <c r="H24" i="4"/>
  <c r="G168" i="1"/>
  <c r="G24" i="4"/>
  <c r="E168" i="1"/>
  <c r="E24" i="4"/>
  <c r="H159" i="1"/>
  <c r="H23" i="4"/>
  <c r="G159" i="1"/>
  <c r="G23" i="4" s="1"/>
  <c r="E159" i="1"/>
  <c r="E23" i="4"/>
  <c r="H150" i="1"/>
  <c r="H22" i="4"/>
  <c r="G22" i="4"/>
  <c r="F22" i="4"/>
  <c r="E150" i="1"/>
  <c r="E22" i="4"/>
  <c r="I10" i="3"/>
  <c r="H10" i="3"/>
  <c r="H23" i="3" s="1"/>
  <c r="H7" i="5" s="1"/>
  <c r="F10" i="3"/>
  <c r="H141" i="1"/>
  <c r="H21" i="4" s="1"/>
  <c r="G141" i="1"/>
  <c r="G21" i="4" s="1"/>
  <c r="F21" i="4"/>
  <c r="E141" i="1"/>
  <c r="E21" i="4"/>
  <c r="H132" i="1"/>
  <c r="H20" i="4"/>
  <c r="G132" i="1"/>
  <c r="G20" i="4"/>
  <c r="F20" i="4"/>
  <c r="E132" i="1"/>
  <c r="E20" i="4"/>
  <c r="H123" i="1"/>
  <c r="H19" i="4"/>
  <c r="G123" i="1"/>
  <c r="G19" i="4" s="1"/>
  <c r="E123" i="1"/>
  <c r="E19" i="4" s="1"/>
  <c r="H114" i="1"/>
  <c r="H18" i="4"/>
  <c r="G114" i="1"/>
  <c r="G18" i="4"/>
  <c r="E114" i="1"/>
  <c r="E18" i="4"/>
  <c r="H105" i="1"/>
  <c r="H17" i="4"/>
  <c r="G105" i="1"/>
  <c r="G17" i="4"/>
  <c r="E105" i="1"/>
  <c r="E17" i="4" s="1"/>
  <c r="H96" i="1"/>
  <c r="H16" i="4"/>
  <c r="G96" i="1"/>
  <c r="G16" i="4" s="1"/>
  <c r="E96" i="1"/>
  <c r="E16" i="4"/>
  <c r="H87" i="1"/>
  <c r="H15" i="4"/>
  <c r="G87" i="1"/>
  <c r="G15" i="4"/>
  <c r="E87" i="1"/>
  <c r="E15" i="4"/>
  <c r="H78" i="1"/>
  <c r="H14" i="4"/>
  <c r="G78" i="1"/>
  <c r="G14" i="4"/>
  <c r="E78" i="1"/>
  <c r="E14" i="4" s="1"/>
  <c r="H69" i="1"/>
  <c r="H13" i="4"/>
  <c r="G69" i="1"/>
  <c r="G13" i="4"/>
  <c r="E69" i="1"/>
  <c r="E13" i="4"/>
  <c r="H60" i="1"/>
  <c r="H12" i="4"/>
  <c r="G60" i="1"/>
  <c r="G12" i="4"/>
  <c r="E60" i="1"/>
  <c r="E12" i="4"/>
  <c r="H51" i="1"/>
  <c r="H321" i="1" s="1"/>
  <c r="H11" i="4"/>
  <c r="G51" i="1"/>
  <c r="G11" i="4" s="1"/>
  <c r="E51" i="1"/>
  <c r="E11" i="4"/>
  <c r="H42" i="1"/>
  <c r="H10" i="4"/>
  <c r="G42" i="1"/>
  <c r="G10" i="4"/>
  <c r="E42" i="1"/>
  <c r="E10" i="4"/>
  <c r="H33" i="1"/>
  <c r="H9" i="4"/>
  <c r="G33" i="1"/>
  <c r="G9" i="4"/>
  <c r="E33" i="1"/>
  <c r="E321" i="1" s="1"/>
  <c r="E9" i="4"/>
  <c r="H24" i="1"/>
  <c r="H8" i="4" s="1"/>
  <c r="H40" i="4" s="1"/>
  <c r="G24" i="1"/>
  <c r="G8" i="4"/>
  <c r="E24" i="1"/>
  <c r="E8" i="4"/>
  <c r="H15" i="1"/>
  <c r="H7" i="4"/>
  <c r="G15" i="1"/>
  <c r="G321" i="1" s="1"/>
  <c r="G7" i="4"/>
  <c r="B7" i="4"/>
  <c r="B6" i="5"/>
  <c r="A6" i="5"/>
  <c r="B4" i="5"/>
  <c r="A4" i="5"/>
  <c r="A1" i="5"/>
  <c r="E35" i="4"/>
  <c r="F25" i="4"/>
  <c r="E25" i="4"/>
  <c r="C10" i="4"/>
  <c r="B15" i="4"/>
  <c r="F16" i="3"/>
  <c r="F23" i="3" s="1"/>
  <c r="F7" i="5" s="1"/>
  <c r="F22" i="3"/>
  <c r="B39" i="4"/>
  <c r="B37" i="4"/>
  <c r="B36" i="4"/>
  <c r="B35" i="4"/>
  <c r="D35" i="4"/>
  <c r="C35" i="4"/>
  <c r="C19" i="4"/>
  <c r="A1" i="3"/>
  <c r="A5" i="3"/>
  <c r="B5" i="3"/>
  <c r="A7" i="3"/>
  <c r="B7" i="3"/>
  <c r="F13" i="3"/>
  <c r="H13" i="3"/>
  <c r="I13" i="3"/>
  <c r="H16" i="3"/>
  <c r="I16" i="3"/>
  <c r="F19" i="3"/>
  <c r="H19" i="3"/>
  <c r="I19" i="3"/>
  <c r="H22" i="3"/>
  <c r="I22" i="3"/>
  <c r="I23" i="3" s="1"/>
  <c r="I7" i="5" s="1"/>
  <c r="F27" i="3"/>
  <c r="H27" i="3"/>
  <c r="I27" i="3"/>
  <c r="F30" i="3"/>
  <c r="H30" i="3"/>
  <c r="I30" i="3"/>
  <c r="F33" i="3"/>
  <c r="H33" i="3"/>
  <c r="I33" i="3"/>
  <c r="F36" i="3"/>
  <c r="H36" i="3"/>
  <c r="I36" i="3"/>
  <c r="F39" i="3"/>
  <c r="F40" i="3" s="1"/>
  <c r="F8" i="5" s="1"/>
  <c r="B10" i="4"/>
  <c r="B11" i="4"/>
  <c r="B12" i="4"/>
  <c r="B14" i="4"/>
  <c r="B16" i="4"/>
  <c r="B21" i="4"/>
  <c r="B24" i="4"/>
  <c r="B27" i="4"/>
  <c r="B30" i="4"/>
  <c r="B34" i="4"/>
  <c r="D29" i="4"/>
  <c r="H35" i="4"/>
  <c r="E40" i="4" l="1"/>
  <c r="E48" i="4" s="1"/>
  <c r="D40" i="4"/>
  <c r="F40" i="4"/>
  <c r="G40" i="4"/>
  <c r="C40" i="4"/>
</calcChain>
</file>

<file path=xl/sharedStrings.xml><?xml version="1.0" encoding="utf-8"?>
<sst xmlns="http://schemas.openxmlformats.org/spreadsheetml/2006/main" count="472" uniqueCount="92">
  <si>
    <t>मागणी क्र.सी- 6 2245 नैसर्गिक आपत्तीच्या निवारणासाठी सहाय्य</t>
  </si>
  <si>
    <t>कोकण विभाग</t>
  </si>
  <si>
    <t>अ. क्र</t>
  </si>
  <si>
    <t>लेखाशिर्ष</t>
  </si>
  <si>
    <t>02 पूर चक्रीवादळे इत्यादी, 101 अनुग्रह सहाय्य, (91) राज्य आपत्ती प्रतिसाद निधीच्या मानकानुसार खर्च, (91)(01) रोख भत्ता, मृत व्यक्तींच्या कुटुंबियांना सहाय्य व जखमींना मदत, 31 सहायक अनुदाने (वेतनेत्तर) (22450155)</t>
  </si>
  <si>
    <t>मुंबई शहर</t>
  </si>
  <si>
    <t>मुंबई उपनगर</t>
  </si>
  <si>
    <t>ठाणे</t>
  </si>
  <si>
    <t>रायगड</t>
  </si>
  <si>
    <t>रत्नागिरी</t>
  </si>
  <si>
    <t>सिंधुदुर्ग</t>
  </si>
  <si>
    <t>एकूण</t>
  </si>
  <si>
    <t>02 पूर चक्रीवादळे इत्यादी, 101 अनुग्रह सहाय्य, (91) राज्य आपत्ती प्रतिसाद निधीच्या मानकानुसार खर्च, (91)(02) राहत केंद्रामध्ये निवारा, अन्न, वस्त्र, औषधे इत्यादी चा पुरवठा, 31 सहायक अनुदाने (वेतनेत्तर) (22450217)</t>
  </si>
  <si>
    <t>02 पूर चक्रीवादळे इत्यादी, 113 घरांची दुरुस्ती/पुनर्बाधंणी यासाठी सहाय्य, (91) राज्य आपत्ती प्रतिसाद निधीच्या मानकानुसार खर्च, (91)(01) घरांची दुरुस्ती/पुर्नबांधणी यासाठी सहाय्य, 31 सहायक अनुदाने (वेतनेत्तर) (22450271)</t>
  </si>
  <si>
    <t>2 पूर चक्रीवादळे इत्यादी, 117 पशुधन खरेदीसाठी शेतक-यांना सहाय्य, (91) राज्य आपत्ती प्रतिसाद निधीच्या मानकानुसार खर्च, (91)(01) मृत जनावरां ऐवजी पशुधन खरेदीसाठी अल्प व अत्यल्प भूधारक शेतक-यांना सहाय्य, 31 सहायक अनुदाने (वेतनेत्तर) (22450315)</t>
  </si>
  <si>
    <t>प्रत्यक्ष रक्कमा (खर्च)</t>
  </si>
  <si>
    <t>अर्थसंकल्पीय अंदाजपत्रक</t>
  </si>
  <si>
    <t>2245-नैसर्गिक   आपत्तीच्या निवारणासाठी सहाय्य-01-अवर्षण-102-पिण्याच्या पाण्याचा पुरवठा, (91)(01)पिण्याच्या पाण्याचा आकस्मिक निकडीचा पुरवठा 31 सहाय्यक अनुदाने (वेतनेत्तर)(22450093 )</t>
  </si>
  <si>
    <t>पालघर</t>
  </si>
  <si>
    <t>उप आयुक्त (सामान्य) कोकण विभाग</t>
  </si>
  <si>
    <t>02 पूर चक्रीवादळे इत्यादी, 101 अनुग्रह सहाय्य, (91) राज्य आपत्ती प्रतिसाद निधीच्या मानका नुसार खर्च, (91)(05) पिक नुकसानीमुळे शेतक-यांना मदत, 31 सहाय्य अनुदाने (वेतनेत्तर) (22452452)</t>
  </si>
  <si>
    <t>सुधारीत अंदाजपत्रक मागणी</t>
  </si>
  <si>
    <t>02 पूर चक्रीवादळे इत्यादी, 101 अनुग्रह सहाय्य, (91) राज्य आपत्ती प्रतिसाद निधीच्या मानका नुसार खर्च, (91)(04) इतर बाबी 31 सहाय्यक अनुदाने (वेतनेत्तर)(22450244)</t>
  </si>
  <si>
    <t>02 पूर चक्रीवादळे इत्यादी, 101 अनुग्रह सहाय्य, (92) राज्य आपत्ती प्रतिसाद निधीच्या मानका व्यतिरीक्त खर्च, (91)(01) रोख भत्ता, मृत व्यक्तींच्या कुटुंबियांना सहाय्य व जखमींना मदत, 31 सहायक अनुदाने (वेतनेत्तर) (22452194)</t>
  </si>
  <si>
    <t>02 पूर चक्रीवादळे इत्यादी,  800 इतर खर्च, (92) राज्य आपत्ती प्रतिसाद निधीच्या मानकाव्यतिरीक्त खर्च (92)(01) इतर खर्च 31 सहाय्यक अनुदाने (वेतनत्तेर) (22452407) दत्तमत</t>
  </si>
  <si>
    <t>जिल्हा कार्यालय</t>
  </si>
  <si>
    <t>कोंकण विभाग</t>
  </si>
  <si>
    <t xml:space="preserve">02 पुर चक्रीवादळे इत्यादी, 91 राज्य आपत्ती प्रतिसाद निधीच्या मानकानुसार खर्च, (91) (01) हानी पोहचलेल्या होडया व मासेमारी साधनसामग्री यांची दुरुस्ती / ती नव्याने पुरवणे यासाठी सहाय्य (22450324) </t>
  </si>
  <si>
    <t>80 सर्वसाधारण, 800 इतर खर्च (91) राज्य आपत्ती प्रतिसाद निधीच्या मानकांनुसार खर्च (91)(01) शोध, बचाव कार्य, व लोकांना सुरक्षित स्थळी हलविण्यासाठी आपत्तीच्या प्रतिसादासाठी (संपर्कसाधनासह) खरेदी करावयाची साधनसामुग्री (आपत्ती प्रतिसाद निधीच्या 5 टक्के मर्यादेपर्यंत) 22452499 अंतर्गत, 31 सहाय्यक अनुदाने (वेतनेत्तर)</t>
  </si>
  <si>
    <t>(02) पूर चक्रीवादळे, इ. 101, अनुग्रह सहाय्य (92) राज्य आपत्ती प्रतिसाद निधीच्या मानका व्यतिरीक्त खर्च (92) (06) राहत केंद्रामध्ये निवारा, अन्न, वस्त्र, औषधे इत्यादींचा पुरवठा (22452247)</t>
  </si>
  <si>
    <t>02, पुर चक्रीवादळे इ.101, अनुग्रह सहाय्य (92) राज्य प्रतिसाद निधीच्या मानकानुसार खर्च (92) (12) पीक नुकसानीमुळे शेतक-यांना सहाय्य 31 सहाय्यक अनुदाने (वेतनेत्तर) (22452309)</t>
  </si>
  <si>
    <t>जिल्हाधिकारी ठाणे</t>
  </si>
  <si>
    <t>मुख्य कार्यकारी अधिकारी, जिल्हा परिषद ठाणे</t>
  </si>
  <si>
    <t>जिल्हाधिकारी पालघर</t>
  </si>
  <si>
    <t>मुख्य कार्यकारी अधिकारी, जिल्हा परिषद पालघर</t>
  </si>
  <si>
    <t>मुख्य कार्यकारी अधिकारी, जिल्हा परिषद रायगड</t>
  </si>
  <si>
    <t>जिल्हाधिकारी रत्नागिरी</t>
  </si>
  <si>
    <t>मुख्य कार्यकारी अधिकारी, जिल्हा परिषद रत्नागिरी</t>
  </si>
  <si>
    <t>जिल्हाधिकारी सिंधुदुर्ग</t>
  </si>
  <si>
    <t>मुख्य कार्यकारी अधिकारी, जिल्हा परिषद सिंधुदुर्ग</t>
  </si>
  <si>
    <t>2245-नैसर्गिक   आपत्तीच्या निवारणा साठी सहाय्य-01- अवर्षण- 102-पिण्याच्या पाण्याचा पुरवठा, (92))(01) पिण्याच्या पाण्याचा आकस्मिक निकडीचा पुरवठा 31 सहाय्यक अनुदाने (वेतनेत्तर) (22452185 )</t>
  </si>
  <si>
    <t>06 भूकंप, 101 अनग्रह सहाय्य, (91) राज्य आपत्ती प्रतिसाद निधीच्या मानकानुसार खर्च (91) (01) भूकंपग्रस्तांसाठी सहाय्य, 31 सहाय्यक अनुदाने (वेतनेत्तर) (22452472)</t>
  </si>
  <si>
    <t>मागणी क्र.सी-6, 2245 नैसर्गिक आपत्तीच्या निवारणासाठी सहाय्य, 02 पुर चक्रीवादळे इ., 119 हानी पोहोचलेली हत्यारे व साधनसामग्री यांची दुरुस्ती/ती नव्याने पुरविणे यासाठी हस्तकला/हातमाग कारागिराना सहाय्य, (91) राज्य आपत्ती प्रतिसाद निधीच्या मानका नुसार खर्च, (91) (01) हानी पोहोचलेली हत्यारे व साधनसामग्री यांची दुरुस्ती/ती नव्याने पुरविणे तसेच कच्चा प्रक्रीयाधीन तयार मालाच्या नुकसानीसाठी कारागिराना सहाय्य, 31 सहायक अनुदाने (वेतनेत्तर) (22450333)</t>
  </si>
  <si>
    <t>जिल्हा- ठाणे</t>
  </si>
  <si>
    <t>जिल्हा पालघर</t>
  </si>
  <si>
    <t>जिल्हा रायगड</t>
  </si>
  <si>
    <t>जिल्हा रत्नागिरी</t>
  </si>
  <si>
    <t>जिल्हा सिंधुदुर्ग</t>
  </si>
  <si>
    <t>एकूण-कोकण विभाग</t>
  </si>
  <si>
    <t>02 पूर चक्रीवादळे इत्यादी, 101 अनुग्रह सहाय्य, (91) राज्य आपत्ती प्रतिसाद निधीच्या मानका नुसार खर्च, (91)(06) नैसर्गिक आपत्तीमुळे अनुज्ञेय विभागातील आपत्ती्‌ग्रस्त पायाभूत सुविधांच्या तातडीच्या स्वरुपाच्या दुरुस्ती / पुर्नस्थापनेसाठी खर्च,31सहायक अनुदाने(वेतनेत्तर)(22452461)</t>
  </si>
  <si>
    <t>2022-2023</t>
  </si>
  <si>
    <t>02 पूर चक्रीवादळे इत्यादी, 101 अनुग्रह सहाय्य, (91) राज्य आपत्ती प्रतिसाद निधीच्या मानका नुसार खर्च, (91)(04) इतर बाबी 31 सहाय्यक अनुदाने (वेतनेत्तर)  (22454141) COVID-19</t>
  </si>
  <si>
    <t xml:space="preserve">80 सर्व साधारण (01) (01) महाराष्ट्र राज्य आपत्ती व्यवस्थापन प्राधिकरणाचे कार्यालय स्थापन करणे व फर्निचर व साधन सामुग्रीसह सुसज्जीकरण करणे (2245 1761) 11-देशांतर्गत प्रवास खर्च </t>
  </si>
  <si>
    <t xml:space="preserve">80 सर्व साधारण (01) (01) महाराष्ट्र राज्य आपत्ती व्यवस्थापन प्राधिकरणाचे कार्यालय स्थापन करणे व फर्निचर व साधन सामुग्रीसह सुसज्जीकरण करणे (2245 1761) 21-पुरवठा व सामुग्री </t>
  </si>
  <si>
    <t>80 सर्व साधारण (01) (01) महाराष्ट्र राज्य आपत्ती व्यवस्थापन प्राधिकरणाचे कार्यालय स्थापन करणे व फर्निचर व साधन सामुग्रीसह सुसज्जीकरण करणे (2245 1761) 27-लहान बांधकामे</t>
  </si>
  <si>
    <t>80 सर्व साधारण (01) (01) महाराष्ट्र राज्य आपत्ती व्यवस्थापन प्राधिकरणाचे कार्यालय स्थापन करणे व फर्निचर व साधन सामुग्रीसह सुसज्जीकरण करणे (2245 1761) 52-यंत्र सामुग्री</t>
  </si>
  <si>
    <t>02 पूर चक्रीवादळे इत्यादी, 115 जमिनीतील वाळू , चिकणमाती व क्षार काढून टाकण्यासाठी शेतकरी यांना सहाय्य (91) राज्य आपत्ती प्रतिसाद निधीच्या मानकानुसार खर्च, (91)(01) शेतकरी यांना जमिनीतील वाळू , चिकणमाती व क्षार काढून टाकण्यासाठी  सहाय्य डोंगराळ भागातील शेतीवरील गाळ काढणे,  मत्स्य संवर्धन क्षेत्रातील गाळ काढणे व ती पुर्ववत करुन त्याची दुरुस्ती करणे, 31 सहायक अनुदाने (वेतनेत्तर) 22450291</t>
  </si>
  <si>
    <t>02 पुर चक्रीवादळे इ.,113 घरांची दुरुस्ती/पुनर्बांधणी यासाठी सहाय्य, (92) राज्य आपत्ती प्रतिसाद निधीच्या मानका व्यतिरीक्त खर्च, (92) (01) घरांची दुरुस्ती/पुनर्बांधणी यासाठी सहाय्य, 31 सहायक अनुदाने (वेतनेत्तर) (22452327)</t>
  </si>
  <si>
    <t>02 पुर चक्रीवादळे इ., 119 हानी पोहोचलेली हत्यारे व साधनसामग्री यांची दुरुस्ती/ती नव्याने पुरविणे यासाठी हस्तकला/हातमाग कारागिराना सहाय्य, (91) राज्य आपत्ती प्रतिसाद निधीच्या मानका व्यतिरिक्त खर्च, (91) (01) हानी पोहोचलेली हत्यारे व साधनसामग्री यांची दुरुस्ती/ती नव्याने पुरविणे तसेच कच्चा प्रक्रीयाधीन तयार मालाच्या नुकसानीसाठी कारागिराना सहाय्य, 31 सहायक अनुदाने (वेतनेत्तर) (22452381)</t>
  </si>
  <si>
    <t>2023-2024</t>
  </si>
  <si>
    <t xml:space="preserve"> 02 पुर चक्रीवादळे इ., 101 अनुग्रह सहाय्य (93) इतर (03) पुरामुळे बाधीत झालेल्या व्यक्तींच्या पुनर्वसनाकरीता रस्ते व घरे इत्यादी बांधकामासाठी संपादन केलेल्या/अधिग्रहित केलेल्या जमिनी बद्दल नुकसान भरपाई देणे (अनिवार्य)31, सहायक अनुदाने (वेतनेत्तर) (22450182)</t>
  </si>
  <si>
    <t xml:space="preserve"> 02 पुर चक्रीवादळे इ., 101 अनुग्रह सहाय्य (93) इतर (03) पुरामुळे बाधीत झालेल्या व्यक्तींच्या गृहनिर्माणासाठी‍ जमिनीचा विकास करण्यावरील खर्च (अनिवार्य)31, सहायक अनुदाने (वेतनेत्तर) (22450191)</t>
  </si>
  <si>
    <t>02 पुर चक्रीवादळे इ., 101 अनुग्रह सहाय्य (93) इतर (03) पुरामुळे बाधीत झालेल्या व्यक्तींच्या पुनर्वसनाकरीता रस्ते, पाणी पुरवठा, शाळा, चावडी, विद्युत पुरवठा इत्यादी नागरी सुविंधावरील खर्च (अनिवार्य)31, सहायक अनुदाने (वेतनेत्तर) (22450988)</t>
  </si>
  <si>
    <t>02 पूर चक्रीवादळे इत्यादी, 117 पशुधन खरेदीसाठी शेतकरी यांना सहाय्य, (92) राज्य आपत्ती प्रतिसाद निधीच्या मानका व्यतिरीक्त खर्च, (92)(01) मृत जनावरांऐवजी पशुधन खरेदीसाठी अल्प व अत्यल्प भूधारक शेतकरी यांना सहाय्य, 31 सहायक अनुदाने  (22452363)</t>
  </si>
  <si>
    <t xml:space="preserve"> 02, पूर चक्रीवादळे इ., 118 हानी पोहोचलेल्या होडया व मासेमारी साधनसामग्री यांची दुरुस्ती / ती नव्याने पुरविणे यासाठी सहाय्य (92) राज्य आपत्ती प्रतिसाद निधीच्या मानकाव्यतिरिक्त खर्च (92) (01) हानी पोहोचलेल्या होडया व मासेमारी साधनसामग्री यांची दुरुस्ती / ती नव्याने पुरविणे  तसेच मासे बियाणे यासाठी सहाय्य, 31 सहायक अनुदाने (वेतनेत्तर) (22452372)</t>
  </si>
  <si>
    <t xml:space="preserve">01 अवर्षण, (91)राज्य आपत्ती प्रतिसाद निधीच्या मानकांनुसार खर्च (91)(05) पीक नुकसानीमुळे शेतक-यांना मदत (22452434), 31 सहाय्यक अनुदाने </t>
  </si>
  <si>
    <t xml:space="preserve"> 80 सर्वसाधारण-पंचवार्षिक योजनांतर्गत योजना राज्य योजनांतर्गत योजना-001 संचालन व प्रशासन (01) महाराष्ट्र राज्य आपत्ती व्यवस्थापन प्राधिकरणाचे कार्यालय स्थापन करणे व फर्निचर,साधनसामुग्रीसह सुसज्जीकरण करणे 22451761-10 - कंत्राटीसेवा </t>
  </si>
  <si>
    <t xml:space="preserve"> 80 सर्वसाधारण-पंचवार्षिक योजनांतर्गत योजना-राज्य योजनांतर्गत योजना-001 संचालन व प्रशासन-(01) महाराष्ट्र राज्य आपत्ती व्यवस्थापन प्राधिकरणाचे कार्यालय स्थापन करणे व फर्निचर,साधनसामुग्रीसह सुसज्जीकरण करणे 22451761-31, सहायक अनुदाने </t>
  </si>
  <si>
    <t>मागणी क्र.वाय-2, मुख्यलेखाशीर्ष 2215 पाणी पुरवठा व स्वच्छता, 01, पाणी पुरवठा, 196 जिल्हा परिषद पंचायत / संस्थाना सहाय्य, 02 जिल्हा परिषदांना अनुदान, (02) (03) आकस्मिक पिण्याच्या पाण्याच्या टंचाई निवारणार्थ घेण्यात येणा-या तात्पुरत्या उपाय योजनांसाठी जिल्हा परिषदांना सहाय्यक अनुदान (अनिवार्य), 31, सहाय्यक अनुदाने (वेतनेत्तर) (2215 ए 195)</t>
  </si>
  <si>
    <t>(व्हि.एम.गाडे)</t>
  </si>
  <si>
    <t>सहाय्यक संचालक(लेखा)</t>
  </si>
  <si>
    <t xml:space="preserve"> कोकण विभाग</t>
  </si>
  <si>
    <t>कार्यालय / विभाग</t>
  </si>
  <si>
    <t>2215A195</t>
  </si>
  <si>
    <t>मागणी क्र.सी- 6, 2245 आणि मागणी क्र.वाय-2, 2215 अंतर्गत पाणी टंचाई निवारणासाठी सहाय्य</t>
  </si>
  <si>
    <t>01 अवर्षण, (91)राज्य आपत्ती प्रतिसाद निधीच्या मानकांनुसार खर्च (91)(05) पीक नुकसानीमुळे शेतक-यांना मदत (22452434), 31 सहाय्यक अनुदाने</t>
  </si>
  <si>
    <t>2215A201 (शहरी भागासाठी) पाणी टंचाई</t>
  </si>
  <si>
    <t>जिल्हाधिकारी रायगड</t>
  </si>
  <si>
    <t>तरतूद अधिक (+)  कमी(-)</t>
  </si>
  <si>
    <t>2024-2025</t>
  </si>
  <si>
    <t>मागणी क्र.वाय-2, 2215 अंतर्गत पाणी टंचाई निवारणासाठी सहाय्य</t>
  </si>
  <si>
    <t>2215A201</t>
  </si>
  <si>
    <t xml:space="preserve">मागणी क्र.सी-6,नैसर्गिक आपत्तीच्या निवारणासाठी सहाय्य, 80 सर्व साधारण 102 आपत्तीप्रवण क्षेत्रामध्ये नैसर्गिक आपत्कालीन परिस्थितीबाबतच्या तातडीच्या योजनांचे व्यवस्थापन करणे (06) चक्रीवादळ रोधक बांधकाम करणे (06) (01) चक्रीवादळ रोधक बांधकाम करणे (75 टक्के केंद्र हिस्सा) (कार्यक्रम) (22452603) 31 सहाय्यक अनुदाने (वेतनेत्तर) </t>
  </si>
  <si>
    <t xml:space="preserve"> (91) (01) पूर्व तयारी व क्षमता बांधणी (वित्त आयोग) (अनिवार्य)  (2245 4188) 31 सहायक अनुदाने </t>
  </si>
  <si>
    <t>(आकडे लाखात)</t>
  </si>
  <si>
    <t>2025-2026</t>
  </si>
  <si>
    <t>2026-2027</t>
  </si>
  <si>
    <t>अर्थसंकल्पीय अंदाजपत्रक सन 2026-2027</t>
  </si>
  <si>
    <t>(दिपक काटे)</t>
  </si>
  <si>
    <t xml:space="preserve">                                                                                 दिपक काटे</t>
  </si>
  <si>
    <t xml:space="preserve">        कोकण विभाग</t>
  </si>
  <si>
    <t xml:space="preserve">   सहाय्यक संचालक(लेखा)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</si>
</sst>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00"/>
  </numFmts>
  <fonts count="18">
    <font>
      <sz val="10"/>
      <name val="Arial"/>
    </font>
    <font>
      <sz val="8"/>
      <name val="Arial"/>
      <family val="2"/>
    </font>
    <font>
      <sz val="11"/>
      <name val="DVB-TTYogeshEN"/>
      <family val="5"/>
    </font>
    <font>
      <sz val="11"/>
      <color indexed="8"/>
      <name val="DVOT-Surekh"/>
    </font>
    <font>
      <sz val="11"/>
      <name val="DVOT-Surekh"/>
    </font>
    <font>
      <b/>
      <sz val="11"/>
      <name val="DVOT-Surekh"/>
    </font>
    <font>
      <sz val="10"/>
      <color indexed="8"/>
      <name val="DVOT-Surekh"/>
    </font>
    <font>
      <b/>
      <sz val="11"/>
      <color indexed="8"/>
      <name val="DVOT-Surekh"/>
    </font>
    <font>
      <b/>
      <sz val="8"/>
      <name val="DVOT-Surekh"/>
    </font>
    <font>
      <sz val="10"/>
      <name val="DVOT-Surekh"/>
    </font>
    <font>
      <b/>
      <sz val="12"/>
      <name val="DVOT-Surekh"/>
    </font>
    <font>
      <sz val="11"/>
      <color theme="1"/>
      <name val="DVOT-Surekh"/>
    </font>
    <font>
      <b/>
      <sz val="10"/>
      <color theme="1"/>
      <name val="DVOT-Surekh"/>
    </font>
    <font>
      <b/>
      <sz val="12"/>
      <color theme="1"/>
      <name val="DVOT-Surekh"/>
    </font>
    <font>
      <sz val="11"/>
      <color rgb="FFFF0000"/>
      <name val="DVB-TTYogeshEN"/>
      <family val="5"/>
    </font>
    <font>
      <sz val="11"/>
      <color theme="5"/>
      <name val="DVB-TTYogeshEN"/>
      <family val="5"/>
    </font>
    <font>
      <sz val="11"/>
      <color rgb="FFC00000"/>
      <name val="DVB-TTYogeshEN"/>
      <family val="5"/>
    </font>
    <font>
      <b/>
      <sz val="11"/>
      <color theme="1"/>
      <name val="DVOT-Surekh"/>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6">
    <xf numFmtId="0" fontId="0" fillId="0" borderId="0" xfId="0"/>
    <xf numFmtId="0" fontId="2" fillId="2" borderId="0" xfId="0" applyFont="1" applyFill="1" applyAlignment="1">
      <alignment vertical="top"/>
    </xf>
    <xf numFmtId="0" fontId="3" fillId="2" borderId="1" xfId="0" applyFont="1" applyFill="1" applyBorder="1" applyAlignment="1">
      <alignment horizontal="center" vertical="top"/>
    </xf>
    <xf numFmtId="172" fontId="3" fillId="2" borderId="2" xfId="0" applyNumberFormat="1" applyFont="1" applyFill="1" applyBorder="1" applyAlignment="1">
      <alignment horizontal="right" vertical="top"/>
    </xf>
    <xf numFmtId="172" fontId="4" fillId="2" borderId="1" xfId="0" applyNumberFormat="1" applyFont="1" applyFill="1" applyBorder="1" applyAlignment="1">
      <alignment vertical="top"/>
    </xf>
    <xf numFmtId="172" fontId="4" fillId="2" borderId="2" xfId="0" applyNumberFormat="1" applyFont="1" applyFill="1" applyBorder="1" applyAlignment="1">
      <alignment vertical="top"/>
    </xf>
    <xf numFmtId="0" fontId="4" fillId="2" borderId="0" xfId="0" applyFont="1" applyFill="1"/>
    <xf numFmtId="0" fontId="3" fillId="2" borderId="3" xfId="0" applyFont="1" applyFill="1" applyBorder="1" applyAlignment="1">
      <alignment horizontal="center" vertical="top"/>
    </xf>
    <xf numFmtId="0" fontId="4" fillId="2" borderId="0" xfId="0" applyFont="1" applyFill="1" applyAlignment="1">
      <alignment vertical="top"/>
    </xf>
    <xf numFmtId="0" fontId="4" fillId="2" borderId="3" xfId="0" applyFont="1" applyFill="1" applyBorder="1" applyAlignment="1">
      <alignment vertical="top" wrapText="1"/>
    </xf>
    <xf numFmtId="0" fontId="4" fillId="2" borderId="2" xfId="0" applyFont="1" applyFill="1" applyBorder="1" applyAlignment="1">
      <alignment vertical="top"/>
    </xf>
    <xf numFmtId="0" fontId="4" fillId="2" borderId="1" xfId="0" applyFont="1" applyFill="1" applyBorder="1" applyAlignment="1">
      <alignment vertical="top" wrapText="1"/>
    </xf>
    <xf numFmtId="0" fontId="4" fillId="2" borderId="2" xfId="0" applyFont="1" applyFill="1" applyBorder="1" applyAlignment="1">
      <alignment horizontal="center" vertical="top" wrapText="1"/>
    </xf>
    <xf numFmtId="0" fontId="11" fillId="2" borderId="1" xfId="0" applyFont="1" applyFill="1" applyBorder="1" applyAlignment="1">
      <alignment vertical="top" wrapText="1"/>
    </xf>
    <xf numFmtId="0" fontId="11" fillId="2" borderId="0" xfId="0" applyFont="1" applyFill="1" applyBorder="1" applyAlignment="1">
      <alignment horizontal="left" vertical="top"/>
    </xf>
    <xf numFmtId="0" fontId="2" fillId="2" borderId="1" xfId="0" applyFont="1" applyFill="1" applyBorder="1" applyAlignment="1">
      <alignment vertical="top"/>
    </xf>
    <xf numFmtId="0" fontId="2" fillId="2" borderId="4" xfId="0" applyFont="1" applyFill="1" applyBorder="1" applyAlignment="1">
      <alignment vertical="top"/>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172" fontId="4" fillId="2" borderId="1" xfId="0" applyNumberFormat="1" applyFont="1" applyFill="1" applyBorder="1" applyAlignment="1">
      <alignment horizontal="right" vertical="center"/>
    </xf>
    <xf numFmtId="172" fontId="4" fillId="2" borderId="5" xfId="0" applyNumberFormat="1" applyFont="1" applyFill="1" applyBorder="1" applyAlignment="1">
      <alignment vertical="top"/>
    </xf>
    <xf numFmtId="0" fontId="4" fillId="2" borderId="1" xfId="0" applyFont="1" applyFill="1" applyBorder="1" applyAlignment="1">
      <alignment horizontal="center" vertical="top" wrapText="1"/>
    </xf>
    <xf numFmtId="172" fontId="4" fillId="2" borderId="0" xfId="0" applyNumberFormat="1" applyFont="1" applyFill="1" applyAlignment="1">
      <alignment vertical="top"/>
    </xf>
    <xf numFmtId="0" fontId="4" fillId="2" borderId="1" xfId="0" applyFont="1" applyFill="1" applyBorder="1"/>
    <xf numFmtId="172" fontId="4" fillId="2" borderId="1" xfId="0" applyNumberFormat="1" applyFont="1" applyFill="1" applyBorder="1"/>
    <xf numFmtId="0" fontId="12" fillId="2" borderId="0" xfId="0" applyFont="1" applyFill="1" applyBorder="1" applyAlignment="1">
      <alignment vertical="top"/>
    </xf>
    <xf numFmtId="0" fontId="4" fillId="2" borderId="1" xfId="0" applyFont="1" applyFill="1" applyBorder="1" applyAlignment="1">
      <alignment horizontal="center" vertical="top"/>
    </xf>
    <xf numFmtId="0" fontId="4" fillId="2" borderId="3" xfId="0" applyFont="1" applyFill="1" applyBorder="1" applyAlignment="1">
      <alignment horizontal="center" vertical="top"/>
    </xf>
    <xf numFmtId="0" fontId="4" fillId="2" borderId="5" xfId="0" applyFont="1" applyFill="1" applyBorder="1" applyAlignment="1">
      <alignment horizontal="center" vertical="top"/>
    </xf>
    <xf numFmtId="0" fontId="3" fillId="2" borderId="1" xfId="0" applyFont="1" applyFill="1" applyBorder="1" applyAlignment="1">
      <alignment horizontal="center" vertical="top" wrapText="1"/>
    </xf>
    <xf numFmtId="0" fontId="4" fillId="2" borderId="5" xfId="0" applyFont="1" applyFill="1" applyBorder="1" applyAlignment="1">
      <alignment horizontal="justify" vertical="top" wrapText="1"/>
    </xf>
    <xf numFmtId="0" fontId="4" fillId="2" borderId="5" xfId="0" applyFont="1" applyFill="1" applyBorder="1" applyAlignment="1">
      <alignment vertical="top"/>
    </xf>
    <xf numFmtId="0" fontId="4" fillId="2" borderId="5" xfId="0" applyFont="1" applyFill="1" applyBorder="1" applyAlignment="1">
      <alignment horizontal="center" vertical="top" wrapText="1"/>
    </xf>
    <xf numFmtId="172" fontId="4" fillId="2" borderId="3" xfId="0" applyNumberFormat="1" applyFont="1" applyFill="1" applyBorder="1" applyAlignment="1">
      <alignment vertical="top"/>
    </xf>
    <xf numFmtId="172" fontId="4" fillId="2" borderId="1" xfId="0" applyNumberFormat="1" applyFont="1" applyFill="1" applyBorder="1" applyAlignment="1">
      <alignment horizontal="right" vertical="top"/>
    </xf>
    <xf numFmtId="0" fontId="11" fillId="2" borderId="1" xfId="0" applyFont="1" applyFill="1" applyBorder="1" applyAlignment="1">
      <alignment horizontal="center" vertical="top" wrapText="1"/>
    </xf>
    <xf numFmtId="0" fontId="11" fillId="2" borderId="1" xfId="0" applyFont="1" applyFill="1" applyBorder="1" applyAlignment="1">
      <alignment horizontal="center" vertical="top"/>
    </xf>
    <xf numFmtId="172" fontId="11" fillId="2" borderId="1" xfId="0" applyNumberFormat="1" applyFont="1" applyFill="1" applyBorder="1" applyAlignment="1">
      <alignment horizontal="right" vertical="top"/>
    </xf>
    <xf numFmtId="0" fontId="11" fillId="2" borderId="3" xfId="0" applyFont="1" applyFill="1" applyBorder="1" applyAlignment="1">
      <alignment horizontal="left" vertical="top" wrapText="1"/>
    </xf>
    <xf numFmtId="172" fontId="11" fillId="2" borderId="4" xfId="0" applyNumberFormat="1" applyFont="1" applyFill="1" applyBorder="1" applyAlignment="1">
      <alignment horizontal="right" vertical="top"/>
    </xf>
    <xf numFmtId="0" fontId="11" fillId="2" borderId="1" xfId="0" applyNumberFormat="1" applyFont="1" applyFill="1" applyBorder="1" applyAlignment="1">
      <alignment horizontal="justify" vertical="top" wrapText="1"/>
    </xf>
    <xf numFmtId="0" fontId="11" fillId="2" borderId="1" xfId="0" applyNumberFormat="1" applyFont="1" applyFill="1" applyBorder="1" applyAlignment="1">
      <alignment vertical="top" wrapText="1"/>
    </xf>
    <xf numFmtId="172" fontId="11" fillId="2" borderId="1" xfId="0" applyNumberFormat="1" applyFont="1" applyFill="1" applyBorder="1" applyAlignment="1">
      <alignment vertical="top"/>
    </xf>
    <xf numFmtId="172" fontId="11" fillId="2" borderId="0" xfId="0" applyNumberFormat="1" applyFont="1" applyFill="1" applyBorder="1" applyAlignment="1">
      <alignment vertical="top"/>
    </xf>
    <xf numFmtId="172" fontId="11" fillId="2" borderId="0" xfId="0" applyNumberFormat="1" applyFont="1" applyFill="1" applyBorder="1" applyAlignment="1">
      <alignment horizontal="right" vertical="top"/>
    </xf>
    <xf numFmtId="0" fontId="11" fillId="2" borderId="0" xfId="0" applyFont="1" applyFill="1" applyAlignment="1">
      <alignment vertical="top"/>
    </xf>
    <xf numFmtId="0" fontId="11" fillId="2" borderId="3" xfId="0" applyFont="1" applyFill="1" applyBorder="1" applyAlignment="1">
      <alignment horizontal="center" vertical="top"/>
    </xf>
    <xf numFmtId="0" fontId="11" fillId="2" borderId="4" xfId="0" applyNumberFormat="1" applyFont="1" applyFill="1" applyBorder="1" applyAlignment="1">
      <alignment vertical="top" wrapText="1"/>
    </xf>
    <xf numFmtId="0" fontId="11" fillId="2" borderId="0" xfId="0" applyFont="1" applyFill="1" applyBorder="1" applyAlignment="1">
      <alignment horizontal="center" vertical="top"/>
    </xf>
    <xf numFmtId="0" fontId="11" fillId="2" borderId="0" xfId="0" applyFont="1" applyFill="1" applyAlignment="1">
      <alignment horizontal="center" vertical="top"/>
    </xf>
    <xf numFmtId="172" fontId="11" fillId="2" borderId="0" xfId="0" applyNumberFormat="1" applyFont="1" applyFill="1" applyAlignment="1">
      <alignment vertical="top"/>
    </xf>
    <xf numFmtId="0" fontId="13" fillId="2" borderId="0" xfId="0" applyFont="1" applyFill="1" applyAlignment="1">
      <alignment horizontal="center" vertical="top"/>
    </xf>
    <xf numFmtId="0" fontId="4" fillId="2" borderId="6" xfId="0" applyFont="1" applyFill="1" applyBorder="1" applyAlignment="1">
      <alignment horizontal="center"/>
    </xf>
    <xf numFmtId="0" fontId="4" fillId="2" borderId="0" xfId="0" applyFont="1" applyFill="1" applyBorder="1" applyAlignment="1">
      <alignment horizontal="center"/>
    </xf>
    <xf numFmtId="2" fontId="3" fillId="2" borderId="1" xfId="0" applyNumberFormat="1" applyFont="1" applyFill="1" applyBorder="1" applyAlignment="1">
      <alignment horizontal="right" vertical="top"/>
    </xf>
    <xf numFmtId="2" fontId="3" fillId="2" borderId="2" xfId="0" applyNumberFormat="1" applyFont="1" applyFill="1" applyBorder="1" applyAlignment="1">
      <alignment horizontal="right" vertical="top"/>
    </xf>
    <xf numFmtId="2" fontId="4" fillId="2" borderId="0" xfId="0" applyNumberFormat="1" applyFont="1" applyFill="1"/>
    <xf numFmtId="2" fontId="3" fillId="2" borderId="4" xfId="0" applyNumberFormat="1" applyFont="1" applyFill="1" applyBorder="1" applyAlignment="1">
      <alignment horizontal="right" vertical="top"/>
    </xf>
    <xf numFmtId="2" fontId="3" fillId="2" borderId="7" xfId="0" applyNumberFormat="1" applyFont="1" applyFill="1" applyBorder="1" applyAlignment="1">
      <alignment horizontal="right" vertical="top"/>
    </xf>
    <xf numFmtId="172" fontId="6" fillId="0" borderId="1" xfId="0" applyNumberFormat="1" applyFont="1" applyBorder="1" applyAlignment="1">
      <alignment horizontal="center" vertical="top" wrapText="1"/>
    </xf>
    <xf numFmtId="0" fontId="14" fillId="2" borderId="0" xfId="0" applyFont="1" applyFill="1" applyAlignment="1">
      <alignment vertical="top"/>
    </xf>
    <xf numFmtId="0" fontId="13" fillId="2" borderId="0" xfId="0" applyFont="1" applyFill="1" applyAlignment="1">
      <alignment horizontal="center" vertical="top"/>
    </xf>
    <xf numFmtId="0" fontId="4" fillId="2" borderId="1" xfId="0" applyFont="1" applyFill="1" applyBorder="1" applyAlignment="1">
      <alignment horizontal="left" vertical="top" wrapText="1"/>
    </xf>
    <xf numFmtId="0" fontId="15" fillId="2" borderId="0" xfId="0" applyFont="1" applyFill="1" applyAlignment="1">
      <alignment vertical="top"/>
    </xf>
    <xf numFmtId="172" fontId="4" fillId="2" borderId="1" xfId="0" applyNumberFormat="1" applyFont="1" applyFill="1" applyBorder="1" applyAlignment="1">
      <alignment vertical="center" wrapText="1"/>
    </xf>
    <xf numFmtId="0" fontId="16" fillId="2" borderId="0" xfId="0" applyFont="1" applyFill="1" applyAlignment="1">
      <alignment vertical="top"/>
    </xf>
    <xf numFmtId="0" fontId="13" fillId="2" borderId="0" xfId="0" applyFont="1" applyFill="1" applyAlignment="1">
      <alignment horizontal="right" vertical="top"/>
    </xf>
    <xf numFmtId="0" fontId="13" fillId="2" borderId="0" xfId="0" applyFont="1" applyFill="1" applyAlignment="1">
      <alignment vertical="top"/>
    </xf>
    <xf numFmtId="0" fontId="4" fillId="2" borderId="1" xfId="0" applyFont="1" applyFill="1" applyBorder="1" applyAlignment="1">
      <alignment horizontal="center" vertical="top"/>
    </xf>
    <xf numFmtId="0" fontId="4" fillId="2" borderId="3" xfId="0" applyFont="1" applyFill="1" applyBorder="1" applyAlignment="1">
      <alignment horizontal="justify" vertical="top" wrapText="1"/>
    </xf>
    <xf numFmtId="0" fontId="4" fillId="2" borderId="3" xfId="0" applyFont="1" applyFill="1" applyBorder="1" applyAlignment="1">
      <alignment horizontal="center" vertical="top" wrapText="1"/>
    </xf>
    <xf numFmtId="0" fontId="4" fillId="2" borderId="1" xfId="0" applyNumberFormat="1" applyFont="1" applyFill="1" applyBorder="1" applyAlignment="1">
      <alignment horizontal="justify" vertical="top" wrapText="1"/>
    </xf>
    <xf numFmtId="172" fontId="9" fillId="0" borderId="1" xfId="0" applyNumberFormat="1" applyFont="1" applyBorder="1" applyAlignment="1">
      <alignment horizontal="center" vertical="top" wrapText="1"/>
    </xf>
    <xf numFmtId="172" fontId="4" fillId="2" borderId="3" xfId="0" applyNumberFormat="1" applyFont="1" applyFill="1" applyBorder="1" applyAlignment="1">
      <alignment horizontal="right" vertical="top"/>
    </xf>
    <xf numFmtId="172" fontId="4" fillId="2" borderId="2" xfId="0" applyNumberFormat="1" applyFont="1" applyFill="1" applyBorder="1" applyAlignment="1">
      <alignment horizontal="right" vertical="top"/>
    </xf>
    <xf numFmtId="0" fontId="4" fillId="2" borderId="3" xfId="0" applyFont="1" applyFill="1" applyBorder="1" applyAlignment="1">
      <alignment horizontal="left" vertical="top" wrapText="1"/>
    </xf>
    <xf numFmtId="172" fontId="4" fillId="2" borderId="5" xfId="0" applyNumberFormat="1" applyFont="1" applyFill="1" applyBorder="1" applyAlignment="1">
      <alignment horizontal="right" vertical="top"/>
    </xf>
    <xf numFmtId="172" fontId="4" fillId="2" borderId="4" xfId="0" applyNumberFormat="1" applyFont="1" applyFill="1" applyBorder="1" applyAlignment="1">
      <alignment horizontal="right" vertical="top"/>
    </xf>
    <xf numFmtId="172" fontId="4" fillId="2" borderId="3" xfId="0" applyNumberFormat="1" applyFont="1" applyFill="1" applyBorder="1" applyAlignment="1">
      <alignment vertical="center" wrapText="1"/>
    </xf>
    <xf numFmtId="172" fontId="4" fillId="2" borderId="4" xfId="0" applyNumberFormat="1" applyFont="1" applyFill="1" applyBorder="1" applyAlignment="1">
      <alignment vertical="center" wrapText="1"/>
    </xf>
    <xf numFmtId="0" fontId="4" fillId="2" borderId="1" xfId="0" applyNumberFormat="1" applyFont="1" applyFill="1" applyBorder="1" applyAlignment="1">
      <alignment vertical="top" wrapText="1"/>
    </xf>
    <xf numFmtId="0" fontId="4" fillId="2" borderId="0" xfId="0" applyFont="1" applyFill="1" applyBorder="1" applyAlignment="1">
      <alignment vertical="top"/>
    </xf>
    <xf numFmtId="0" fontId="4" fillId="2" borderId="0" xfId="0" applyFont="1" applyFill="1" applyBorder="1" applyAlignment="1">
      <alignment horizontal="center" vertical="top" wrapText="1"/>
    </xf>
    <xf numFmtId="2" fontId="3" fillId="2" borderId="0" xfId="0" applyNumberFormat="1" applyFont="1" applyFill="1" applyBorder="1" applyAlignment="1">
      <alignment horizontal="right" vertical="top"/>
    </xf>
    <xf numFmtId="172" fontId="3" fillId="2" borderId="0" xfId="0" applyNumberFormat="1" applyFont="1" applyFill="1" applyBorder="1" applyAlignment="1">
      <alignment horizontal="right" vertical="top"/>
    </xf>
    <xf numFmtId="0" fontId="10" fillId="2" borderId="0" xfId="0" applyFont="1" applyFill="1" applyAlignment="1">
      <alignment horizontal="center" vertical="top"/>
    </xf>
    <xf numFmtId="0" fontId="7" fillId="2" borderId="6" xfId="0" applyFont="1" applyFill="1" applyBorder="1" applyAlignment="1">
      <alignment horizontal="center" vertical="top"/>
    </xf>
    <xf numFmtId="0" fontId="7" fillId="2" borderId="0" xfId="0" applyFont="1" applyFill="1" applyAlignment="1">
      <alignment horizontal="center" vertical="top"/>
    </xf>
    <xf numFmtId="0" fontId="4" fillId="2" borderId="8" xfId="0" applyFont="1" applyFill="1" applyBorder="1" applyAlignment="1">
      <alignment horizontal="center" vertical="top" wrapText="1"/>
    </xf>
    <xf numFmtId="0" fontId="4" fillId="2" borderId="9" xfId="0" applyFont="1" applyFill="1" applyBorder="1" applyAlignment="1">
      <alignment horizontal="center" vertical="top" wrapText="1"/>
    </xf>
    <xf numFmtId="0" fontId="4" fillId="2" borderId="10" xfId="0" applyFont="1" applyFill="1" applyBorder="1" applyAlignment="1">
      <alignment horizontal="center" vertical="top" wrapText="1"/>
    </xf>
    <xf numFmtId="0" fontId="4" fillId="2" borderId="1" xfId="0" applyFont="1" applyFill="1" applyBorder="1" applyAlignment="1">
      <alignment horizontal="center" vertical="top"/>
    </xf>
    <xf numFmtId="0" fontId="4" fillId="2" borderId="3" xfId="0" applyFont="1" applyFill="1" applyBorder="1" applyAlignment="1">
      <alignment horizontal="center" vertical="top"/>
    </xf>
    <xf numFmtId="0" fontId="4" fillId="2" borderId="5" xfId="0" applyFont="1" applyFill="1" applyBorder="1" applyAlignment="1">
      <alignment horizontal="center" vertical="top"/>
    </xf>
    <xf numFmtId="0" fontId="4" fillId="2" borderId="4" xfId="0" applyFont="1" applyFill="1" applyBorder="1" applyAlignment="1">
      <alignment horizontal="center" vertical="top"/>
    </xf>
    <xf numFmtId="0" fontId="3"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13" fillId="2" borderId="0" xfId="0" applyFont="1" applyFill="1" applyAlignment="1">
      <alignment horizontal="center" vertical="top"/>
    </xf>
    <xf numFmtId="0" fontId="17" fillId="2" borderId="0" xfId="0" applyFont="1" applyFill="1" applyAlignment="1">
      <alignment horizontal="center" vertical="top"/>
    </xf>
    <xf numFmtId="0" fontId="17" fillId="2" borderId="6" xfId="0" applyFont="1" applyFill="1" applyBorder="1" applyAlignment="1">
      <alignment horizontal="center" vertical="top"/>
    </xf>
    <xf numFmtId="0" fontId="11" fillId="2" borderId="1" xfId="0" applyFont="1" applyFill="1" applyBorder="1" applyAlignment="1">
      <alignment horizontal="center" vertical="top" wrapText="1"/>
    </xf>
    <xf numFmtId="0" fontId="11" fillId="2" borderId="8" xfId="0" applyFont="1" applyFill="1" applyBorder="1" applyAlignment="1">
      <alignment horizontal="center" vertical="top" wrapText="1"/>
    </xf>
    <xf numFmtId="0" fontId="11" fillId="2" borderId="9" xfId="0" applyFont="1" applyFill="1" applyBorder="1" applyAlignment="1">
      <alignment horizontal="center" vertical="top" wrapText="1"/>
    </xf>
    <xf numFmtId="0" fontId="11" fillId="2" borderId="10" xfId="0" applyFont="1" applyFill="1" applyBorder="1" applyAlignment="1">
      <alignment horizontal="center" vertical="top" wrapText="1"/>
    </xf>
    <xf numFmtId="0" fontId="3" fillId="2" borderId="0" xfId="0" applyFont="1" applyFill="1" applyAlignment="1">
      <alignment horizontal="center" vertical="top"/>
    </xf>
    <xf numFmtId="0" fontId="3" fillId="2" borderId="3" xfId="0" applyFont="1" applyFill="1" applyBorder="1" applyAlignment="1">
      <alignment horizontal="center" vertical="top" wrapText="1"/>
    </xf>
    <xf numFmtId="0" fontId="3" fillId="2" borderId="4" xfId="0" applyFont="1" applyFill="1" applyBorder="1" applyAlignment="1">
      <alignment horizontal="center" vertical="top" wrapText="1"/>
    </xf>
    <xf numFmtId="0" fontId="4" fillId="2" borderId="3" xfId="0" applyFont="1" applyFill="1" applyBorder="1" applyAlignment="1">
      <alignment horizontal="justify" vertical="top" wrapText="1"/>
    </xf>
    <xf numFmtId="0" fontId="4" fillId="2" borderId="5" xfId="0" applyFont="1" applyFill="1" applyBorder="1" applyAlignment="1">
      <alignment horizontal="justify" vertical="top" wrapText="1"/>
    </xf>
    <xf numFmtId="0" fontId="4" fillId="2" borderId="4" xfId="0" applyFont="1" applyFill="1" applyBorder="1" applyAlignment="1">
      <alignment horizontal="justify" vertical="top" wrapText="1"/>
    </xf>
    <xf numFmtId="0" fontId="3" fillId="2" borderId="8" xfId="0" applyFont="1" applyFill="1" applyBorder="1" applyAlignment="1">
      <alignment horizontal="center" vertical="top" wrapText="1"/>
    </xf>
    <xf numFmtId="0" fontId="3" fillId="2" borderId="9" xfId="0" applyFont="1" applyFill="1" applyBorder="1" applyAlignment="1">
      <alignment horizontal="center" vertical="top" wrapText="1"/>
    </xf>
    <xf numFmtId="0" fontId="3" fillId="2" borderId="10" xfId="0" applyFont="1" applyFill="1" applyBorder="1" applyAlignment="1">
      <alignment horizontal="center" vertical="top" wrapText="1"/>
    </xf>
    <xf numFmtId="0" fontId="4" fillId="2" borderId="3" xfId="0" applyFont="1" applyFill="1" applyBorder="1" applyAlignment="1">
      <alignment vertical="top"/>
    </xf>
    <xf numFmtId="0" fontId="4" fillId="2" borderId="5" xfId="0" applyFont="1" applyFill="1" applyBorder="1" applyAlignment="1">
      <alignment vertical="top"/>
    </xf>
    <xf numFmtId="0" fontId="4" fillId="2" borderId="1" xfId="0" applyFont="1" applyFill="1" applyBorder="1" applyAlignment="1">
      <alignment horizontal="justify" vertical="top" wrapText="1"/>
    </xf>
    <xf numFmtId="0" fontId="4" fillId="2" borderId="6" xfId="0" applyFont="1" applyFill="1" applyBorder="1" applyAlignment="1">
      <alignment horizontal="center"/>
    </xf>
    <xf numFmtId="0" fontId="8" fillId="2" borderId="9" xfId="0" applyFont="1" applyFill="1" applyBorder="1" applyAlignment="1">
      <alignment horizontal="center"/>
    </xf>
    <xf numFmtId="0" fontId="4" fillId="2" borderId="3" xfId="0" applyFont="1" applyFill="1" applyBorder="1" applyAlignment="1">
      <alignment horizontal="center" vertical="top" wrapText="1"/>
    </xf>
    <xf numFmtId="0" fontId="4" fillId="2" borderId="5" xfId="0" applyFont="1" applyFill="1" applyBorder="1" applyAlignment="1">
      <alignment horizontal="center" vertical="top" wrapText="1"/>
    </xf>
    <xf numFmtId="0" fontId="4" fillId="2" borderId="4" xfId="0" applyFont="1" applyFill="1" applyBorder="1" applyAlignment="1">
      <alignment horizontal="center" vertical="top" wrapText="1"/>
    </xf>
    <xf numFmtId="0" fontId="3" fillId="2" borderId="0" xfId="0" applyFont="1" applyFill="1" applyAlignment="1">
      <alignment horizontal="center" vertical="center"/>
    </xf>
    <xf numFmtId="0" fontId="5" fillId="2" borderId="6" xfId="0" applyFont="1" applyFill="1" applyBorder="1" applyAlignment="1">
      <alignment horizontal="center" vertical="center"/>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1"/>
  <sheetViews>
    <sheetView view="pageBreakPreview" zoomScaleNormal="75" zoomScaleSheetLayoutView="100" workbookViewId="0">
      <pane ySplit="6" topLeftCell="A172" activePane="bottomLeft" state="frozen"/>
      <selection activeCell="F11" sqref="F11"/>
      <selection pane="bottomLeft" activeCell="E215" sqref="E215"/>
    </sheetView>
  </sheetViews>
  <sheetFormatPr defaultRowHeight="14.25"/>
  <cols>
    <col min="1" max="1" width="3.7109375" style="8" customWidth="1"/>
    <col min="2" max="2" width="91.7109375" style="8" customWidth="1"/>
    <col min="3" max="3" width="14.42578125" style="8" customWidth="1"/>
    <col min="4" max="4" width="14" style="8" customWidth="1"/>
    <col min="5" max="5" width="14.140625" style="8" customWidth="1"/>
    <col min="6" max="6" width="16.42578125" style="8" customWidth="1"/>
    <col min="7" max="7" width="17" style="1" customWidth="1"/>
    <col min="8" max="8" width="17.7109375" style="1" customWidth="1"/>
    <col min="9" max="16384" width="9.140625" style="1"/>
  </cols>
  <sheetData>
    <row r="1" spans="1:8" ht="15">
      <c r="A1" s="89" t="s">
        <v>87</v>
      </c>
      <c r="B1" s="89"/>
      <c r="C1" s="89"/>
      <c r="D1" s="89"/>
      <c r="E1" s="89"/>
      <c r="F1" s="89"/>
      <c r="G1" s="89"/>
      <c r="H1" s="89"/>
    </row>
    <row r="2" spans="1:8" ht="15">
      <c r="A2" s="89" t="s">
        <v>0</v>
      </c>
      <c r="B2" s="89"/>
      <c r="C2" s="89"/>
      <c r="D2" s="89"/>
      <c r="E2" s="89"/>
      <c r="F2" s="89"/>
      <c r="G2" s="89"/>
      <c r="H2" s="89"/>
    </row>
    <row r="3" spans="1:8" ht="15">
      <c r="A3" s="88" t="s">
        <v>1</v>
      </c>
      <c r="B3" s="88"/>
      <c r="C3" s="88"/>
      <c r="D3" s="88"/>
      <c r="E3" s="88"/>
      <c r="F3" s="88"/>
      <c r="G3" s="88"/>
      <c r="H3" s="88"/>
    </row>
    <row r="4" spans="1:8" ht="36.75" customHeight="1">
      <c r="A4" s="97" t="s">
        <v>2</v>
      </c>
      <c r="B4" s="98" t="s">
        <v>3</v>
      </c>
      <c r="C4" s="90" t="s">
        <v>15</v>
      </c>
      <c r="D4" s="91"/>
      <c r="E4" s="92"/>
      <c r="F4" s="23" t="s">
        <v>16</v>
      </c>
      <c r="G4" s="23" t="s">
        <v>21</v>
      </c>
      <c r="H4" s="23" t="s">
        <v>16</v>
      </c>
    </row>
    <row r="5" spans="1:8" ht="18.75" customHeight="1">
      <c r="A5" s="97"/>
      <c r="B5" s="98"/>
      <c r="C5" s="74" t="s">
        <v>50</v>
      </c>
      <c r="D5" s="74" t="s">
        <v>59</v>
      </c>
      <c r="E5" s="74" t="s">
        <v>79</v>
      </c>
      <c r="F5" s="70" t="s">
        <v>85</v>
      </c>
      <c r="G5" s="70" t="s">
        <v>85</v>
      </c>
      <c r="H5" s="70" t="s">
        <v>86</v>
      </c>
    </row>
    <row r="6" spans="1:8">
      <c r="A6" s="2">
        <v>1</v>
      </c>
      <c r="B6" s="70">
        <v>2</v>
      </c>
      <c r="C6" s="70">
        <v>3</v>
      </c>
      <c r="D6" s="70">
        <v>4</v>
      </c>
      <c r="E6" s="70">
        <v>5</v>
      </c>
      <c r="F6" s="70">
        <v>6</v>
      </c>
      <c r="G6" s="70">
        <v>7</v>
      </c>
      <c r="H6" s="70">
        <v>8</v>
      </c>
    </row>
    <row r="7" spans="1:8" ht="35.25" customHeight="1">
      <c r="A7" s="94">
        <v>1</v>
      </c>
      <c r="B7" s="73" t="s">
        <v>4</v>
      </c>
      <c r="C7" s="36"/>
      <c r="D7" s="36"/>
      <c r="E7" s="75"/>
      <c r="F7" s="4"/>
      <c r="G7" s="15"/>
      <c r="H7" s="15"/>
    </row>
    <row r="8" spans="1:8" s="62" customFormat="1">
      <c r="A8" s="95"/>
      <c r="B8" s="64" t="s">
        <v>5</v>
      </c>
      <c r="C8" s="66">
        <v>400</v>
      </c>
      <c r="D8" s="66">
        <v>1200</v>
      </c>
      <c r="E8" s="66">
        <v>0</v>
      </c>
      <c r="F8" s="4">
        <v>3000</v>
      </c>
      <c r="G8" s="4">
        <v>3000</v>
      </c>
      <c r="H8" s="4">
        <v>3000</v>
      </c>
    </row>
    <row r="9" spans="1:8" s="62" customFormat="1">
      <c r="A9" s="95"/>
      <c r="B9" s="64" t="s">
        <v>6</v>
      </c>
      <c r="C9" s="66">
        <v>208</v>
      </c>
      <c r="D9" s="66">
        <v>7237.3</v>
      </c>
      <c r="E9" s="66">
        <v>8081.9</v>
      </c>
      <c r="F9" s="4">
        <v>21000</v>
      </c>
      <c r="G9" s="4">
        <v>21000</v>
      </c>
      <c r="H9" s="4">
        <v>21000</v>
      </c>
    </row>
    <row r="10" spans="1:8" s="62" customFormat="1">
      <c r="A10" s="95"/>
      <c r="B10" s="64" t="s">
        <v>7</v>
      </c>
      <c r="C10" s="66">
        <v>62891.4</v>
      </c>
      <c r="D10" s="66">
        <v>4048.2</v>
      </c>
      <c r="E10" s="66">
        <v>3605.4</v>
      </c>
      <c r="F10" s="4">
        <v>36000</v>
      </c>
      <c r="G10" s="4">
        <v>36000</v>
      </c>
      <c r="H10" s="4">
        <v>20000</v>
      </c>
    </row>
    <row r="11" spans="1:8" s="62" customFormat="1">
      <c r="A11" s="95"/>
      <c r="B11" s="64" t="s">
        <v>18</v>
      </c>
      <c r="C11" s="66">
        <v>3347.9</v>
      </c>
      <c r="D11" s="66">
        <v>29290</v>
      </c>
      <c r="E11" s="66">
        <v>3610.8</v>
      </c>
      <c r="F11" s="4">
        <v>149259</v>
      </c>
      <c r="G11" s="4">
        <v>0</v>
      </c>
      <c r="H11" s="4">
        <v>149259</v>
      </c>
    </row>
    <row r="12" spans="1:8">
      <c r="A12" s="95"/>
      <c r="B12" s="64" t="s">
        <v>8</v>
      </c>
      <c r="C12" s="66">
        <v>1516.85</v>
      </c>
      <c r="D12" s="66">
        <v>40236.699999999997</v>
      </c>
      <c r="E12" s="66">
        <v>8875.5529999999999</v>
      </c>
      <c r="F12" s="4">
        <v>5000</v>
      </c>
      <c r="G12" s="4">
        <v>10000</v>
      </c>
      <c r="H12" s="4">
        <v>5000</v>
      </c>
    </row>
    <row r="13" spans="1:8" s="62" customFormat="1">
      <c r="A13" s="95"/>
      <c r="B13" s="64" t="s">
        <v>9</v>
      </c>
      <c r="C13" s="66">
        <v>4022.7</v>
      </c>
      <c r="D13" s="66">
        <v>810.4</v>
      </c>
      <c r="E13" s="66">
        <v>2437</v>
      </c>
      <c r="F13" s="4">
        <v>5000</v>
      </c>
      <c r="G13" s="4">
        <v>5000</v>
      </c>
      <c r="H13" s="4">
        <v>5000</v>
      </c>
    </row>
    <row r="14" spans="1:8" s="65" customFormat="1">
      <c r="A14" s="95"/>
      <c r="B14" s="64" t="s">
        <v>10</v>
      </c>
      <c r="C14" s="66">
        <v>1385</v>
      </c>
      <c r="D14" s="66">
        <v>810</v>
      </c>
      <c r="E14" s="66">
        <v>5306.9750000000004</v>
      </c>
      <c r="F14" s="4">
        <v>10000</v>
      </c>
      <c r="G14" s="4">
        <v>10000</v>
      </c>
      <c r="H14" s="4">
        <v>10000</v>
      </c>
    </row>
    <row r="15" spans="1:8" ht="15" thickBot="1">
      <c r="A15" s="96"/>
      <c r="B15" s="12" t="s">
        <v>11</v>
      </c>
      <c r="C15" s="76">
        <f t="shared" ref="C15:H15" si="0">SUM(C8:C14)</f>
        <v>73771.850000000006</v>
      </c>
      <c r="D15" s="76">
        <f t="shared" si="0"/>
        <v>83632.599999999991</v>
      </c>
      <c r="E15" s="76">
        <f t="shared" si="0"/>
        <v>31917.627999999997</v>
      </c>
      <c r="F15" s="76">
        <f t="shared" si="0"/>
        <v>229259</v>
      </c>
      <c r="G15" s="76">
        <f t="shared" si="0"/>
        <v>85000</v>
      </c>
      <c r="H15" s="76">
        <f t="shared" si="0"/>
        <v>213259</v>
      </c>
    </row>
    <row r="16" spans="1:8" ht="43.5" thickTop="1">
      <c r="A16" s="94">
        <v>2</v>
      </c>
      <c r="B16" s="77" t="s">
        <v>60</v>
      </c>
      <c r="C16" s="75"/>
      <c r="D16" s="75"/>
      <c r="E16" s="75"/>
      <c r="F16" s="78"/>
      <c r="G16" s="78"/>
      <c r="H16" s="78"/>
    </row>
    <row r="17" spans="1:8" s="65" customFormat="1">
      <c r="A17" s="95"/>
      <c r="B17" s="64" t="s">
        <v>5</v>
      </c>
      <c r="C17" s="66">
        <v>0</v>
      </c>
      <c r="D17" s="66">
        <v>0</v>
      </c>
      <c r="E17" s="66">
        <v>0</v>
      </c>
      <c r="F17" s="4">
        <v>0</v>
      </c>
      <c r="G17" s="4">
        <v>0</v>
      </c>
      <c r="H17" s="4">
        <v>0</v>
      </c>
    </row>
    <row r="18" spans="1:8" s="62" customFormat="1">
      <c r="A18" s="95"/>
      <c r="B18" s="64" t="s">
        <v>6</v>
      </c>
      <c r="C18" s="66">
        <v>0</v>
      </c>
      <c r="D18" s="66">
        <v>0</v>
      </c>
      <c r="E18" s="66">
        <v>0</v>
      </c>
      <c r="F18" s="4">
        <v>0</v>
      </c>
      <c r="G18" s="4">
        <v>0</v>
      </c>
      <c r="H18" s="4">
        <v>0</v>
      </c>
    </row>
    <row r="19" spans="1:8" s="67" customFormat="1">
      <c r="A19" s="95"/>
      <c r="B19" s="64" t="s">
        <v>7</v>
      </c>
      <c r="C19" s="66">
        <v>0</v>
      </c>
      <c r="D19" s="66">
        <v>0</v>
      </c>
      <c r="E19" s="66">
        <v>0</v>
      </c>
      <c r="F19" s="4">
        <v>0</v>
      </c>
      <c r="G19" s="4">
        <v>0</v>
      </c>
      <c r="H19" s="4">
        <v>0</v>
      </c>
    </row>
    <row r="20" spans="1:8" s="65" customFormat="1">
      <c r="A20" s="95"/>
      <c r="B20" s="64" t="s">
        <v>18</v>
      </c>
      <c r="C20" s="66">
        <v>0</v>
      </c>
      <c r="D20" s="66">
        <v>0</v>
      </c>
      <c r="E20" s="66">
        <v>0</v>
      </c>
      <c r="F20" s="4">
        <v>0</v>
      </c>
      <c r="G20" s="4">
        <v>0</v>
      </c>
      <c r="H20" s="4">
        <v>0</v>
      </c>
    </row>
    <row r="21" spans="1:8">
      <c r="A21" s="95"/>
      <c r="B21" s="64" t="s">
        <v>8</v>
      </c>
      <c r="C21" s="66">
        <v>19202.75</v>
      </c>
      <c r="D21" s="66">
        <v>0</v>
      </c>
      <c r="E21" s="66">
        <v>0</v>
      </c>
      <c r="F21" s="4">
        <v>1000</v>
      </c>
      <c r="G21" s="4">
        <v>1000</v>
      </c>
      <c r="H21" s="4">
        <v>1000</v>
      </c>
    </row>
    <row r="22" spans="1:8" s="65" customFormat="1">
      <c r="A22" s="95"/>
      <c r="B22" s="64" t="s">
        <v>9</v>
      </c>
      <c r="C22" s="66">
        <v>0</v>
      </c>
      <c r="D22" s="66">
        <v>0</v>
      </c>
      <c r="E22" s="66">
        <v>0</v>
      </c>
      <c r="F22" s="4">
        <v>0</v>
      </c>
      <c r="G22" s="4">
        <v>0</v>
      </c>
      <c r="H22" s="4">
        <v>0</v>
      </c>
    </row>
    <row r="23" spans="1:8" s="65" customFormat="1">
      <c r="A23" s="95"/>
      <c r="B23" s="64" t="s">
        <v>10</v>
      </c>
      <c r="C23" s="66">
        <v>0</v>
      </c>
      <c r="D23" s="66">
        <v>0</v>
      </c>
      <c r="E23" s="66">
        <v>0</v>
      </c>
      <c r="F23" s="4">
        <v>0</v>
      </c>
      <c r="G23" s="4">
        <v>0</v>
      </c>
      <c r="H23" s="4">
        <v>0</v>
      </c>
    </row>
    <row r="24" spans="1:8" ht="15" thickBot="1">
      <c r="A24" s="96"/>
      <c r="B24" s="12" t="s">
        <v>11</v>
      </c>
      <c r="C24" s="76">
        <f t="shared" ref="C24:H24" si="1">SUM(C17:C23)</f>
        <v>19202.75</v>
      </c>
      <c r="D24" s="76">
        <f t="shared" si="1"/>
        <v>0</v>
      </c>
      <c r="E24" s="76">
        <f t="shared" si="1"/>
        <v>0</v>
      </c>
      <c r="F24" s="76">
        <f t="shared" si="1"/>
        <v>1000</v>
      </c>
      <c r="G24" s="76">
        <f t="shared" si="1"/>
        <v>1000</v>
      </c>
      <c r="H24" s="76">
        <f t="shared" si="1"/>
        <v>1000</v>
      </c>
    </row>
    <row r="25" spans="1:8" ht="43.5" thickTop="1">
      <c r="A25" s="94">
        <v>3</v>
      </c>
      <c r="B25" s="77" t="s">
        <v>61</v>
      </c>
      <c r="C25" s="75"/>
      <c r="D25" s="75"/>
      <c r="E25" s="75"/>
      <c r="F25" s="78"/>
      <c r="G25" s="78"/>
      <c r="H25" s="78"/>
    </row>
    <row r="26" spans="1:8">
      <c r="A26" s="95"/>
      <c r="B26" s="64" t="s">
        <v>5</v>
      </c>
      <c r="C26" s="66">
        <v>0</v>
      </c>
      <c r="D26" s="66">
        <v>0</v>
      </c>
      <c r="E26" s="66">
        <v>0</v>
      </c>
      <c r="F26" s="4">
        <v>0</v>
      </c>
      <c r="G26" s="4">
        <v>0</v>
      </c>
      <c r="H26" s="4">
        <v>0</v>
      </c>
    </row>
    <row r="27" spans="1:8">
      <c r="A27" s="95"/>
      <c r="B27" s="64" t="s">
        <v>6</v>
      </c>
      <c r="C27" s="66">
        <v>0</v>
      </c>
      <c r="D27" s="66">
        <v>0</v>
      </c>
      <c r="E27" s="66">
        <v>0</v>
      </c>
      <c r="F27" s="4">
        <v>0</v>
      </c>
      <c r="G27" s="4">
        <v>0</v>
      </c>
      <c r="H27" s="4">
        <v>0</v>
      </c>
    </row>
    <row r="28" spans="1:8">
      <c r="A28" s="95"/>
      <c r="B28" s="64" t="s">
        <v>7</v>
      </c>
      <c r="C28" s="66">
        <v>0</v>
      </c>
      <c r="D28" s="66">
        <v>0</v>
      </c>
      <c r="E28" s="66">
        <v>0</v>
      </c>
      <c r="F28" s="4">
        <v>0</v>
      </c>
      <c r="G28" s="4">
        <v>0</v>
      </c>
      <c r="H28" s="4">
        <v>0</v>
      </c>
    </row>
    <row r="29" spans="1:8">
      <c r="A29" s="95"/>
      <c r="B29" s="64" t="s">
        <v>18</v>
      </c>
      <c r="C29" s="66">
        <v>0</v>
      </c>
      <c r="D29" s="66">
        <v>0</v>
      </c>
      <c r="E29" s="66">
        <v>0</v>
      </c>
      <c r="F29" s="4">
        <v>0</v>
      </c>
      <c r="G29" s="4">
        <v>0</v>
      </c>
      <c r="H29" s="4">
        <v>0</v>
      </c>
    </row>
    <row r="30" spans="1:8">
      <c r="A30" s="95"/>
      <c r="B30" s="64" t="s">
        <v>8</v>
      </c>
      <c r="C30" s="66">
        <v>0</v>
      </c>
      <c r="D30" s="66">
        <v>0</v>
      </c>
      <c r="E30" s="66">
        <v>0</v>
      </c>
      <c r="F30" s="4">
        <v>100</v>
      </c>
      <c r="G30" s="4">
        <v>100</v>
      </c>
      <c r="H30" s="4">
        <v>100</v>
      </c>
    </row>
    <row r="31" spans="1:8" s="65" customFormat="1">
      <c r="A31" s="95"/>
      <c r="B31" s="64" t="s">
        <v>9</v>
      </c>
      <c r="C31" s="66">
        <v>0</v>
      </c>
      <c r="D31" s="66">
        <v>0</v>
      </c>
      <c r="E31" s="66">
        <v>0</v>
      </c>
      <c r="F31" s="4">
        <v>0</v>
      </c>
      <c r="G31" s="4">
        <v>0</v>
      </c>
      <c r="H31" s="4">
        <v>0</v>
      </c>
    </row>
    <row r="32" spans="1:8" s="65" customFormat="1">
      <c r="A32" s="95"/>
      <c r="B32" s="64" t="s">
        <v>10</v>
      </c>
      <c r="C32" s="66">
        <v>0</v>
      </c>
      <c r="D32" s="66">
        <v>0</v>
      </c>
      <c r="E32" s="66">
        <v>0</v>
      </c>
      <c r="F32" s="4">
        <v>0</v>
      </c>
      <c r="G32" s="4">
        <v>0</v>
      </c>
      <c r="H32" s="4">
        <v>0</v>
      </c>
    </row>
    <row r="33" spans="1:8" ht="15" thickBot="1">
      <c r="A33" s="96"/>
      <c r="B33" s="12" t="s">
        <v>11</v>
      </c>
      <c r="C33" s="76">
        <f t="shared" ref="C33:H33" si="2">SUM(C26:C32)</f>
        <v>0</v>
      </c>
      <c r="D33" s="76">
        <f t="shared" si="2"/>
        <v>0</v>
      </c>
      <c r="E33" s="76">
        <f t="shared" si="2"/>
        <v>0</v>
      </c>
      <c r="F33" s="76">
        <f t="shared" si="2"/>
        <v>100</v>
      </c>
      <c r="G33" s="76">
        <f t="shared" si="2"/>
        <v>100</v>
      </c>
      <c r="H33" s="76">
        <f t="shared" si="2"/>
        <v>100</v>
      </c>
    </row>
    <row r="34" spans="1:8" ht="34.5" customHeight="1" thickTop="1">
      <c r="A34" s="93">
        <v>4</v>
      </c>
      <c r="B34" s="73" t="s">
        <v>12</v>
      </c>
      <c r="C34" s="36"/>
      <c r="D34" s="36"/>
      <c r="E34" s="36"/>
      <c r="F34" s="16"/>
      <c r="G34" s="16"/>
      <c r="H34" s="16"/>
    </row>
    <row r="35" spans="1:8">
      <c r="A35" s="93"/>
      <c r="B35" s="64" t="s">
        <v>5</v>
      </c>
      <c r="C35" s="66">
        <v>0</v>
      </c>
      <c r="D35" s="66">
        <v>0</v>
      </c>
      <c r="E35" s="66">
        <v>0</v>
      </c>
      <c r="F35" s="4">
        <v>0</v>
      </c>
      <c r="G35" s="4">
        <v>0</v>
      </c>
      <c r="H35" s="4">
        <v>0</v>
      </c>
    </row>
    <row r="36" spans="1:8">
      <c r="A36" s="93"/>
      <c r="B36" s="64" t="s">
        <v>6</v>
      </c>
      <c r="C36" s="66">
        <v>0</v>
      </c>
      <c r="D36" s="66">
        <v>0</v>
      </c>
      <c r="E36" s="66">
        <v>0</v>
      </c>
      <c r="F36" s="4">
        <v>0</v>
      </c>
      <c r="G36" s="4">
        <v>0</v>
      </c>
      <c r="H36" s="4">
        <v>0</v>
      </c>
    </row>
    <row r="37" spans="1:8" s="67" customFormat="1">
      <c r="A37" s="93"/>
      <c r="B37" s="64" t="s">
        <v>7</v>
      </c>
      <c r="C37" s="66">
        <v>0</v>
      </c>
      <c r="D37" s="66">
        <v>0</v>
      </c>
      <c r="E37" s="66">
        <v>0</v>
      </c>
      <c r="F37" s="4">
        <v>180</v>
      </c>
      <c r="G37" s="4">
        <v>180</v>
      </c>
      <c r="H37" s="4">
        <v>190</v>
      </c>
    </row>
    <row r="38" spans="1:8" s="65" customFormat="1">
      <c r="A38" s="93"/>
      <c r="B38" s="64" t="s">
        <v>18</v>
      </c>
      <c r="C38" s="66">
        <v>0</v>
      </c>
      <c r="D38" s="66">
        <v>0</v>
      </c>
      <c r="E38" s="66">
        <v>0</v>
      </c>
      <c r="F38" s="4">
        <v>220</v>
      </c>
      <c r="G38" s="4">
        <v>0</v>
      </c>
      <c r="H38" s="4">
        <v>220</v>
      </c>
    </row>
    <row r="39" spans="1:8">
      <c r="A39" s="93"/>
      <c r="B39" s="64" t="s">
        <v>8</v>
      </c>
      <c r="C39" s="66">
        <v>9.8650000000000002</v>
      </c>
      <c r="D39" s="66">
        <v>2.4969999999999999</v>
      </c>
      <c r="E39" s="66">
        <v>0</v>
      </c>
      <c r="F39" s="4">
        <v>1500</v>
      </c>
      <c r="G39" s="4">
        <v>5000</v>
      </c>
      <c r="H39" s="4">
        <v>1500</v>
      </c>
    </row>
    <row r="40" spans="1:8" s="65" customFormat="1">
      <c r="A40" s="93"/>
      <c r="B40" s="64" t="s">
        <v>9</v>
      </c>
      <c r="C40" s="66">
        <v>49.284999999999997</v>
      </c>
      <c r="D40" s="66">
        <v>39.454000000000001</v>
      </c>
      <c r="E40" s="66">
        <v>0</v>
      </c>
      <c r="F40" s="4">
        <v>500</v>
      </c>
      <c r="G40" s="4">
        <v>500</v>
      </c>
      <c r="H40" s="4">
        <v>500</v>
      </c>
    </row>
    <row r="41" spans="1:8" s="65" customFormat="1">
      <c r="A41" s="93"/>
      <c r="B41" s="64" t="s">
        <v>10</v>
      </c>
      <c r="C41" s="66">
        <v>0</v>
      </c>
      <c r="D41" s="66">
        <v>0</v>
      </c>
      <c r="E41" s="66">
        <v>0</v>
      </c>
      <c r="F41" s="4">
        <v>1200</v>
      </c>
      <c r="G41" s="4">
        <v>1200</v>
      </c>
      <c r="H41" s="4">
        <v>1300</v>
      </c>
    </row>
    <row r="42" spans="1:8" ht="15" thickBot="1">
      <c r="A42" s="93"/>
      <c r="B42" s="12" t="s">
        <v>11</v>
      </c>
      <c r="C42" s="76">
        <f t="shared" ref="C42:H42" si="3">SUM(C35:C41)</f>
        <v>59.15</v>
      </c>
      <c r="D42" s="76">
        <f t="shared" si="3"/>
        <v>41.951000000000001</v>
      </c>
      <c r="E42" s="76">
        <f t="shared" si="3"/>
        <v>0</v>
      </c>
      <c r="F42" s="76">
        <f t="shared" si="3"/>
        <v>3600</v>
      </c>
      <c r="G42" s="76">
        <f t="shared" si="3"/>
        <v>6880</v>
      </c>
      <c r="H42" s="76">
        <f t="shared" si="3"/>
        <v>3710</v>
      </c>
    </row>
    <row r="43" spans="1:8" ht="32.25" customHeight="1" thickTop="1">
      <c r="A43" s="93">
        <v>5</v>
      </c>
      <c r="B43" s="73" t="s">
        <v>22</v>
      </c>
      <c r="C43" s="36"/>
      <c r="D43" s="36"/>
      <c r="E43" s="36"/>
      <c r="F43" s="16"/>
      <c r="G43" s="16"/>
      <c r="H43" s="16"/>
    </row>
    <row r="44" spans="1:8">
      <c r="A44" s="93"/>
      <c r="B44" s="64" t="s">
        <v>5</v>
      </c>
      <c r="C44" s="4">
        <v>0</v>
      </c>
      <c r="D44" s="4">
        <v>0</v>
      </c>
      <c r="E44" s="4">
        <v>0</v>
      </c>
      <c r="F44" s="4">
        <v>0</v>
      </c>
      <c r="G44" s="4">
        <v>0</v>
      </c>
      <c r="H44" s="4">
        <v>0</v>
      </c>
    </row>
    <row r="45" spans="1:8">
      <c r="A45" s="93"/>
      <c r="B45" s="64" t="s">
        <v>6</v>
      </c>
      <c r="C45" s="4">
        <v>0</v>
      </c>
      <c r="D45" s="4">
        <v>0</v>
      </c>
      <c r="E45" s="4">
        <v>0</v>
      </c>
      <c r="F45" s="4">
        <v>0</v>
      </c>
      <c r="G45" s="4">
        <v>0</v>
      </c>
      <c r="H45" s="4">
        <v>0</v>
      </c>
    </row>
    <row r="46" spans="1:8" s="67" customFormat="1">
      <c r="A46" s="93"/>
      <c r="B46" s="64" t="s">
        <v>7</v>
      </c>
      <c r="C46" s="4">
        <v>0</v>
      </c>
      <c r="D46" s="4">
        <v>0</v>
      </c>
      <c r="E46" s="4">
        <v>0</v>
      </c>
      <c r="F46" s="4">
        <v>130</v>
      </c>
      <c r="G46" s="4">
        <v>130</v>
      </c>
      <c r="H46" s="4">
        <v>140</v>
      </c>
    </row>
    <row r="47" spans="1:8" s="65" customFormat="1">
      <c r="A47" s="93"/>
      <c r="B47" s="64" t="s">
        <v>18</v>
      </c>
      <c r="C47" s="4">
        <v>0</v>
      </c>
      <c r="D47" s="4">
        <v>0</v>
      </c>
      <c r="E47" s="4">
        <v>0</v>
      </c>
      <c r="F47" s="4">
        <v>80</v>
      </c>
      <c r="G47" s="4">
        <v>0</v>
      </c>
      <c r="H47" s="4">
        <v>80</v>
      </c>
    </row>
    <row r="48" spans="1:8">
      <c r="A48" s="93"/>
      <c r="B48" s="64" t="s">
        <v>8</v>
      </c>
      <c r="C48" s="4">
        <v>0.628</v>
      </c>
      <c r="D48" s="4">
        <v>0</v>
      </c>
      <c r="E48" s="4">
        <v>0</v>
      </c>
      <c r="F48" s="4">
        <v>10000</v>
      </c>
      <c r="G48" s="4">
        <v>20000</v>
      </c>
      <c r="H48" s="4">
        <v>10000</v>
      </c>
    </row>
    <row r="49" spans="1:8" s="65" customFormat="1">
      <c r="A49" s="93"/>
      <c r="B49" s="64" t="s">
        <v>9</v>
      </c>
      <c r="C49" s="4">
        <v>0</v>
      </c>
      <c r="D49" s="4">
        <v>0</v>
      </c>
      <c r="E49" s="4">
        <v>0</v>
      </c>
      <c r="F49" s="4">
        <v>0</v>
      </c>
      <c r="G49" s="4">
        <v>0</v>
      </c>
      <c r="H49" s="4">
        <v>500</v>
      </c>
    </row>
    <row r="50" spans="1:8" s="65" customFormat="1">
      <c r="A50" s="93"/>
      <c r="B50" s="64" t="s">
        <v>10</v>
      </c>
      <c r="C50" s="4">
        <v>0</v>
      </c>
      <c r="D50" s="4">
        <v>0</v>
      </c>
      <c r="E50" s="4">
        <v>0</v>
      </c>
      <c r="F50" s="4">
        <v>1000</v>
      </c>
      <c r="G50" s="4">
        <v>1000</v>
      </c>
      <c r="H50" s="4">
        <v>1100</v>
      </c>
    </row>
    <row r="51" spans="1:8" ht="15" thickBot="1">
      <c r="A51" s="93"/>
      <c r="B51" s="12" t="s">
        <v>11</v>
      </c>
      <c r="C51" s="5">
        <f t="shared" ref="C51:H51" si="4">SUM(C44:C50)</f>
        <v>0.628</v>
      </c>
      <c r="D51" s="5">
        <f t="shared" si="4"/>
        <v>0</v>
      </c>
      <c r="E51" s="5">
        <f t="shared" si="4"/>
        <v>0</v>
      </c>
      <c r="F51" s="5">
        <f t="shared" si="4"/>
        <v>11210</v>
      </c>
      <c r="G51" s="5">
        <f t="shared" si="4"/>
        <v>21130</v>
      </c>
      <c r="H51" s="5">
        <f t="shared" si="4"/>
        <v>11820</v>
      </c>
    </row>
    <row r="52" spans="1:8" ht="34.5" customHeight="1" thickTop="1">
      <c r="A52" s="93">
        <v>6</v>
      </c>
      <c r="B52" s="73" t="s">
        <v>13</v>
      </c>
      <c r="C52" s="79"/>
      <c r="D52" s="79"/>
      <c r="E52" s="79"/>
      <c r="F52" s="16"/>
      <c r="G52" s="16"/>
      <c r="H52" s="16"/>
    </row>
    <row r="53" spans="1:8" s="65" customFormat="1">
      <c r="A53" s="93"/>
      <c r="B53" s="64" t="s">
        <v>5</v>
      </c>
      <c r="C53" s="66">
        <v>0</v>
      </c>
      <c r="D53" s="66">
        <v>0</v>
      </c>
      <c r="E53" s="66">
        <v>0</v>
      </c>
      <c r="F53" s="4">
        <v>100</v>
      </c>
      <c r="G53" s="4">
        <v>100</v>
      </c>
      <c r="H53" s="4">
        <v>100</v>
      </c>
    </row>
    <row r="54" spans="1:8">
      <c r="A54" s="93"/>
      <c r="B54" s="64" t="s">
        <v>6</v>
      </c>
      <c r="C54" s="66">
        <v>0</v>
      </c>
      <c r="D54" s="66">
        <v>40</v>
      </c>
      <c r="E54" s="66">
        <v>0</v>
      </c>
      <c r="F54" s="4">
        <v>100</v>
      </c>
      <c r="G54" s="4">
        <v>100</v>
      </c>
      <c r="H54" s="4">
        <v>100</v>
      </c>
    </row>
    <row r="55" spans="1:8" s="67" customFormat="1">
      <c r="A55" s="93"/>
      <c r="B55" s="64" t="s">
        <v>7</v>
      </c>
      <c r="C55" s="66">
        <v>5098.375</v>
      </c>
      <c r="D55" s="66">
        <v>840.404</v>
      </c>
      <c r="E55" s="66">
        <v>3200</v>
      </c>
      <c r="F55" s="4">
        <v>25000</v>
      </c>
      <c r="G55" s="4">
        <v>25000</v>
      </c>
      <c r="H55" s="4">
        <v>30000</v>
      </c>
    </row>
    <row r="56" spans="1:8" s="65" customFormat="1">
      <c r="A56" s="93"/>
      <c r="B56" s="64" t="s">
        <v>18</v>
      </c>
      <c r="C56" s="66">
        <v>854.21</v>
      </c>
      <c r="D56" s="66">
        <v>822.43399999999997</v>
      </c>
      <c r="E56" s="66">
        <v>0</v>
      </c>
      <c r="F56" s="4">
        <v>93859</v>
      </c>
      <c r="G56" s="4">
        <v>0</v>
      </c>
      <c r="H56" s="4">
        <v>93859</v>
      </c>
    </row>
    <row r="57" spans="1:8">
      <c r="A57" s="93"/>
      <c r="B57" s="64" t="s">
        <v>8</v>
      </c>
      <c r="C57" s="66">
        <v>996.85</v>
      </c>
      <c r="D57" s="66">
        <v>21571.537</v>
      </c>
      <c r="E57" s="66">
        <v>666</v>
      </c>
      <c r="F57" s="4">
        <v>30000</v>
      </c>
      <c r="G57" s="4">
        <v>30000</v>
      </c>
      <c r="H57" s="4">
        <v>30000</v>
      </c>
    </row>
    <row r="58" spans="1:8" s="67" customFormat="1">
      <c r="A58" s="93"/>
      <c r="B58" s="64" t="s">
        <v>9</v>
      </c>
      <c r="C58" s="66">
        <v>0</v>
      </c>
      <c r="D58" s="66">
        <v>1073.58</v>
      </c>
      <c r="E58" s="66">
        <v>0</v>
      </c>
      <c r="F58" s="4">
        <v>20632</v>
      </c>
      <c r="G58" s="4">
        <v>27251</v>
      </c>
      <c r="H58" s="4">
        <v>10000</v>
      </c>
    </row>
    <row r="59" spans="1:8" s="65" customFormat="1">
      <c r="A59" s="93"/>
      <c r="B59" s="64" t="s">
        <v>10</v>
      </c>
      <c r="C59" s="66">
        <v>0</v>
      </c>
      <c r="D59" s="66">
        <v>2464.085</v>
      </c>
      <c r="E59" s="66">
        <v>730.96900000000005</v>
      </c>
      <c r="F59" s="4">
        <v>10000</v>
      </c>
      <c r="G59" s="4">
        <v>10000</v>
      </c>
      <c r="H59" s="4">
        <v>15000</v>
      </c>
    </row>
    <row r="60" spans="1:8" ht="15" thickBot="1">
      <c r="A60" s="93"/>
      <c r="B60" s="12" t="s">
        <v>11</v>
      </c>
      <c r="C60" s="5">
        <f t="shared" ref="C60:H60" si="5">SUM(C53:C59)</f>
        <v>6949.4350000000004</v>
      </c>
      <c r="D60" s="5">
        <f t="shared" si="5"/>
        <v>26812.04</v>
      </c>
      <c r="E60" s="5">
        <f t="shared" si="5"/>
        <v>4596.9690000000001</v>
      </c>
      <c r="F60" s="5">
        <f t="shared" si="5"/>
        <v>179691</v>
      </c>
      <c r="G60" s="5">
        <f t="shared" si="5"/>
        <v>92451</v>
      </c>
      <c r="H60" s="5">
        <f t="shared" si="5"/>
        <v>179059</v>
      </c>
    </row>
    <row r="61" spans="1:8" ht="57.75" thickTop="1">
      <c r="A61" s="94">
        <v>7</v>
      </c>
      <c r="B61" s="73" t="s">
        <v>56</v>
      </c>
      <c r="C61" s="35"/>
      <c r="D61" s="75"/>
      <c r="E61" s="75"/>
      <c r="F61" s="78"/>
      <c r="G61" s="78"/>
      <c r="H61" s="78"/>
    </row>
    <row r="62" spans="1:8">
      <c r="A62" s="95"/>
      <c r="B62" s="64" t="s">
        <v>5</v>
      </c>
      <c r="C62" s="66">
        <v>0</v>
      </c>
      <c r="D62" s="66">
        <v>0</v>
      </c>
      <c r="E62" s="66">
        <v>0</v>
      </c>
      <c r="F62" s="4">
        <v>0</v>
      </c>
      <c r="G62" s="4">
        <v>0</v>
      </c>
      <c r="H62" s="4">
        <v>0</v>
      </c>
    </row>
    <row r="63" spans="1:8">
      <c r="A63" s="95"/>
      <c r="B63" s="64" t="s">
        <v>6</v>
      </c>
      <c r="C63" s="66">
        <v>0</v>
      </c>
      <c r="D63" s="66">
        <v>0</v>
      </c>
      <c r="E63" s="66">
        <v>0</v>
      </c>
      <c r="F63" s="4">
        <v>0</v>
      </c>
      <c r="G63" s="4">
        <v>0</v>
      </c>
      <c r="H63" s="4">
        <v>0</v>
      </c>
    </row>
    <row r="64" spans="1:8">
      <c r="A64" s="95"/>
      <c r="B64" s="64" t="s">
        <v>7</v>
      </c>
      <c r="C64" s="66">
        <v>0</v>
      </c>
      <c r="D64" s="66">
        <v>0</v>
      </c>
      <c r="E64" s="66">
        <v>0</v>
      </c>
      <c r="F64" s="4">
        <v>3555</v>
      </c>
      <c r="G64" s="4">
        <v>3555</v>
      </c>
      <c r="H64" s="4">
        <v>3555</v>
      </c>
    </row>
    <row r="65" spans="1:8" s="65" customFormat="1">
      <c r="A65" s="95"/>
      <c r="B65" s="64" t="s">
        <v>18</v>
      </c>
      <c r="C65" s="66">
        <v>0</v>
      </c>
      <c r="D65" s="66">
        <v>0</v>
      </c>
      <c r="E65" s="66">
        <v>0</v>
      </c>
      <c r="F65" s="4">
        <v>10143</v>
      </c>
      <c r="G65" s="4">
        <v>0</v>
      </c>
      <c r="H65" s="4">
        <v>10143</v>
      </c>
    </row>
    <row r="66" spans="1:8">
      <c r="A66" s="95"/>
      <c r="B66" s="64" t="s">
        <v>8</v>
      </c>
      <c r="C66" s="66">
        <v>0</v>
      </c>
      <c r="D66" s="66">
        <v>0</v>
      </c>
      <c r="E66" s="66">
        <v>0</v>
      </c>
      <c r="F66" s="4">
        <v>5000</v>
      </c>
      <c r="G66" s="4">
        <v>5000</v>
      </c>
      <c r="H66" s="4">
        <v>5000</v>
      </c>
    </row>
    <row r="67" spans="1:8" s="67" customFormat="1">
      <c r="A67" s="95"/>
      <c r="B67" s="64" t="s">
        <v>9</v>
      </c>
      <c r="C67" s="4">
        <v>0</v>
      </c>
      <c r="D67" s="66">
        <v>0</v>
      </c>
      <c r="E67" s="66">
        <v>0</v>
      </c>
      <c r="F67" s="4">
        <v>50</v>
      </c>
      <c r="G67" s="4">
        <v>50</v>
      </c>
      <c r="H67" s="4">
        <v>50</v>
      </c>
    </row>
    <row r="68" spans="1:8" s="65" customFormat="1">
      <c r="A68" s="95"/>
      <c r="B68" s="64" t="s">
        <v>10</v>
      </c>
      <c r="C68" s="66">
        <v>0</v>
      </c>
      <c r="D68" s="66">
        <v>0</v>
      </c>
      <c r="E68" s="66">
        <v>0</v>
      </c>
      <c r="F68" s="4">
        <v>8000</v>
      </c>
      <c r="G68" s="4">
        <v>8000</v>
      </c>
      <c r="H68" s="4">
        <v>9000</v>
      </c>
    </row>
    <row r="69" spans="1:8" ht="15" thickBot="1">
      <c r="A69" s="96"/>
      <c r="B69" s="12" t="s">
        <v>11</v>
      </c>
      <c r="C69" s="76">
        <f t="shared" ref="C69:H69" si="6">SUM(C62:C68)</f>
        <v>0</v>
      </c>
      <c r="D69" s="76">
        <f t="shared" si="6"/>
        <v>0</v>
      </c>
      <c r="E69" s="76">
        <f t="shared" si="6"/>
        <v>0</v>
      </c>
      <c r="F69" s="76">
        <f t="shared" si="6"/>
        <v>26748</v>
      </c>
      <c r="G69" s="76">
        <f t="shared" si="6"/>
        <v>16605</v>
      </c>
      <c r="H69" s="76">
        <f t="shared" si="6"/>
        <v>27748</v>
      </c>
    </row>
    <row r="70" spans="1:8" ht="51.75" customHeight="1" thickTop="1">
      <c r="A70" s="93">
        <v>8</v>
      </c>
      <c r="B70" s="73" t="s">
        <v>14</v>
      </c>
      <c r="C70" s="79"/>
      <c r="D70" s="79"/>
      <c r="E70" s="79"/>
      <c r="F70" s="16"/>
      <c r="G70" s="16"/>
      <c r="H70" s="16"/>
    </row>
    <row r="71" spans="1:8" s="65" customFormat="1">
      <c r="A71" s="93"/>
      <c r="B71" s="64" t="s">
        <v>5</v>
      </c>
      <c r="C71" s="66">
        <v>0</v>
      </c>
      <c r="D71" s="66">
        <v>0</v>
      </c>
      <c r="E71" s="66">
        <v>0</v>
      </c>
      <c r="F71" s="4">
        <v>100</v>
      </c>
      <c r="G71" s="4">
        <v>0</v>
      </c>
      <c r="H71" s="4">
        <v>0</v>
      </c>
    </row>
    <row r="72" spans="1:8">
      <c r="A72" s="93"/>
      <c r="B72" s="64" t="s">
        <v>6</v>
      </c>
      <c r="C72" s="66">
        <v>0</v>
      </c>
      <c r="D72" s="66">
        <v>0</v>
      </c>
      <c r="E72" s="66">
        <v>0</v>
      </c>
      <c r="F72" s="4">
        <v>0</v>
      </c>
      <c r="G72" s="4">
        <v>0</v>
      </c>
      <c r="H72" s="4">
        <v>0</v>
      </c>
    </row>
    <row r="73" spans="1:8">
      <c r="A73" s="93"/>
      <c r="B73" s="64" t="s">
        <v>7</v>
      </c>
      <c r="C73" s="66">
        <v>333</v>
      </c>
      <c r="D73" s="66">
        <v>535.5</v>
      </c>
      <c r="E73" s="66">
        <v>407</v>
      </c>
      <c r="F73" s="4">
        <v>3320</v>
      </c>
      <c r="G73" s="4">
        <v>3320</v>
      </c>
      <c r="H73" s="4">
        <v>3340</v>
      </c>
    </row>
    <row r="74" spans="1:8" s="65" customFormat="1">
      <c r="A74" s="93"/>
      <c r="B74" s="64" t="s">
        <v>18</v>
      </c>
      <c r="C74" s="66">
        <v>315</v>
      </c>
      <c r="D74" s="66">
        <v>320</v>
      </c>
      <c r="E74" s="66">
        <v>382</v>
      </c>
      <c r="F74" s="4">
        <v>4477</v>
      </c>
      <c r="G74" s="4">
        <v>0</v>
      </c>
      <c r="H74" s="4">
        <v>4477</v>
      </c>
    </row>
    <row r="75" spans="1:8">
      <c r="A75" s="93"/>
      <c r="B75" s="64" t="s">
        <v>8</v>
      </c>
      <c r="C75" s="66">
        <v>455</v>
      </c>
      <c r="D75" s="66">
        <v>2282.8000000000002</v>
      </c>
      <c r="E75" s="66">
        <v>637.20000000000005</v>
      </c>
      <c r="F75" s="4">
        <v>5000</v>
      </c>
      <c r="G75" s="4">
        <v>5000</v>
      </c>
      <c r="H75" s="4">
        <v>5000</v>
      </c>
    </row>
    <row r="76" spans="1:8" s="67" customFormat="1">
      <c r="A76" s="93"/>
      <c r="B76" s="64" t="s">
        <v>9</v>
      </c>
      <c r="C76" s="66">
        <v>292.10000000000002</v>
      </c>
      <c r="D76" s="66">
        <v>532.35</v>
      </c>
      <c r="E76" s="66">
        <v>707.5</v>
      </c>
      <c r="F76" s="4">
        <v>500</v>
      </c>
      <c r="G76" s="4">
        <v>500</v>
      </c>
      <c r="H76" s="4">
        <v>500</v>
      </c>
    </row>
    <row r="77" spans="1:8" s="65" customFormat="1">
      <c r="A77" s="93"/>
      <c r="B77" s="64" t="s">
        <v>10</v>
      </c>
      <c r="C77" s="66">
        <v>310</v>
      </c>
      <c r="D77" s="66">
        <v>786</v>
      </c>
      <c r="E77" s="66">
        <v>511</v>
      </c>
      <c r="F77" s="4">
        <v>1000</v>
      </c>
      <c r="G77" s="4">
        <v>1000</v>
      </c>
      <c r="H77" s="4">
        <v>1100</v>
      </c>
    </row>
    <row r="78" spans="1:8" ht="15" thickBot="1">
      <c r="A78" s="93"/>
      <c r="B78" s="12" t="s">
        <v>11</v>
      </c>
      <c r="C78" s="5">
        <f t="shared" ref="C78:H78" si="7">SUM(C71:C77)</f>
        <v>1705.1</v>
      </c>
      <c r="D78" s="5">
        <f t="shared" si="7"/>
        <v>4456.6499999999996</v>
      </c>
      <c r="E78" s="5">
        <f t="shared" si="7"/>
        <v>2644.7</v>
      </c>
      <c r="F78" s="5">
        <f t="shared" si="7"/>
        <v>14397</v>
      </c>
      <c r="G78" s="5">
        <f t="shared" si="7"/>
        <v>9820</v>
      </c>
      <c r="H78" s="5">
        <f t="shared" si="7"/>
        <v>14417</v>
      </c>
    </row>
    <row r="79" spans="1:8" ht="29.25" thickTop="1">
      <c r="A79" s="93">
        <v>9</v>
      </c>
      <c r="B79" s="73" t="s">
        <v>27</v>
      </c>
      <c r="C79" s="36"/>
      <c r="D79" s="36"/>
      <c r="E79" s="36"/>
      <c r="F79" s="15"/>
      <c r="G79" s="15"/>
      <c r="H79" s="15"/>
    </row>
    <row r="80" spans="1:8" s="65" customFormat="1">
      <c r="A80" s="93"/>
      <c r="B80" s="64" t="s">
        <v>5</v>
      </c>
      <c r="C80" s="66">
        <v>0</v>
      </c>
      <c r="D80" s="66">
        <v>0</v>
      </c>
      <c r="E80" s="66">
        <v>0</v>
      </c>
      <c r="F80" s="4">
        <v>100</v>
      </c>
      <c r="G80" s="4">
        <v>100</v>
      </c>
      <c r="H80" s="4">
        <v>100</v>
      </c>
    </row>
    <row r="81" spans="1:8" s="65" customFormat="1">
      <c r="A81" s="93"/>
      <c r="B81" s="64" t="s">
        <v>6</v>
      </c>
      <c r="C81" s="66">
        <v>0</v>
      </c>
      <c r="D81" s="66">
        <v>0</v>
      </c>
      <c r="E81" s="66">
        <v>0</v>
      </c>
      <c r="F81" s="4">
        <v>0</v>
      </c>
      <c r="G81" s="4">
        <v>0</v>
      </c>
      <c r="H81" s="4">
        <v>0</v>
      </c>
    </row>
    <row r="82" spans="1:8">
      <c r="A82" s="93"/>
      <c r="B82" s="64" t="s">
        <v>7</v>
      </c>
      <c r="C82" s="66">
        <v>0</v>
      </c>
      <c r="D82" s="66">
        <v>1066</v>
      </c>
      <c r="E82" s="66">
        <v>0</v>
      </c>
      <c r="F82" s="4">
        <v>140</v>
      </c>
      <c r="G82" s="4">
        <v>140</v>
      </c>
      <c r="H82" s="4">
        <v>150</v>
      </c>
    </row>
    <row r="83" spans="1:8" s="65" customFormat="1">
      <c r="A83" s="93"/>
      <c r="B83" s="64" t="s">
        <v>18</v>
      </c>
      <c r="C83" s="66">
        <v>0</v>
      </c>
      <c r="D83" s="66">
        <v>0</v>
      </c>
      <c r="E83" s="66">
        <v>0</v>
      </c>
      <c r="F83" s="4">
        <v>1051</v>
      </c>
      <c r="G83" s="4">
        <v>0</v>
      </c>
      <c r="H83" s="4">
        <v>1051</v>
      </c>
    </row>
    <row r="84" spans="1:8">
      <c r="A84" s="93"/>
      <c r="B84" s="64" t="s">
        <v>8</v>
      </c>
      <c r="C84" s="36">
        <v>0</v>
      </c>
      <c r="D84" s="36">
        <v>0</v>
      </c>
      <c r="E84" s="36">
        <v>0</v>
      </c>
      <c r="F84" s="4">
        <v>3000</v>
      </c>
      <c r="G84" s="4">
        <v>5000</v>
      </c>
      <c r="H84" s="4">
        <v>3000</v>
      </c>
    </row>
    <row r="85" spans="1:8" s="67" customFormat="1">
      <c r="A85" s="93"/>
      <c r="B85" s="64" t="s">
        <v>9</v>
      </c>
      <c r="C85" s="36">
        <v>191.25</v>
      </c>
      <c r="D85" s="36">
        <v>0</v>
      </c>
      <c r="E85" s="36">
        <v>0</v>
      </c>
      <c r="F85" s="4">
        <v>500</v>
      </c>
      <c r="G85" s="4">
        <v>500</v>
      </c>
      <c r="H85" s="4">
        <v>500</v>
      </c>
    </row>
    <row r="86" spans="1:8" s="65" customFormat="1">
      <c r="A86" s="93"/>
      <c r="B86" s="64" t="s">
        <v>10</v>
      </c>
      <c r="C86" s="36">
        <v>0</v>
      </c>
      <c r="D86" s="36">
        <v>0</v>
      </c>
      <c r="E86" s="36">
        <v>0</v>
      </c>
      <c r="F86" s="4">
        <v>10000</v>
      </c>
      <c r="G86" s="4">
        <v>10000</v>
      </c>
      <c r="H86" s="4">
        <v>10000</v>
      </c>
    </row>
    <row r="87" spans="1:8" ht="15" thickBot="1">
      <c r="A87" s="93"/>
      <c r="B87" s="12" t="s">
        <v>11</v>
      </c>
      <c r="C87" s="5">
        <f t="shared" ref="C87:H87" si="8">SUM(C80:C86)</f>
        <v>191.25</v>
      </c>
      <c r="D87" s="5">
        <f t="shared" si="8"/>
        <v>1066</v>
      </c>
      <c r="E87" s="5">
        <f t="shared" si="8"/>
        <v>0</v>
      </c>
      <c r="F87" s="5">
        <f t="shared" si="8"/>
        <v>14791</v>
      </c>
      <c r="G87" s="5">
        <f t="shared" si="8"/>
        <v>15740</v>
      </c>
      <c r="H87" s="5">
        <f t="shared" si="8"/>
        <v>14801</v>
      </c>
    </row>
    <row r="88" spans="1:8" ht="92.25" customHeight="1" thickTop="1">
      <c r="A88" s="94">
        <v>10</v>
      </c>
      <c r="B88" s="71" t="s">
        <v>42</v>
      </c>
      <c r="C88" s="35"/>
      <c r="D88" s="35"/>
      <c r="E88" s="35"/>
      <c r="F88" s="15"/>
      <c r="G88" s="15"/>
      <c r="H88" s="15"/>
    </row>
    <row r="89" spans="1:8" ht="16.5" customHeight="1">
      <c r="A89" s="95"/>
      <c r="B89" s="64" t="s">
        <v>5</v>
      </c>
      <c r="C89" s="66">
        <v>0</v>
      </c>
      <c r="D89" s="66">
        <v>0</v>
      </c>
      <c r="E89" s="66">
        <v>0</v>
      </c>
      <c r="F89" s="4">
        <v>0</v>
      </c>
      <c r="G89" s="4">
        <v>0</v>
      </c>
      <c r="H89" s="4">
        <v>0</v>
      </c>
    </row>
    <row r="90" spans="1:8" ht="16.5" customHeight="1">
      <c r="A90" s="95"/>
      <c r="B90" s="64" t="s">
        <v>6</v>
      </c>
      <c r="C90" s="66">
        <v>0</v>
      </c>
      <c r="D90" s="66">
        <v>0</v>
      </c>
      <c r="E90" s="66">
        <v>0</v>
      </c>
      <c r="F90" s="4">
        <v>0</v>
      </c>
      <c r="G90" s="4">
        <v>0</v>
      </c>
      <c r="H90" s="4">
        <v>0</v>
      </c>
    </row>
    <row r="91" spans="1:8" ht="16.5" customHeight="1">
      <c r="A91" s="95"/>
      <c r="B91" s="64" t="s">
        <v>7</v>
      </c>
      <c r="C91" s="66">
        <v>0</v>
      </c>
      <c r="D91" s="66">
        <v>0</v>
      </c>
      <c r="E91" s="66">
        <v>0</v>
      </c>
      <c r="F91" s="4">
        <v>0</v>
      </c>
      <c r="G91" s="4">
        <v>0</v>
      </c>
      <c r="H91" s="4">
        <v>0</v>
      </c>
    </row>
    <row r="92" spans="1:8" ht="16.5" customHeight="1">
      <c r="A92" s="95"/>
      <c r="B92" s="64" t="s">
        <v>18</v>
      </c>
      <c r="C92" s="66">
        <v>0</v>
      </c>
      <c r="D92" s="66">
        <v>0</v>
      </c>
      <c r="E92" s="66">
        <v>0</v>
      </c>
      <c r="F92" s="4">
        <v>0</v>
      </c>
      <c r="G92" s="4">
        <v>0</v>
      </c>
      <c r="H92" s="4">
        <v>0</v>
      </c>
    </row>
    <row r="93" spans="1:8" ht="16.5" customHeight="1">
      <c r="A93" s="95"/>
      <c r="B93" s="64" t="s">
        <v>8</v>
      </c>
      <c r="C93" s="66">
        <v>0</v>
      </c>
      <c r="D93" s="66">
        <v>0</v>
      </c>
      <c r="E93" s="66">
        <v>0</v>
      </c>
      <c r="F93" s="4">
        <v>0</v>
      </c>
      <c r="G93" s="4">
        <v>0</v>
      </c>
      <c r="H93" s="4">
        <v>0</v>
      </c>
    </row>
    <row r="94" spans="1:8" s="67" customFormat="1" ht="16.5" customHeight="1">
      <c r="A94" s="95"/>
      <c r="B94" s="64" t="s">
        <v>9</v>
      </c>
      <c r="C94" s="66">
        <v>0</v>
      </c>
      <c r="D94" s="66">
        <v>0</v>
      </c>
      <c r="E94" s="66">
        <v>0</v>
      </c>
      <c r="F94" s="4">
        <v>0</v>
      </c>
      <c r="G94" s="4">
        <v>0</v>
      </c>
      <c r="H94" s="4">
        <v>0</v>
      </c>
    </row>
    <row r="95" spans="1:8" s="65" customFormat="1" ht="16.5" customHeight="1">
      <c r="A95" s="95"/>
      <c r="B95" s="64" t="s">
        <v>10</v>
      </c>
      <c r="C95" s="66">
        <v>0</v>
      </c>
      <c r="D95" s="66">
        <v>0</v>
      </c>
      <c r="E95" s="66">
        <v>0</v>
      </c>
      <c r="F95" s="4">
        <v>0</v>
      </c>
      <c r="G95" s="4">
        <v>0</v>
      </c>
      <c r="H95" s="4">
        <v>0</v>
      </c>
    </row>
    <row r="96" spans="1:8" ht="16.5" customHeight="1" thickBot="1">
      <c r="A96" s="96"/>
      <c r="B96" s="12" t="s">
        <v>11</v>
      </c>
      <c r="C96" s="5">
        <f t="shared" ref="C96:H96" si="9">SUM(C89:C95)</f>
        <v>0</v>
      </c>
      <c r="D96" s="5">
        <f t="shared" si="9"/>
        <v>0</v>
      </c>
      <c r="E96" s="5">
        <f t="shared" si="9"/>
        <v>0</v>
      </c>
      <c r="F96" s="5">
        <f t="shared" si="9"/>
        <v>0</v>
      </c>
      <c r="G96" s="5">
        <f t="shared" si="9"/>
        <v>0</v>
      </c>
      <c r="H96" s="5">
        <f t="shared" si="9"/>
        <v>0</v>
      </c>
    </row>
    <row r="97" spans="1:8" ht="43.5" thickTop="1">
      <c r="A97" s="94">
        <v>11</v>
      </c>
      <c r="B97" s="77" t="s">
        <v>62</v>
      </c>
      <c r="C97" s="35"/>
      <c r="D97" s="75"/>
      <c r="E97" s="75"/>
      <c r="F97" s="75"/>
      <c r="G97" s="75"/>
      <c r="H97" s="75"/>
    </row>
    <row r="98" spans="1:8" ht="16.5" customHeight="1">
      <c r="A98" s="95"/>
      <c r="B98" s="64" t="s">
        <v>5</v>
      </c>
      <c r="C98" s="66">
        <v>0</v>
      </c>
      <c r="D98" s="66">
        <v>0</v>
      </c>
      <c r="E98" s="66">
        <v>0</v>
      </c>
      <c r="F98" s="4">
        <v>0</v>
      </c>
      <c r="G98" s="4">
        <v>0</v>
      </c>
      <c r="H98" s="4">
        <v>0</v>
      </c>
    </row>
    <row r="99" spans="1:8" ht="16.5" customHeight="1">
      <c r="A99" s="95"/>
      <c r="B99" s="64" t="s">
        <v>6</v>
      </c>
      <c r="C99" s="66">
        <v>0</v>
      </c>
      <c r="D99" s="66">
        <v>0</v>
      </c>
      <c r="E99" s="66">
        <v>0</v>
      </c>
      <c r="F99" s="4">
        <v>0</v>
      </c>
      <c r="G99" s="4">
        <v>0</v>
      </c>
      <c r="H99" s="4">
        <v>0</v>
      </c>
    </row>
    <row r="100" spans="1:8" ht="16.5" customHeight="1">
      <c r="A100" s="95"/>
      <c r="B100" s="64" t="s">
        <v>7</v>
      </c>
      <c r="C100" s="66">
        <v>0</v>
      </c>
      <c r="D100" s="66">
        <v>0</v>
      </c>
      <c r="E100" s="66">
        <v>0</v>
      </c>
      <c r="F100" s="4">
        <v>0</v>
      </c>
      <c r="G100" s="4">
        <v>0</v>
      </c>
      <c r="H100" s="4">
        <v>0</v>
      </c>
    </row>
    <row r="101" spans="1:8" ht="16.5" customHeight="1">
      <c r="A101" s="95"/>
      <c r="B101" s="64" t="s">
        <v>18</v>
      </c>
      <c r="C101" s="66">
        <v>0</v>
      </c>
      <c r="D101" s="66">
        <v>0</v>
      </c>
      <c r="E101" s="66">
        <v>0</v>
      </c>
      <c r="F101" s="4">
        <v>0</v>
      </c>
      <c r="G101" s="4">
        <v>0</v>
      </c>
      <c r="H101" s="4">
        <v>0</v>
      </c>
    </row>
    <row r="102" spans="1:8" ht="16.5" customHeight="1">
      <c r="A102" s="95"/>
      <c r="B102" s="64" t="s">
        <v>8</v>
      </c>
      <c r="C102" s="66">
        <v>94610.308000000005</v>
      </c>
      <c r="D102" s="66">
        <v>0</v>
      </c>
      <c r="E102" s="66">
        <v>0</v>
      </c>
      <c r="F102" s="4">
        <v>20000</v>
      </c>
      <c r="G102" s="4">
        <v>20000</v>
      </c>
      <c r="H102" s="4">
        <v>20000</v>
      </c>
    </row>
    <row r="103" spans="1:8" s="67" customFormat="1" ht="16.5" customHeight="1">
      <c r="A103" s="95"/>
      <c r="B103" s="64" t="s">
        <v>9</v>
      </c>
      <c r="C103" s="66">
        <v>0</v>
      </c>
      <c r="D103" s="66">
        <v>0</v>
      </c>
      <c r="E103" s="66">
        <v>0</v>
      </c>
      <c r="F103" s="4">
        <v>0</v>
      </c>
      <c r="G103" s="4">
        <v>0</v>
      </c>
      <c r="H103" s="4">
        <v>0</v>
      </c>
    </row>
    <row r="104" spans="1:8" s="65" customFormat="1" ht="16.5" customHeight="1">
      <c r="A104" s="95"/>
      <c r="B104" s="64" t="s">
        <v>10</v>
      </c>
      <c r="C104" s="66">
        <v>0</v>
      </c>
      <c r="D104" s="66">
        <v>0</v>
      </c>
      <c r="E104" s="66">
        <v>0</v>
      </c>
      <c r="F104" s="4">
        <v>0</v>
      </c>
      <c r="G104" s="4">
        <v>0</v>
      </c>
      <c r="H104" s="4">
        <v>0</v>
      </c>
    </row>
    <row r="105" spans="1:8" ht="16.5" customHeight="1" thickBot="1">
      <c r="A105" s="96"/>
      <c r="B105" s="12" t="s">
        <v>11</v>
      </c>
      <c r="C105" s="5">
        <f t="shared" ref="C105:H105" si="10">SUM(C98:C104)</f>
        <v>94610.308000000005</v>
      </c>
      <c r="D105" s="5">
        <f t="shared" si="10"/>
        <v>0</v>
      </c>
      <c r="E105" s="5">
        <f t="shared" si="10"/>
        <v>0</v>
      </c>
      <c r="F105" s="5">
        <f t="shared" si="10"/>
        <v>20000</v>
      </c>
      <c r="G105" s="5">
        <f t="shared" si="10"/>
        <v>20000</v>
      </c>
      <c r="H105" s="5">
        <f t="shared" si="10"/>
        <v>20000</v>
      </c>
    </row>
    <row r="106" spans="1:8" ht="56.25" customHeight="1" thickTop="1">
      <c r="A106" s="93">
        <v>12</v>
      </c>
      <c r="B106" s="73" t="s">
        <v>23</v>
      </c>
      <c r="C106" s="36"/>
      <c r="D106" s="36"/>
      <c r="E106" s="36"/>
      <c r="F106" s="15"/>
      <c r="G106" s="15"/>
      <c r="H106" s="15"/>
    </row>
    <row r="107" spans="1:8">
      <c r="A107" s="93"/>
      <c r="B107" s="64" t="s">
        <v>5</v>
      </c>
      <c r="C107" s="36">
        <v>0</v>
      </c>
      <c r="D107" s="36">
        <v>0</v>
      </c>
      <c r="E107" s="36">
        <v>0</v>
      </c>
      <c r="F107" s="4">
        <v>0</v>
      </c>
      <c r="G107" s="4">
        <v>0</v>
      </c>
      <c r="H107" s="4">
        <v>0</v>
      </c>
    </row>
    <row r="108" spans="1:8" s="65" customFormat="1">
      <c r="A108" s="93"/>
      <c r="B108" s="64" t="s">
        <v>6</v>
      </c>
      <c r="C108" s="36">
        <v>0</v>
      </c>
      <c r="D108" s="36">
        <v>0</v>
      </c>
      <c r="E108" s="36">
        <v>0</v>
      </c>
      <c r="F108" s="4">
        <v>1000</v>
      </c>
      <c r="G108" s="4">
        <v>1000</v>
      </c>
      <c r="H108" s="4">
        <v>500</v>
      </c>
    </row>
    <row r="109" spans="1:8">
      <c r="A109" s="93"/>
      <c r="B109" s="64" t="s">
        <v>7</v>
      </c>
      <c r="C109" s="36">
        <v>106240</v>
      </c>
      <c r="D109" s="36">
        <v>61420</v>
      </c>
      <c r="E109" s="36">
        <v>2080</v>
      </c>
      <c r="F109" s="4">
        <v>50000</v>
      </c>
      <c r="G109" s="4">
        <v>50000</v>
      </c>
      <c r="H109" s="4">
        <v>30000</v>
      </c>
    </row>
    <row r="110" spans="1:8">
      <c r="A110" s="93"/>
      <c r="B110" s="64" t="s">
        <v>18</v>
      </c>
      <c r="C110" s="36">
        <v>14330</v>
      </c>
      <c r="D110" s="36">
        <v>23440</v>
      </c>
      <c r="E110" s="36">
        <v>230</v>
      </c>
      <c r="F110" s="4">
        <v>1210000</v>
      </c>
      <c r="G110" s="4">
        <v>0</v>
      </c>
      <c r="H110" s="4">
        <v>1210000</v>
      </c>
    </row>
    <row r="111" spans="1:8">
      <c r="A111" s="93"/>
      <c r="B111" s="64" t="s">
        <v>8</v>
      </c>
      <c r="C111" s="36">
        <v>0</v>
      </c>
      <c r="D111" s="36">
        <v>17263.648000000001</v>
      </c>
      <c r="E111" s="36">
        <v>5357.7449999999999</v>
      </c>
      <c r="F111" s="4">
        <v>10000</v>
      </c>
      <c r="G111" s="4">
        <v>30000</v>
      </c>
      <c r="H111" s="4">
        <v>10000</v>
      </c>
    </row>
    <row r="112" spans="1:8" s="67" customFormat="1">
      <c r="A112" s="93"/>
      <c r="B112" s="64" t="s">
        <v>9</v>
      </c>
      <c r="C112" s="36">
        <v>0</v>
      </c>
      <c r="D112" s="36">
        <v>1814.65</v>
      </c>
      <c r="E112" s="36">
        <v>439</v>
      </c>
      <c r="F112" s="4">
        <v>2645</v>
      </c>
      <c r="G112" s="4">
        <v>5000</v>
      </c>
      <c r="H112" s="4">
        <v>5000</v>
      </c>
    </row>
    <row r="113" spans="1:8" s="65" customFormat="1">
      <c r="A113" s="93"/>
      <c r="B113" s="64" t="s">
        <v>10</v>
      </c>
      <c r="C113" s="36">
        <v>185</v>
      </c>
      <c r="D113" s="36">
        <v>1540</v>
      </c>
      <c r="E113" s="36">
        <v>15</v>
      </c>
      <c r="F113" s="4">
        <v>10000</v>
      </c>
      <c r="G113" s="4">
        <v>10000</v>
      </c>
      <c r="H113" s="4">
        <v>10000</v>
      </c>
    </row>
    <row r="114" spans="1:8" ht="15" thickBot="1">
      <c r="A114" s="93"/>
      <c r="B114" s="12" t="s">
        <v>11</v>
      </c>
      <c r="C114" s="5">
        <f t="shared" ref="C114:H114" si="11">SUM(C107:C113)</f>
        <v>120755</v>
      </c>
      <c r="D114" s="5">
        <f t="shared" si="11"/>
        <v>105478.298</v>
      </c>
      <c r="E114" s="5">
        <f t="shared" si="11"/>
        <v>8121.7449999999999</v>
      </c>
      <c r="F114" s="5">
        <f t="shared" si="11"/>
        <v>1283645</v>
      </c>
      <c r="G114" s="5">
        <f t="shared" si="11"/>
        <v>96000</v>
      </c>
      <c r="H114" s="5">
        <f t="shared" si="11"/>
        <v>1265500</v>
      </c>
    </row>
    <row r="115" spans="1:8" ht="29.25" thickTop="1">
      <c r="A115" s="94">
        <v>13</v>
      </c>
      <c r="B115" s="73" t="s">
        <v>29</v>
      </c>
      <c r="C115" s="35"/>
      <c r="D115" s="35"/>
      <c r="E115" s="35"/>
      <c r="F115" s="15"/>
      <c r="G115" s="15"/>
      <c r="H115" s="15"/>
    </row>
    <row r="116" spans="1:8">
      <c r="A116" s="95"/>
      <c r="B116" s="64" t="s">
        <v>5</v>
      </c>
      <c r="C116" s="66">
        <v>0</v>
      </c>
      <c r="D116" s="66">
        <v>0</v>
      </c>
      <c r="E116" s="66">
        <v>0</v>
      </c>
      <c r="F116" s="4">
        <v>0</v>
      </c>
      <c r="G116" s="4">
        <v>0</v>
      </c>
      <c r="H116" s="4">
        <v>0</v>
      </c>
    </row>
    <row r="117" spans="1:8">
      <c r="A117" s="95"/>
      <c r="B117" s="64" t="s">
        <v>6</v>
      </c>
      <c r="C117" s="66">
        <v>0</v>
      </c>
      <c r="D117" s="66">
        <v>0</v>
      </c>
      <c r="E117" s="66">
        <v>0</v>
      </c>
      <c r="F117" s="4">
        <v>0</v>
      </c>
      <c r="G117" s="4">
        <v>0</v>
      </c>
      <c r="H117" s="4">
        <v>0</v>
      </c>
    </row>
    <row r="118" spans="1:8">
      <c r="A118" s="95"/>
      <c r="B118" s="64" t="s">
        <v>7</v>
      </c>
      <c r="C118" s="66">
        <v>0</v>
      </c>
      <c r="D118" s="66">
        <v>0</v>
      </c>
      <c r="E118" s="66">
        <v>0</v>
      </c>
      <c r="F118" s="4">
        <v>0</v>
      </c>
      <c r="G118" s="4">
        <v>0</v>
      </c>
      <c r="H118" s="4">
        <v>0</v>
      </c>
    </row>
    <row r="119" spans="1:8" s="65" customFormat="1">
      <c r="A119" s="95"/>
      <c r="B119" s="64" t="s">
        <v>18</v>
      </c>
      <c r="C119" s="66">
        <v>0</v>
      </c>
      <c r="D119" s="66">
        <v>0</v>
      </c>
      <c r="E119" s="66">
        <v>0</v>
      </c>
      <c r="F119" s="4">
        <v>1320</v>
      </c>
      <c r="G119" s="4">
        <v>0</v>
      </c>
      <c r="H119" s="4">
        <v>1320</v>
      </c>
    </row>
    <row r="120" spans="1:8">
      <c r="A120" s="95"/>
      <c r="B120" s="64" t="s">
        <v>8</v>
      </c>
      <c r="C120" s="66">
        <v>3215.931</v>
      </c>
      <c r="D120" s="66">
        <v>0</v>
      </c>
      <c r="E120" s="66">
        <v>0</v>
      </c>
      <c r="F120" s="4">
        <v>10000</v>
      </c>
      <c r="G120" s="4">
        <v>10000</v>
      </c>
      <c r="H120" s="4">
        <v>10000</v>
      </c>
    </row>
    <row r="121" spans="1:8" s="67" customFormat="1">
      <c r="A121" s="95"/>
      <c r="B121" s="64" t="s">
        <v>9</v>
      </c>
      <c r="C121" s="66">
        <v>2237.9349999999999</v>
      </c>
      <c r="D121" s="66">
        <v>0</v>
      </c>
      <c r="E121" s="66">
        <v>0</v>
      </c>
      <c r="F121" s="4">
        <v>0</v>
      </c>
      <c r="G121" s="4">
        <v>0</v>
      </c>
      <c r="H121" s="4">
        <v>110</v>
      </c>
    </row>
    <row r="122" spans="1:8" s="65" customFormat="1">
      <c r="A122" s="95"/>
      <c r="B122" s="64" t="s">
        <v>10</v>
      </c>
      <c r="C122" s="66">
        <v>519.56899999999996</v>
      </c>
      <c r="D122" s="66">
        <v>0</v>
      </c>
      <c r="E122" s="66">
        <v>0</v>
      </c>
      <c r="F122" s="4">
        <v>0</v>
      </c>
      <c r="G122" s="4">
        <v>0</v>
      </c>
      <c r="H122" s="4">
        <v>0</v>
      </c>
    </row>
    <row r="123" spans="1:8" ht="15" thickBot="1">
      <c r="A123" s="96"/>
      <c r="B123" s="12" t="s">
        <v>11</v>
      </c>
      <c r="C123" s="5">
        <f t="shared" ref="C123:H123" si="12">SUM(C116:C122)</f>
        <v>5973.4349999999995</v>
      </c>
      <c r="D123" s="5">
        <f t="shared" si="12"/>
        <v>0</v>
      </c>
      <c r="E123" s="5">
        <f t="shared" si="12"/>
        <v>0</v>
      </c>
      <c r="F123" s="5">
        <f t="shared" si="12"/>
        <v>11320</v>
      </c>
      <c r="G123" s="5">
        <f t="shared" si="12"/>
        <v>10000</v>
      </c>
      <c r="H123" s="5">
        <f t="shared" si="12"/>
        <v>11430</v>
      </c>
    </row>
    <row r="124" spans="1:8" ht="29.25" thickTop="1">
      <c r="A124" s="94">
        <v>14</v>
      </c>
      <c r="B124" s="73" t="s">
        <v>30</v>
      </c>
      <c r="C124" s="36"/>
      <c r="D124" s="36"/>
      <c r="E124" s="36"/>
      <c r="F124" s="15"/>
      <c r="G124" s="15"/>
      <c r="H124" s="15"/>
    </row>
    <row r="125" spans="1:8">
      <c r="A125" s="95"/>
      <c r="B125" s="64" t="s">
        <v>5</v>
      </c>
      <c r="C125" s="66">
        <v>0</v>
      </c>
      <c r="D125" s="66">
        <v>0</v>
      </c>
      <c r="E125" s="66">
        <v>0</v>
      </c>
      <c r="F125" s="4">
        <v>0</v>
      </c>
      <c r="G125" s="4">
        <v>0</v>
      </c>
      <c r="H125" s="4">
        <v>0</v>
      </c>
    </row>
    <row r="126" spans="1:8">
      <c r="A126" s="95"/>
      <c r="B126" s="64" t="s">
        <v>6</v>
      </c>
      <c r="C126" s="66">
        <v>0</v>
      </c>
      <c r="D126" s="66">
        <v>0</v>
      </c>
      <c r="E126" s="66">
        <v>0</v>
      </c>
      <c r="F126" s="4">
        <v>0</v>
      </c>
      <c r="G126" s="4">
        <v>0</v>
      </c>
      <c r="H126" s="4">
        <v>0</v>
      </c>
    </row>
    <row r="127" spans="1:8">
      <c r="A127" s="95"/>
      <c r="B127" s="64" t="s">
        <v>7</v>
      </c>
      <c r="C127" s="66">
        <v>506.87799999999999</v>
      </c>
      <c r="D127" s="66">
        <v>0</v>
      </c>
      <c r="E127" s="66">
        <v>0</v>
      </c>
      <c r="F127" s="4">
        <v>0</v>
      </c>
      <c r="G127" s="4">
        <v>0</v>
      </c>
      <c r="H127" s="4">
        <v>0</v>
      </c>
    </row>
    <row r="128" spans="1:8" s="65" customFormat="1">
      <c r="A128" s="95"/>
      <c r="B128" s="64" t="s">
        <v>18</v>
      </c>
      <c r="C128" s="66">
        <v>1075.3389999999999</v>
      </c>
      <c r="D128" s="66">
        <v>0</v>
      </c>
      <c r="E128" s="66">
        <v>0</v>
      </c>
      <c r="F128" s="4">
        <v>131778</v>
      </c>
      <c r="G128" s="4">
        <v>0</v>
      </c>
      <c r="H128" s="4">
        <v>131778</v>
      </c>
    </row>
    <row r="129" spans="1:8">
      <c r="A129" s="95"/>
      <c r="B129" s="64" t="s">
        <v>8</v>
      </c>
      <c r="C129" s="66">
        <v>9744.1980000000003</v>
      </c>
      <c r="D129" s="66">
        <v>0</v>
      </c>
      <c r="E129" s="66">
        <v>0</v>
      </c>
      <c r="F129" s="4">
        <v>25000</v>
      </c>
      <c r="G129" s="4">
        <v>25000</v>
      </c>
      <c r="H129" s="4">
        <v>25000</v>
      </c>
    </row>
    <row r="130" spans="1:8" s="67" customFormat="1">
      <c r="A130" s="95"/>
      <c r="B130" s="64" t="s">
        <v>9</v>
      </c>
      <c r="C130" s="66">
        <v>292.84800000000001</v>
      </c>
      <c r="D130" s="66">
        <v>0</v>
      </c>
      <c r="E130" s="66">
        <v>0</v>
      </c>
      <c r="F130" s="4">
        <v>0</v>
      </c>
      <c r="G130" s="4">
        <v>0</v>
      </c>
      <c r="H130" s="4">
        <v>0</v>
      </c>
    </row>
    <row r="131" spans="1:8" s="65" customFormat="1">
      <c r="A131" s="95"/>
      <c r="B131" s="64" t="s">
        <v>10</v>
      </c>
      <c r="C131" s="66">
        <v>95.540999999999997</v>
      </c>
      <c r="D131" s="66">
        <v>0</v>
      </c>
      <c r="E131" s="66">
        <v>0</v>
      </c>
      <c r="F131" s="4">
        <v>20000</v>
      </c>
      <c r="G131" s="4">
        <v>20000</v>
      </c>
      <c r="H131" s="4">
        <v>20000</v>
      </c>
    </row>
    <row r="132" spans="1:8" ht="15" thickBot="1">
      <c r="A132" s="96"/>
      <c r="B132" s="12" t="s">
        <v>11</v>
      </c>
      <c r="C132" s="5">
        <f t="shared" ref="C132:H132" si="13">SUM(C125:C131)</f>
        <v>11714.804</v>
      </c>
      <c r="D132" s="5">
        <f t="shared" si="13"/>
        <v>0</v>
      </c>
      <c r="E132" s="5">
        <f t="shared" si="13"/>
        <v>0</v>
      </c>
      <c r="F132" s="5">
        <f t="shared" si="13"/>
        <v>176778</v>
      </c>
      <c r="G132" s="5">
        <f t="shared" si="13"/>
        <v>45000</v>
      </c>
      <c r="H132" s="5">
        <f t="shared" si="13"/>
        <v>176778</v>
      </c>
    </row>
    <row r="133" spans="1:8" ht="35.25" customHeight="1" thickTop="1">
      <c r="A133" s="94">
        <v>15</v>
      </c>
      <c r="B133" s="71" t="s">
        <v>57</v>
      </c>
      <c r="C133" s="35"/>
      <c r="D133" s="35"/>
      <c r="E133" s="35"/>
      <c r="F133" s="15"/>
      <c r="G133" s="15"/>
      <c r="H133" s="15"/>
    </row>
    <row r="134" spans="1:8" s="65" customFormat="1">
      <c r="A134" s="95"/>
      <c r="B134" s="64" t="s">
        <v>5</v>
      </c>
      <c r="C134" s="66">
        <v>0</v>
      </c>
      <c r="D134" s="66">
        <v>0</v>
      </c>
      <c r="E134" s="66">
        <v>0</v>
      </c>
      <c r="F134" s="4">
        <v>100</v>
      </c>
      <c r="G134" s="4">
        <v>100</v>
      </c>
      <c r="H134" s="4">
        <v>100</v>
      </c>
    </row>
    <row r="135" spans="1:8" s="65" customFormat="1">
      <c r="A135" s="95"/>
      <c r="B135" s="64" t="s">
        <v>6</v>
      </c>
      <c r="C135" s="66">
        <v>0</v>
      </c>
      <c r="D135" s="66">
        <v>0</v>
      </c>
      <c r="E135" s="66">
        <v>0</v>
      </c>
      <c r="F135" s="4">
        <v>0</v>
      </c>
      <c r="G135" s="4">
        <v>0</v>
      </c>
      <c r="H135" s="4">
        <v>0</v>
      </c>
    </row>
    <row r="136" spans="1:8">
      <c r="A136" s="95"/>
      <c r="B136" s="64" t="s">
        <v>7</v>
      </c>
      <c r="C136" s="66">
        <v>0</v>
      </c>
      <c r="D136" s="66">
        <v>0</v>
      </c>
      <c r="E136" s="66">
        <v>0</v>
      </c>
      <c r="F136" s="4">
        <v>0</v>
      </c>
      <c r="G136" s="4">
        <v>0</v>
      </c>
      <c r="H136" s="4">
        <v>0</v>
      </c>
    </row>
    <row r="137" spans="1:8" s="65" customFormat="1">
      <c r="A137" s="95"/>
      <c r="B137" s="64" t="s">
        <v>18</v>
      </c>
      <c r="C137" s="66">
        <v>0</v>
      </c>
      <c r="D137" s="66">
        <v>0</v>
      </c>
      <c r="E137" s="66">
        <v>0</v>
      </c>
      <c r="F137" s="4">
        <v>181597</v>
      </c>
      <c r="G137" s="4">
        <v>0</v>
      </c>
      <c r="H137" s="4">
        <v>181597</v>
      </c>
    </row>
    <row r="138" spans="1:8">
      <c r="A138" s="95"/>
      <c r="B138" s="64" t="s">
        <v>8</v>
      </c>
      <c r="C138" s="66">
        <v>0</v>
      </c>
      <c r="D138" s="66">
        <v>18920</v>
      </c>
      <c r="E138" s="66">
        <v>0</v>
      </c>
      <c r="F138" s="4">
        <v>20000</v>
      </c>
      <c r="G138" s="4">
        <v>30000</v>
      </c>
      <c r="H138" s="4">
        <v>20000</v>
      </c>
    </row>
    <row r="139" spans="1:8" s="67" customFormat="1">
      <c r="A139" s="95"/>
      <c r="B139" s="64" t="s">
        <v>9</v>
      </c>
      <c r="C139" s="66">
        <v>5280</v>
      </c>
      <c r="D139" s="66">
        <v>0</v>
      </c>
      <c r="E139" s="66">
        <v>0</v>
      </c>
      <c r="F139" s="4">
        <v>0</v>
      </c>
      <c r="G139" s="4">
        <v>0</v>
      </c>
      <c r="H139" s="4">
        <v>44</v>
      </c>
    </row>
    <row r="140" spans="1:8" s="65" customFormat="1">
      <c r="A140" s="95"/>
      <c r="B140" s="64" t="s">
        <v>10</v>
      </c>
      <c r="C140" s="66">
        <v>0</v>
      </c>
      <c r="D140" s="66">
        <v>20418.758999999998</v>
      </c>
      <c r="E140" s="66">
        <v>0</v>
      </c>
      <c r="F140" s="4">
        <v>20000</v>
      </c>
      <c r="G140" s="4">
        <v>20000</v>
      </c>
      <c r="H140" s="4">
        <v>20000</v>
      </c>
    </row>
    <row r="141" spans="1:8" ht="15" thickBot="1">
      <c r="A141" s="95"/>
      <c r="B141" s="12" t="s">
        <v>11</v>
      </c>
      <c r="C141" s="5">
        <f t="shared" ref="C141:H141" si="14">SUM(C134:C140)</f>
        <v>5280</v>
      </c>
      <c r="D141" s="5">
        <f t="shared" si="14"/>
        <v>39338.758999999998</v>
      </c>
      <c r="E141" s="5">
        <f t="shared" si="14"/>
        <v>0</v>
      </c>
      <c r="F141" s="5">
        <f t="shared" si="14"/>
        <v>221697</v>
      </c>
      <c r="G141" s="5">
        <f t="shared" si="14"/>
        <v>50100</v>
      </c>
      <c r="H141" s="5">
        <f t="shared" si="14"/>
        <v>221741</v>
      </c>
    </row>
    <row r="142" spans="1:8" ht="43.5" thickTop="1">
      <c r="A142" s="95">
        <v>16</v>
      </c>
      <c r="B142" s="77" t="s">
        <v>63</v>
      </c>
      <c r="C142" s="35"/>
      <c r="D142" s="75"/>
      <c r="E142" s="75"/>
      <c r="F142" s="75"/>
      <c r="G142" s="75"/>
      <c r="H142" s="75"/>
    </row>
    <row r="143" spans="1:8">
      <c r="A143" s="95"/>
      <c r="B143" s="64" t="s">
        <v>5</v>
      </c>
      <c r="C143" s="66">
        <v>0</v>
      </c>
      <c r="D143" s="66">
        <v>0</v>
      </c>
      <c r="E143" s="66">
        <v>0</v>
      </c>
      <c r="F143" s="4">
        <v>0</v>
      </c>
      <c r="G143" s="4">
        <v>0</v>
      </c>
      <c r="H143" s="4">
        <v>0</v>
      </c>
    </row>
    <row r="144" spans="1:8">
      <c r="A144" s="95"/>
      <c r="B144" s="64" t="s">
        <v>6</v>
      </c>
      <c r="C144" s="66">
        <v>0</v>
      </c>
      <c r="D144" s="66">
        <v>0</v>
      </c>
      <c r="E144" s="66">
        <v>0</v>
      </c>
      <c r="F144" s="4">
        <v>0</v>
      </c>
      <c r="G144" s="4">
        <v>0</v>
      </c>
      <c r="H144" s="4">
        <v>0</v>
      </c>
    </row>
    <row r="145" spans="1:8">
      <c r="A145" s="95"/>
      <c r="B145" s="64" t="s">
        <v>7</v>
      </c>
      <c r="C145" s="66">
        <v>0</v>
      </c>
      <c r="D145" s="66">
        <v>0</v>
      </c>
      <c r="E145" s="66">
        <v>0</v>
      </c>
      <c r="F145" s="4">
        <v>0</v>
      </c>
      <c r="G145" s="4">
        <v>0</v>
      </c>
      <c r="H145" s="4">
        <v>0</v>
      </c>
    </row>
    <row r="146" spans="1:8" s="65" customFormat="1">
      <c r="A146" s="95"/>
      <c r="B146" s="64" t="s">
        <v>18</v>
      </c>
      <c r="C146" s="66">
        <v>0</v>
      </c>
      <c r="D146" s="66">
        <v>0</v>
      </c>
      <c r="E146" s="66">
        <v>0</v>
      </c>
      <c r="F146" s="4">
        <v>17</v>
      </c>
      <c r="G146" s="4">
        <v>0</v>
      </c>
      <c r="H146" s="4">
        <v>17</v>
      </c>
    </row>
    <row r="147" spans="1:8">
      <c r="A147" s="95"/>
      <c r="B147" s="64" t="s">
        <v>8</v>
      </c>
      <c r="C147" s="66">
        <v>0</v>
      </c>
      <c r="D147" s="66">
        <v>0</v>
      </c>
      <c r="E147" s="66">
        <v>0</v>
      </c>
      <c r="F147" s="4">
        <v>20000</v>
      </c>
      <c r="G147" s="4">
        <v>30000</v>
      </c>
      <c r="H147" s="4">
        <v>20000</v>
      </c>
    </row>
    <row r="148" spans="1:8" s="67" customFormat="1">
      <c r="A148" s="95"/>
      <c r="B148" s="64" t="s">
        <v>9</v>
      </c>
      <c r="C148" s="66">
        <v>0</v>
      </c>
      <c r="D148" s="66">
        <v>0</v>
      </c>
      <c r="E148" s="66">
        <v>0</v>
      </c>
      <c r="F148" s="4">
        <v>0</v>
      </c>
      <c r="G148" s="4">
        <v>0</v>
      </c>
      <c r="H148" s="4">
        <v>0</v>
      </c>
    </row>
    <row r="149" spans="1:8" s="65" customFormat="1">
      <c r="A149" s="95"/>
      <c r="B149" s="64" t="s">
        <v>10</v>
      </c>
      <c r="C149" s="66">
        <v>0</v>
      </c>
      <c r="D149" s="66">
        <v>0</v>
      </c>
      <c r="E149" s="66">
        <v>0</v>
      </c>
      <c r="F149" s="4">
        <v>0</v>
      </c>
      <c r="G149" s="4">
        <v>0</v>
      </c>
      <c r="H149" s="4">
        <v>0</v>
      </c>
    </row>
    <row r="150" spans="1:8" ht="15" thickBot="1">
      <c r="A150" s="95"/>
      <c r="B150" s="12" t="s">
        <v>11</v>
      </c>
      <c r="C150" s="5">
        <f t="shared" ref="C150:H150" si="15">SUM(C143:C149)</f>
        <v>0</v>
      </c>
      <c r="D150" s="5">
        <v>0</v>
      </c>
      <c r="E150" s="5">
        <f t="shared" si="15"/>
        <v>0</v>
      </c>
      <c r="F150" s="5">
        <v>0</v>
      </c>
      <c r="G150" s="5">
        <v>0</v>
      </c>
      <c r="H150" s="5">
        <f t="shared" si="15"/>
        <v>20017</v>
      </c>
    </row>
    <row r="151" spans="1:8" ht="57.75" thickTop="1">
      <c r="A151" s="95">
        <v>17</v>
      </c>
      <c r="B151" s="77" t="s">
        <v>64</v>
      </c>
      <c r="C151" s="35"/>
      <c r="D151" s="75"/>
      <c r="E151" s="75"/>
      <c r="F151" s="75"/>
      <c r="G151" s="75"/>
      <c r="H151" s="75"/>
    </row>
    <row r="152" spans="1:8">
      <c r="A152" s="95"/>
      <c r="B152" s="64" t="s">
        <v>5</v>
      </c>
      <c r="C152" s="66">
        <v>0</v>
      </c>
      <c r="D152" s="80">
        <v>0</v>
      </c>
      <c r="E152" s="80">
        <v>0</v>
      </c>
      <c r="F152" s="4">
        <v>100</v>
      </c>
      <c r="G152" s="4">
        <v>100</v>
      </c>
      <c r="H152" s="4">
        <v>100</v>
      </c>
    </row>
    <row r="153" spans="1:8" s="65" customFormat="1">
      <c r="A153" s="95"/>
      <c r="B153" s="64" t="s">
        <v>6</v>
      </c>
      <c r="C153" s="66">
        <v>0</v>
      </c>
      <c r="D153" s="80">
        <v>0</v>
      </c>
      <c r="E153" s="80">
        <v>0</v>
      </c>
      <c r="F153" s="4">
        <v>0</v>
      </c>
      <c r="G153" s="4">
        <v>0</v>
      </c>
      <c r="H153" s="4">
        <v>0</v>
      </c>
    </row>
    <row r="154" spans="1:8">
      <c r="A154" s="95"/>
      <c r="B154" s="64" t="s">
        <v>7</v>
      </c>
      <c r="C154" s="66">
        <v>0</v>
      </c>
      <c r="D154" s="80">
        <v>0</v>
      </c>
      <c r="E154" s="80">
        <v>0</v>
      </c>
      <c r="F154" s="4">
        <v>0</v>
      </c>
      <c r="G154" s="4">
        <v>0</v>
      </c>
      <c r="H154" s="4">
        <v>3555</v>
      </c>
    </row>
    <row r="155" spans="1:8" s="65" customFormat="1">
      <c r="A155" s="95"/>
      <c r="B155" s="64" t="s">
        <v>18</v>
      </c>
      <c r="C155" s="66">
        <v>0</v>
      </c>
      <c r="D155" s="80">
        <v>0</v>
      </c>
      <c r="E155" s="80">
        <v>0</v>
      </c>
      <c r="F155" s="4">
        <v>1196</v>
      </c>
      <c r="G155" s="4">
        <v>0</v>
      </c>
      <c r="H155" s="4">
        <v>1196</v>
      </c>
    </row>
    <row r="156" spans="1:8">
      <c r="A156" s="95"/>
      <c r="B156" s="64" t="s">
        <v>8</v>
      </c>
      <c r="C156" s="4">
        <v>0</v>
      </c>
      <c r="D156" s="80">
        <v>0</v>
      </c>
      <c r="E156" s="80">
        <v>0</v>
      </c>
      <c r="F156" s="4">
        <v>25000</v>
      </c>
      <c r="G156" s="4">
        <v>25000</v>
      </c>
      <c r="H156" s="4">
        <v>20000</v>
      </c>
    </row>
    <row r="157" spans="1:8" s="67" customFormat="1">
      <c r="A157" s="95"/>
      <c r="B157" s="64" t="s">
        <v>9</v>
      </c>
      <c r="C157" s="4">
        <v>151.19999999999999</v>
      </c>
      <c r="D157" s="35">
        <v>0</v>
      </c>
      <c r="E157" s="35">
        <v>0</v>
      </c>
      <c r="F157" s="4">
        <v>6</v>
      </c>
      <c r="G157" s="4">
        <v>6</v>
      </c>
      <c r="H157" s="4">
        <v>6</v>
      </c>
    </row>
    <row r="158" spans="1:8" s="65" customFormat="1">
      <c r="A158" s="95"/>
      <c r="B158" s="64" t="s">
        <v>10</v>
      </c>
      <c r="C158" s="66">
        <v>0</v>
      </c>
      <c r="D158" s="35">
        <v>0</v>
      </c>
      <c r="E158" s="35">
        <v>0</v>
      </c>
      <c r="F158" s="4">
        <v>1600</v>
      </c>
      <c r="G158" s="4">
        <v>1600</v>
      </c>
      <c r="H158" s="4">
        <v>1600</v>
      </c>
    </row>
    <row r="159" spans="1:8" ht="15" thickBot="1">
      <c r="A159" s="96"/>
      <c r="B159" s="12" t="s">
        <v>11</v>
      </c>
      <c r="C159" s="5">
        <f t="shared" ref="C159:H159" si="16">SUM(C152:C158)</f>
        <v>151.19999999999999</v>
      </c>
      <c r="D159" s="5">
        <f t="shared" si="16"/>
        <v>0</v>
      </c>
      <c r="E159" s="5">
        <f t="shared" si="16"/>
        <v>0</v>
      </c>
      <c r="F159" s="5">
        <f t="shared" si="16"/>
        <v>27902</v>
      </c>
      <c r="G159" s="5">
        <f t="shared" si="16"/>
        <v>26706</v>
      </c>
      <c r="H159" s="5">
        <f t="shared" si="16"/>
        <v>26457</v>
      </c>
    </row>
    <row r="160" spans="1:8" ht="57.75" thickTop="1">
      <c r="A160" s="94">
        <v>18</v>
      </c>
      <c r="B160" s="71" t="s">
        <v>58</v>
      </c>
      <c r="C160" s="22"/>
      <c r="D160" s="22"/>
      <c r="E160" s="22"/>
      <c r="F160" s="16"/>
      <c r="G160" s="16"/>
      <c r="H160" s="16"/>
    </row>
    <row r="161" spans="1:8">
      <c r="A161" s="95"/>
      <c r="B161" s="64" t="s">
        <v>5</v>
      </c>
      <c r="C161" s="36">
        <v>0</v>
      </c>
      <c r="D161" s="36">
        <v>0</v>
      </c>
      <c r="E161" s="36">
        <v>0</v>
      </c>
      <c r="F161" s="4">
        <v>0</v>
      </c>
      <c r="G161" s="4">
        <v>0</v>
      </c>
      <c r="H161" s="4">
        <v>0</v>
      </c>
    </row>
    <row r="162" spans="1:8">
      <c r="A162" s="95"/>
      <c r="B162" s="64" t="s">
        <v>6</v>
      </c>
      <c r="C162" s="36">
        <v>0</v>
      </c>
      <c r="D162" s="36">
        <v>0</v>
      </c>
      <c r="E162" s="36">
        <v>0</v>
      </c>
      <c r="F162" s="4">
        <v>0</v>
      </c>
      <c r="G162" s="4">
        <v>0</v>
      </c>
      <c r="H162" s="4">
        <v>0</v>
      </c>
    </row>
    <row r="163" spans="1:8">
      <c r="A163" s="95"/>
      <c r="B163" s="64" t="s">
        <v>7</v>
      </c>
      <c r="C163" s="36">
        <v>0</v>
      </c>
      <c r="D163" s="36">
        <v>0</v>
      </c>
      <c r="E163" s="36">
        <v>0</v>
      </c>
      <c r="F163" s="4">
        <v>10000</v>
      </c>
      <c r="G163" s="4">
        <v>10000</v>
      </c>
      <c r="H163" s="4">
        <v>10000</v>
      </c>
    </row>
    <row r="164" spans="1:8" s="65" customFormat="1">
      <c r="A164" s="95"/>
      <c r="B164" s="64" t="s">
        <v>18</v>
      </c>
      <c r="C164" s="36">
        <v>0</v>
      </c>
      <c r="D164" s="36">
        <v>0</v>
      </c>
      <c r="E164" s="36">
        <v>0</v>
      </c>
      <c r="F164" s="4">
        <v>0</v>
      </c>
      <c r="G164" s="4">
        <v>0</v>
      </c>
      <c r="H164" s="4">
        <v>600</v>
      </c>
    </row>
    <row r="165" spans="1:8">
      <c r="A165" s="95"/>
      <c r="B165" s="64" t="s">
        <v>8</v>
      </c>
      <c r="C165" s="36">
        <v>0</v>
      </c>
      <c r="D165" s="36">
        <v>15943</v>
      </c>
      <c r="E165" s="36">
        <v>0</v>
      </c>
      <c r="F165" s="4">
        <v>5000</v>
      </c>
      <c r="G165" s="4">
        <v>5000</v>
      </c>
      <c r="H165" s="4">
        <v>25000</v>
      </c>
    </row>
    <row r="166" spans="1:8" s="67" customFormat="1">
      <c r="A166" s="95"/>
      <c r="B166" s="64" t="s">
        <v>9</v>
      </c>
      <c r="C166" s="36">
        <v>0</v>
      </c>
      <c r="D166" s="36">
        <v>5967.0870000000004</v>
      </c>
      <c r="E166" s="36">
        <v>13805.65</v>
      </c>
      <c r="F166" s="4">
        <v>25000</v>
      </c>
      <c r="G166" s="4">
        <v>25000</v>
      </c>
      <c r="H166" s="4">
        <v>30000</v>
      </c>
    </row>
    <row r="167" spans="1:8" s="65" customFormat="1">
      <c r="A167" s="95"/>
      <c r="B167" s="64" t="s">
        <v>10</v>
      </c>
      <c r="C167" s="36">
        <v>6986.625</v>
      </c>
      <c r="D167" s="36">
        <v>6921</v>
      </c>
      <c r="E167" s="36">
        <v>0</v>
      </c>
      <c r="F167" s="4">
        <v>10000</v>
      </c>
      <c r="G167" s="4">
        <v>10000</v>
      </c>
      <c r="H167" s="4">
        <v>10000</v>
      </c>
    </row>
    <row r="168" spans="1:8" ht="15" thickBot="1">
      <c r="A168" s="95"/>
      <c r="B168" s="12" t="s">
        <v>11</v>
      </c>
      <c r="C168" s="5">
        <f t="shared" ref="C168:H168" si="17">SUM(C161:C167)</f>
        <v>6986.625</v>
      </c>
      <c r="D168" s="5">
        <f t="shared" si="17"/>
        <v>28831.087</v>
      </c>
      <c r="E168" s="5">
        <f t="shared" si="17"/>
        <v>13805.65</v>
      </c>
      <c r="F168" s="5">
        <f t="shared" si="17"/>
        <v>50000</v>
      </c>
      <c r="G168" s="5">
        <f t="shared" si="17"/>
        <v>50000</v>
      </c>
      <c r="H168" s="5">
        <f t="shared" si="17"/>
        <v>75600</v>
      </c>
    </row>
    <row r="169" spans="1:8" ht="29.25" thickTop="1">
      <c r="A169" s="93">
        <v>19</v>
      </c>
      <c r="B169" s="73" t="s">
        <v>24</v>
      </c>
      <c r="C169" s="79"/>
      <c r="D169" s="79"/>
      <c r="E169" s="79"/>
      <c r="F169" s="15"/>
      <c r="G169" s="15"/>
      <c r="H169" s="15"/>
    </row>
    <row r="170" spans="1:8">
      <c r="A170" s="93"/>
      <c r="B170" s="73" t="s">
        <v>19</v>
      </c>
      <c r="C170" s="79">
        <v>0</v>
      </c>
      <c r="D170" s="79">
        <v>0</v>
      </c>
      <c r="E170" s="79">
        <v>0</v>
      </c>
      <c r="F170" s="4">
        <v>0</v>
      </c>
      <c r="G170" s="4">
        <v>0</v>
      </c>
      <c r="H170" s="4">
        <v>0</v>
      </c>
    </row>
    <row r="171" spans="1:8" ht="16.5" customHeight="1">
      <c r="A171" s="93"/>
      <c r="B171" s="64" t="s">
        <v>5</v>
      </c>
      <c r="C171" s="66">
        <v>0</v>
      </c>
      <c r="D171" s="66">
        <v>0</v>
      </c>
      <c r="E171" s="66">
        <v>0</v>
      </c>
      <c r="F171" s="4">
        <v>0</v>
      </c>
      <c r="G171" s="4">
        <v>0</v>
      </c>
      <c r="H171" s="4">
        <v>0</v>
      </c>
    </row>
    <row r="172" spans="1:8" ht="16.5" customHeight="1">
      <c r="A172" s="93"/>
      <c r="B172" s="64" t="s">
        <v>6</v>
      </c>
      <c r="C172" s="66">
        <v>0</v>
      </c>
      <c r="D172" s="81">
        <v>0</v>
      </c>
      <c r="E172" s="81">
        <v>0</v>
      </c>
      <c r="F172" s="4">
        <v>0</v>
      </c>
      <c r="G172" s="4">
        <v>0</v>
      </c>
      <c r="H172" s="4">
        <v>0</v>
      </c>
    </row>
    <row r="173" spans="1:8" ht="16.5" customHeight="1">
      <c r="A173" s="93"/>
      <c r="B173" s="64" t="s">
        <v>7</v>
      </c>
      <c r="C173" s="66">
        <v>0</v>
      </c>
      <c r="D173" s="81">
        <v>0</v>
      </c>
      <c r="E173" s="81">
        <v>0</v>
      </c>
      <c r="F173" s="4">
        <v>0</v>
      </c>
      <c r="G173" s="4">
        <v>0</v>
      </c>
      <c r="H173" s="4">
        <v>0</v>
      </c>
    </row>
    <row r="174" spans="1:8" s="65" customFormat="1" ht="16.5" customHeight="1">
      <c r="A174" s="93"/>
      <c r="B174" s="64" t="s">
        <v>18</v>
      </c>
      <c r="C174" s="66">
        <v>0</v>
      </c>
      <c r="D174" s="81">
        <v>0</v>
      </c>
      <c r="E174" s="81">
        <v>0</v>
      </c>
      <c r="F174" s="4">
        <v>62</v>
      </c>
      <c r="G174" s="4">
        <v>0</v>
      </c>
      <c r="H174" s="4">
        <v>62</v>
      </c>
    </row>
    <row r="175" spans="1:8" ht="16.5" customHeight="1">
      <c r="A175" s="93"/>
      <c r="B175" s="64" t="s">
        <v>8</v>
      </c>
      <c r="C175" s="66">
        <v>0</v>
      </c>
      <c r="D175" s="81">
        <v>0</v>
      </c>
      <c r="E175" s="81">
        <v>0</v>
      </c>
      <c r="F175" s="4">
        <v>0</v>
      </c>
      <c r="G175" s="4">
        <v>0</v>
      </c>
      <c r="H175" s="4">
        <v>0</v>
      </c>
    </row>
    <row r="176" spans="1:8" s="67" customFormat="1" ht="16.5" customHeight="1">
      <c r="A176" s="93"/>
      <c r="B176" s="64" t="s">
        <v>9</v>
      </c>
      <c r="C176" s="66">
        <v>0</v>
      </c>
      <c r="D176" s="81">
        <v>0</v>
      </c>
      <c r="E176" s="81">
        <v>0</v>
      </c>
      <c r="F176" s="4">
        <v>0</v>
      </c>
      <c r="G176" s="4">
        <v>0</v>
      </c>
      <c r="H176" s="4">
        <v>0</v>
      </c>
    </row>
    <row r="177" spans="1:8" s="65" customFormat="1" ht="16.5" customHeight="1">
      <c r="A177" s="93"/>
      <c r="B177" s="64" t="s">
        <v>10</v>
      </c>
      <c r="C177" s="66">
        <v>0</v>
      </c>
      <c r="D177" s="81">
        <v>0</v>
      </c>
      <c r="E177" s="81">
        <v>0</v>
      </c>
      <c r="F177" s="4">
        <v>0</v>
      </c>
      <c r="G177" s="4">
        <v>0</v>
      </c>
      <c r="H177" s="4">
        <v>0</v>
      </c>
    </row>
    <row r="178" spans="1:8" ht="16.5" customHeight="1" thickBot="1">
      <c r="A178" s="93"/>
      <c r="B178" s="12" t="s">
        <v>11</v>
      </c>
      <c r="C178" s="5">
        <f t="shared" ref="C178:H178" si="18">SUM(C170:C177)</f>
        <v>0</v>
      </c>
      <c r="D178" s="5">
        <f t="shared" si="18"/>
        <v>0</v>
      </c>
      <c r="E178" s="5">
        <f t="shared" si="18"/>
        <v>0</v>
      </c>
      <c r="F178" s="5">
        <f t="shared" si="18"/>
        <v>62</v>
      </c>
      <c r="G178" s="5">
        <f t="shared" si="18"/>
        <v>0</v>
      </c>
      <c r="H178" s="5">
        <f t="shared" si="18"/>
        <v>62</v>
      </c>
    </row>
    <row r="179" spans="1:8" ht="29.25" thickTop="1">
      <c r="A179" s="93">
        <v>20</v>
      </c>
      <c r="B179" s="73" t="s">
        <v>65</v>
      </c>
      <c r="C179" s="36"/>
      <c r="D179" s="36"/>
      <c r="E179" s="36"/>
      <c r="F179" s="15"/>
      <c r="G179" s="15"/>
      <c r="H179" s="15"/>
    </row>
    <row r="180" spans="1:8">
      <c r="A180" s="93"/>
      <c r="B180" s="64" t="s">
        <v>5</v>
      </c>
      <c r="C180" s="36">
        <v>0</v>
      </c>
      <c r="D180" s="36">
        <v>0</v>
      </c>
      <c r="E180" s="36">
        <v>0</v>
      </c>
      <c r="F180" s="4">
        <v>0</v>
      </c>
      <c r="G180" s="4">
        <v>0</v>
      </c>
      <c r="H180" s="4">
        <v>0</v>
      </c>
    </row>
    <row r="181" spans="1:8">
      <c r="A181" s="93"/>
      <c r="B181" s="64" t="s">
        <v>6</v>
      </c>
      <c r="C181" s="36">
        <v>0</v>
      </c>
      <c r="D181" s="36">
        <v>0</v>
      </c>
      <c r="E181" s="36">
        <v>0</v>
      </c>
      <c r="F181" s="4">
        <v>0</v>
      </c>
      <c r="G181" s="4">
        <v>0</v>
      </c>
      <c r="H181" s="4">
        <v>0</v>
      </c>
    </row>
    <row r="182" spans="1:8">
      <c r="A182" s="93"/>
      <c r="B182" s="64" t="s">
        <v>7</v>
      </c>
      <c r="C182" s="36">
        <v>0</v>
      </c>
      <c r="D182" s="36">
        <v>0</v>
      </c>
      <c r="E182" s="36">
        <v>0</v>
      </c>
      <c r="F182" s="4">
        <v>0</v>
      </c>
      <c r="G182" s="4">
        <v>0</v>
      </c>
      <c r="H182" s="4">
        <v>0</v>
      </c>
    </row>
    <row r="183" spans="1:8" s="65" customFormat="1">
      <c r="A183" s="93"/>
      <c r="B183" s="64" t="s">
        <v>18</v>
      </c>
      <c r="C183" s="36">
        <v>0</v>
      </c>
      <c r="D183" s="36">
        <v>0</v>
      </c>
      <c r="E183" s="36">
        <v>0</v>
      </c>
      <c r="F183" s="4">
        <v>330000</v>
      </c>
      <c r="G183" s="4">
        <v>0</v>
      </c>
      <c r="H183" s="4">
        <v>330000</v>
      </c>
    </row>
    <row r="184" spans="1:8">
      <c r="A184" s="93"/>
      <c r="B184" s="64" t="s">
        <v>8</v>
      </c>
      <c r="C184" s="36">
        <v>0</v>
      </c>
      <c r="D184" s="36">
        <v>0</v>
      </c>
      <c r="E184" s="36">
        <v>0</v>
      </c>
      <c r="F184" s="4">
        <v>0</v>
      </c>
      <c r="G184" s="4">
        <v>0</v>
      </c>
      <c r="H184" s="4">
        <v>0</v>
      </c>
    </row>
    <row r="185" spans="1:8" s="67" customFormat="1">
      <c r="A185" s="93"/>
      <c r="B185" s="64" t="s">
        <v>9</v>
      </c>
      <c r="C185" s="36">
        <v>0</v>
      </c>
      <c r="D185" s="36">
        <v>0</v>
      </c>
      <c r="E185" s="36">
        <v>0</v>
      </c>
      <c r="F185" s="4">
        <v>0</v>
      </c>
      <c r="G185" s="4">
        <v>0</v>
      </c>
      <c r="H185" s="4">
        <v>0</v>
      </c>
    </row>
    <row r="186" spans="1:8" s="65" customFormat="1">
      <c r="A186" s="93"/>
      <c r="B186" s="64" t="s">
        <v>10</v>
      </c>
      <c r="C186" s="36">
        <v>0</v>
      </c>
      <c r="D186" s="36">
        <v>0</v>
      </c>
      <c r="E186" s="36">
        <v>0</v>
      </c>
      <c r="F186" s="4">
        <v>0</v>
      </c>
      <c r="G186" s="4">
        <v>0</v>
      </c>
      <c r="H186" s="4">
        <v>0</v>
      </c>
    </row>
    <row r="187" spans="1:8" ht="15" thickBot="1">
      <c r="A187" s="93"/>
      <c r="B187" s="12" t="s">
        <v>11</v>
      </c>
      <c r="C187" s="5">
        <f t="shared" ref="C187:H187" si="19">SUM(C180:C186)</f>
        <v>0</v>
      </c>
      <c r="D187" s="5">
        <f t="shared" si="19"/>
        <v>0</v>
      </c>
      <c r="E187" s="5">
        <f t="shared" si="19"/>
        <v>0</v>
      </c>
      <c r="F187" s="5">
        <f t="shared" si="19"/>
        <v>330000</v>
      </c>
      <c r="G187" s="5">
        <f t="shared" si="19"/>
        <v>0</v>
      </c>
      <c r="H187" s="5">
        <f t="shared" si="19"/>
        <v>330000</v>
      </c>
    </row>
    <row r="188" spans="1:8" ht="34.5" customHeight="1" thickTop="1">
      <c r="A188" s="93">
        <v>21</v>
      </c>
      <c r="B188" s="73" t="s">
        <v>20</v>
      </c>
      <c r="C188" s="36"/>
      <c r="D188" s="36"/>
      <c r="E188" s="36"/>
      <c r="F188" s="15"/>
      <c r="G188" s="15"/>
      <c r="H188" s="15"/>
    </row>
    <row r="189" spans="1:8" ht="15.75" customHeight="1">
      <c r="A189" s="93"/>
      <c r="B189" s="64" t="s">
        <v>5</v>
      </c>
      <c r="C189" s="66">
        <v>0</v>
      </c>
      <c r="D189" s="66">
        <v>0</v>
      </c>
      <c r="E189" s="66">
        <v>0</v>
      </c>
      <c r="F189" s="4">
        <v>0</v>
      </c>
      <c r="G189" s="4">
        <v>0</v>
      </c>
      <c r="H189" s="4">
        <v>0</v>
      </c>
    </row>
    <row r="190" spans="1:8" ht="15.75" customHeight="1">
      <c r="A190" s="93"/>
      <c r="B190" s="64" t="s">
        <v>6</v>
      </c>
      <c r="C190" s="66">
        <v>0</v>
      </c>
      <c r="D190" s="66">
        <v>0</v>
      </c>
      <c r="E190" s="66">
        <v>0</v>
      </c>
      <c r="F190" s="4">
        <v>0</v>
      </c>
      <c r="G190" s="4">
        <v>0</v>
      </c>
      <c r="H190" s="4">
        <v>0</v>
      </c>
    </row>
    <row r="191" spans="1:8" ht="17.25" customHeight="1">
      <c r="A191" s="93"/>
      <c r="B191" s="64" t="s">
        <v>7</v>
      </c>
      <c r="C191" s="66">
        <v>506.87799999999999</v>
      </c>
      <c r="D191" s="66">
        <v>0</v>
      </c>
      <c r="E191" s="66">
        <v>0</v>
      </c>
      <c r="F191" s="4">
        <v>10000</v>
      </c>
      <c r="G191" s="4">
        <v>10000</v>
      </c>
      <c r="H191" s="4">
        <v>10000</v>
      </c>
    </row>
    <row r="192" spans="1:8" s="65" customFormat="1" ht="17.25" customHeight="1">
      <c r="A192" s="93"/>
      <c r="B192" s="64" t="s">
        <v>18</v>
      </c>
      <c r="C192" s="66">
        <v>6355.0690000000004</v>
      </c>
      <c r="D192" s="66">
        <v>0</v>
      </c>
      <c r="E192" s="66">
        <v>0</v>
      </c>
      <c r="F192" s="4">
        <v>100305</v>
      </c>
      <c r="G192" s="4">
        <v>0</v>
      </c>
      <c r="H192" s="4">
        <v>100305</v>
      </c>
    </row>
    <row r="193" spans="1:8" ht="17.25" customHeight="1">
      <c r="A193" s="93"/>
      <c r="B193" s="64" t="s">
        <v>8</v>
      </c>
      <c r="C193" s="66">
        <v>26019.072</v>
      </c>
      <c r="D193" s="66">
        <v>0</v>
      </c>
      <c r="E193" s="66">
        <v>0</v>
      </c>
      <c r="F193" s="4">
        <v>30000</v>
      </c>
      <c r="G193" s="4">
        <v>30000</v>
      </c>
      <c r="H193" s="4">
        <v>30000</v>
      </c>
    </row>
    <row r="194" spans="1:8" s="67" customFormat="1" ht="17.25" customHeight="1">
      <c r="A194" s="93"/>
      <c r="B194" s="64" t="s">
        <v>9</v>
      </c>
      <c r="C194" s="66">
        <v>1762.836</v>
      </c>
      <c r="D194" s="66">
        <v>0</v>
      </c>
      <c r="E194" s="66">
        <v>0</v>
      </c>
      <c r="F194" s="4">
        <v>10000</v>
      </c>
      <c r="G194" s="4">
        <v>10000</v>
      </c>
      <c r="H194" s="4">
        <v>10000</v>
      </c>
    </row>
    <row r="195" spans="1:8" s="65" customFormat="1" ht="17.25" customHeight="1">
      <c r="A195" s="93"/>
      <c r="B195" s="64" t="s">
        <v>10</v>
      </c>
      <c r="C195" s="66">
        <v>93.358999999999995</v>
      </c>
      <c r="D195" s="66">
        <v>0</v>
      </c>
      <c r="E195" s="66">
        <v>0</v>
      </c>
      <c r="F195" s="4">
        <v>50000</v>
      </c>
      <c r="G195" s="4">
        <v>50000</v>
      </c>
      <c r="H195" s="4">
        <v>50000</v>
      </c>
    </row>
    <row r="196" spans="1:8" ht="15" thickBot="1">
      <c r="A196" s="93"/>
      <c r="B196" s="12" t="s">
        <v>11</v>
      </c>
      <c r="C196" s="5">
        <f t="shared" ref="C196:H196" si="20">SUM(C189:C195)</f>
        <v>34737.214</v>
      </c>
      <c r="D196" s="5">
        <f t="shared" si="20"/>
        <v>0</v>
      </c>
      <c r="E196" s="5">
        <f t="shared" si="20"/>
        <v>0</v>
      </c>
      <c r="F196" s="5">
        <f t="shared" si="20"/>
        <v>200305</v>
      </c>
      <c r="G196" s="5">
        <f t="shared" si="20"/>
        <v>100000</v>
      </c>
      <c r="H196" s="5">
        <f t="shared" si="20"/>
        <v>200305</v>
      </c>
    </row>
    <row r="197" spans="1:8" ht="43.5" thickTop="1">
      <c r="A197" s="94">
        <v>22</v>
      </c>
      <c r="B197" s="73" t="s">
        <v>49</v>
      </c>
      <c r="C197" s="35"/>
      <c r="D197" s="35"/>
      <c r="E197" s="35"/>
      <c r="F197" s="15"/>
      <c r="G197" s="15"/>
      <c r="H197" s="15"/>
    </row>
    <row r="198" spans="1:8">
      <c r="A198" s="95"/>
      <c r="B198" s="64" t="s">
        <v>5</v>
      </c>
      <c r="C198" s="66">
        <v>0</v>
      </c>
      <c r="D198" s="80">
        <v>0</v>
      </c>
      <c r="E198" s="80">
        <v>0</v>
      </c>
      <c r="F198" s="4">
        <v>0</v>
      </c>
      <c r="G198" s="4">
        <v>0</v>
      </c>
      <c r="H198" s="4">
        <v>0</v>
      </c>
    </row>
    <row r="199" spans="1:8">
      <c r="A199" s="95"/>
      <c r="B199" s="64" t="s">
        <v>6</v>
      </c>
      <c r="C199" s="66">
        <v>0</v>
      </c>
      <c r="D199" s="80">
        <v>0</v>
      </c>
      <c r="E199" s="80">
        <v>0</v>
      </c>
      <c r="F199" s="4">
        <v>0</v>
      </c>
      <c r="G199" s="4">
        <v>0</v>
      </c>
      <c r="H199" s="4">
        <v>0</v>
      </c>
    </row>
    <row r="200" spans="1:8">
      <c r="A200" s="95"/>
      <c r="B200" s="64" t="s">
        <v>7</v>
      </c>
      <c r="C200" s="66">
        <v>3404</v>
      </c>
      <c r="D200" s="80">
        <v>0</v>
      </c>
      <c r="E200" s="80">
        <v>0</v>
      </c>
      <c r="F200" s="4">
        <v>20000</v>
      </c>
      <c r="G200" s="4">
        <v>20000</v>
      </c>
      <c r="H200" s="4">
        <v>22000</v>
      </c>
    </row>
    <row r="201" spans="1:8" s="65" customFormat="1">
      <c r="A201" s="95"/>
      <c r="B201" s="64" t="s">
        <v>18</v>
      </c>
      <c r="C201" s="66">
        <v>0</v>
      </c>
      <c r="D201" s="80">
        <v>0</v>
      </c>
      <c r="E201" s="80">
        <v>0</v>
      </c>
      <c r="F201" s="4">
        <v>255</v>
      </c>
      <c r="G201" s="4">
        <v>0</v>
      </c>
      <c r="H201" s="4">
        <v>255</v>
      </c>
    </row>
    <row r="202" spans="1:8">
      <c r="A202" s="95"/>
      <c r="B202" s="64" t="s">
        <v>8</v>
      </c>
      <c r="C202" s="66">
        <v>38944</v>
      </c>
      <c r="D202" s="80">
        <v>0</v>
      </c>
      <c r="E202" s="80">
        <v>0</v>
      </c>
      <c r="F202" s="4">
        <v>25000</v>
      </c>
      <c r="G202" s="4">
        <v>25000</v>
      </c>
      <c r="H202" s="4">
        <v>25000</v>
      </c>
    </row>
    <row r="203" spans="1:8" s="67" customFormat="1">
      <c r="A203" s="95"/>
      <c r="B203" s="64" t="s">
        <v>9</v>
      </c>
      <c r="C203" s="66">
        <v>52883</v>
      </c>
      <c r="D203" s="80">
        <v>0</v>
      </c>
      <c r="E203" s="80">
        <v>0</v>
      </c>
      <c r="F203" s="4">
        <v>0</v>
      </c>
      <c r="G203" s="4">
        <v>0</v>
      </c>
      <c r="H203" s="4">
        <v>0</v>
      </c>
    </row>
    <row r="204" spans="1:8" s="65" customFormat="1">
      <c r="A204" s="95"/>
      <c r="B204" s="64" t="s">
        <v>10</v>
      </c>
      <c r="C204" s="66">
        <v>23478</v>
      </c>
      <c r="D204" s="80">
        <v>0</v>
      </c>
      <c r="E204" s="80">
        <v>0</v>
      </c>
      <c r="F204" s="4">
        <v>20000</v>
      </c>
      <c r="G204" s="4">
        <v>20000</v>
      </c>
      <c r="H204" s="4">
        <v>20000</v>
      </c>
    </row>
    <row r="205" spans="1:8" ht="15" thickBot="1">
      <c r="A205" s="96"/>
      <c r="B205" s="12" t="s">
        <v>11</v>
      </c>
      <c r="C205" s="5">
        <f t="shared" ref="C205:H205" si="21">SUM(C198:C204)</f>
        <v>118709</v>
      </c>
      <c r="D205" s="5">
        <f t="shared" si="21"/>
        <v>0</v>
      </c>
      <c r="E205" s="5">
        <f t="shared" si="21"/>
        <v>0</v>
      </c>
      <c r="F205" s="5">
        <f t="shared" si="21"/>
        <v>65255</v>
      </c>
      <c r="G205" s="5">
        <f t="shared" si="21"/>
        <v>65000</v>
      </c>
      <c r="H205" s="5">
        <f t="shared" si="21"/>
        <v>67255</v>
      </c>
    </row>
    <row r="206" spans="1:8" ht="33.75" customHeight="1" thickTop="1">
      <c r="A206" s="94">
        <v>23</v>
      </c>
      <c r="B206" s="73" t="s">
        <v>41</v>
      </c>
      <c r="C206" s="36"/>
      <c r="D206" s="36"/>
      <c r="E206" s="36"/>
      <c r="F206" s="15"/>
      <c r="G206" s="15"/>
      <c r="H206" s="15"/>
    </row>
    <row r="207" spans="1:8">
      <c r="A207" s="95"/>
      <c r="B207" s="64" t="s">
        <v>5</v>
      </c>
      <c r="C207" s="36">
        <v>0</v>
      </c>
      <c r="D207" s="36">
        <v>0</v>
      </c>
      <c r="E207" s="36">
        <v>0</v>
      </c>
      <c r="F207" s="4">
        <v>0</v>
      </c>
      <c r="G207" s="4">
        <v>0</v>
      </c>
      <c r="H207" s="4">
        <v>0</v>
      </c>
    </row>
    <row r="208" spans="1:8">
      <c r="A208" s="95"/>
      <c r="B208" s="64" t="s">
        <v>6</v>
      </c>
      <c r="C208" s="36">
        <v>0</v>
      </c>
      <c r="D208" s="36">
        <v>0</v>
      </c>
      <c r="E208" s="36">
        <v>0</v>
      </c>
      <c r="F208" s="4">
        <v>0</v>
      </c>
      <c r="G208" s="4">
        <v>0</v>
      </c>
      <c r="H208" s="4">
        <v>0</v>
      </c>
    </row>
    <row r="209" spans="1:8">
      <c r="A209" s="95"/>
      <c r="B209" s="64" t="s">
        <v>7</v>
      </c>
      <c r="C209" s="36">
        <v>0</v>
      </c>
      <c r="D209" s="36">
        <v>0</v>
      </c>
      <c r="E209" s="36">
        <v>0</v>
      </c>
      <c r="F209" s="4">
        <v>0</v>
      </c>
      <c r="G209" s="4">
        <v>0</v>
      </c>
      <c r="H209" s="4">
        <v>0</v>
      </c>
    </row>
    <row r="210" spans="1:8" s="65" customFormat="1">
      <c r="A210" s="95"/>
      <c r="B210" s="64" t="s">
        <v>18</v>
      </c>
      <c r="C210" s="36">
        <v>0</v>
      </c>
      <c r="D210" s="36">
        <v>0</v>
      </c>
      <c r="E210" s="36">
        <v>0</v>
      </c>
      <c r="F210" s="4">
        <v>7260</v>
      </c>
      <c r="G210" s="4">
        <v>0</v>
      </c>
      <c r="H210" s="4">
        <v>7260</v>
      </c>
    </row>
    <row r="211" spans="1:8">
      <c r="A211" s="95"/>
      <c r="B211" s="64" t="s">
        <v>8</v>
      </c>
      <c r="C211" s="36">
        <v>0</v>
      </c>
      <c r="D211" s="36">
        <v>0</v>
      </c>
      <c r="E211" s="36">
        <v>0</v>
      </c>
      <c r="F211" s="4">
        <v>25000</v>
      </c>
      <c r="G211" s="4">
        <v>5000</v>
      </c>
      <c r="H211" s="4">
        <v>25000</v>
      </c>
    </row>
    <row r="212" spans="1:8">
      <c r="A212" s="95"/>
      <c r="B212" s="64" t="s">
        <v>9</v>
      </c>
      <c r="C212" s="36">
        <v>0</v>
      </c>
      <c r="D212" s="36">
        <v>0</v>
      </c>
      <c r="E212" s="36">
        <v>0</v>
      </c>
      <c r="F212" s="4">
        <v>0</v>
      </c>
      <c r="G212" s="4">
        <v>0</v>
      </c>
      <c r="H212" s="4">
        <v>0</v>
      </c>
    </row>
    <row r="213" spans="1:8" s="65" customFormat="1">
      <c r="A213" s="95"/>
      <c r="B213" s="64" t="s">
        <v>10</v>
      </c>
      <c r="C213" s="36">
        <v>0</v>
      </c>
      <c r="D213" s="36">
        <v>0</v>
      </c>
      <c r="E213" s="36">
        <v>0</v>
      </c>
      <c r="F213" s="4">
        <v>0</v>
      </c>
      <c r="G213" s="4">
        <v>0</v>
      </c>
      <c r="H213" s="4">
        <v>0</v>
      </c>
    </row>
    <row r="214" spans="1:8" ht="15" thickBot="1">
      <c r="A214" s="96"/>
      <c r="B214" s="12" t="s">
        <v>11</v>
      </c>
      <c r="C214" s="5">
        <f t="shared" ref="C214:H214" si="22">SUM(C207:C213)</f>
        <v>0</v>
      </c>
      <c r="D214" s="5">
        <f t="shared" si="22"/>
        <v>0</v>
      </c>
      <c r="E214" s="5">
        <f t="shared" si="22"/>
        <v>0</v>
      </c>
      <c r="F214" s="5">
        <f t="shared" si="22"/>
        <v>32260</v>
      </c>
      <c r="G214" s="5">
        <f t="shared" si="22"/>
        <v>5000</v>
      </c>
      <c r="H214" s="5">
        <f t="shared" si="22"/>
        <v>32260</v>
      </c>
    </row>
    <row r="215" spans="1:8" ht="52.5" customHeight="1" thickTop="1">
      <c r="A215" s="93">
        <v>24</v>
      </c>
      <c r="B215" s="73" t="s">
        <v>28</v>
      </c>
      <c r="C215" s="36"/>
      <c r="D215" s="36"/>
      <c r="E215" s="36"/>
      <c r="F215" s="15"/>
      <c r="G215" s="15"/>
      <c r="H215" s="15"/>
    </row>
    <row r="216" spans="1:8" s="65" customFormat="1" ht="15.75" customHeight="1">
      <c r="A216" s="93"/>
      <c r="B216" s="64" t="s">
        <v>5</v>
      </c>
      <c r="C216" s="36">
        <v>0</v>
      </c>
      <c r="D216" s="36">
        <v>350</v>
      </c>
      <c r="E216" s="36">
        <v>0</v>
      </c>
      <c r="F216" s="4">
        <v>500</v>
      </c>
      <c r="G216" s="4">
        <v>500</v>
      </c>
      <c r="H216" s="4">
        <v>500</v>
      </c>
    </row>
    <row r="217" spans="1:8" s="65" customFormat="1" ht="15.75" customHeight="1">
      <c r="A217" s="93"/>
      <c r="B217" s="64" t="s">
        <v>6</v>
      </c>
      <c r="C217" s="36">
        <v>524</v>
      </c>
      <c r="D217" s="36">
        <v>0</v>
      </c>
      <c r="E217" s="36">
        <v>0</v>
      </c>
      <c r="F217" s="4">
        <v>3000</v>
      </c>
      <c r="G217" s="4">
        <v>3000</v>
      </c>
      <c r="H217" s="4">
        <v>100</v>
      </c>
    </row>
    <row r="218" spans="1:8" ht="15.75" customHeight="1">
      <c r="A218" s="93"/>
      <c r="B218" s="64" t="s">
        <v>7</v>
      </c>
      <c r="C218" s="36">
        <v>3000</v>
      </c>
      <c r="D218" s="36">
        <v>3000</v>
      </c>
      <c r="E218" s="36">
        <v>0</v>
      </c>
      <c r="F218" s="4">
        <v>0</v>
      </c>
      <c r="G218" s="4">
        <v>0</v>
      </c>
      <c r="H218" s="4">
        <v>3000</v>
      </c>
    </row>
    <row r="219" spans="1:8" s="65" customFormat="1" ht="15.75" customHeight="1">
      <c r="A219" s="93"/>
      <c r="B219" s="64" t="s">
        <v>18</v>
      </c>
      <c r="C219" s="36">
        <v>2935.6790000000001</v>
      </c>
      <c r="D219" s="36">
        <v>0</v>
      </c>
      <c r="E219" s="36">
        <v>0</v>
      </c>
      <c r="F219" s="4">
        <v>5670</v>
      </c>
      <c r="G219" s="4">
        <v>0</v>
      </c>
      <c r="H219" s="4">
        <v>5670</v>
      </c>
    </row>
    <row r="220" spans="1:8" ht="15.75" customHeight="1">
      <c r="A220" s="93"/>
      <c r="B220" s="64" t="s">
        <v>8</v>
      </c>
      <c r="C220" s="36">
        <v>4500</v>
      </c>
      <c r="D220" s="36">
        <v>0</v>
      </c>
      <c r="E220" s="36">
        <v>0</v>
      </c>
      <c r="F220" s="4">
        <v>2000</v>
      </c>
      <c r="G220" s="4">
        <v>2000</v>
      </c>
      <c r="H220" s="4">
        <v>2000</v>
      </c>
    </row>
    <row r="221" spans="1:8" ht="15.75" customHeight="1">
      <c r="A221" s="93"/>
      <c r="B221" s="64" t="s">
        <v>9</v>
      </c>
      <c r="C221" s="36">
        <v>0</v>
      </c>
      <c r="D221" s="36">
        <v>0</v>
      </c>
      <c r="E221" s="36">
        <v>0</v>
      </c>
      <c r="F221" s="4">
        <v>0</v>
      </c>
      <c r="G221" s="4">
        <v>0</v>
      </c>
      <c r="H221" s="4">
        <v>0</v>
      </c>
    </row>
    <row r="222" spans="1:8" s="65" customFormat="1" ht="15.75" customHeight="1">
      <c r="A222" s="93"/>
      <c r="B222" s="64" t="s">
        <v>10</v>
      </c>
      <c r="C222" s="36">
        <v>3000</v>
      </c>
      <c r="D222" s="36">
        <v>0</v>
      </c>
      <c r="E222" s="36">
        <v>0</v>
      </c>
      <c r="F222" s="4">
        <v>50</v>
      </c>
      <c r="G222" s="4">
        <v>0</v>
      </c>
      <c r="H222" s="4">
        <v>0</v>
      </c>
    </row>
    <row r="223" spans="1:8" ht="15" thickBot="1">
      <c r="A223" s="93"/>
      <c r="B223" s="12" t="s">
        <v>11</v>
      </c>
      <c r="C223" s="5">
        <f t="shared" ref="C223:H223" si="23">SUM(C216:C222)</f>
        <v>13959.679</v>
      </c>
      <c r="D223" s="5">
        <f t="shared" si="23"/>
        <v>3350</v>
      </c>
      <c r="E223" s="5">
        <f t="shared" si="23"/>
        <v>0</v>
      </c>
      <c r="F223" s="5">
        <f t="shared" si="23"/>
        <v>11220</v>
      </c>
      <c r="G223" s="5">
        <f t="shared" si="23"/>
        <v>5500</v>
      </c>
      <c r="H223" s="5">
        <f t="shared" si="23"/>
        <v>11270</v>
      </c>
    </row>
    <row r="224" spans="1:8" ht="55.5" customHeight="1" thickTop="1">
      <c r="A224" s="93">
        <v>25</v>
      </c>
      <c r="B224" s="73" t="s">
        <v>82</v>
      </c>
      <c r="C224" s="36"/>
      <c r="D224" s="36"/>
      <c r="E224" s="36"/>
      <c r="F224" s="15"/>
      <c r="G224" s="15"/>
      <c r="H224" s="15"/>
    </row>
    <row r="225" spans="1:8">
      <c r="A225" s="93"/>
      <c r="B225" s="64" t="s">
        <v>5</v>
      </c>
      <c r="C225" s="36">
        <v>0</v>
      </c>
      <c r="D225" s="36">
        <v>0</v>
      </c>
      <c r="E225" s="36">
        <v>0</v>
      </c>
      <c r="F225" s="4">
        <v>0</v>
      </c>
      <c r="G225" s="4">
        <v>0</v>
      </c>
      <c r="H225" s="4">
        <v>0</v>
      </c>
    </row>
    <row r="226" spans="1:8">
      <c r="A226" s="93"/>
      <c r="B226" s="64" t="s">
        <v>6</v>
      </c>
      <c r="C226" s="36">
        <v>0</v>
      </c>
      <c r="D226" s="36">
        <v>0</v>
      </c>
      <c r="E226" s="36">
        <v>0</v>
      </c>
      <c r="F226" s="4">
        <v>0</v>
      </c>
      <c r="G226" s="4">
        <v>0</v>
      </c>
      <c r="H226" s="4">
        <v>0</v>
      </c>
    </row>
    <row r="227" spans="1:8">
      <c r="A227" s="93"/>
      <c r="B227" s="64" t="s">
        <v>7</v>
      </c>
      <c r="C227" s="36">
        <v>0</v>
      </c>
      <c r="D227" s="36">
        <v>0</v>
      </c>
      <c r="E227" s="36">
        <v>0</v>
      </c>
      <c r="F227" s="4">
        <v>0</v>
      </c>
      <c r="G227" s="4">
        <v>0</v>
      </c>
      <c r="H227" s="4">
        <v>0</v>
      </c>
    </row>
    <row r="228" spans="1:8">
      <c r="A228" s="93"/>
      <c r="B228" s="64" t="s">
        <v>18</v>
      </c>
      <c r="C228" s="36">
        <v>0</v>
      </c>
      <c r="D228" s="36">
        <v>0</v>
      </c>
      <c r="E228" s="36">
        <v>0</v>
      </c>
      <c r="F228" s="4">
        <v>0</v>
      </c>
      <c r="G228" s="4">
        <v>0</v>
      </c>
      <c r="H228" s="4">
        <v>0</v>
      </c>
    </row>
    <row r="229" spans="1:8">
      <c r="A229" s="93"/>
      <c r="B229" s="64" t="s">
        <v>8</v>
      </c>
      <c r="C229" s="36">
        <v>0</v>
      </c>
      <c r="D229" s="36">
        <v>0</v>
      </c>
      <c r="E229" s="36">
        <v>0</v>
      </c>
      <c r="F229" s="4">
        <v>0</v>
      </c>
      <c r="G229" s="4">
        <v>0</v>
      </c>
      <c r="H229" s="4">
        <v>0</v>
      </c>
    </row>
    <row r="230" spans="1:8">
      <c r="A230" s="93"/>
      <c r="B230" s="64" t="s">
        <v>9</v>
      </c>
      <c r="C230" s="36">
        <v>0</v>
      </c>
      <c r="D230" s="36">
        <v>0</v>
      </c>
      <c r="E230" s="36">
        <v>0</v>
      </c>
      <c r="F230" s="4">
        <v>0</v>
      </c>
      <c r="G230" s="4">
        <v>0</v>
      </c>
      <c r="H230" s="4">
        <v>0</v>
      </c>
    </row>
    <row r="231" spans="1:8">
      <c r="A231" s="93"/>
      <c r="B231" s="64" t="s">
        <v>10</v>
      </c>
      <c r="C231" s="36">
        <v>0</v>
      </c>
      <c r="D231" s="36">
        <v>0</v>
      </c>
      <c r="E231" s="36">
        <v>0</v>
      </c>
      <c r="F231" s="4">
        <v>0</v>
      </c>
      <c r="G231" s="4">
        <v>0</v>
      </c>
      <c r="H231" s="4">
        <v>0</v>
      </c>
    </row>
    <row r="232" spans="1:8" ht="15" thickBot="1">
      <c r="A232" s="93"/>
      <c r="B232" s="12" t="s">
        <v>11</v>
      </c>
      <c r="C232" s="5">
        <f t="shared" ref="C232:H232" si="24">SUM(C225:C231)</f>
        <v>0</v>
      </c>
      <c r="D232" s="5">
        <f t="shared" si="24"/>
        <v>0</v>
      </c>
      <c r="E232" s="5">
        <f t="shared" si="24"/>
        <v>0</v>
      </c>
      <c r="F232" s="5">
        <f t="shared" si="24"/>
        <v>0</v>
      </c>
      <c r="G232" s="5">
        <f t="shared" si="24"/>
        <v>0</v>
      </c>
      <c r="H232" s="5">
        <f t="shared" si="24"/>
        <v>0</v>
      </c>
    </row>
    <row r="233" spans="1:8" ht="15" thickTop="1">
      <c r="A233" s="29"/>
      <c r="B233" s="72"/>
      <c r="C233" s="35"/>
      <c r="D233" s="35"/>
      <c r="E233" s="35"/>
      <c r="F233" s="22"/>
      <c r="G233" s="22"/>
      <c r="H233" s="22"/>
    </row>
    <row r="234" spans="1:8" ht="28.5">
      <c r="A234" s="94">
        <v>26</v>
      </c>
      <c r="B234" s="73" t="s">
        <v>51</v>
      </c>
      <c r="C234" s="36"/>
      <c r="D234" s="36"/>
      <c r="E234" s="36"/>
      <c r="F234" s="16"/>
      <c r="G234" s="16"/>
      <c r="H234" s="16"/>
    </row>
    <row r="235" spans="1:8">
      <c r="A235" s="95"/>
      <c r="B235" s="64" t="s">
        <v>5</v>
      </c>
      <c r="C235" s="66">
        <v>924781.61899999995</v>
      </c>
      <c r="D235" s="66">
        <v>1025098.8959999999</v>
      </c>
      <c r="E235" s="66">
        <v>0</v>
      </c>
      <c r="F235" s="4">
        <v>0</v>
      </c>
      <c r="G235" s="4">
        <v>0</v>
      </c>
      <c r="H235" s="4">
        <v>0</v>
      </c>
    </row>
    <row r="236" spans="1:8">
      <c r="A236" s="95"/>
      <c r="B236" s="64" t="s">
        <v>6</v>
      </c>
      <c r="C236" s="66">
        <v>0</v>
      </c>
      <c r="D236" s="66">
        <v>0</v>
      </c>
      <c r="E236" s="66">
        <v>0</v>
      </c>
      <c r="F236" s="4">
        <v>0</v>
      </c>
      <c r="G236" s="4">
        <v>0</v>
      </c>
      <c r="H236" s="4">
        <v>0</v>
      </c>
    </row>
    <row r="237" spans="1:8" s="67" customFormat="1">
      <c r="A237" s="95"/>
      <c r="B237" s="64" t="s">
        <v>7</v>
      </c>
      <c r="C237" s="66">
        <v>0</v>
      </c>
      <c r="D237" s="66">
        <v>0</v>
      </c>
      <c r="E237" s="66">
        <v>0</v>
      </c>
      <c r="F237" s="4">
        <v>500000</v>
      </c>
      <c r="G237" s="4">
        <v>500000</v>
      </c>
      <c r="H237" s="4">
        <v>250000</v>
      </c>
    </row>
    <row r="238" spans="1:8">
      <c r="A238" s="95"/>
      <c r="B238" s="64" t="s">
        <v>18</v>
      </c>
      <c r="C238" s="66">
        <v>0</v>
      </c>
      <c r="D238" s="66">
        <v>0</v>
      </c>
      <c r="E238" s="66">
        <v>0</v>
      </c>
      <c r="F238" s="4">
        <v>0</v>
      </c>
      <c r="G238" s="4">
        <v>0</v>
      </c>
      <c r="H238" s="4">
        <v>0</v>
      </c>
    </row>
    <row r="239" spans="1:8">
      <c r="A239" s="95"/>
      <c r="B239" s="64" t="s">
        <v>8</v>
      </c>
      <c r="C239" s="66">
        <v>0</v>
      </c>
      <c r="D239" s="66">
        <v>0</v>
      </c>
      <c r="E239" s="66">
        <v>0</v>
      </c>
      <c r="F239" s="4">
        <v>25000</v>
      </c>
      <c r="G239" s="4">
        <v>25000</v>
      </c>
      <c r="H239" s="4">
        <v>25000</v>
      </c>
    </row>
    <row r="240" spans="1:8" s="67" customFormat="1">
      <c r="A240" s="95"/>
      <c r="B240" s="64" t="s">
        <v>9</v>
      </c>
      <c r="C240" s="66">
        <v>150000</v>
      </c>
      <c r="D240" s="66">
        <v>0</v>
      </c>
      <c r="E240" s="66">
        <v>0</v>
      </c>
      <c r="F240" s="4">
        <v>0</v>
      </c>
      <c r="G240" s="4">
        <v>0</v>
      </c>
      <c r="H240" s="4">
        <v>0</v>
      </c>
    </row>
    <row r="241" spans="1:8" s="65" customFormat="1">
      <c r="A241" s="95"/>
      <c r="B241" s="64" t="s">
        <v>10</v>
      </c>
      <c r="C241" s="66">
        <v>0</v>
      </c>
      <c r="D241" s="66">
        <v>0</v>
      </c>
      <c r="E241" s="66">
        <v>0</v>
      </c>
      <c r="F241" s="4">
        <v>0</v>
      </c>
      <c r="G241" s="4">
        <v>0</v>
      </c>
      <c r="H241" s="4">
        <v>0</v>
      </c>
    </row>
    <row r="242" spans="1:8">
      <c r="A242" s="95"/>
      <c r="B242" s="77" t="s">
        <v>19</v>
      </c>
      <c r="C242" s="35">
        <v>2200</v>
      </c>
      <c r="D242" s="35">
        <v>0</v>
      </c>
      <c r="E242" s="35">
        <v>0</v>
      </c>
      <c r="F242" s="4">
        <v>0</v>
      </c>
      <c r="G242" s="4">
        <v>0</v>
      </c>
      <c r="H242" s="4">
        <v>0</v>
      </c>
    </row>
    <row r="243" spans="1:8" ht="15" thickBot="1">
      <c r="A243" s="96"/>
      <c r="B243" s="12" t="s">
        <v>11</v>
      </c>
      <c r="C243" s="76">
        <f t="shared" ref="C243:H243" si="25">SUM(C235:C242)</f>
        <v>1076981.6189999999</v>
      </c>
      <c r="D243" s="76">
        <f t="shared" si="25"/>
        <v>1025098.8959999999</v>
      </c>
      <c r="E243" s="76">
        <f t="shared" si="25"/>
        <v>0</v>
      </c>
      <c r="F243" s="76">
        <f t="shared" si="25"/>
        <v>525000</v>
      </c>
      <c r="G243" s="76">
        <f t="shared" si="25"/>
        <v>525000</v>
      </c>
      <c r="H243" s="76">
        <f t="shared" si="25"/>
        <v>275000</v>
      </c>
    </row>
    <row r="244" spans="1:8" ht="15" thickTop="1">
      <c r="A244" s="94">
        <v>27</v>
      </c>
      <c r="B244" s="73" t="s">
        <v>83</v>
      </c>
      <c r="C244" s="36"/>
      <c r="D244" s="36"/>
      <c r="E244" s="36"/>
      <c r="F244" s="16"/>
      <c r="G244" s="16"/>
      <c r="H244" s="16"/>
    </row>
    <row r="245" spans="1:8" s="65" customFormat="1">
      <c r="A245" s="95"/>
      <c r="B245" s="64" t="s">
        <v>5</v>
      </c>
      <c r="C245" s="66">
        <v>0</v>
      </c>
      <c r="D245" s="66">
        <v>500</v>
      </c>
      <c r="E245" s="66">
        <v>0</v>
      </c>
      <c r="F245" s="66">
        <v>2000</v>
      </c>
      <c r="G245" s="4">
        <v>2000</v>
      </c>
      <c r="H245" s="4">
        <v>2000</v>
      </c>
    </row>
    <row r="246" spans="1:8">
      <c r="A246" s="95"/>
      <c r="B246" s="64" t="s">
        <v>6</v>
      </c>
      <c r="C246" s="66">
        <v>0</v>
      </c>
      <c r="D246" s="66">
        <v>0</v>
      </c>
      <c r="E246" s="66">
        <v>0</v>
      </c>
      <c r="F246" s="66">
        <v>0</v>
      </c>
      <c r="G246" s="4">
        <v>0</v>
      </c>
      <c r="H246" s="4">
        <v>0</v>
      </c>
    </row>
    <row r="247" spans="1:8">
      <c r="A247" s="95"/>
      <c r="B247" s="64" t="s">
        <v>7</v>
      </c>
      <c r="C247" s="66">
        <v>0</v>
      </c>
      <c r="D247" s="66">
        <v>0</v>
      </c>
      <c r="E247" s="66">
        <v>0</v>
      </c>
      <c r="F247" s="66">
        <v>11500</v>
      </c>
      <c r="G247" s="4">
        <v>11500</v>
      </c>
      <c r="H247" s="4">
        <v>0</v>
      </c>
    </row>
    <row r="248" spans="1:8">
      <c r="A248" s="95"/>
      <c r="B248" s="64" t="s">
        <v>18</v>
      </c>
      <c r="C248" s="66">
        <v>0</v>
      </c>
      <c r="D248" s="66">
        <v>0</v>
      </c>
      <c r="E248" s="66">
        <v>0</v>
      </c>
      <c r="F248" s="66">
        <v>0</v>
      </c>
      <c r="G248" s="4">
        <v>0</v>
      </c>
      <c r="H248" s="4">
        <v>0</v>
      </c>
    </row>
    <row r="249" spans="1:8">
      <c r="A249" s="95"/>
      <c r="B249" s="64" t="s">
        <v>8</v>
      </c>
      <c r="C249" s="66">
        <v>0</v>
      </c>
      <c r="D249" s="66">
        <v>0</v>
      </c>
      <c r="E249" s="66">
        <v>0</v>
      </c>
      <c r="F249" s="66">
        <v>0</v>
      </c>
      <c r="G249" s="4">
        <v>0</v>
      </c>
      <c r="H249" s="4">
        <v>0</v>
      </c>
    </row>
    <row r="250" spans="1:8" s="67" customFormat="1">
      <c r="A250" s="95"/>
      <c r="B250" s="64" t="s">
        <v>9</v>
      </c>
      <c r="C250" s="66">
        <v>0</v>
      </c>
      <c r="D250" s="66">
        <v>470.41800000000001</v>
      </c>
      <c r="E250" s="66">
        <v>1218.857</v>
      </c>
      <c r="F250" s="66">
        <v>1500</v>
      </c>
      <c r="G250" s="4">
        <v>11500</v>
      </c>
      <c r="H250" s="4">
        <v>11500</v>
      </c>
    </row>
    <row r="251" spans="1:8" s="67" customFormat="1">
      <c r="A251" s="95"/>
      <c r="B251" s="64" t="s">
        <v>10</v>
      </c>
      <c r="C251" s="66">
        <v>0</v>
      </c>
      <c r="D251" s="66">
        <v>2999.13</v>
      </c>
      <c r="E251" s="66">
        <v>0</v>
      </c>
      <c r="F251" s="66">
        <v>3300</v>
      </c>
      <c r="G251" s="4">
        <v>11500</v>
      </c>
      <c r="H251" s="4">
        <v>11500</v>
      </c>
    </row>
    <row r="252" spans="1:8">
      <c r="A252" s="95"/>
      <c r="B252" s="77" t="s">
        <v>19</v>
      </c>
      <c r="C252" s="66">
        <v>0</v>
      </c>
      <c r="D252" s="66">
        <v>0</v>
      </c>
      <c r="E252" s="66">
        <v>0</v>
      </c>
      <c r="F252" s="66">
        <v>0</v>
      </c>
      <c r="G252" s="4">
        <v>0</v>
      </c>
      <c r="H252" s="4">
        <v>0</v>
      </c>
    </row>
    <row r="253" spans="1:8" ht="15" thickBot="1">
      <c r="A253" s="96"/>
      <c r="B253" s="12" t="s">
        <v>11</v>
      </c>
      <c r="C253" s="76">
        <f t="shared" ref="C253:H253" si="26">SUM(C245:C252)</f>
        <v>0</v>
      </c>
      <c r="D253" s="76">
        <f t="shared" si="26"/>
        <v>3969.5480000000002</v>
      </c>
      <c r="E253" s="76">
        <f t="shared" si="26"/>
        <v>1218.857</v>
      </c>
      <c r="F253" s="76">
        <f t="shared" si="26"/>
        <v>18300</v>
      </c>
      <c r="G253" s="76">
        <f t="shared" si="26"/>
        <v>36500</v>
      </c>
      <c r="H253" s="76">
        <f t="shared" si="26"/>
        <v>25000</v>
      </c>
    </row>
    <row r="254" spans="1:8" ht="53.25" customHeight="1" thickTop="1">
      <c r="A254" s="94">
        <v>28</v>
      </c>
      <c r="B254" s="73" t="s">
        <v>66</v>
      </c>
      <c r="C254" s="36"/>
      <c r="D254" s="36"/>
      <c r="E254" s="36"/>
      <c r="F254" s="15"/>
      <c r="G254" s="15"/>
      <c r="H254" s="15"/>
    </row>
    <row r="255" spans="1:8" ht="16.5" customHeight="1">
      <c r="A255" s="95"/>
      <c r="B255" s="82" t="s">
        <v>19</v>
      </c>
      <c r="C255" s="66">
        <v>538.5</v>
      </c>
      <c r="D255" s="66">
        <v>360</v>
      </c>
      <c r="E255" s="66">
        <v>518.22500000000002</v>
      </c>
      <c r="F255" s="4">
        <v>540</v>
      </c>
      <c r="G255" s="4">
        <v>900</v>
      </c>
      <c r="H255" s="4">
        <v>900</v>
      </c>
    </row>
    <row r="256" spans="1:8" s="65" customFormat="1" ht="16.5" customHeight="1">
      <c r="A256" s="95"/>
      <c r="B256" s="64" t="s">
        <v>5</v>
      </c>
      <c r="C256" s="66">
        <v>520.97299999999996</v>
      </c>
      <c r="D256" s="66">
        <v>355.64400000000001</v>
      </c>
      <c r="E256" s="66">
        <v>337.69299999999998</v>
      </c>
      <c r="F256" s="4">
        <v>540</v>
      </c>
      <c r="G256" s="4">
        <v>900</v>
      </c>
      <c r="H256" s="4">
        <v>900</v>
      </c>
    </row>
    <row r="257" spans="1:8" s="65" customFormat="1" ht="16.5" customHeight="1">
      <c r="A257" s="95"/>
      <c r="B257" s="64" t="s">
        <v>6</v>
      </c>
      <c r="C257" s="66">
        <v>539</v>
      </c>
      <c r="D257" s="66">
        <v>539</v>
      </c>
      <c r="E257" s="66">
        <v>0</v>
      </c>
      <c r="F257" s="4">
        <v>540</v>
      </c>
      <c r="G257" s="4">
        <v>540</v>
      </c>
      <c r="H257" s="4">
        <v>540</v>
      </c>
    </row>
    <row r="258" spans="1:8" ht="16.5" customHeight="1">
      <c r="A258" s="95"/>
      <c r="B258" s="64" t="s">
        <v>7</v>
      </c>
      <c r="C258" s="66">
        <v>538.5</v>
      </c>
      <c r="D258" s="66">
        <v>540</v>
      </c>
      <c r="E258" s="66">
        <v>540</v>
      </c>
      <c r="F258" s="4">
        <v>900</v>
      </c>
      <c r="G258" s="4">
        <v>900</v>
      </c>
      <c r="H258" s="4">
        <v>900</v>
      </c>
    </row>
    <row r="259" spans="1:8" ht="16.5" customHeight="1">
      <c r="A259" s="95"/>
      <c r="B259" s="64" t="s">
        <v>18</v>
      </c>
      <c r="C259" s="66">
        <v>0</v>
      </c>
      <c r="D259" s="66">
        <v>0</v>
      </c>
      <c r="E259" s="66">
        <v>0</v>
      </c>
      <c r="F259" s="4">
        <v>0</v>
      </c>
      <c r="G259" s="4">
        <v>0</v>
      </c>
      <c r="H259" s="4">
        <v>0</v>
      </c>
    </row>
    <row r="260" spans="1:8" ht="16.5" customHeight="1">
      <c r="A260" s="95"/>
      <c r="B260" s="64" t="s">
        <v>8</v>
      </c>
      <c r="C260" s="66">
        <v>538.5</v>
      </c>
      <c r="D260" s="66">
        <v>540</v>
      </c>
      <c r="E260" s="66">
        <v>540</v>
      </c>
      <c r="F260" s="4">
        <v>540</v>
      </c>
      <c r="G260" s="4">
        <v>900</v>
      </c>
      <c r="H260" s="4">
        <v>900</v>
      </c>
    </row>
    <row r="261" spans="1:8" s="67" customFormat="1" ht="16.5" customHeight="1">
      <c r="A261" s="95"/>
      <c r="B261" s="64" t="s">
        <v>9</v>
      </c>
      <c r="C261" s="66">
        <v>450</v>
      </c>
      <c r="D261" s="66">
        <v>538.5</v>
      </c>
      <c r="E261" s="66">
        <v>538.5</v>
      </c>
      <c r="F261" s="4">
        <v>540</v>
      </c>
      <c r="G261" s="4">
        <v>900</v>
      </c>
      <c r="H261" s="4">
        <v>900</v>
      </c>
    </row>
    <row r="262" spans="1:8" s="67" customFormat="1" ht="16.5" customHeight="1">
      <c r="A262" s="95"/>
      <c r="B262" s="64" t="s">
        <v>10</v>
      </c>
      <c r="C262" s="66">
        <v>538.5</v>
      </c>
      <c r="D262" s="66">
        <v>538.5</v>
      </c>
      <c r="E262" s="66">
        <v>538.548</v>
      </c>
      <c r="F262" s="4">
        <v>554</v>
      </c>
      <c r="G262" s="4">
        <v>900</v>
      </c>
      <c r="H262" s="4">
        <v>900</v>
      </c>
    </row>
    <row r="263" spans="1:8" ht="15" thickBot="1">
      <c r="A263" s="95"/>
      <c r="B263" s="12" t="s">
        <v>11</v>
      </c>
      <c r="C263" s="5">
        <f t="shared" ref="C263:H263" si="27">SUM(C255:C262)</f>
        <v>3663.973</v>
      </c>
      <c r="D263" s="5">
        <f t="shared" si="27"/>
        <v>3411.6440000000002</v>
      </c>
      <c r="E263" s="5">
        <f t="shared" si="27"/>
        <v>3012.9660000000003</v>
      </c>
      <c r="F263" s="5">
        <f t="shared" si="27"/>
        <v>4154</v>
      </c>
      <c r="G263" s="5">
        <f t="shared" si="27"/>
        <v>5940</v>
      </c>
      <c r="H263" s="5">
        <f t="shared" si="27"/>
        <v>5940</v>
      </c>
    </row>
    <row r="264" spans="1:8" ht="29.25" thickTop="1">
      <c r="A264" s="93">
        <v>29</v>
      </c>
      <c r="B264" s="73" t="s">
        <v>52</v>
      </c>
      <c r="C264" s="35"/>
      <c r="D264" s="35"/>
      <c r="E264" s="35"/>
      <c r="F264" s="15"/>
      <c r="G264" s="15"/>
      <c r="H264" s="15"/>
    </row>
    <row r="265" spans="1:8" ht="15.75" customHeight="1">
      <c r="A265" s="93"/>
      <c r="B265" s="82" t="s">
        <v>19</v>
      </c>
      <c r="C265" s="66">
        <v>0</v>
      </c>
      <c r="D265" s="66">
        <v>0</v>
      </c>
      <c r="E265" s="66">
        <v>0</v>
      </c>
      <c r="F265" s="66">
        <v>0</v>
      </c>
      <c r="G265" s="4">
        <v>0</v>
      </c>
      <c r="H265" s="4">
        <v>0</v>
      </c>
    </row>
    <row r="266" spans="1:8" ht="15.75" customHeight="1">
      <c r="A266" s="93"/>
      <c r="B266" s="64" t="s">
        <v>5</v>
      </c>
      <c r="C266" s="66">
        <v>0</v>
      </c>
      <c r="D266" s="66">
        <v>0</v>
      </c>
      <c r="E266" s="66">
        <v>0</v>
      </c>
      <c r="F266" s="66">
        <v>0</v>
      </c>
      <c r="G266" s="4">
        <v>0</v>
      </c>
      <c r="H266" s="4">
        <v>0</v>
      </c>
    </row>
    <row r="267" spans="1:8" ht="15.75" customHeight="1">
      <c r="A267" s="93"/>
      <c r="B267" s="64" t="s">
        <v>6</v>
      </c>
      <c r="C267" s="66">
        <v>0</v>
      </c>
      <c r="D267" s="66">
        <v>0</v>
      </c>
      <c r="E267" s="66">
        <v>0</v>
      </c>
      <c r="F267" s="66">
        <v>0</v>
      </c>
      <c r="G267" s="4">
        <v>0</v>
      </c>
      <c r="H267" s="4">
        <v>0</v>
      </c>
    </row>
    <row r="268" spans="1:8" ht="15.75" customHeight="1">
      <c r="A268" s="93"/>
      <c r="B268" s="64" t="s">
        <v>7</v>
      </c>
      <c r="C268" s="66">
        <v>0</v>
      </c>
      <c r="D268" s="66">
        <v>0</v>
      </c>
      <c r="E268" s="66">
        <v>0</v>
      </c>
      <c r="F268" s="66">
        <v>0</v>
      </c>
      <c r="G268" s="4">
        <v>0</v>
      </c>
      <c r="H268" s="4">
        <v>0</v>
      </c>
    </row>
    <row r="269" spans="1:8" ht="15.75" customHeight="1">
      <c r="A269" s="93"/>
      <c r="B269" s="64" t="s">
        <v>18</v>
      </c>
      <c r="C269" s="66">
        <v>0</v>
      </c>
      <c r="D269" s="66">
        <v>0</v>
      </c>
      <c r="E269" s="66">
        <v>0</v>
      </c>
      <c r="F269" s="66">
        <v>0</v>
      </c>
      <c r="G269" s="4">
        <v>0</v>
      </c>
      <c r="H269" s="4">
        <v>0</v>
      </c>
    </row>
    <row r="270" spans="1:8" ht="15.75" customHeight="1">
      <c r="A270" s="93"/>
      <c r="B270" s="64" t="s">
        <v>8</v>
      </c>
      <c r="C270" s="66">
        <v>0</v>
      </c>
      <c r="D270" s="66">
        <v>0</v>
      </c>
      <c r="E270" s="66">
        <v>0</v>
      </c>
      <c r="F270" s="66">
        <v>100</v>
      </c>
      <c r="G270" s="4">
        <v>100</v>
      </c>
      <c r="H270" s="4">
        <v>100</v>
      </c>
    </row>
    <row r="271" spans="1:8" ht="15.75" customHeight="1">
      <c r="A271" s="93"/>
      <c r="B271" s="64" t="s">
        <v>9</v>
      </c>
      <c r="C271" s="66">
        <v>0</v>
      </c>
      <c r="D271" s="66">
        <v>0</v>
      </c>
      <c r="E271" s="66">
        <v>0</v>
      </c>
      <c r="F271" s="66">
        <v>0</v>
      </c>
      <c r="G271" s="4">
        <v>0</v>
      </c>
      <c r="H271" s="4">
        <v>0</v>
      </c>
    </row>
    <row r="272" spans="1:8" s="67" customFormat="1" ht="15.75" customHeight="1">
      <c r="A272" s="93"/>
      <c r="B272" s="64" t="s">
        <v>10</v>
      </c>
      <c r="C272" s="4">
        <v>0</v>
      </c>
      <c r="D272" s="4">
        <v>0</v>
      </c>
      <c r="E272" s="4">
        <v>0</v>
      </c>
      <c r="F272" s="4">
        <v>50</v>
      </c>
      <c r="G272" s="4">
        <v>0</v>
      </c>
      <c r="H272" s="4">
        <v>0</v>
      </c>
    </row>
    <row r="273" spans="1:8" ht="15" thickBot="1">
      <c r="A273" s="93"/>
      <c r="B273" s="12" t="s">
        <v>11</v>
      </c>
      <c r="C273" s="5">
        <f t="shared" ref="C273:H273" si="28">SUM(C265:C272)</f>
        <v>0</v>
      </c>
      <c r="D273" s="5">
        <f t="shared" si="28"/>
        <v>0</v>
      </c>
      <c r="E273" s="5">
        <f t="shared" si="28"/>
        <v>0</v>
      </c>
      <c r="F273" s="5">
        <f t="shared" si="28"/>
        <v>150</v>
      </c>
      <c r="G273" s="5">
        <f t="shared" si="28"/>
        <v>100</v>
      </c>
      <c r="H273" s="5">
        <f t="shared" si="28"/>
        <v>100</v>
      </c>
    </row>
    <row r="274" spans="1:8" ht="34.5" customHeight="1" thickTop="1">
      <c r="A274" s="93">
        <v>30</v>
      </c>
      <c r="B274" s="73" t="s">
        <v>53</v>
      </c>
      <c r="C274" s="35"/>
      <c r="D274" s="35"/>
      <c r="E274" s="35"/>
      <c r="F274" s="15"/>
      <c r="G274" s="15"/>
      <c r="H274" s="15"/>
    </row>
    <row r="275" spans="1:8" ht="17.25" customHeight="1">
      <c r="A275" s="93"/>
      <c r="B275" s="82" t="s">
        <v>19</v>
      </c>
      <c r="C275" s="66">
        <v>0</v>
      </c>
      <c r="D275" s="80">
        <v>0</v>
      </c>
      <c r="E275" s="80">
        <v>0</v>
      </c>
      <c r="F275" s="4">
        <v>0</v>
      </c>
      <c r="G275" s="4">
        <v>0</v>
      </c>
      <c r="H275" s="4">
        <v>0</v>
      </c>
    </row>
    <row r="276" spans="1:8" ht="17.25" customHeight="1">
      <c r="A276" s="93"/>
      <c r="B276" s="64" t="s">
        <v>5</v>
      </c>
      <c r="C276" s="66">
        <v>0</v>
      </c>
      <c r="D276" s="80">
        <v>0</v>
      </c>
      <c r="E276" s="80">
        <v>0</v>
      </c>
      <c r="F276" s="4">
        <v>0</v>
      </c>
      <c r="G276" s="4">
        <v>0</v>
      </c>
      <c r="H276" s="4">
        <v>0</v>
      </c>
    </row>
    <row r="277" spans="1:8" ht="17.25" customHeight="1">
      <c r="A277" s="93"/>
      <c r="B277" s="64" t="s">
        <v>6</v>
      </c>
      <c r="C277" s="66">
        <v>0</v>
      </c>
      <c r="D277" s="80">
        <v>0</v>
      </c>
      <c r="E277" s="80">
        <v>0</v>
      </c>
      <c r="F277" s="4">
        <v>0</v>
      </c>
      <c r="G277" s="4">
        <v>0</v>
      </c>
      <c r="H277" s="4">
        <v>0</v>
      </c>
    </row>
    <row r="278" spans="1:8" ht="17.25" customHeight="1">
      <c r="A278" s="93"/>
      <c r="B278" s="64" t="s">
        <v>7</v>
      </c>
      <c r="C278" s="66">
        <v>0</v>
      </c>
      <c r="D278" s="80">
        <v>0</v>
      </c>
      <c r="E278" s="80">
        <v>0</v>
      </c>
      <c r="F278" s="4">
        <v>0</v>
      </c>
      <c r="G278" s="4">
        <v>0</v>
      </c>
      <c r="H278" s="4">
        <v>0</v>
      </c>
    </row>
    <row r="279" spans="1:8" ht="17.25" customHeight="1">
      <c r="A279" s="93"/>
      <c r="B279" s="64" t="s">
        <v>18</v>
      </c>
      <c r="C279" s="66">
        <v>0</v>
      </c>
      <c r="D279" s="80">
        <v>0</v>
      </c>
      <c r="E279" s="80">
        <v>0</v>
      </c>
      <c r="F279" s="4">
        <v>0</v>
      </c>
      <c r="G279" s="4">
        <v>0</v>
      </c>
      <c r="H279" s="4">
        <v>0</v>
      </c>
    </row>
    <row r="280" spans="1:8" ht="17.25" customHeight="1">
      <c r="A280" s="93"/>
      <c r="B280" s="64" t="s">
        <v>8</v>
      </c>
      <c r="C280" s="66">
        <v>0</v>
      </c>
      <c r="D280" s="80">
        <v>0</v>
      </c>
      <c r="E280" s="80">
        <v>0</v>
      </c>
      <c r="F280" s="4">
        <v>20000</v>
      </c>
      <c r="G280" s="4">
        <v>20000</v>
      </c>
      <c r="H280" s="4">
        <v>20000</v>
      </c>
    </row>
    <row r="281" spans="1:8" ht="17.25" customHeight="1">
      <c r="A281" s="93"/>
      <c r="B281" s="64" t="s">
        <v>9</v>
      </c>
      <c r="C281" s="66">
        <v>0</v>
      </c>
      <c r="D281" s="80">
        <v>0</v>
      </c>
      <c r="E281" s="80">
        <v>0</v>
      </c>
      <c r="F281" s="4">
        <v>0</v>
      </c>
      <c r="G281" s="4">
        <v>0</v>
      </c>
      <c r="H281" s="4">
        <v>0</v>
      </c>
    </row>
    <row r="282" spans="1:8" s="67" customFormat="1" ht="17.25" customHeight="1">
      <c r="A282" s="93"/>
      <c r="B282" s="64" t="s">
        <v>10</v>
      </c>
      <c r="C282" s="4">
        <v>0</v>
      </c>
      <c r="D282" s="35">
        <v>0</v>
      </c>
      <c r="E282" s="35">
        <v>0</v>
      </c>
      <c r="F282" s="4">
        <v>1500</v>
      </c>
      <c r="G282" s="4">
        <v>0</v>
      </c>
      <c r="H282" s="4">
        <v>0</v>
      </c>
    </row>
    <row r="283" spans="1:8" ht="15" thickBot="1">
      <c r="A283" s="93"/>
      <c r="B283" s="12" t="s">
        <v>11</v>
      </c>
      <c r="C283" s="5">
        <f t="shared" ref="C283:H283" si="29">SUM(C275:C282)</f>
        <v>0</v>
      </c>
      <c r="D283" s="5">
        <f t="shared" si="29"/>
        <v>0</v>
      </c>
      <c r="E283" s="5">
        <f t="shared" si="29"/>
        <v>0</v>
      </c>
      <c r="F283" s="5">
        <f t="shared" si="29"/>
        <v>21500</v>
      </c>
      <c r="G283" s="5">
        <f t="shared" si="29"/>
        <v>20000</v>
      </c>
      <c r="H283" s="5">
        <f t="shared" si="29"/>
        <v>20000</v>
      </c>
    </row>
    <row r="284" spans="1:8" ht="33.75" customHeight="1" thickTop="1">
      <c r="A284" s="93">
        <v>31</v>
      </c>
      <c r="B284" s="73" t="s">
        <v>54</v>
      </c>
      <c r="C284" s="35"/>
      <c r="D284" s="35"/>
      <c r="E284" s="35"/>
      <c r="F284" s="15"/>
      <c r="G284" s="15"/>
      <c r="H284" s="15"/>
    </row>
    <row r="285" spans="1:8" ht="17.25" customHeight="1">
      <c r="A285" s="93"/>
      <c r="B285" s="82" t="s">
        <v>19</v>
      </c>
      <c r="C285" s="66">
        <v>0</v>
      </c>
      <c r="D285" s="80">
        <v>0</v>
      </c>
      <c r="E285" s="80">
        <v>0</v>
      </c>
      <c r="F285" s="4">
        <v>0</v>
      </c>
      <c r="G285" s="4">
        <v>0</v>
      </c>
      <c r="H285" s="4">
        <v>0</v>
      </c>
    </row>
    <row r="286" spans="1:8" ht="17.25" customHeight="1">
      <c r="A286" s="93"/>
      <c r="B286" s="64" t="s">
        <v>5</v>
      </c>
      <c r="C286" s="66">
        <v>0</v>
      </c>
      <c r="D286" s="80">
        <v>0</v>
      </c>
      <c r="E286" s="80">
        <v>0</v>
      </c>
      <c r="F286" s="4">
        <v>0</v>
      </c>
      <c r="G286" s="4">
        <v>0</v>
      </c>
      <c r="H286" s="4">
        <v>0</v>
      </c>
    </row>
    <row r="287" spans="1:8" ht="17.25" customHeight="1">
      <c r="A287" s="93"/>
      <c r="B287" s="64" t="s">
        <v>6</v>
      </c>
      <c r="C287" s="66">
        <v>0</v>
      </c>
      <c r="D287" s="80">
        <v>0</v>
      </c>
      <c r="E287" s="80">
        <v>0</v>
      </c>
      <c r="F287" s="4">
        <v>0</v>
      </c>
      <c r="G287" s="4">
        <v>0</v>
      </c>
      <c r="H287" s="4">
        <v>0</v>
      </c>
    </row>
    <row r="288" spans="1:8" ht="17.25" customHeight="1">
      <c r="A288" s="93"/>
      <c r="B288" s="64" t="s">
        <v>7</v>
      </c>
      <c r="C288" s="66">
        <v>0</v>
      </c>
      <c r="D288" s="80">
        <v>0</v>
      </c>
      <c r="E288" s="80">
        <v>0</v>
      </c>
      <c r="F288" s="4">
        <v>0</v>
      </c>
      <c r="G288" s="4">
        <v>0</v>
      </c>
      <c r="H288" s="4">
        <v>0</v>
      </c>
    </row>
    <row r="289" spans="1:8" ht="17.25" customHeight="1">
      <c r="A289" s="93"/>
      <c r="B289" s="64" t="s">
        <v>18</v>
      </c>
      <c r="C289" s="66">
        <v>0</v>
      </c>
      <c r="D289" s="80">
        <v>0</v>
      </c>
      <c r="E289" s="80">
        <v>0</v>
      </c>
      <c r="F289" s="4">
        <v>0</v>
      </c>
      <c r="G289" s="4">
        <v>0</v>
      </c>
      <c r="H289" s="4">
        <v>0</v>
      </c>
    </row>
    <row r="290" spans="1:8" ht="17.25" customHeight="1">
      <c r="A290" s="93"/>
      <c r="B290" s="64" t="s">
        <v>8</v>
      </c>
      <c r="C290" s="66">
        <v>0</v>
      </c>
      <c r="D290" s="80">
        <v>0</v>
      </c>
      <c r="E290" s="80">
        <v>0</v>
      </c>
      <c r="F290" s="4">
        <v>2500</v>
      </c>
      <c r="G290" s="4">
        <v>2500</v>
      </c>
      <c r="H290" s="4">
        <v>2500</v>
      </c>
    </row>
    <row r="291" spans="1:8" ht="17.25" customHeight="1">
      <c r="A291" s="93"/>
      <c r="B291" s="64" t="s">
        <v>9</v>
      </c>
      <c r="C291" s="66">
        <v>0</v>
      </c>
      <c r="D291" s="80">
        <v>0</v>
      </c>
      <c r="E291" s="80">
        <v>0</v>
      </c>
      <c r="F291" s="4">
        <v>0</v>
      </c>
      <c r="G291" s="4">
        <v>0</v>
      </c>
      <c r="H291" s="4">
        <v>0</v>
      </c>
    </row>
    <row r="292" spans="1:8" ht="17.25" customHeight="1">
      <c r="A292" s="93"/>
      <c r="B292" s="64" t="s">
        <v>10</v>
      </c>
      <c r="C292" s="4">
        <v>0</v>
      </c>
      <c r="D292" s="35">
        <v>0</v>
      </c>
      <c r="E292" s="35">
        <v>0</v>
      </c>
      <c r="F292" s="4">
        <v>0</v>
      </c>
      <c r="G292" s="4">
        <v>0</v>
      </c>
      <c r="H292" s="4">
        <v>0</v>
      </c>
    </row>
    <row r="293" spans="1:8" ht="15" thickBot="1">
      <c r="A293" s="93"/>
      <c r="B293" s="12" t="s">
        <v>11</v>
      </c>
      <c r="C293" s="5">
        <f t="shared" ref="C293:H293" si="30">SUM(C285:C292)</f>
        <v>0</v>
      </c>
      <c r="D293" s="5">
        <f t="shared" si="30"/>
        <v>0</v>
      </c>
      <c r="E293" s="5">
        <f t="shared" si="30"/>
        <v>0</v>
      </c>
      <c r="F293" s="5">
        <f t="shared" si="30"/>
        <v>2500</v>
      </c>
      <c r="G293" s="5">
        <f t="shared" si="30"/>
        <v>2500</v>
      </c>
      <c r="H293" s="5">
        <f t="shared" si="30"/>
        <v>2500</v>
      </c>
    </row>
    <row r="294" spans="1:8" ht="52.5" customHeight="1" thickTop="1">
      <c r="A294" s="94">
        <v>32</v>
      </c>
      <c r="B294" s="73" t="s">
        <v>67</v>
      </c>
      <c r="C294" s="35"/>
      <c r="D294" s="35"/>
      <c r="E294" s="35"/>
      <c r="F294" s="15"/>
      <c r="G294" s="15"/>
      <c r="H294" s="15"/>
    </row>
    <row r="295" spans="1:8" ht="16.5" customHeight="1">
      <c r="A295" s="95"/>
      <c r="B295" s="82" t="s">
        <v>19</v>
      </c>
      <c r="C295" s="66">
        <v>0</v>
      </c>
      <c r="D295" s="66">
        <v>0</v>
      </c>
      <c r="E295" s="66">
        <v>0</v>
      </c>
      <c r="F295" s="66">
        <v>0</v>
      </c>
      <c r="G295" s="4">
        <v>0</v>
      </c>
      <c r="H295" s="4">
        <v>0</v>
      </c>
    </row>
    <row r="296" spans="1:8" s="65" customFormat="1" ht="16.5" customHeight="1">
      <c r="A296" s="95"/>
      <c r="B296" s="64" t="s">
        <v>5</v>
      </c>
      <c r="C296" s="66">
        <v>994.524</v>
      </c>
      <c r="D296" s="66">
        <v>0</v>
      </c>
      <c r="E296" s="66">
        <v>0</v>
      </c>
      <c r="F296" s="66">
        <v>3000</v>
      </c>
      <c r="G296" s="4">
        <v>3000</v>
      </c>
      <c r="H296" s="4">
        <v>3000</v>
      </c>
    </row>
    <row r="297" spans="1:8" ht="16.5" customHeight="1">
      <c r="A297" s="95"/>
      <c r="B297" s="64" t="s">
        <v>6</v>
      </c>
      <c r="C297" s="66">
        <v>0</v>
      </c>
      <c r="D297" s="66">
        <v>0</v>
      </c>
      <c r="E297" s="66">
        <v>0</v>
      </c>
      <c r="F297" s="66">
        <v>0</v>
      </c>
      <c r="G297" s="4">
        <v>0</v>
      </c>
      <c r="H297" s="4">
        <v>0</v>
      </c>
    </row>
    <row r="298" spans="1:8" ht="16.5" customHeight="1">
      <c r="A298" s="95"/>
      <c r="B298" s="64" t="s">
        <v>7</v>
      </c>
      <c r="C298" s="66">
        <v>3000</v>
      </c>
      <c r="D298" s="66">
        <v>3000</v>
      </c>
      <c r="E298" s="66">
        <v>0</v>
      </c>
      <c r="F298" s="66">
        <v>1500</v>
      </c>
      <c r="G298" s="4">
        <v>1500</v>
      </c>
      <c r="H298" s="4">
        <v>3000</v>
      </c>
    </row>
    <row r="299" spans="1:8" ht="16.5" customHeight="1">
      <c r="A299" s="95"/>
      <c r="B299" s="64" t="s">
        <v>18</v>
      </c>
      <c r="C299" s="66">
        <v>0</v>
      </c>
      <c r="D299" s="66">
        <v>0</v>
      </c>
      <c r="E299" s="66">
        <v>0</v>
      </c>
      <c r="F299" s="66">
        <v>0</v>
      </c>
      <c r="G299" s="4">
        <v>0</v>
      </c>
      <c r="H299" s="4">
        <v>0</v>
      </c>
    </row>
    <row r="300" spans="1:8" ht="16.5" customHeight="1">
      <c r="A300" s="95"/>
      <c r="B300" s="64" t="s">
        <v>8</v>
      </c>
      <c r="C300" s="66">
        <v>84700</v>
      </c>
      <c r="D300" s="66">
        <v>111100</v>
      </c>
      <c r="E300" s="66">
        <v>0</v>
      </c>
      <c r="F300" s="66">
        <v>3000</v>
      </c>
      <c r="G300" s="4">
        <v>3000</v>
      </c>
      <c r="H300" s="4">
        <v>3000</v>
      </c>
    </row>
    <row r="301" spans="1:8" s="67" customFormat="1" ht="16.5" customHeight="1">
      <c r="A301" s="95"/>
      <c r="B301" s="64" t="s">
        <v>9</v>
      </c>
      <c r="C301" s="66">
        <v>0</v>
      </c>
      <c r="D301" s="66">
        <v>0</v>
      </c>
      <c r="E301" s="66">
        <v>0</v>
      </c>
      <c r="F301" s="66">
        <v>0</v>
      </c>
      <c r="G301" s="4">
        <v>0</v>
      </c>
      <c r="H301" s="4">
        <v>3000</v>
      </c>
    </row>
    <row r="302" spans="1:8" s="67" customFormat="1" ht="16.5" customHeight="1">
      <c r="A302" s="95"/>
      <c r="B302" s="64" t="s">
        <v>10</v>
      </c>
      <c r="C302" s="66">
        <v>0</v>
      </c>
      <c r="D302" s="66">
        <v>0</v>
      </c>
      <c r="E302" s="66">
        <v>0</v>
      </c>
      <c r="F302" s="66">
        <v>3300</v>
      </c>
      <c r="G302" s="66">
        <v>0</v>
      </c>
      <c r="H302" s="66">
        <v>0</v>
      </c>
    </row>
    <row r="303" spans="1:8" ht="16.5" customHeight="1" thickBot="1">
      <c r="A303" s="95"/>
      <c r="B303" s="12" t="s">
        <v>11</v>
      </c>
      <c r="C303" s="5">
        <f t="shared" ref="C303:H303" si="31">SUM(C295:C302)</f>
        <v>88694.524000000005</v>
      </c>
      <c r="D303" s="5">
        <f t="shared" si="31"/>
        <v>114100</v>
      </c>
      <c r="E303" s="5">
        <f t="shared" si="31"/>
        <v>0</v>
      </c>
      <c r="F303" s="5">
        <f t="shared" si="31"/>
        <v>10800</v>
      </c>
      <c r="G303" s="5">
        <f t="shared" si="31"/>
        <v>7500</v>
      </c>
      <c r="H303" s="5">
        <f t="shared" si="31"/>
        <v>12000</v>
      </c>
    </row>
    <row r="304" spans="1:8" ht="34.5" customHeight="1" thickTop="1">
      <c r="A304" s="93">
        <v>33</v>
      </c>
      <c r="B304" s="73" t="s">
        <v>55</v>
      </c>
      <c r="C304" s="35"/>
      <c r="D304" s="35"/>
      <c r="E304" s="35"/>
      <c r="F304" s="15"/>
      <c r="G304" s="15"/>
      <c r="H304" s="15"/>
    </row>
    <row r="305" spans="1:8" ht="16.5" customHeight="1">
      <c r="A305" s="93"/>
      <c r="B305" s="82" t="s">
        <v>19</v>
      </c>
      <c r="C305" s="4">
        <v>0</v>
      </c>
      <c r="D305" s="35">
        <v>0</v>
      </c>
      <c r="E305" s="35">
        <v>0</v>
      </c>
      <c r="F305" s="4">
        <v>0</v>
      </c>
      <c r="G305" s="4">
        <v>0</v>
      </c>
      <c r="H305" s="4">
        <v>0</v>
      </c>
    </row>
    <row r="306" spans="1:8" ht="16.5" customHeight="1">
      <c r="A306" s="93"/>
      <c r="B306" s="64" t="s">
        <v>5</v>
      </c>
      <c r="C306" s="4">
        <v>0</v>
      </c>
      <c r="D306" s="35">
        <v>0</v>
      </c>
      <c r="E306" s="35">
        <v>0</v>
      </c>
      <c r="F306" s="4">
        <v>0</v>
      </c>
      <c r="G306" s="4">
        <v>0</v>
      </c>
      <c r="H306" s="4">
        <v>0</v>
      </c>
    </row>
    <row r="307" spans="1:8" ht="16.5" customHeight="1">
      <c r="A307" s="93"/>
      <c r="B307" s="64" t="s">
        <v>6</v>
      </c>
      <c r="C307" s="4">
        <v>0</v>
      </c>
      <c r="D307" s="35">
        <v>0</v>
      </c>
      <c r="E307" s="35">
        <v>0</v>
      </c>
      <c r="F307" s="4">
        <v>0</v>
      </c>
      <c r="G307" s="4">
        <v>0</v>
      </c>
      <c r="H307" s="4">
        <v>0</v>
      </c>
    </row>
    <row r="308" spans="1:8" ht="16.5" customHeight="1">
      <c r="A308" s="93"/>
      <c r="B308" s="64" t="s">
        <v>7</v>
      </c>
      <c r="C308" s="4">
        <v>0</v>
      </c>
      <c r="D308" s="35">
        <v>0</v>
      </c>
      <c r="E308" s="35">
        <v>0</v>
      </c>
      <c r="F308" s="4">
        <v>0</v>
      </c>
      <c r="G308" s="4">
        <v>0</v>
      </c>
      <c r="H308" s="4">
        <v>0</v>
      </c>
    </row>
    <row r="309" spans="1:8" ht="16.5" customHeight="1">
      <c r="A309" s="93"/>
      <c r="B309" s="64" t="s">
        <v>18</v>
      </c>
      <c r="C309" s="4">
        <v>0</v>
      </c>
      <c r="D309" s="35">
        <v>0</v>
      </c>
      <c r="E309" s="35">
        <v>0</v>
      </c>
      <c r="F309" s="4">
        <v>0</v>
      </c>
      <c r="G309" s="4">
        <v>0</v>
      </c>
      <c r="H309" s="4">
        <v>0</v>
      </c>
    </row>
    <row r="310" spans="1:8" ht="16.5" customHeight="1">
      <c r="A310" s="93"/>
      <c r="B310" s="64" t="s">
        <v>8</v>
      </c>
      <c r="C310" s="4">
        <v>0</v>
      </c>
      <c r="D310" s="35">
        <v>0</v>
      </c>
      <c r="E310" s="35">
        <v>0</v>
      </c>
      <c r="F310" s="4">
        <v>5000</v>
      </c>
      <c r="G310" s="4">
        <v>3000</v>
      </c>
      <c r="H310" s="4">
        <v>5000</v>
      </c>
    </row>
    <row r="311" spans="1:8" ht="16.5" customHeight="1">
      <c r="A311" s="93"/>
      <c r="B311" s="64" t="s">
        <v>9</v>
      </c>
      <c r="C311" s="4">
        <v>0</v>
      </c>
      <c r="D311" s="35">
        <v>0</v>
      </c>
      <c r="E311" s="35">
        <v>0</v>
      </c>
      <c r="F311" s="4">
        <v>0</v>
      </c>
      <c r="G311" s="4">
        <v>0</v>
      </c>
      <c r="H311" s="4">
        <v>0</v>
      </c>
    </row>
    <row r="312" spans="1:8" s="67" customFormat="1" ht="16.5" customHeight="1">
      <c r="A312" s="93"/>
      <c r="B312" s="64" t="s">
        <v>10</v>
      </c>
      <c r="C312" s="4">
        <v>0</v>
      </c>
      <c r="D312" s="35">
        <v>0</v>
      </c>
      <c r="E312" s="35">
        <v>0</v>
      </c>
      <c r="F312" s="4">
        <v>1000</v>
      </c>
      <c r="G312" s="4">
        <v>0</v>
      </c>
      <c r="H312" s="4">
        <v>0</v>
      </c>
    </row>
    <row r="313" spans="1:8" ht="16.5" customHeight="1" thickBot="1">
      <c r="A313" s="93"/>
      <c r="B313" s="12" t="s">
        <v>11</v>
      </c>
      <c r="C313" s="5">
        <f t="shared" ref="C313:H313" si="32">SUM(C305:C312)</f>
        <v>0</v>
      </c>
      <c r="D313" s="5">
        <f t="shared" si="32"/>
        <v>0</v>
      </c>
      <c r="E313" s="5">
        <f t="shared" si="32"/>
        <v>0</v>
      </c>
      <c r="F313" s="5">
        <f t="shared" si="32"/>
        <v>6000</v>
      </c>
      <c r="G313" s="5">
        <f t="shared" si="32"/>
        <v>3000</v>
      </c>
      <c r="H313" s="5">
        <f t="shared" si="32"/>
        <v>5000</v>
      </c>
    </row>
    <row r="314" spans="1:8" ht="15" thickTop="1"/>
    <row r="316" spans="1:8" ht="15.75">
      <c r="G316" s="87" t="s">
        <v>88</v>
      </c>
      <c r="H316" s="87"/>
    </row>
    <row r="317" spans="1:8" ht="15.75">
      <c r="G317" s="87" t="s">
        <v>70</v>
      </c>
      <c r="H317" s="87"/>
    </row>
    <row r="318" spans="1:8" ht="15.75">
      <c r="G318" s="87" t="s">
        <v>71</v>
      </c>
      <c r="H318" s="87"/>
    </row>
    <row r="321" spans="3:8">
      <c r="C321" s="24">
        <f t="shared" ref="C321:H321" si="33">SUM(C15+C24+C33+C42+C51+C60+C69+C78+C87+C96+C105+C114+C123+C132+C141+C150+C159+C168+C178+C187+C196+C205+C214+C223+C232+C243+C253+C263+C273+C283+C293+C303+C313)</f>
        <v>1684097.544</v>
      </c>
      <c r="D321" s="24">
        <f t="shared" si="33"/>
        <v>1439587.473</v>
      </c>
      <c r="E321" s="24">
        <f t="shared" si="33"/>
        <v>65318.514999999999</v>
      </c>
      <c r="F321" s="24">
        <f t="shared" si="33"/>
        <v>3499644</v>
      </c>
      <c r="G321" s="24">
        <f t="shared" si="33"/>
        <v>1322572</v>
      </c>
      <c r="H321" s="24">
        <f t="shared" si="33"/>
        <v>3270129</v>
      </c>
    </row>
  </sheetData>
  <mergeCells count="42">
    <mergeCell ref="A274:A283"/>
    <mergeCell ref="A284:A293"/>
    <mergeCell ref="A304:A313"/>
    <mergeCell ref="A294:A303"/>
    <mergeCell ref="A215:A223"/>
    <mergeCell ref="A244:A253"/>
    <mergeCell ref="A61:A69"/>
    <mergeCell ref="A97:A105"/>
    <mergeCell ref="A142:A150"/>
    <mergeCell ref="A106:A114"/>
    <mergeCell ref="A115:A123"/>
    <mergeCell ref="A52:A60"/>
    <mergeCell ref="A79:A87"/>
    <mergeCell ref="A88:A96"/>
    <mergeCell ref="A169:A178"/>
    <mergeCell ref="A234:A243"/>
    <mergeCell ref="A264:A273"/>
    <mergeCell ref="A206:A214"/>
    <mergeCell ref="A197:A205"/>
    <mergeCell ref="A124:A132"/>
    <mergeCell ref="A133:A141"/>
    <mergeCell ref="A224:A232"/>
    <mergeCell ref="B4:B5"/>
    <mergeCell ref="A16:A24"/>
    <mergeCell ref="A25:A33"/>
    <mergeCell ref="A179:A187"/>
    <mergeCell ref="A254:A263"/>
    <mergeCell ref="A188:A196"/>
    <mergeCell ref="A160:A168"/>
    <mergeCell ref="A151:A159"/>
    <mergeCell ref="A34:A42"/>
    <mergeCell ref="A43:A51"/>
    <mergeCell ref="G316:H316"/>
    <mergeCell ref="G317:H317"/>
    <mergeCell ref="G318:H318"/>
    <mergeCell ref="A3:H3"/>
    <mergeCell ref="A1:H1"/>
    <mergeCell ref="A2:H2"/>
    <mergeCell ref="C4:E4"/>
    <mergeCell ref="A70:A78"/>
    <mergeCell ref="A7:A15"/>
    <mergeCell ref="A4:A5"/>
  </mergeCells>
  <phoneticPr fontId="1" type="noConversion"/>
  <pageMargins left="0.32" right="0.22" top="0.22" bottom="0.34" header="0.17" footer="0.2"/>
  <pageSetup paperSize="9" scale="71" orientation="landscape" r:id="rId1"/>
  <headerFooter alignWithMargins="0">
    <oddFooter>&amp;C&amp;Z&amp;F&amp;RPage &amp;P</oddFooter>
  </headerFooter>
  <rowBreaks count="10" manualBreakCount="10">
    <brk id="33" max="7" man="1"/>
    <brk id="60" max="7" man="1"/>
    <brk id="87" max="7" man="1"/>
    <brk id="114" max="7" man="1"/>
    <brk id="141" max="7" man="1"/>
    <brk id="168" max="7" man="1"/>
    <brk id="196" max="7" man="1"/>
    <brk id="223" max="7" man="1"/>
    <brk id="253" max="7" man="1"/>
    <brk id="283" max="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view="pageBreakPreview" topLeftCell="A7" zoomScale="95" zoomScaleNormal="88" zoomScaleSheetLayoutView="95" workbookViewId="0">
      <selection activeCell="B11" sqref="B11"/>
    </sheetView>
  </sheetViews>
  <sheetFormatPr defaultRowHeight="14.25"/>
  <cols>
    <col min="1" max="1" width="3.7109375" style="51" customWidth="1"/>
    <col min="2" max="2" width="91.42578125" style="47" customWidth="1"/>
    <col min="3" max="3" width="13.42578125" style="47" customWidth="1"/>
    <col min="4" max="4" width="14.140625" style="47" customWidth="1"/>
    <col min="5" max="5" width="13.42578125" style="47" customWidth="1"/>
    <col min="6" max="6" width="15.28515625" style="47" customWidth="1"/>
    <col min="7" max="7" width="16.42578125" style="47" customWidth="1"/>
    <col min="8" max="8" width="15.140625" style="47" customWidth="1"/>
    <col min="9" max="16384" width="9.140625" style="47"/>
  </cols>
  <sheetData>
    <row r="1" spans="1:8" ht="15">
      <c r="A1" s="100" t="s">
        <v>87</v>
      </c>
      <c r="B1" s="100"/>
      <c r="C1" s="100"/>
      <c r="D1" s="100"/>
      <c r="E1" s="100"/>
      <c r="F1" s="100"/>
      <c r="G1" s="100"/>
      <c r="H1" s="100"/>
    </row>
    <row r="2" spans="1:8" ht="15">
      <c r="A2" s="100" t="s">
        <v>0</v>
      </c>
      <c r="B2" s="100"/>
      <c r="C2" s="100"/>
      <c r="D2" s="100"/>
      <c r="E2" s="100"/>
      <c r="F2" s="100"/>
      <c r="G2" s="100"/>
      <c r="H2" s="100"/>
    </row>
    <row r="3" spans="1:8" ht="15">
      <c r="A3" s="101" t="s">
        <v>1</v>
      </c>
      <c r="B3" s="101"/>
      <c r="C3" s="101"/>
      <c r="D3" s="101"/>
      <c r="E3" s="101"/>
      <c r="F3" s="101"/>
      <c r="G3" s="101"/>
      <c r="H3" s="101"/>
    </row>
    <row r="4" spans="1:8" ht="42.75">
      <c r="A4" s="102" t="s">
        <v>2</v>
      </c>
      <c r="B4" s="102" t="s">
        <v>3</v>
      </c>
      <c r="C4" s="103" t="s">
        <v>15</v>
      </c>
      <c r="D4" s="104"/>
      <c r="E4" s="105"/>
      <c r="F4" s="37" t="s">
        <v>16</v>
      </c>
      <c r="G4" s="37" t="s">
        <v>21</v>
      </c>
      <c r="H4" s="37" t="s">
        <v>16</v>
      </c>
    </row>
    <row r="5" spans="1:8">
      <c r="A5" s="102"/>
      <c r="B5" s="102"/>
      <c r="C5" s="61" t="s">
        <v>50</v>
      </c>
      <c r="D5" s="61" t="s">
        <v>59</v>
      </c>
      <c r="E5" s="61" t="s">
        <v>79</v>
      </c>
      <c r="F5" s="2" t="s">
        <v>85</v>
      </c>
      <c r="G5" s="2" t="s">
        <v>85</v>
      </c>
      <c r="H5" s="2" t="s">
        <v>86</v>
      </c>
    </row>
    <row r="6" spans="1:8">
      <c r="A6" s="38">
        <v>1</v>
      </c>
      <c r="B6" s="38">
        <v>2</v>
      </c>
      <c r="C6" s="38">
        <v>3</v>
      </c>
      <c r="D6" s="38">
        <v>4</v>
      </c>
      <c r="E6" s="38">
        <v>5</v>
      </c>
      <c r="F6" s="38">
        <v>6</v>
      </c>
      <c r="G6" s="38">
        <v>7</v>
      </c>
      <c r="H6" s="38">
        <v>8</v>
      </c>
    </row>
    <row r="7" spans="1:8" ht="36" customHeight="1">
      <c r="A7" s="48">
        <v>1</v>
      </c>
      <c r="B7" s="43" t="str">
        <f>'155 217 271 315  2461'!$B$7</f>
        <v>02 पूर चक्रीवादळे इत्यादी, 101 अनुग्रह सहाय्य, (91) राज्य आपत्ती प्रतिसाद निधीच्या मानकानुसार खर्च, (91)(01) रोख भत्ता, मृत व्यक्तींच्या कुटुंबियांना सहाय्य व जखमींना मदत, 31 सहायक अनुदाने (वेतनेत्तर) (22450155)</v>
      </c>
      <c r="C7" s="39">
        <f>'155 217 271 315  2461'!C15</f>
        <v>73771.850000000006</v>
      </c>
      <c r="D7" s="39">
        <f>'155 217 271 315  2461'!D15</f>
        <v>83632.599999999991</v>
      </c>
      <c r="E7" s="39">
        <f>'155 217 271 315  2461'!E15</f>
        <v>31917.627999999997</v>
      </c>
      <c r="F7" s="39">
        <f>'155 217 271 315  2461'!F15</f>
        <v>229259</v>
      </c>
      <c r="G7" s="39">
        <f>'155 217 271 315  2461'!G15</f>
        <v>85000</v>
      </c>
      <c r="H7" s="39">
        <f>'155 217 271 315  2461'!H15</f>
        <v>213259</v>
      </c>
    </row>
    <row r="8" spans="1:8" ht="42.75">
      <c r="A8" s="48">
        <v>2</v>
      </c>
      <c r="B8" s="40" t="s">
        <v>60</v>
      </c>
      <c r="C8" s="39">
        <f>'155 217 271 315  2461'!C24</f>
        <v>19202.75</v>
      </c>
      <c r="D8" s="39">
        <f>'155 217 271 315  2461'!D24</f>
        <v>0</v>
      </c>
      <c r="E8" s="39">
        <f>'155 217 271 315  2461'!E24</f>
        <v>0</v>
      </c>
      <c r="F8" s="39">
        <f>'155 217 271 315  2461'!F24</f>
        <v>1000</v>
      </c>
      <c r="G8" s="39">
        <f>'155 217 271 315  2461'!G24</f>
        <v>1000</v>
      </c>
      <c r="H8" s="39">
        <f>'155 217 271 315  2461'!H24</f>
        <v>1000</v>
      </c>
    </row>
    <row r="9" spans="1:8" ht="36" customHeight="1">
      <c r="A9" s="48">
        <v>3</v>
      </c>
      <c r="B9" s="40" t="s">
        <v>61</v>
      </c>
      <c r="C9" s="39">
        <f>'155 217 271 315  2461'!C33</f>
        <v>0</v>
      </c>
      <c r="D9" s="39">
        <f>'155 217 271 315  2461'!D33</f>
        <v>0</v>
      </c>
      <c r="E9" s="39">
        <f>'155 217 271 315  2461'!E33</f>
        <v>0</v>
      </c>
      <c r="F9" s="39">
        <f>'155 217 271 315  2461'!F33</f>
        <v>100</v>
      </c>
      <c r="G9" s="39">
        <f>'155 217 271 315  2461'!G33</f>
        <v>100</v>
      </c>
      <c r="H9" s="39">
        <f>'155 217 271 315  2461'!H33</f>
        <v>100</v>
      </c>
    </row>
    <row r="10" spans="1:8" ht="36" customHeight="1">
      <c r="A10" s="48">
        <v>4</v>
      </c>
      <c r="B10" s="43" t="str">
        <f>'155 217 271 315  2461'!$B$34</f>
        <v>02 पूर चक्रीवादळे इत्यादी, 101 अनुग्रह सहाय्य, (91) राज्य आपत्ती प्रतिसाद निधीच्या मानकानुसार खर्च, (91)(02) राहत केंद्रामध्ये निवारा, अन्न, वस्त्र, औषधे इत्यादी चा पुरवठा, 31 सहायक अनुदाने (वेतनेत्तर) (22450217)</v>
      </c>
      <c r="C10" s="39">
        <f>'155 217 271 315  2461'!C42</f>
        <v>59.15</v>
      </c>
      <c r="D10" s="39">
        <f>'155 217 271 315  2461'!D42</f>
        <v>41.951000000000001</v>
      </c>
      <c r="E10" s="39">
        <f>'155 217 271 315  2461'!E42</f>
        <v>0</v>
      </c>
      <c r="F10" s="39">
        <f>'155 217 271 315  2461'!F42</f>
        <v>3600</v>
      </c>
      <c r="G10" s="39">
        <f>'155 217 271 315  2461'!G42</f>
        <v>6880</v>
      </c>
      <c r="H10" s="39">
        <f>'155 217 271 315  2461'!H42</f>
        <v>3710</v>
      </c>
    </row>
    <row r="11" spans="1:8" ht="28.5">
      <c r="A11" s="48">
        <v>5</v>
      </c>
      <c r="B11" s="43" t="str">
        <f>'155 217 271 315  2461'!$B$43</f>
        <v>02 पूर चक्रीवादळे इत्यादी, 101 अनुग्रह सहाय्य, (91) राज्य आपत्ती प्रतिसाद निधीच्या मानका नुसार खर्च, (91)(04) इतर बाबी 31 सहाय्यक अनुदाने (वेतनेत्तर)(22450244)</v>
      </c>
      <c r="C11" s="41">
        <f>'155 217 271 315  2461'!C51</f>
        <v>0.628</v>
      </c>
      <c r="D11" s="41">
        <f>'155 217 271 315  2461'!D51</f>
        <v>0</v>
      </c>
      <c r="E11" s="41">
        <f>'155 217 271 315  2461'!E51</f>
        <v>0</v>
      </c>
      <c r="F11" s="41">
        <f>'155 217 271 315  2461'!F51</f>
        <v>11210</v>
      </c>
      <c r="G11" s="41">
        <f>'155 217 271 315  2461'!G51</f>
        <v>21130</v>
      </c>
      <c r="H11" s="41">
        <f>'155 217 271 315  2461'!H51</f>
        <v>11820</v>
      </c>
    </row>
    <row r="12" spans="1:8" ht="38.25" customHeight="1">
      <c r="A12" s="48">
        <v>6</v>
      </c>
      <c r="B12" s="49" t="str">
        <f>'155 217 271 315  2461'!$B$52</f>
        <v>02 पूर चक्रीवादळे इत्यादी, 113 घरांची दुरुस्ती/पुनर्बाधंणी यासाठी सहाय्य, (91) राज्य आपत्ती प्रतिसाद निधीच्या मानकानुसार खर्च, (91)(01) घरांची दुरुस्ती/पुर्नबांधणी यासाठी सहाय्य, 31 सहायक अनुदाने (वेतनेत्तर) (22450271)</v>
      </c>
      <c r="C12" s="41">
        <f>'155 217 271 315  2461'!C60</f>
        <v>6949.4350000000004</v>
      </c>
      <c r="D12" s="41">
        <f>'155 217 271 315  2461'!D60</f>
        <v>26812.04</v>
      </c>
      <c r="E12" s="41">
        <f>'155 217 271 315  2461'!E60</f>
        <v>4596.9690000000001</v>
      </c>
      <c r="F12" s="41">
        <f>'155 217 271 315  2461'!F60</f>
        <v>179691</v>
      </c>
      <c r="G12" s="41">
        <f>'155 217 271 315  2461'!G60</f>
        <v>92451</v>
      </c>
      <c r="H12" s="41">
        <f>'155 217 271 315  2461'!H60</f>
        <v>179059</v>
      </c>
    </row>
    <row r="13" spans="1:8" ht="57">
      <c r="A13" s="48">
        <v>7</v>
      </c>
      <c r="B13" s="42" t="s">
        <v>56</v>
      </c>
      <c r="C13" s="41">
        <f>'155 217 271 315  2461'!C69</f>
        <v>0</v>
      </c>
      <c r="D13" s="41">
        <f>'155 217 271 315  2461'!D69</f>
        <v>0</v>
      </c>
      <c r="E13" s="41">
        <f>'155 217 271 315  2461'!E69</f>
        <v>0</v>
      </c>
      <c r="F13" s="41">
        <f>'155 217 271 315  2461'!F69</f>
        <v>26748</v>
      </c>
      <c r="G13" s="41">
        <f>'155 217 271 315  2461'!G69</f>
        <v>16605</v>
      </c>
      <c r="H13" s="41">
        <f>'155 217 271 315  2461'!H69</f>
        <v>27748</v>
      </c>
    </row>
    <row r="14" spans="1:8" ht="42.75">
      <c r="A14" s="48">
        <v>8</v>
      </c>
      <c r="B14" s="43" t="str">
        <f>'155 217 271 315  2461'!$B$70</f>
        <v>2 पूर चक्रीवादळे इत्यादी, 117 पशुधन खरेदीसाठी शेतक-यांना सहाय्य, (91) राज्य आपत्ती प्रतिसाद निधीच्या मानकानुसार खर्च, (91)(01) मृत जनावरां ऐवजी पशुधन खरेदीसाठी अल्प व अत्यल्प भूधारक शेतक-यांना सहाय्य, 31 सहायक अनुदाने (वेतनेत्तर) (22450315)</v>
      </c>
      <c r="C14" s="39">
        <f>'155 217 271 315  2461'!C78</f>
        <v>1705.1</v>
      </c>
      <c r="D14" s="39">
        <f>'155 217 271 315  2461'!D78</f>
        <v>4456.6499999999996</v>
      </c>
      <c r="E14" s="39">
        <f>'155 217 271 315  2461'!E78</f>
        <v>2644.7</v>
      </c>
      <c r="F14" s="39">
        <f>'155 217 271 315  2461'!F78</f>
        <v>14397</v>
      </c>
      <c r="G14" s="39">
        <f>'155 217 271 315  2461'!G78</f>
        <v>9820</v>
      </c>
      <c r="H14" s="39">
        <f>'155 217 271 315  2461'!H78</f>
        <v>14417</v>
      </c>
    </row>
    <row r="15" spans="1:8" ht="28.5">
      <c r="A15" s="48">
        <v>9</v>
      </c>
      <c r="B15" s="43" t="str">
        <f>'155 217 271 315  2461'!$B$79</f>
        <v xml:space="preserve">02 पुर चक्रीवादळे इत्यादी, 91 राज्य आपत्ती प्रतिसाद निधीच्या मानकानुसार खर्च, (91) (01) हानी पोहचलेल्या होडया व मासेमारी साधनसामग्री यांची दुरुस्ती / ती नव्याने पुरवणे यासाठी सहाय्य (22450324) </v>
      </c>
      <c r="C15" s="39">
        <f>'155 217 271 315  2461'!C87</f>
        <v>191.25</v>
      </c>
      <c r="D15" s="39">
        <f>'155 217 271 315  2461'!D87</f>
        <v>1066</v>
      </c>
      <c r="E15" s="39">
        <f>'155 217 271 315  2461'!E87</f>
        <v>0</v>
      </c>
      <c r="F15" s="39">
        <f>'155 217 271 315  2461'!F87</f>
        <v>14791</v>
      </c>
      <c r="G15" s="39">
        <f>'155 217 271 315  2461'!G87</f>
        <v>15740</v>
      </c>
      <c r="H15" s="39">
        <f>'155 217 271 315  2461'!H87</f>
        <v>14801</v>
      </c>
    </row>
    <row r="16" spans="1:8" ht="73.5" customHeight="1">
      <c r="A16" s="48">
        <v>10</v>
      </c>
      <c r="B16" s="43" t="str">
        <f>'155 217 271 315  2461'!$B$88</f>
        <v>मागणी क्र.सी-6, 2245 नैसर्गिक आपत्तीच्या निवारणासाठी सहाय्य, 02 पुर चक्रीवादळे इ., 119 हानी पोहोचलेली हत्यारे व साधनसामग्री यांची दुरुस्ती/ती नव्याने पुरविणे यासाठी हस्तकला/हातमाग कारागिराना सहाय्य, (91) राज्य आपत्ती प्रतिसाद निधीच्या मानका नुसार खर्च, (91) (01) हानी पोहोचलेली हत्यारे व साधनसामग्री यांची दुरुस्ती/ती नव्याने पुरविणे तसेच कच्चा प्रक्रीयाधीन तयार मालाच्या नुकसानीसाठी कारागिराना सहाय्य, 31 सहायक अनुदाने (वेतनेत्तर) (22450333)</v>
      </c>
      <c r="C16" s="39">
        <f>'155 217 271 315  2461'!C96</f>
        <v>0</v>
      </c>
      <c r="D16" s="39">
        <f>'155 217 271 315  2461'!D96</f>
        <v>0</v>
      </c>
      <c r="E16" s="39">
        <f>'155 217 271 315  2461'!E96</f>
        <v>0</v>
      </c>
      <c r="F16" s="39">
        <f>'155 217 271 315  2461'!F96</f>
        <v>0</v>
      </c>
      <c r="G16" s="39">
        <f>'155 217 271 315  2461'!G96</f>
        <v>0</v>
      </c>
      <c r="H16" s="39">
        <f>'155 217 271 315  2461'!H96</f>
        <v>0</v>
      </c>
    </row>
    <row r="17" spans="1:8" ht="56.25" customHeight="1">
      <c r="A17" s="48">
        <v>11</v>
      </c>
      <c r="B17" s="40" t="s">
        <v>62</v>
      </c>
      <c r="C17" s="39">
        <f>'155 217 271 315  2461'!C105</f>
        <v>94610.308000000005</v>
      </c>
      <c r="D17" s="39">
        <f>'155 217 271 315  2461'!D105</f>
        <v>0</v>
      </c>
      <c r="E17" s="39">
        <f>'155 217 271 315  2461'!E105</f>
        <v>0</v>
      </c>
      <c r="F17" s="39">
        <f>'155 217 271 315  2461'!F105</f>
        <v>20000</v>
      </c>
      <c r="G17" s="39">
        <f>'155 217 271 315  2461'!G105</f>
        <v>20000</v>
      </c>
      <c r="H17" s="39">
        <f>'155 217 271 315  2461'!H105</f>
        <v>20000</v>
      </c>
    </row>
    <row r="18" spans="1:8" ht="37.5" customHeight="1">
      <c r="A18" s="48">
        <v>12</v>
      </c>
      <c r="B18" s="43" t="s">
        <v>23</v>
      </c>
      <c r="C18" s="39">
        <f>'155 217 271 315  2461'!C114</f>
        <v>120755</v>
      </c>
      <c r="D18" s="39">
        <f>'155 217 271 315  2461'!D114</f>
        <v>105478.298</v>
      </c>
      <c r="E18" s="39">
        <f>'155 217 271 315  2461'!E114</f>
        <v>8121.7449999999999</v>
      </c>
      <c r="F18" s="39">
        <f>'155 217 271 315  2461'!F114</f>
        <v>1283645</v>
      </c>
      <c r="G18" s="39">
        <f>'155 217 271 315  2461'!G114</f>
        <v>96000</v>
      </c>
      <c r="H18" s="39">
        <f>'155 217 271 315  2461'!H114</f>
        <v>1265500</v>
      </c>
    </row>
    <row r="19" spans="1:8" ht="28.5">
      <c r="A19" s="48">
        <v>13</v>
      </c>
      <c r="B19" s="43" t="s">
        <v>29</v>
      </c>
      <c r="C19" s="39">
        <f>'155 217 271 315  2461'!C123</f>
        <v>5973.4349999999995</v>
      </c>
      <c r="D19" s="39">
        <f>'155 217 271 315  2461'!D123</f>
        <v>0</v>
      </c>
      <c r="E19" s="39">
        <f>'155 217 271 315  2461'!E123</f>
        <v>0</v>
      </c>
      <c r="F19" s="39">
        <f>'155 217 271 315  2461'!F123</f>
        <v>11320</v>
      </c>
      <c r="G19" s="39">
        <f>'155 217 271 315  2461'!G123</f>
        <v>10000</v>
      </c>
      <c r="H19" s="39">
        <f>'155 217 271 315  2461'!H123</f>
        <v>11430</v>
      </c>
    </row>
    <row r="20" spans="1:8" ht="28.5">
      <c r="A20" s="48">
        <v>14</v>
      </c>
      <c r="B20" s="43" t="s">
        <v>30</v>
      </c>
      <c r="C20" s="39">
        <f>'155 217 271 315  2461'!C132</f>
        <v>11714.804</v>
      </c>
      <c r="D20" s="39">
        <f>'155 217 271 315  2461'!D132</f>
        <v>0</v>
      </c>
      <c r="E20" s="39">
        <f>'155 217 271 315  2461'!E132</f>
        <v>0</v>
      </c>
      <c r="F20" s="39">
        <f>'155 217 271 315  2461'!F132</f>
        <v>176778</v>
      </c>
      <c r="G20" s="39">
        <f>'155 217 271 315  2461'!G132</f>
        <v>45000</v>
      </c>
      <c r="H20" s="39">
        <f>'155 217 271 315  2461'!H132</f>
        <v>176778</v>
      </c>
    </row>
    <row r="21" spans="1:8" ht="42.75">
      <c r="A21" s="48">
        <v>15</v>
      </c>
      <c r="B21" s="43" t="str">
        <f>'155 217 271 315  2461'!$B$133</f>
        <v>02 पुर चक्रीवादळे इ.,113 घरांची दुरुस्ती/पुनर्बांधणी यासाठी सहाय्य, (92) राज्य आपत्ती प्रतिसाद निधीच्या मानका व्यतिरीक्त खर्च, (92) (01) घरांची दुरुस्ती/पुनर्बांधणी यासाठी सहाय्य, 31 सहायक अनुदाने (वेतनेत्तर) (22452327)</v>
      </c>
      <c r="C21" s="39">
        <f>'155 217 271 315  2461'!C141</f>
        <v>5280</v>
      </c>
      <c r="D21" s="39">
        <f>'155 217 271 315  2461'!D141</f>
        <v>39338.758999999998</v>
      </c>
      <c r="E21" s="39">
        <f>'155 217 271 315  2461'!E141</f>
        <v>0</v>
      </c>
      <c r="F21" s="39">
        <f>'155 217 271 315  2461'!F141</f>
        <v>221697</v>
      </c>
      <c r="G21" s="39">
        <f>'155 217 271 315  2461'!G141</f>
        <v>50100</v>
      </c>
      <c r="H21" s="39">
        <f>'155 217 271 315  2461'!H141</f>
        <v>221741</v>
      </c>
    </row>
    <row r="22" spans="1:8" ht="42.75">
      <c r="A22" s="48">
        <v>16</v>
      </c>
      <c r="B22" s="40" t="s">
        <v>63</v>
      </c>
      <c r="C22" s="39">
        <f>'155 217 271 315  2461'!C150</f>
        <v>0</v>
      </c>
      <c r="D22" s="39">
        <f>'155 217 271 315  2461'!D150</f>
        <v>0</v>
      </c>
      <c r="E22" s="39">
        <f>'155 217 271 315  2461'!E150</f>
        <v>0</v>
      </c>
      <c r="F22" s="39">
        <f>'155 217 271 315  2461'!F150</f>
        <v>0</v>
      </c>
      <c r="G22" s="39">
        <f>'155 217 271 315  2461'!G150</f>
        <v>0</v>
      </c>
      <c r="H22" s="39">
        <f>'155 217 271 315  2461'!H150</f>
        <v>20017</v>
      </c>
    </row>
    <row r="23" spans="1:8" ht="57">
      <c r="A23" s="48">
        <v>17</v>
      </c>
      <c r="B23" s="40" t="s">
        <v>64</v>
      </c>
      <c r="C23" s="39">
        <f>'155 217 271 315  2461'!C159</f>
        <v>151.19999999999999</v>
      </c>
      <c r="D23" s="39">
        <f>'155 217 271 315  2461'!D159</f>
        <v>0</v>
      </c>
      <c r="E23" s="39">
        <f>'155 217 271 315  2461'!E159</f>
        <v>0</v>
      </c>
      <c r="F23" s="39">
        <f>'155 217 271 315  2461'!F159</f>
        <v>27902</v>
      </c>
      <c r="G23" s="39">
        <f>'155 217 271 315  2461'!G159</f>
        <v>26706</v>
      </c>
      <c r="H23" s="39">
        <f>'155 217 271 315  2461'!H159</f>
        <v>26457</v>
      </c>
    </row>
    <row r="24" spans="1:8" ht="57">
      <c r="A24" s="48">
        <v>18</v>
      </c>
      <c r="B24" s="43" t="str">
        <f>'155 217 271 315  2461'!$B$160</f>
        <v>02 पुर चक्रीवादळे इ., 119 हानी पोहोचलेली हत्यारे व साधनसामग्री यांची दुरुस्ती/ती नव्याने पुरविणे यासाठी हस्तकला/हातमाग कारागिराना सहाय्य, (91) राज्य आपत्ती प्रतिसाद निधीच्या मानका व्यतिरिक्त खर्च, (91) (01) हानी पोहोचलेली हत्यारे व साधनसामग्री यांची दुरुस्ती/ती नव्याने पुरविणे तसेच कच्चा प्रक्रीयाधीन तयार मालाच्या नुकसानीसाठी कारागिराना सहाय्य, 31 सहायक अनुदाने (वेतनेत्तर) (22452381)</v>
      </c>
      <c r="C24" s="39">
        <f>'155 217 271 315  2461'!C168</f>
        <v>6986.625</v>
      </c>
      <c r="D24" s="39">
        <f>'155 217 271 315  2461'!D168</f>
        <v>28831.087</v>
      </c>
      <c r="E24" s="39">
        <f>'155 217 271 315  2461'!E168</f>
        <v>13805.65</v>
      </c>
      <c r="F24" s="39">
        <f>'155 217 271 315  2461'!F168</f>
        <v>50000</v>
      </c>
      <c r="G24" s="39">
        <f>'155 217 271 315  2461'!G168</f>
        <v>50000</v>
      </c>
      <c r="H24" s="39">
        <f>'155 217 271 315  2461'!H168</f>
        <v>75600</v>
      </c>
    </row>
    <row r="25" spans="1:8" ht="28.5">
      <c r="A25" s="48">
        <v>19</v>
      </c>
      <c r="B25" s="43" t="s">
        <v>24</v>
      </c>
      <c r="C25" s="39">
        <f>'155 217 271 315  2461'!C178</f>
        <v>0</v>
      </c>
      <c r="D25" s="39">
        <f>'155 217 271 315  2461'!D178</f>
        <v>0</v>
      </c>
      <c r="E25" s="39">
        <f>'155 217 271 315  2461'!E178</f>
        <v>0</v>
      </c>
      <c r="F25" s="39">
        <f>'155 217 271 315  2461'!F178</f>
        <v>62</v>
      </c>
      <c r="G25" s="39">
        <f>'155 217 271 315  2461'!G178</f>
        <v>0</v>
      </c>
      <c r="H25" s="39">
        <f>'155 217 271 315  2461'!H178</f>
        <v>62</v>
      </c>
    </row>
    <row r="26" spans="1:8" ht="28.5">
      <c r="A26" s="48">
        <v>20</v>
      </c>
      <c r="B26" s="43" t="s">
        <v>75</v>
      </c>
      <c r="C26" s="39">
        <f>'155 217 271 315  2461'!C187</f>
        <v>0</v>
      </c>
      <c r="D26" s="39">
        <f>'155 217 271 315  2461'!D187</f>
        <v>0</v>
      </c>
      <c r="E26" s="39">
        <f>'155 217 271 315  2461'!E187</f>
        <v>0</v>
      </c>
      <c r="F26" s="39">
        <f>'155 217 271 315  2461'!F187</f>
        <v>330000</v>
      </c>
      <c r="G26" s="39">
        <f>'155 217 271 315  2461'!G187</f>
        <v>0</v>
      </c>
      <c r="H26" s="39">
        <f>'155 217 271 315  2461'!H187</f>
        <v>330000</v>
      </c>
    </row>
    <row r="27" spans="1:8" ht="28.5">
      <c r="A27" s="48">
        <v>21</v>
      </c>
      <c r="B27" s="43" t="str">
        <f>'155 217 271 315  2461'!$B$188</f>
        <v>02 पूर चक्रीवादळे इत्यादी, 101 अनुग्रह सहाय्य, (91) राज्य आपत्ती प्रतिसाद निधीच्या मानका नुसार खर्च, (91)(05) पिक नुकसानीमुळे शेतक-यांना मदत, 31 सहाय्य अनुदाने (वेतनेत्तर) (22452452)</v>
      </c>
      <c r="C27" s="39">
        <f>'155 217 271 315  2461'!C196</f>
        <v>34737.214</v>
      </c>
      <c r="D27" s="39">
        <f>'155 217 271 315  2461'!D196</f>
        <v>0</v>
      </c>
      <c r="E27" s="39">
        <f>'155 217 271 315  2461'!E196</f>
        <v>0</v>
      </c>
      <c r="F27" s="39">
        <f>'155 217 271 315  2461'!F196</f>
        <v>200305</v>
      </c>
      <c r="G27" s="39">
        <f>'155 217 271 315  2461'!G196</f>
        <v>100000</v>
      </c>
      <c r="H27" s="39">
        <f>'155 217 271 315  2461'!H196</f>
        <v>200305</v>
      </c>
    </row>
    <row r="28" spans="1:8" ht="42.75">
      <c r="A28" s="48">
        <v>22</v>
      </c>
      <c r="B28" s="42" t="s">
        <v>49</v>
      </c>
      <c r="C28" s="39">
        <f>'155 217 271 315  2461'!C205</f>
        <v>118709</v>
      </c>
      <c r="D28" s="39">
        <f>'155 217 271 315  2461'!D205</f>
        <v>0</v>
      </c>
      <c r="E28" s="39">
        <f>'155 217 271 315  2461'!E205</f>
        <v>0</v>
      </c>
      <c r="F28" s="39">
        <f>'155 217 271 315  2461'!F205</f>
        <v>65255</v>
      </c>
      <c r="G28" s="39">
        <f>'155 217 271 315  2461'!G205</f>
        <v>65000</v>
      </c>
      <c r="H28" s="39">
        <f>'155 217 271 315  2461'!H205</f>
        <v>67255</v>
      </c>
    </row>
    <row r="29" spans="1:8" ht="28.5">
      <c r="A29" s="48">
        <v>23</v>
      </c>
      <c r="B29" s="43" t="s">
        <v>41</v>
      </c>
      <c r="C29" s="39">
        <f>'155 217 271 315  2461'!C214</f>
        <v>0</v>
      </c>
      <c r="D29" s="39">
        <f>'155 217 271 315  2461'!D214</f>
        <v>0</v>
      </c>
      <c r="E29" s="39">
        <f>'155 217 271 315  2461'!E214</f>
        <v>0</v>
      </c>
      <c r="F29" s="39">
        <f>'155 217 271 315  2461'!F214</f>
        <v>32260</v>
      </c>
      <c r="G29" s="39">
        <f>'155 217 271 315  2461'!G214</f>
        <v>5000</v>
      </c>
      <c r="H29" s="39">
        <f>'155 217 271 315  2461'!H214</f>
        <v>32260</v>
      </c>
    </row>
    <row r="30" spans="1:8" ht="57">
      <c r="A30" s="48">
        <v>24</v>
      </c>
      <c r="B30" s="43" t="str">
        <f>'155 217 271 315  2461'!$B$215</f>
        <v>80 सर्वसाधारण, 800 इतर खर्च (91) राज्य आपत्ती प्रतिसाद निधीच्या मानकांनुसार खर्च (91)(01) शोध, बचाव कार्य, व लोकांना सुरक्षित स्थळी हलविण्यासाठी आपत्तीच्या प्रतिसादासाठी (संपर्कसाधनासह) खरेदी करावयाची साधनसामुग्री (आपत्ती प्रतिसाद निधीच्या 5 टक्के मर्यादेपर्यंत) 22452499 अंतर्गत, 31 सहाय्यक अनुदाने (वेतनेत्तर)</v>
      </c>
      <c r="C30" s="39">
        <f>'155 217 271 315  2461'!C223</f>
        <v>13959.679</v>
      </c>
      <c r="D30" s="39">
        <f>'155 217 271 315  2461'!D223</f>
        <v>3350</v>
      </c>
      <c r="E30" s="39">
        <f>'155 217 271 315  2461'!E223</f>
        <v>0</v>
      </c>
      <c r="F30" s="39">
        <f>'155 217 271 315  2461'!F223</f>
        <v>11220</v>
      </c>
      <c r="G30" s="39">
        <f>'155 217 271 315  2461'!G223</f>
        <v>5500</v>
      </c>
      <c r="H30" s="39">
        <f>'155 217 271 315  2461'!H223</f>
        <v>11270</v>
      </c>
    </row>
    <row r="31" spans="1:8" ht="57">
      <c r="A31" s="48">
        <v>25</v>
      </c>
      <c r="B31" s="43" t="s">
        <v>82</v>
      </c>
      <c r="C31" s="39">
        <f>SUM('155 217 271 315  2461'!C232)</f>
        <v>0</v>
      </c>
      <c r="D31" s="39">
        <f>SUM('155 217 271 315  2461'!D232)</f>
        <v>0</v>
      </c>
      <c r="E31" s="39">
        <f>SUM('155 217 271 315  2461'!E232)</f>
        <v>0</v>
      </c>
      <c r="F31" s="39">
        <f>SUM('155 217 271 315  2461'!F232)</f>
        <v>0</v>
      </c>
      <c r="G31" s="39">
        <f>SUM('155 217 271 315  2461'!G232)</f>
        <v>0</v>
      </c>
      <c r="H31" s="39">
        <f>SUM('155 217 271 315  2461'!H232)</f>
        <v>0</v>
      </c>
    </row>
    <row r="32" spans="1:8" ht="28.5">
      <c r="A32" s="48">
        <v>26</v>
      </c>
      <c r="B32" s="42" t="s">
        <v>51</v>
      </c>
      <c r="C32" s="39">
        <f>'155 217 271 315  2461'!C243</f>
        <v>1076981.6189999999</v>
      </c>
      <c r="D32" s="39">
        <f>'155 217 271 315  2461'!D243</f>
        <v>1025098.8959999999</v>
      </c>
      <c r="E32" s="39">
        <f>SUM('155 217 271 315  2461'!E233)</f>
        <v>0</v>
      </c>
      <c r="F32" s="39">
        <f>'155 217 271 315  2461'!F243</f>
        <v>525000</v>
      </c>
      <c r="G32" s="39">
        <f>'155 217 271 315  2461'!G243</f>
        <v>525000</v>
      </c>
      <c r="H32" s="39">
        <f>'155 217 271 315  2461'!H243</f>
        <v>275000</v>
      </c>
    </row>
    <row r="33" spans="1:9">
      <c r="A33" s="48">
        <v>27</v>
      </c>
      <c r="B33" s="42" t="s">
        <v>83</v>
      </c>
      <c r="C33" s="39">
        <f>SUM('155 217 271 315  2461'!C253)</f>
        <v>0</v>
      </c>
      <c r="D33" s="39">
        <f>SUM('155 217 271 315  2461'!D253)</f>
        <v>3969.5480000000002</v>
      </c>
      <c r="E33" s="39">
        <f>SUM('155 217 271 315  2461'!E253)</f>
        <v>1218.857</v>
      </c>
      <c r="F33" s="39">
        <f>SUM('155 217 271 315  2461'!F253)</f>
        <v>18300</v>
      </c>
      <c r="G33" s="39">
        <f>SUM('155 217 271 315  2461'!G253)</f>
        <v>36500</v>
      </c>
      <c r="H33" s="39">
        <f>SUM('155 217 271 315  2461'!H253)</f>
        <v>25000</v>
      </c>
    </row>
    <row r="34" spans="1:9" ht="42.75">
      <c r="A34" s="48">
        <v>28</v>
      </c>
      <c r="B34" s="43" t="str">
        <f>'155 217 271 315  2461'!$B$254</f>
        <v xml:space="preserve"> 80 सर्वसाधारण-पंचवार्षिक योजनांतर्गत योजना राज्य योजनांतर्गत योजना-001 संचालन व प्रशासन (01) महाराष्ट्र राज्य आपत्ती व्यवस्थापन प्राधिकरणाचे कार्यालय स्थापन करणे व फर्निचर,साधनसामुग्रीसह सुसज्जीकरण करणे 22451761-10 - कंत्राटीसेवा </v>
      </c>
      <c r="C34" s="39">
        <f>'155 217 271 315  2461'!C263</f>
        <v>3663.973</v>
      </c>
      <c r="D34" s="39">
        <f>'155 217 271 315  2461'!D263</f>
        <v>3411.6440000000002</v>
      </c>
      <c r="E34" s="39">
        <f>'155 217 271 315  2461'!E263</f>
        <v>3012.9660000000003</v>
      </c>
      <c r="F34" s="39">
        <f>'155 217 271 315  2461'!F263</f>
        <v>4154</v>
      </c>
      <c r="G34" s="39">
        <f>'155 217 271 315  2461'!G263</f>
        <v>5940</v>
      </c>
      <c r="H34" s="39">
        <f>'155 217 271 315  2461'!H263</f>
        <v>5940</v>
      </c>
    </row>
    <row r="35" spans="1:9" ht="28.5">
      <c r="A35" s="48">
        <v>29</v>
      </c>
      <c r="B35" s="42" t="str">
        <f>'155 217 271 315  2461'!$B$264</f>
        <v xml:space="preserve">80 सर्व साधारण (01) (01) महाराष्ट्र राज्य आपत्ती व्यवस्थापन प्राधिकरणाचे कार्यालय स्थापन करणे व फर्निचर व साधन सामुग्रीसह सुसज्जीकरण करणे (2245 1761) 11-देशांतर्गत प्रवास खर्च </v>
      </c>
      <c r="C35" s="39">
        <f>'155 217 271 315  2461'!C273</f>
        <v>0</v>
      </c>
      <c r="D35" s="39">
        <f>'155 217 271 315  2461'!D273</f>
        <v>0</v>
      </c>
      <c r="E35" s="39">
        <f>'155 217 271 315  2461'!E273</f>
        <v>0</v>
      </c>
      <c r="F35" s="39">
        <f>'155 217 271 315  2461'!F273</f>
        <v>150</v>
      </c>
      <c r="G35" s="39">
        <f>'155 217 271 315  2461'!G273</f>
        <v>100</v>
      </c>
      <c r="H35" s="39">
        <f>'155 217 271 315  2461'!H273</f>
        <v>100</v>
      </c>
    </row>
    <row r="36" spans="1:9" ht="28.5">
      <c r="A36" s="48">
        <v>30</v>
      </c>
      <c r="B36" s="43" t="str">
        <f>'155 217 271 315  2461'!$B$274</f>
        <v xml:space="preserve">80 सर्व साधारण (01) (01) महाराष्ट्र राज्य आपत्ती व्यवस्थापन प्राधिकरणाचे कार्यालय स्थापन करणे व फर्निचर व साधन सामुग्रीसह सुसज्जीकरण करणे (2245 1761) 21-पुरवठा व सामुग्री </v>
      </c>
      <c r="C36" s="39">
        <f>'155 217 271 315  2461'!C283</f>
        <v>0</v>
      </c>
      <c r="D36" s="39">
        <f>'155 217 271 315  2461'!D283</f>
        <v>0</v>
      </c>
      <c r="E36" s="39">
        <f>'155 217 271 315  2461'!E283</f>
        <v>0</v>
      </c>
      <c r="F36" s="39">
        <f>'155 217 271 315  2461'!F283</f>
        <v>21500</v>
      </c>
      <c r="G36" s="39">
        <f>'155 217 271 315  2461'!G283</f>
        <v>20000</v>
      </c>
      <c r="H36" s="39">
        <f>'155 217 271 315  2461'!H283</f>
        <v>20000</v>
      </c>
    </row>
    <row r="37" spans="1:9" ht="28.5">
      <c r="A37" s="48">
        <v>31</v>
      </c>
      <c r="B37" s="43" t="str">
        <f>'155 217 271 315  2461'!$B$284</f>
        <v>80 सर्व साधारण (01) (01) महाराष्ट्र राज्य आपत्ती व्यवस्थापन प्राधिकरणाचे कार्यालय स्थापन करणे व फर्निचर व साधन सामुग्रीसह सुसज्जीकरण करणे (2245 1761) 27-लहान बांधकामे</v>
      </c>
      <c r="C37" s="39">
        <f>'155 217 271 315  2461'!C293</f>
        <v>0</v>
      </c>
      <c r="D37" s="39">
        <f>'155 217 271 315  2461'!D293</f>
        <v>0</v>
      </c>
      <c r="E37" s="39">
        <f>'155 217 271 315  2461'!E293</f>
        <v>0</v>
      </c>
      <c r="F37" s="39">
        <f>'155 217 271 315  2461'!F293</f>
        <v>2500</v>
      </c>
      <c r="G37" s="39">
        <f>'155 217 271 315  2461'!G293</f>
        <v>2500</v>
      </c>
      <c r="H37" s="39">
        <f>'155 217 271 315  2461'!H293</f>
        <v>2500</v>
      </c>
    </row>
    <row r="38" spans="1:9" ht="42.75">
      <c r="A38" s="48">
        <v>32</v>
      </c>
      <c r="B38" s="42" t="s">
        <v>67</v>
      </c>
      <c r="C38" s="39">
        <f>'155 217 271 315  2461'!C303</f>
        <v>88694.524000000005</v>
      </c>
      <c r="D38" s="39">
        <f>'155 217 271 315  2461'!D303</f>
        <v>114100</v>
      </c>
      <c r="E38" s="39">
        <f>'155 217 271 315  2461'!E303</f>
        <v>0</v>
      </c>
      <c r="F38" s="39">
        <f>'155 217 271 315  2461'!F303</f>
        <v>10800</v>
      </c>
      <c r="G38" s="39">
        <f>'155 217 271 315  2461'!G303</f>
        <v>7500</v>
      </c>
      <c r="H38" s="39">
        <f>'155 217 271 315  2461'!H303</f>
        <v>12000</v>
      </c>
    </row>
    <row r="39" spans="1:9" ht="28.5">
      <c r="A39" s="48">
        <v>33</v>
      </c>
      <c r="B39" s="43" t="str">
        <f>'155 217 271 315  2461'!$B$304</f>
        <v>80 सर्व साधारण (01) (01) महाराष्ट्र राज्य आपत्ती व्यवस्थापन प्राधिकरणाचे कार्यालय स्थापन करणे व फर्निचर व साधन सामुग्रीसह सुसज्जीकरण करणे (2245 1761) 52-यंत्र सामुग्री</v>
      </c>
      <c r="C39" s="39">
        <f>'155 217 271 315  2461'!C313</f>
        <v>0</v>
      </c>
      <c r="D39" s="39">
        <f>'155 217 271 315  2461'!D313</f>
        <v>0</v>
      </c>
      <c r="E39" s="39">
        <f>'155 217 271 315  2461'!E313</f>
        <v>0</v>
      </c>
      <c r="F39" s="39">
        <f>'155 217 271 315  2461'!F313</f>
        <v>6000</v>
      </c>
      <c r="G39" s="39">
        <f>'155 217 271 315  2461'!G313</f>
        <v>3000</v>
      </c>
      <c r="H39" s="39">
        <f>'155 217 271 315  2461'!H313</f>
        <v>5000</v>
      </c>
    </row>
    <row r="40" spans="1:9">
      <c r="A40" s="38"/>
      <c r="B40" s="38" t="s">
        <v>11</v>
      </c>
      <c r="C40" s="44">
        <f t="shared" ref="C40:H40" si="0">SUM(C7:C39)</f>
        <v>1684097.544</v>
      </c>
      <c r="D40" s="44">
        <f t="shared" si="0"/>
        <v>1439587.473</v>
      </c>
      <c r="E40" s="44">
        <f t="shared" si="0"/>
        <v>65318.514999999999</v>
      </c>
      <c r="F40" s="44">
        <f t="shared" si="0"/>
        <v>3499644</v>
      </c>
      <c r="G40" s="44">
        <f>SUM(G7:G39)</f>
        <v>1322572</v>
      </c>
      <c r="H40" s="44">
        <f t="shared" si="0"/>
        <v>3270129</v>
      </c>
    </row>
    <row r="41" spans="1:9">
      <c r="A41" s="50"/>
      <c r="B41" s="50"/>
      <c r="C41" s="45"/>
      <c r="D41" s="45"/>
      <c r="E41" s="45"/>
      <c r="F41" s="45"/>
      <c r="G41" s="45"/>
      <c r="H41" s="45"/>
    </row>
    <row r="42" spans="1:9">
      <c r="A42" s="14"/>
      <c r="B42" s="27"/>
      <c r="C42" s="27"/>
      <c r="D42" s="46"/>
      <c r="E42" s="46"/>
      <c r="F42" s="46"/>
      <c r="G42" s="46"/>
      <c r="H42" s="46"/>
      <c r="I42" s="46"/>
    </row>
    <row r="43" spans="1:9" ht="15.75">
      <c r="G43" s="99" t="s">
        <v>88</v>
      </c>
      <c r="H43" s="99"/>
    </row>
    <row r="44" spans="1:9" ht="15.75">
      <c r="G44" s="99" t="s">
        <v>70</v>
      </c>
      <c r="H44" s="99"/>
    </row>
    <row r="45" spans="1:9" ht="15.75">
      <c r="G45" s="99" t="s">
        <v>71</v>
      </c>
      <c r="H45" s="99"/>
    </row>
    <row r="47" spans="1:9">
      <c r="E47" s="47">
        <v>612481.14800000004</v>
      </c>
    </row>
    <row r="48" spans="1:9">
      <c r="E48" s="52">
        <f>SUM(E40-E47)</f>
        <v>-547162.63300000003</v>
      </c>
    </row>
  </sheetData>
  <mergeCells count="9">
    <mergeCell ref="G43:H43"/>
    <mergeCell ref="G44:H44"/>
    <mergeCell ref="G45:H45"/>
    <mergeCell ref="A1:H1"/>
    <mergeCell ref="A2:H2"/>
    <mergeCell ref="A3:H3"/>
    <mergeCell ref="A4:A5"/>
    <mergeCell ref="B4:B5"/>
    <mergeCell ref="C4:E4"/>
  </mergeCells>
  <phoneticPr fontId="1" type="noConversion"/>
  <pageMargins left="0.24" right="0.17" top="0.21" bottom="0.32" header="0.17" footer="0.17"/>
  <pageSetup paperSize="9" scale="80" orientation="landscape" r:id="rId1"/>
  <headerFooter alignWithMargins="0">
    <oddFooter>&amp;Z&amp;F&amp;RPage &amp;P</oddFooter>
  </headerFooter>
  <rowBreaks count="1" manualBreakCount="1">
    <brk id="18" max="7"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view="pageBreakPreview" topLeftCell="A16" zoomScaleNormal="85" zoomScaleSheetLayoutView="100" workbookViewId="0">
      <selection activeCell="A8" sqref="A8:A14"/>
    </sheetView>
  </sheetViews>
  <sheetFormatPr defaultRowHeight="14.25"/>
  <cols>
    <col min="1" max="1" width="4.28515625" style="6" customWidth="1"/>
    <col min="2" max="2" width="45.140625" style="6" customWidth="1"/>
    <col min="3" max="3" width="41.5703125" style="6" customWidth="1"/>
    <col min="4" max="4" width="13.42578125" style="6" customWidth="1"/>
    <col min="5" max="5" width="14.5703125" style="6" customWidth="1"/>
    <col min="6" max="6" width="14.42578125" style="6" customWidth="1"/>
    <col min="7" max="7" width="14.7109375" style="6" customWidth="1"/>
    <col min="8" max="8" width="17.5703125" style="6" customWidth="1"/>
    <col min="9" max="9" width="15.140625" style="6" customWidth="1"/>
    <col min="10" max="16384" width="9.140625" style="6"/>
  </cols>
  <sheetData>
    <row r="1" spans="1:9" ht="15.75" customHeight="1">
      <c r="A1" s="106" t="str">
        <f>'155 217 271 315  2461'!A1</f>
        <v>अर्थसंकल्पीय अंदाजपत्रक सन 2026-2027</v>
      </c>
      <c r="B1" s="106"/>
      <c r="C1" s="106"/>
      <c r="D1" s="106"/>
      <c r="E1" s="106"/>
      <c r="F1" s="106"/>
      <c r="G1" s="106"/>
      <c r="H1" s="106"/>
      <c r="I1" s="106"/>
    </row>
    <row r="2" spans="1:9" ht="15" customHeight="1">
      <c r="A2" s="106" t="s">
        <v>74</v>
      </c>
      <c r="B2" s="106"/>
      <c r="C2" s="106"/>
      <c r="D2" s="106"/>
      <c r="E2" s="106"/>
      <c r="F2" s="106"/>
      <c r="G2" s="106"/>
      <c r="H2" s="106"/>
      <c r="I2" s="106"/>
    </row>
    <row r="3" spans="1:9" ht="19.5" customHeight="1">
      <c r="A3" s="118" t="s">
        <v>1</v>
      </c>
      <c r="B3" s="118"/>
      <c r="C3" s="118"/>
      <c r="D3" s="118"/>
      <c r="E3" s="118"/>
      <c r="F3" s="118"/>
      <c r="G3" s="118"/>
      <c r="H3" s="118"/>
      <c r="I3" s="118"/>
    </row>
    <row r="4" spans="1:9" ht="15" customHeight="1">
      <c r="A4" s="54"/>
      <c r="B4" s="54"/>
      <c r="C4" s="55"/>
      <c r="D4" s="54"/>
      <c r="E4" s="54"/>
      <c r="F4" s="54"/>
      <c r="G4" s="54"/>
      <c r="H4" s="119" t="s">
        <v>84</v>
      </c>
      <c r="I4" s="119"/>
    </row>
    <row r="5" spans="1:9" ht="33.75" customHeight="1">
      <c r="A5" s="97" t="str">
        <f>'155 217 271 315  2461'!A4</f>
        <v>अ. क्र</v>
      </c>
      <c r="B5" s="97" t="str">
        <f>'155 217 271 315  2461'!B4</f>
        <v>लेखाशिर्ष</v>
      </c>
      <c r="C5" s="107" t="s">
        <v>25</v>
      </c>
      <c r="D5" s="112" t="s">
        <v>15</v>
      </c>
      <c r="E5" s="113"/>
      <c r="F5" s="114"/>
      <c r="G5" s="31" t="s">
        <v>16</v>
      </c>
      <c r="H5" s="31" t="s">
        <v>21</v>
      </c>
      <c r="I5" s="31" t="s">
        <v>16</v>
      </c>
    </row>
    <row r="6" spans="1:9" ht="19.5" customHeight="1">
      <c r="A6" s="97"/>
      <c r="B6" s="97"/>
      <c r="C6" s="108"/>
      <c r="D6" s="61" t="s">
        <v>50</v>
      </c>
      <c r="E6" s="61" t="s">
        <v>59</v>
      </c>
      <c r="F6" s="61" t="s">
        <v>79</v>
      </c>
      <c r="G6" s="2" t="s">
        <v>85</v>
      </c>
      <c r="H6" s="2" t="s">
        <v>85</v>
      </c>
      <c r="I6" s="2" t="s">
        <v>86</v>
      </c>
    </row>
    <row r="7" spans="1:9">
      <c r="A7" s="7">
        <f>'155 217 271 315  2461'!A6</f>
        <v>1</v>
      </c>
      <c r="B7" s="7">
        <f>'155 217 271 315  2461'!B6</f>
        <v>2</v>
      </c>
      <c r="C7" s="2"/>
      <c r="D7" s="2">
        <v>3</v>
      </c>
      <c r="E7" s="2">
        <v>4</v>
      </c>
      <c r="F7" s="2">
        <v>5</v>
      </c>
      <c r="G7" s="28">
        <v>6</v>
      </c>
      <c r="H7" s="2">
        <v>7</v>
      </c>
      <c r="I7" s="2">
        <v>8</v>
      </c>
    </row>
    <row r="8" spans="1:9" ht="18" customHeight="1">
      <c r="A8" s="115">
        <v>1</v>
      </c>
      <c r="B8" s="109" t="s">
        <v>17</v>
      </c>
      <c r="C8" s="11" t="s">
        <v>31</v>
      </c>
      <c r="D8" s="56">
        <v>0</v>
      </c>
      <c r="E8" s="56">
        <v>0</v>
      </c>
      <c r="F8" s="56">
        <v>0</v>
      </c>
      <c r="G8" s="56">
        <v>0</v>
      </c>
      <c r="H8" s="56">
        <v>0</v>
      </c>
      <c r="I8" s="56">
        <v>0</v>
      </c>
    </row>
    <row r="9" spans="1:9">
      <c r="A9" s="116"/>
      <c r="B9" s="110"/>
      <c r="C9" s="11" t="s">
        <v>32</v>
      </c>
      <c r="D9" s="56">
        <v>31</v>
      </c>
      <c r="E9" s="56">
        <v>0</v>
      </c>
      <c r="F9" s="56">
        <v>0</v>
      </c>
      <c r="G9" s="56">
        <v>0</v>
      </c>
      <c r="H9" s="56">
        <v>0</v>
      </c>
      <c r="I9" s="56">
        <v>0</v>
      </c>
    </row>
    <row r="10" spans="1:9" ht="15" thickBot="1">
      <c r="A10" s="116"/>
      <c r="B10" s="110"/>
      <c r="C10" s="23" t="s">
        <v>43</v>
      </c>
      <c r="D10" s="57">
        <f t="shared" ref="D10:I10" si="0">SUM(D8:D9)</f>
        <v>31</v>
      </c>
      <c r="E10" s="57">
        <f t="shared" si="0"/>
        <v>0</v>
      </c>
      <c r="F10" s="57">
        <f t="shared" si="0"/>
        <v>0</v>
      </c>
      <c r="G10" s="57">
        <f t="shared" si="0"/>
        <v>0</v>
      </c>
      <c r="H10" s="57">
        <f t="shared" si="0"/>
        <v>0</v>
      </c>
      <c r="I10" s="57">
        <f t="shared" si="0"/>
        <v>0</v>
      </c>
    </row>
    <row r="11" spans="1:9" ht="15" thickTop="1">
      <c r="A11" s="116"/>
      <c r="B11" s="110"/>
      <c r="C11" s="11" t="s">
        <v>33</v>
      </c>
      <c r="D11" s="59">
        <v>0</v>
      </c>
      <c r="E11" s="59">
        <v>0</v>
      </c>
      <c r="F11" s="59">
        <v>0</v>
      </c>
      <c r="G11" s="59">
        <v>0</v>
      </c>
      <c r="H11" s="59">
        <v>0</v>
      </c>
      <c r="I11" s="59">
        <v>0</v>
      </c>
    </row>
    <row r="12" spans="1:9" ht="28.5">
      <c r="A12" s="116"/>
      <c r="B12" s="110"/>
      <c r="C12" s="11" t="s">
        <v>34</v>
      </c>
      <c r="D12" s="56">
        <v>364.57</v>
      </c>
      <c r="E12" s="56">
        <v>0</v>
      </c>
      <c r="F12" s="56">
        <v>0</v>
      </c>
      <c r="G12" s="56">
        <v>0</v>
      </c>
      <c r="H12" s="56">
        <v>0</v>
      </c>
      <c r="I12" s="56">
        <v>0</v>
      </c>
    </row>
    <row r="13" spans="1:9" ht="15" thickBot="1">
      <c r="A13" s="116"/>
      <c r="B13" s="110"/>
      <c r="C13" s="23" t="s">
        <v>44</v>
      </c>
      <c r="D13" s="57">
        <f t="shared" ref="D13:I13" si="1">SUM(D11:D12)</f>
        <v>364.57</v>
      </c>
      <c r="E13" s="57">
        <f t="shared" si="1"/>
        <v>0</v>
      </c>
      <c r="F13" s="57">
        <f t="shared" si="1"/>
        <v>0</v>
      </c>
      <c r="G13" s="57">
        <f t="shared" si="1"/>
        <v>0</v>
      </c>
      <c r="H13" s="57">
        <f t="shared" si="1"/>
        <v>0</v>
      </c>
      <c r="I13" s="57">
        <f t="shared" si="1"/>
        <v>0</v>
      </c>
    </row>
    <row r="14" spans="1:9" ht="15" thickTop="1">
      <c r="A14" s="116"/>
      <c r="B14" s="110"/>
      <c r="C14" s="13" t="s">
        <v>8</v>
      </c>
      <c r="D14" s="59">
        <v>0</v>
      </c>
      <c r="E14" s="59">
        <v>0</v>
      </c>
      <c r="F14" s="59">
        <v>0</v>
      </c>
      <c r="G14" s="59">
        <v>0</v>
      </c>
      <c r="H14" s="59">
        <v>0</v>
      </c>
      <c r="I14" s="59">
        <v>0</v>
      </c>
    </row>
    <row r="15" spans="1:9" ht="28.5">
      <c r="A15" s="33"/>
      <c r="B15" s="110"/>
      <c r="C15" s="11" t="s">
        <v>35</v>
      </c>
      <c r="D15" s="56">
        <v>420.14</v>
      </c>
      <c r="E15" s="56">
        <v>0</v>
      </c>
      <c r="F15" s="56">
        <v>0</v>
      </c>
      <c r="G15" s="56">
        <v>0</v>
      </c>
      <c r="H15" s="56">
        <v>0</v>
      </c>
      <c r="I15" s="56">
        <v>0</v>
      </c>
    </row>
    <row r="16" spans="1:9" ht="15" thickBot="1">
      <c r="A16" s="33"/>
      <c r="B16" s="110"/>
      <c r="C16" s="23" t="s">
        <v>45</v>
      </c>
      <c r="D16" s="57">
        <f t="shared" ref="D16:I16" si="2">SUM(D14:D15)</f>
        <v>420.14</v>
      </c>
      <c r="E16" s="57">
        <f t="shared" si="2"/>
        <v>0</v>
      </c>
      <c r="F16" s="57">
        <f t="shared" si="2"/>
        <v>0</v>
      </c>
      <c r="G16" s="57">
        <f t="shared" si="2"/>
        <v>0</v>
      </c>
      <c r="H16" s="57">
        <f t="shared" si="2"/>
        <v>0</v>
      </c>
      <c r="I16" s="57">
        <f t="shared" si="2"/>
        <v>0</v>
      </c>
    </row>
    <row r="17" spans="1:9" ht="15" thickTop="1">
      <c r="A17" s="33"/>
      <c r="B17" s="110"/>
      <c r="C17" s="9" t="s">
        <v>36</v>
      </c>
      <c r="D17" s="59">
        <v>0</v>
      </c>
      <c r="E17" s="59">
        <v>0</v>
      </c>
      <c r="F17" s="59">
        <v>0</v>
      </c>
      <c r="G17" s="59">
        <v>0</v>
      </c>
      <c r="H17" s="59">
        <v>0</v>
      </c>
      <c r="I17" s="59">
        <v>0</v>
      </c>
    </row>
    <row r="18" spans="1:9" ht="18" customHeight="1">
      <c r="A18" s="33"/>
      <c r="B18" s="110"/>
      <c r="C18" s="11" t="s">
        <v>37</v>
      </c>
      <c r="D18" s="56">
        <v>100</v>
      </c>
      <c r="E18" s="56">
        <v>0</v>
      </c>
      <c r="F18" s="56">
        <v>0</v>
      </c>
      <c r="G18" s="56">
        <v>500</v>
      </c>
      <c r="H18" s="56">
        <v>0</v>
      </c>
      <c r="I18" s="56">
        <v>0</v>
      </c>
    </row>
    <row r="19" spans="1:9" ht="18" customHeight="1" thickBot="1">
      <c r="A19" s="33"/>
      <c r="B19" s="110"/>
      <c r="C19" s="23" t="s">
        <v>46</v>
      </c>
      <c r="D19" s="57">
        <f t="shared" ref="D19:I19" si="3">SUM(D17:D18)</f>
        <v>100</v>
      </c>
      <c r="E19" s="57">
        <f t="shared" si="3"/>
        <v>0</v>
      </c>
      <c r="F19" s="57">
        <f t="shared" si="3"/>
        <v>0</v>
      </c>
      <c r="G19" s="57">
        <f t="shared" si="3"/>
        <v>500</v>
      </c>
      <c r="H19" s="57">
        <f t="shared" si="3"/>
        <v>0</v>
      </c>
      <c r="I19" s="57">
        <f t="shared" si="3"/>
        <v>0</v>
      </c>
    </row>
    <row r="20" spans="1:9" ht="15" thickTop="1">
      <c r="A20" s="33"/>
      <c r="B20" s="110"/>
      <c r="C20" s="9" t="s">
        <v>38</v>
      </c>
      <c r="D20" s="59">
        <v>0</v>
      </c>
      <c r="E20" s="59">
        <v>0</v>
      </c>
      <c r="F20" s="59">
        <v>0</v>
      </c>
      <c r="G20" s="59">
        <v>0</v>
      </c>
      <c r="H20" s="59">
        <v>0</v>
      </c>
      <c r="I20" s="59">
        <v>0</v>
      </c>
    </row>
    <row r="21" spans="1:9" ht="28.5">
      <c r="A21" s="33"/>
      <c r="B21" s="111"/>
      <c r="C21" s="11" t="s">
        <v>39</v>
      </c>
      <c r="D21" s="56">
        <v>65.03</v>
      </c>
      <c r="E21" s="56">
        <v>0</v>
      </c>
      <c r="F21" s="56">
        <v>0</v>
      </c>
      <c r="G21" s="56">
        <v>0</v>
      </c>
      <c r="H21" s="56">
        <v>0</v>
      </c>
      <c r="I21" s="56">
        <v>0</v>
      </c>
    </row>
    <row r="22" spans="1:9" ht="15" thickBot="1">
      <c r="A22" s="33"/>
      <c r="B22" s="32"/>
      <c r="C22" s="23" t="s">
        <v>47</v>
      </c>
      <c r="D22" s="57">
        <f t="shared" ref="D22:I22" si="4">SUM(D20:D21)</f>
        <v>65.03</v>
      </c>
      <c r="E22" s="57">
        <f t="shared" si="4"/>
        <v>0</v>
      </c>
      <c r="F22" s="57">
        <f t="shared" si="4"/>
        <v>0</v>
      </c>
      <c r="G22" s="57">
        <f t="shared" si="4"/>
        <v>0</v>
      </c>
      <c r="H22" s="57">
        <f t="shared" si="4"/>
        <v>0</v>
      </c>
      <c r="I22" s="57">
        <f t="shared" si="4"/>
        <v>0</v>
      </c>
    </row>
    <row r="23" spans="1:9" ht="15.75" thickTop="1" thickBot="1">
      <c r="A23" s="10"/>
      <c r="B23" s="12" t="s">
        <v>26</v>
      </c>
      <c r="C23" s="12" t="s">
        <v>48</v>
      </c>
      <c r="D23" s="60">
        <f t="shared" ref="D23:I23" si="5">SUM(D22,D19,D16,D13,D10)</f>
        <v>980.74</v>
      </c>
      <c r="E23" s="60">
        <f t="shared" si="5"/>
        <v>0</v>
      </c>
      <c r="F23" s="60">
        <f t="shared" si="5"/>
        <v>0</v>
      </c>
      <c r="G23" s="60">
        <f t="shared" si="5"/>
        <v>500</v>
      </c>
      <c r="H23" s="60">
        <f t="shared" si="5"/>
        <v>0</v>
      </c>
      <c r="I23" s="60">
        <f t="shared" si="5"/>
        <v>0</v>
      </c>
    </row>
    <row r="24" spans="1:9" ht="15" thickTop="1">
      <c r="A24" s="33"/>
      <c r="B24" s="34"/>
      <c r="C24" s="34"/>
      <c r="D24" s="59"/>
      <c r="E24" s="59"/>
      <c r="F24" s="59"/>
      <c r="G24" s="59"/>
      <c r="H24" s="59"/>
      <c r="I24" s="59"/>
    </row>
    <row r="25" spans="1:9" ht="17.25" customHeight="1">
      <c r="A25" s="93">
        <v>2</v>
      </c>
      <c r="B25" s="117" t="s">
        <v>40</v>
      </c>
      <c r="C25" s="11" t="s">
        <v>31</v>
      </c>
      <c r="D25" s="56">
        <v>0</v>
      </c>
      <c r="E25" s="56">
        <v>0</v>
      </c>
      <c r="F25" s="56">
        <v>0</v>
      </c>
      <c r="G25" s="56">
        <v>0</v>
      </c>
      <c r="H25" s="56">
        <v>0</v>
      </c>
      <c r="I25" s="56">
        <v>0</v>
      </c>
    </row>
    <row r="26" spans="1:9">
      <c r="A26" s="93"/>
      <c r="B26" s="117"/>
      <c r="C26" s="11" t="s">
        <v>32</v>
      </c>
      <c r="D26" s="56">
        <v>1450.87</v>
      </c>
      <c r="E26" s="56">
        <v>0</v>
      </c>
      <c r="F26" s="56">
        <v>0</v>
      </c>
      <c r="G26" s="56">
        <v>0</v>
      </c>
      <c r="H26" s="56">
        <v>0</v>
      </c>
      <c r="I26" s="56">
        <v>0</v>
      </c>
    </row>
    <row r="27" spans="1:9" ht="15" thickBot="1">
      <c r="A27" s="93"/>
      <c r="B27" s="117"/>
      <c r="C27" s="23" t="s">
        <v>43</v>
      </c>
      <c r="D27" s="57">
        <f t="shared" ref="D27:I27" si="6">SUM(D25:D26)</f>
        <v>1450.87</v>
      </c>
      <c r="E27" s="57">
        <f t="shared" si="6"/>
        <v>0</v>
      </c>
      <c r="F27" s="57">
        <f t="shared" si="6"/>
        <v>0</v>
      </c>
      <c r="G27" s="57">
        <f t="shared" si="6"/>
        <v>0</v>
      </c>
      <c r="H27" s="57">
        <f t="shared" si="6"/>
        <v>0</v>
      </c>
      <c r="I27" s="57">
        <f t="shared" si="6"/>
        <v>0</v>
      </c>
    </row>
    <row r="28" spans="1:9" ht="15" thickTop="1">
      <c r="A28" s="93"/>
      <c r="B28" s="117"/>
      <c r="C28" s="11" t="s">
        <v>33</v>
      </c>
      <c r="D28" s="59">
        <v>0</v>
      </c>
      <c r="E28" s="59">
        <v>0</v>
      </c>
      <c r="F28" s="59">
        <v>0</v>
      </c>
      <c r="G28" s="59">
        <v>0</v>
      </c>
      <c r="H28" s="59">
        <v>0</v>
      </c>
      <c r="I28" s="59">
        <v>0</v>
      </c>
    </row>
    <row r="29" spans="1:9" ht="28.5">
      <c r="A29" s="93"/>
      <c r="B29" s="117"/>
      <c r="C29" s="11" t="s">
        <v>34</v>
      </c>
      <c r="D29" s="56">
        <v>418.2</v>
      </c>
      <c r="E29" s="56">
        <v>0</v>
      </c>
      <c r="F29" s="56">
        <v>0</v>
      </c>
      <c r="G29" s="56">
        <v>0</v>
      </c>
      <c r="H29" s="56">
        <v>0</v>
      </c>
      <c r="I29" s="56">
        <v>0</v>
      </c>
    </row>
    <row r="30" spans="1:9" ht="15" thickBot="1">
      <c r="A30" s="93"/>
      <c r="B30" s="117"/>
      <c r="C30" s="23" t="s">
        <v>44</v>
      </c>
      <c r="D30" s="57">
        <f t="shared" ref="D30:I30" si="7">SUM(D28:D29)</f>
        <v>418.2</v>
      </c>
      <c r="E30" s="57">
        <f t="shared" si="7"/>
        <v>0</v>
      </c>
      <c r="F30" s="57">
        <f t="shared" si="7"/>
        <v>0</v>
      </c>
      <c r="G30" s="57">
        <f t="shared" si="7"/>
        <v>0</v>
      </c>
      <c r="H30" s="57">
        <f t="shared" si="7"/>
        <v>0</v>
      </c>
      <c r="I30" s="57">
        <f t="shared" si="7"/>
        <v>0</v>
      </c>
    </row>
    <row r="31" spans="1:9" ht="15" thickTop="1">
      <c r="A31" s="93"/>
      <c r="B31" s="117"/>
      <c r="C31" s="13" t="s">
        <v>8</v>
      </c>
      <c r="D31" s="59">
        <v>0</v>
      </c>
      <c r="E31" s="59">
        <v>0</v>
      </c>
      <c r="F31" s="59">
        <v>0</v>
      </c>
      <c r="G31" s="59">
        <v>0</v>
      </c>
      <c r="H31" s="59">
        <v>0</v>
      </c>
      <c r="I31" s="59">
        <v>0</v>
      </c>
    </row>
    <row r="32" spans="1:9" ht="28.5">
      <c r="A32" s="93"/>
      <c r="B32" s="117"/>
      <c r="C32" s="11" t="s">
        <v>35</v>
      </c>
      <c r="D32" s="56">
        <v>295</v>
      </c>
      <c r="E32" s="56">
        <v>0</v>
      </c>
      <c r="F32" s="56">
        <v>0</v>
      </c>
      <c r="G32" s="56">
        <v>0</v>
      </c>
      <c r="H32" s="56">
        <v>0</v>
      </c>
      <c r="I32" s="56">
        <v>0</v>
      </c>
    </row>
    <row r="33" spans="1:9" ht="15" thickBot="1">
      <c r="A33" s="93"/>
      <c r="B33" s="117"/>
      <c r="C33" s="23" t="s">
        <v>45</v>
      </c>
      <c r="D33" s="57">
        <f t="shared" ref="D33:I33" si="8">SUM(D31:D32)</f>
        <v>295</v>
      </c>
      <c r="E33" s="57">
        <f t="shared" si="8"/>
        <v>0</v>
      </c>
      <c r="F33" s="57">
        <f t="shared" si="8"/>
        <v>0</v>
      </c>
      <c r="G33" s="57">
        <f t="shared" si="8"/>
        <v>0</v>
      </c>
      <c r="H33" s="57">
        <f t="shared" si="8"/>
        <v>0</v>
      </c>
      <c r="I33" s="57">
        <f t="shared" si="8"/>
        <v>0</v>
      </c>
    </row>
    <row r="34" spans="1:9" ht="15" thickTop="1">
      <c r="A34" s="93"/>
      <c r="B34" s="117"/>
      <c r="C34" s="9" t="s">
        <v>36</v>
      </c>
      <c r="D34" s="59">
        <v>0</v>
      </c>
      <c r="E34" s="59">
        <v>0</v>
      </c>
      <c r="F34" s="59">
        <v>0</v>
      </c>
      <c r="G34" s="59">
        <v>0</v>
      </c>
      <c r="H34" s="59">
        <v>0</v>
      </c>
      <c r="I34" s="59">
        <v>0</v>
      </c>
    </row>
    <row r="35" spans="1:9" ht="28.5">
      <c r="A35" s="93"/>
      <c r="B35" s="117"/>
      <c r="C35" s="11" t="s">
        <v>37</v>
      </c>
      <c r="D35" s="56">
        <v>830.49</v>
      </c>
      <c r="E35" s="56">
        <v>0</v>
      </c>
      <c r="F35" s="56">
        <v>0</v>
      </c>
      <c r="G35" s="56">
        <v>0</v>
      </c>
      <c r="H35" s="56">
        <v>0</v>
      </c>
      <c r="I35" s="56">
        <v>0</v>
      </c>
    </row>
    <row r="36" spans="1:9" ht="15" thickBot="1">
      <c r="A36" s="93"/>
      <c r="B36" s="117"/>
      <c r="C36" s="23" t="s">
        <v>46</v>
      </c>
      <c r="D36" s="57">
        <f t="shared" ref="D36:I36" si="9">SUM(D34:D35)</f>
        <v>830.49</v>
      </c>
      <c r="E36" s="57">
        <f t="shared" si="9"/>
        <v>0</v>
      </c>
      <c r="F36" s="57">
        <f t="shared" si="9"/>
        <v>0</v>
      </c>
      <c r="G36" s="57">
        <f t="shared" si="9"/>
        <v>0</v>
      </c>
      <c r="H36" s="57">
        <f t="shared" si="9"/>
        <v>0</v>
      </c>
      <c r="I36" s="57">
        <f t="shared" si="9"/>
        <v>0</v>
      </c>
    </row>
    <row r="37" spans="1:9" ht="15" thickTop="1">
      <c r="A37" s="93"/>
      <c r="B37" s="117"/>
      <c r="C37" s="9" t="s">
        <v>38</v>
      </c>
      <c r="D37" s="59">
        <v>0</v>
      </c>
      <c r="E37" s="59">
        <v>0</v>
      </c>
      <c r="F37" s="59">
        <v>0</v>
      </c>
      <c r="G37" s="59">
        <v>0</v>
      </c>
      <c r="H37" s="59">
        <v>0</v>
      </c>
      <c r="I37" s="59">
        <v>0</v>
      </c>
    </row>
    <row r="38" spans="1:9" ht="28.5">
      <c r="A38" s="93"/>
      <c r="B38" s="117"/>
      <c r="C38" s="11" t="s">
        <v>39</v>
      </c>
      <c r="D38" s="56">
        <v>627.91</v>
      </c>
      <c r="E38" s="56">
        <v>0</v>
      </c>
      <c r="F38" s="56">
        <v>0</v>
      </c>
      <c r="G38" s="56">
        <v>0</v>
      </c>
      <c r="H38" s="56">
        <v>0</v>
      </c>
      <c r="I38" s="56">
        <v>0</v>
      </c>
    </row>
    <row r="39" spans="1:9" ht="15" thickBot="1">
      <c r="A39" s="30"/>
      <c r="B39" s="32"/>
      <c r="C39" s="23" t="s">
        <v>47</v>
      </c>
      <c r="D39" s="57">
        <f t="shared" ref="D39:I39" si="10">SUM(D37:D38)</f>
        <v>627.91</v>
      </c>
      <c r="E39" s="57">
        <f t="shared" si="10"/>
        <v>0</v>
      </c>
      <c r="F39" s="57">
        <f t="shared" si="10"/>
        <v>0</v>
      </c>
      <c r="G39" s="57">
        <f t="shared" si="10"/>
        <v>0</v>
      </c>
      <c r="H39" s="57">
        <f t="shared" si="10"/>
        <v>0</v>
      </c>
      <c r="I39" s="57">
        <f t="shared" si="10"/>
        <v>0</v>
      </c>
    </row>
    <row r="40" spans="1:9" ht="15.75" thickTop="1" thickBot="1">
      <c r="A40" s="10"/>
      <c r="B40" s="12" t="s">
        <v>26</v>
      </c>
      <c r="C40" s="12" t="s">
        <v>48</v>
      </c>
      <c r="D40" s="60">
        <f t="shared" ref="D40:I40" si="11">SUM(D39,D36,D33,D30,D27)</f>
        <v>3622.47</v>
      </c>
      <c r="E40" s="60">
        <f t="shared" si="11"/>
        <v>0</v>
      </c>
      <c r="F40" s="60">
        <f t="shared" si="11"/>
        <v>0</v>
      </c>
      <c r="G40" s="60">
        <f t="shared" si="11"/>
        <v>0</v>
      </c>
      <c r="H40" s="60">
        <f t="shared" si="11"/>
        <v>0</v>
      </c>
      <c r="I40" s="60">
        <f t="shared" si="11"/>
        <v>0</v>
      </c>
    </row>
    <row r="41" spans="1:9" ht="15" thickTop="1"/>
    <row r="42" spans="1:9" ht="15.75">
      <c r="H42" s="99" t="s">
        <v>88</v>
      </c>
      <c r="I42" s="99"/>
    </row>
    <row r="43" spans="1:9" ht="15.75">
      <c r="H43" s="99" t="s">
        <v>70</v>
      </c>
      <c r="I43" s="99"/>
    </row>
    <row r="44" spans="1:9" ht="15.75">
      <c r="H44" s="99" t="s">
        <v>71</v>
      </c>
      <c r="I44" s="99"/>
    </row>
  </sheetData>
  <mergeCells count="15">
    <mergeCell ref="B25:B38"/>
    <mergeCell ref="A3:I3"/>
    <mergeCell ref="H42:I42"/>
    <mergeCell ref="H43:I43"/>
    <mergeCell ref="H44:I44"/>
    <mergeCell ref="A25:A38"/>
    <mergeCell ref="H4:I4"/>
    <mergeCell ref="A1:I1"/>
    <mergeCell ref="A5:A6"/>
    <mergeCell ref="B5:B6"/>
    <mergeCell ref="C5:C6"/>
    <mergeCell ref="B8:B21"/>
    <mergeCell ref="D5:F5"/>
    <mergeCell ref="A8:A14"/>
    <mergeCell ref="A2:I2"/>
  </mergeCells>
  <phoneticPr fontId="1" type="noConversion"/>
  <pageMargins left="0.66" right="0.17" top="0.25" bottom="0.24" header="0.19" footer="0.2"/>
  <pageSetup paperSize="9" scale="7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tabSelected="1" view="pageBreakPreview" zoomScale="90" zoomScaleNormal="100" zoomScaleSheetLayoutView="90" workbookViewId="0">
      <selection activeCell="K20" sqref="K20"/>
    </sheetView>
  </sheetViews>
  <sheetFormatPr defaultRowHeight="14.25"/>
  <cols>
    <col min="1" max="1" width="4.28515625" style="6" customWidth="1"/>
    <col min="2" max="2" width="25.42578125" style="6" customWidth="1"/>
    <col min="3" max="3" width="37.85546875" style="6" customWidth="1"/>
    <col min="4" max="4" width="11.85546875" style="6" customWidth="1"/>
    <col min="5" max="5" width="12.42578125" style="6" customWidth="1"/>
    <col min="6" max="6" width="12.85546875" style="6" customWidth="1"/>
    <col min="7" max="7" width="13.140625" style="6" customWidth="1"/>
    <col min="8" max="8" width="16.140625" style="6" customWidth="1"/>
    <col min="9" max="9" width="13.85546875" style="6" customWidth="1"/>
    <col min="10" max="10" width="15.42578125" style="6" hidden="1" customWidth="1"/>
    <col min="11" max="16384" width="9.140625" style="6"/>
  </cols>
  <sheetData>
    <row r="1" spans="1:10" ht="15.75" customHeight="1">
      <c r="A1" s="106" t="str">
        <f>'155 217 271 315  2461'!A1</f>
        <v>अर्थसंकल्पीय अंदाजपत्रक सन 2026-2027</v>
      </c>
      <c r="B1" s="106"/>
      <c r="C1" s="106"/>
      <c r="D1" s="106"/>
      <c r="E1" s="106"/>
      <c r="F1" s="106"/>
      <c r="G1" s="106"/>
      <c r="H1" s="106"/>
      <c r="I1" s="106"/>
    </row>
    <row r="2" spans="1:10" ht="15" customHeight="1">
      <c r="A2" s="106" t="s">
        <v>80</v>
      </c>
      <c r="B2" s="106"/>
      <c r="C2" s="106"/>
      <c r="D2" s="106"/>
      <c r="E2" s="106"/>
      <c r="F2" s="106"/>
      <c r="G2" s="106"/>
      <c r="H2" s="106"/>
      <c r="I2" s="106"/>
    </row>
    <row r="3" spans="1:10" ht="19.5" customHeight="1">
      <c r="A3" s="118" t="s">
        <v>1</v>
      </c>
      <c r="B3" s="118"/>
      <c r="C3" s="118"/>
      <c r="D3" s="118"/>
      <c r="E3" s="118"/>
      <c r="F3" s="118"/>
      <c r="G3" s="118"/>
      <c r="H3" s="118"/>
      <c r="I3" s="118"/>
    </row>
    <row r="4" spans="1:10" ht="16.5" customHeight="1">
      <c r="A4" s="54"/>
      <c r="B4" s="54"/>
      <c r="C4" s="55"/>
      <c r="D4" s="54"/>
      <c r="E4" s="54"/>
      <c r="F4" s="54"/>
      <c r="G4" s="54"/>
      <c r="H4" s="119" t="s">
        <v>84</v>
      </c>
      <c r="I4" s="119"/>
    </row>
    <row r="5" spans="1:10" ht="33.75" customHeight="1">
      <c r="A5" s="97" t="str">
        <f>'155 217 271 315  2461'!A4</f>
        <v>अ. क्र</v>
      </c>
      <c r="B5" s="97" t="str">
        <f>'155 217 271 315  2461'!B4</f>
        <v>लेखाशिर्ष</v>
      </c>
      <c r="C5" s="107" t="s">
        <v>25</v>
      </c>
      <c r="D5" s="112" t="s">
        <v>15</v>
      </c>
      <c r="E5" s="113"/>
      <c r="F5" s="114"/>
      <c r="G5" s="31" t="s">
        <v>16</v>
      </c>
      <c r="H5" s="31" t="s">
        <v>21</v>
      </c>
      <c r="I5" s="31" t="s">
        <v>16</v>
      </c>
      <c r="J5" s="31" t="s">
        <v>78</v>
      </c>
    </row>
    <row r="6" spans="1:10" ht="19.5" customHeight="1">
      <c r="A6" s="97"/>
      <c r="B6" s="97"/>
      <c r="C6" s="108"/>
      <c r="D6" s="61" t="s">
        <v>50</v>
      </c>
      <c r="E6" s="61" t="s">
        <v>59</v>
      </c>
      <c r="F6" s="61" t="s">
        <v>79</v>
      </c>
      <c r="G6" s="2" t="s">
        <v>85</v>
      </c>
      <c r="H6" s="2" t="s">
        <v>85</v>
      </c>
      <c r="I6" s="2" t="s">
        <v>86</v>
      </c>
      <c r="J6" s="25"/>
    </row>
    <row r="7" spans="1:10">
      <c r="A7" s="7">
        <f>'155 217 271 315  2461'!A6</f>
        <v>1</v>
      </c>
      <c r="B7" s="7">
        <f>'155 217 271 315  2461'!B6</f>
        <v>2</v>
      </c>
      <c r="C7" s="2"/>
      <c r="D7" s="2">
        <v>3</v>
      </c>
      <c r="E7" s="2">
        <v>4</v>
      </c>
      <c r="F7" s="2">
        <v>5</v>
      </c>
      <c r="G7" s="28">
        <v>6</v>
      </c>
      <c r="H7" s="2">
        <v>7</v>
      </c>
      <c r="I7" s="2">
        <v>8</v>
      </c>
      <c r="J7" s="25"/>
    </row>
    <row r="8" spans="1:10" ht="54" customHeight="1">
      <c r="A8" s="93">
        <v>3</v>
      </c>
      <c r="B8" s="117" t="s">
        <v>68</v>
      </c>
      <c r="C8" s="11" t="s">
        <v>32</v>
      </c>
      <c r="D8" s="56">
        <v>1641.58</v>
      </c>
      <c r="E8" s="56">
        <v>459</v>
      </c>
      <c r="F8" s="56">
        <v>667.59</v>
      </c>
      <c r="G8" s="56">
        <v>1000</v>
      </c>
      <c r="H8" s="56">
        <v>800</v>
      </c>
      <c r="I8" s="56">
        <v>1500</v>
      </c>
      <c r="J8" s="36">
        <f>SUM(I8-H8)</f>
        <v>700</v>
      </c>
    </row>
    <row r="9" spans="1:10" ht="39.75" customHeight="1">
      <c r="A9" s="93"/>
      <c r="B9" s="117"/>
      <c r="C9" s="11" t="s">
        <v>34</v>
      </c>
      <c r="D9" s="56">
        <v>938.25</v>
      </c>
      <c r="E9" s="56">
        <v>639.63</v>
      </c>
      <c r="F9" s="56">
        <v>0</v>
      </c>
      <c r="G9" s="56">
        <v>115.214</v>
      </c>
      <c r="H9" s="56">
        <v>126.735</v>
      </c>
      <c r="I9" s="56">
        <v>139.40799999999999</v>
      </c>
      <c r="J9" s="36">
        <f>SUM(I9-H9)</f>
        <v>12.672999999999988</v>
      </c>
    </row>
    <row r="10" spans="1:10" ht="42" customHeight="1">
      <c r="A10" s="93"/>
      <c r="B10" s="117"/>
      <c r="C10" s="11" t="s">
        <v>35</v>
      </c>
      <c r="D10" s="56">
        <v>200</v>
      </c>
      <c r="E10" s="56">
        <v>500</v>
      </c>
      <c r="F10" s="56">
        <v>495</v>
      </c>
      <c r="G10" s="56">
        <v>500</v>
      </c>
      <c r="H10" s="56">
        <v>300</v>
      </c>
      <c r="I10" s="56">
        <v>500</v>
      </c>
      <c r="J10" s="36">
        <f>SUM(I10-H10)</f>
        <v>200</v>
      </c>
    </row>
    <row r="11" spans="1:10" ht="46.5" customHeight="1">
      <c r="A11" s="93"/>
      <c r="B11" s="117"/>
      <c r="C11" s="11" t="s">
        <v>37</v>
      </c>
      <c r="D11" s="56">
        <v>150.4</v>
      </c>
      <c r="E11" s="56">
        <v>0</v>
      </c>
      <c r="F11" s="56">
        <v>0</v>
      </c>
      <c r="G11" s="56">
        <v>500</v>
      </c>
      <c r="H11" s="56">
        <v>500</v>
      </c>
      <c r="I11" s="56">
        <v>400</v>
      </c>
      <c r="J11" s="36">
        <f>SUM(I11-H11)</f>
        <v>-100</v>
      </c>
    </row>
    <row r="12" spans="1:10" ht="54" customHeight="1">
      <c r="A12" s="93"/>
      <c r="B12" s="117"/>
      <c r="C12" s="11" t="s">
        <v>39</v>
      </c>
      <c r="D12" s="56">
        <v>0</v>
      </c>
      <c r="E12" s="56">
        <v>330.78</v>
      </c>
      <c r="F12" s="56">
        <v>0</v>
      </c>
      <c r="G12" s="56">
        <v>0</v>
      </c>
      <c r="H12" s="56">
        <v>0</v>
      </c>
      <c r="I12" s="56">
        <v>0</v>
      </c>
      <c r="J12" s="36">
        <f>SUM(I12-H12)</f>
        <v>0</v>
      </c>
    </row>
    <row r="13" spans="1:10" ht="24.75" customHeight="1" thickBot="1">
      <c r="A13" s="10"/>
      <c r="B13" s="12" t="s">
        <v>26</v>
      </c>
      <c r="C13" s="12" t="s">
        <v>48</v>
      </c>
      <c r="D13" s="57">
        <f t="shared" ref="D13:J13" si="0">SUM(D8:D12)</f>
        <v>2930.23</v>
      </c>
      <c r="E13" s="57">
        <f t="shared" si="0"/>
        <v>1929.41</v>
      </c>
      <c r="F13" s="57">
        <f t="shared" si="0"/>
        <v>1162.5900000000001</v>
      </c>
      <c r="G13" s="57">
        <f t="shared" si="0"/>
        <v>2115.2139999999999</v>
      </c>
      <c r="H13" s="57">
        <f t="shared" si="0"/>
        <v>1726.7350000000001</v>
      </c>
      <c r="I13" s="57">
        <f t="shared" si="0"/>
        <v>2539.4079999999999</v>
      </c>
      <c r="J13" s="3">
        <f t="shared" si="0"/>
        <v>812.673</v>
      </c>
    </row>
    <row r="14" spans="1:10" ht="10.5" customHeight="1" thickTop="1">
      <c r="D14" s="58"/>
      <c r="E14" s="58"/>
      <c r="F14" s="58"/>
      <c r="G14" s="58"/>
      <c r="H14" s="58"/>
      <c r="I14" s="58"/>
    </row>
    <row r="15" spans="1:10">
      <c r="A15" s="93"/>
      <c r="B15" s="120" t="s">
        <v>76</v>
      </c>
      <c r="C15" s="11" t="s">
        <v>31</v>
      </c>
      <c r="D15" s="56">
        <v>0</v>
      </c>
      <c r="E15" s="56">
        <v>0</v>
      </c>
      <c r="F15" s="56">
        <v>0</v>
      </c>
      <c r="G15" s="56">
        <v>0</v>
      </c>
      <c r="H15" s="56">
        <v>0</v>
      </c>
      <c r="I15" s="56">
        <v>0</v>
      </c>
      <c r="J15" s="36">
        <f>SUM(I15-H15)</f>
        <v>0</v>
      </c>
    </row>
    <row r="16" spans="1:10">
      <c r="A16" s="93"/>
      <c r="B16" s="121"/>
      <c r="C16" s="11" t="s">
        <v>33</v>
      </c>
      <c r="D16" s="56">
        <v>0</v>
      </c>
      <c r="E16" s="56">
        <v>76.59</v>
      </c>
      <c r="F16" s="56">
        <v>0</v>
      </c>
      <c r="G16" s="56">
        <v>7</v>
      </c>
      <c r="H16" s="56">
        <v>8.5</v>
      </c>
      <c r="I16" s="56">
        <v>8.5</v>
      </c>
      <c r="J16" s="36">
        <f>SUM(I16-H16)</f>
        <v>0</v>
      </c>
    </row>
    <row r="17" spans="1:10">
      <c r="A17" s="93"/>
      <c r="B17" s="121"/>
      <c r="C17" s="11" t="s">
        <v>77</v>
      </c>
      <c r="D17" s="56">
        <v>0</v>
      </c>
      <c r="E17" s="56">
        <v>0</v>
      </c>
      <c r="F17" s="56">
        <v>0</v>
      </c>
      <c r="G17" s="56">
        <v>0</v>
      </c>
      <c r="H17" s="56">
        <v>0</v>
      </c>
      <c r="I17" s="56">
        <v>0</v>
      </c>
      <c r="J17" s="36">
        <f>SUM(I17-H17)</f>
        <v>0</v>
      </c>
    </row>
    <row r="18" spans="1:10">
      <c r="A18" s="93"/>
      <c r="B18" s="121"/>
      <c r="C18" s="11" t="s">
        <v>36</v>
      </c>
      <c r="D18" s="56">
        <v>0</v>
      </c>
      <c r="E18" s="56">
        <v>0</v>
      </c>
      <c r="F18" s="56">
        <v>0</v>
      </c>
      <c r="G18" s="56">
        <v>0</v>
      </c>
      <c r="H18" s="56">
        <v>0</v>
      </c>
      <c r="I18" s="56">
        <v>0</v>
      </c>
      <c r="J18" s="36">
        <f>SUM(I18-H18)</f>
        <v>0</v>
      </c>
    </row>
    <row r="19" spans="1:10">
      <c r="A19" s="93"/>
      <c r="B19" s="122"/>
      <c r="C19" s="11" t="s">
        <v>38</v>
      </c>
      <c r="D19" s="56">
        <v>0</v>
      </c>
      <c r="E19" s="56">
        <v>0</v>
      </c>
      <c r="F19" s="56">
        <v>0</v>
      </c>
      <c r="G19" s="56">
        <v>0</v>
      </c>
      <c r="H19" s="56">
        <v>0</v>
      </c>
      <c r="I19" s="56">
        <v>0</v>
      </c>
      <c r="J19" s="36">
        <f>SUM(I19-H19)</f>
        <v>0</v>
      </c>
    </row>
    <row r="20" spans="1:10" ht="15" thickBot="1">
      <c r="A20" s="10"/>
      <c r="B20" s="12" t="s">
        <v>26</v>
      </c>
      <c r="C20" s="12" t="s">
        <v>48</v>
      </c>
      <c r="D20" s="57">
        <f t="shared" ref="D20:J20" si="1">SUM(D15:D19)</f>
        <v>0</v>
      </c>
      <c r="E20" s="57">
        <f t="shared" si="1"/>
        <v>76.59</v>
      </c>
      <c r="F20" s="57">
        <f t="shared" si="1"/>
        <v>0</v>
      </c>
      <c r="G20" s="57">
        <f t="shared" si="1"/>
        <v>7</v>
      </c>
      <c r="H20" s="57">
        <f t="shared" si="1"/>
        <v>8.5</v>
      </c>
      <c r="I20" s="57">
        <f t="shared" si="1"/>
        <v>8.5</v>
      </c>
      <c r="J20" s="3">
        <f t="shared" si="1"/>
        <v>0</v>
      </c>
    </row>
    <row r="21" spans="1:10" ht="15" thickTop="1">
      <c r="A21" s="83"/>
      <c r="B21" s="84"/>
      <c r="C21" s="84"/>
      <c r="D21" s="85"/>
      <c r="E21" s="85"/>
      <c r="F21" s="85"/>
      <c r="G21" s="85"/>
      <c r="H21" s="85"/>
      <c r="I21" s="85"/>
      <c r="J21" s="86"/>
    </row>
    <row r="22" spans="1:10" ht="12.75" customHeight="1"/>
    <row r="23" spans="1:10" ht="11.25" customHeight="1"/>
    <row r="24" spans="1:10" ht="15.75">
      <c r="H24" s="99" t="s">
        <v>88</v>
      </c>
      <c r="I24" s="99"/>
      <c r="J24" s="53" t="s">
        <v>69</v>
      </c>
    </row>
    <row r="25" spans="1:10" ht="15.75">
      <c r="H25" s="99" t="s">
        <v>70</v>
      </c>
      <c r="I25" s="99"/>
      <c r="J25" s="53" t="s">
        <v>70</v>
      </c>
    </row>
    <row r="26" spans="1:10" ht="15.75">
      <c r="H26" s="99" t="s">
        <v>71</v>
      </c>
      <c r="I26" s="99"/>
      <c r="J26" s="53" t="s">
        <v>71</v>
      </c>
    </row>
  </sheetData>
  <mergeCells count="15">
    <mergeCell ref="C5:C6"/>
    <mergeCell ref="D5:F5"/>
    <mergeCell ref="A15:A19"/>
    <mergeCell ref="B15:B19"/>
    <mergeCell ref="H4:I4"/>
    <mergeCell ref="H26:I26"/>
    <mergeCell ref="H24:I24"/>
    <mergeCell ref="A8:A12"/>
    <mergeCell ref="B8:B12"/>
    <mergeCell ref="A1:I1"/>
    <mergeCell ref="A2:I2"/>
    <mergeCell ref="A3:I3"/>
    <mergeCell ref="A5:A6"/>
    <mergeCell ref="B5:B6"/>
    <mergeCell ref="H25:I25"/>
  </mergeCells>
  <pageMargins left="0.49" right="0.16" top="0.5" bottom="0.5" header="0.3" footer="0.3"/>
  <pageSetup paperSize="9" scale="8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view="pageBreakPreview" topLeftCell="A6" zoomScaleNormal="100" zoomScaleSheetLayoutView="100" workbookViewId="0">
      <selection activeCell="L23" sqref="L23"/>
    </sheetView>
  </sheetViews>
  <sheetFormatPr defaultRowHeight="14.25"/>
  <cols>
    <col min="1" max="1" width="4.28515625" style="6" customWidth="1"/>
    <col min="2" max="2" width="18.85546875" style="6" customWidth="1"/>
    <col min="3" max="3" width="29" style="6" customWidth="1"/>
    <col min="4" max="4" width="13.42578125" style="6" customWidth="1"/>
    <col min="5" max="5" width="14.5703125" style="6" customWidth="1"/>
    <col min="6" max="6" width="14.42578125" style="6" customWidth="1"/>
    <col min="7" max="7" width="14.7109375" style="6" customWidth="1"/>
    <col min="8" max="8" width="17.5703125" style="6" customWidth="1"/>
    <col min="9" max="9" width="15.140625" style="6" customWidth="1"/>
    <col min="10" max="16384" width="9.140625" style="6"/>
  </cols>
  <sheetData>
    <row r="1" spans="1:9">
      <c r="A1" s="123" t="str">
        <f>'155 217 271 315  2461'!A1</f>
        <v>अर्थसंकल्पीय अंदाजपत्रक सन 2026-2027</v>
      </c>
      <c r="B1" s="123"/>
      <c r="C1" s="123"/>
      <c r="D1" s="123"/>
      <c r="E1" s="123"/>
      <c r="F1" s="123"/>
      <c r="G1" s="123"/>
      <c r="H1" s="123"/>
      <c r="I1" s="123"/>
    </row>
    <row r="2" spans="1:9">
      <c r="A2" s="106" t="s">
        <v>74</v>
      </c>
      <c r="B2" s="106"/>
      <c r="C2" s="106"/>
      <c r="D2" s="106"/>
      <c r="E2" s="106"/>
      <c r="F2" s="106"/>
      <c r="G2" s="106"/>
      <c r="H2" s="106"/>
      <c r="I2" s="106"/>
    </row>
    <row r="3" spans="1:9" ht="15">
      <c r="A3" s="124" t="s">
        <v>1</v>
      </c>
      <c r="B3" s="124"/>
      <c r="C3" s="124"/>
      <c r="D3" s="124"/>
      <c r="E3" s="124"/>
      <c r="F3" s="124"/>
      <c r="G3" s="124"/>
      <c r="H3" s="124"/>
      <c r="I3" s="124"/>
    </row>
    <row r="4" spans="1:9" ht="28.5">
      <c r="A4" s="125" t="str">
        <f>'155 217 271 315  2461'!A4</f>
        <v>अ. क्र</v>
      </c>
      <c r="B4" s="125" t="str">
        <f>'155 217 271 315  2461'!B4</f>
        <v>लेखाशिर्ष</v>
      </c>
      <c r="C4" s="125" t="s">
        <v>72</v>
      </c>
      <c r="D4" s="125" t="s">
        <v>15</v>
      </c>
      <c r="E4" s="125"/>
      <c r="F4" s="125"/>
      <c r="G4" s="17" t="s">
        <v>16</v>
      </c>
      <c r="H4" s="17" t="s">
        <v>21</v>
      </c>
      <c r="I4" s="17" t="s">
        <v>16</v>
      </c>
    </row>
    <row r="5" spans="1:9">
      <c r="A5" s="125"/>
      <c r="B5" s="125"/>
      <c r="C5" s="125"/>
      <c r="D5" s="61" t="s">
        <v>50</v>
      </c>
      <c r="E5" s="61" t="s">
        <v>59</v>
      </c>
      <c r="F5" s="61" t="s">
        <v>79</v>
      </c>
      <c r="G5" s="2" t="s">
        <v>85</v>
      </c>
      <c r="H5" s="2" t="s">
        <v>85</v>
      </c>
      <c r="I5" s="2" t="s">
        <v>86</v>
      </c>
    </row>
    <row r="6" spans="1:9" ht="36.75" customHeight="1">
      <c r="A6" s="18">
        <f>'155 217 271 315  2461'!A6</f>
        <v>1</v>
      </c>
      <c r="B6" s="18">
        <f>'155 217 271 315  2461'!B6</f>
        <v>2</v>
      </c>
      <c r="C6" s="18"/>
      <c r="D6" s="18">
        <v>3</v>
      </c>
      <c r="E6" s="18">
        <v>4</v>
      </c>
      <c r="F6" s="18">
        <v>5</v>
      </c>
      <c r="G6" s="19">
        <v>6</v>
      </c>
      <c r="H6" s="18">
        <v>7</v>
      </c>
      <c r="I6" s="18">
        <v>8</v>
      </c>
    </row>
    <row r="7" spans="1:9" ht="36.75" customHeight="1">
      <c r="A7" s="19">
        <v>1</v>
      </c>
      <c r="B7" s="20">
        <v>22450093</v>
      </c>
      <c r="C7" s="19" t="s">
        <v>1</v>
      </c>
      <c r="D7" s="21">
        <f>'22450093 22452185'!D23</f>
        <v>980.74</v>
      </c>
      <c r="E7" s="21">
        <f>'22450093 22452185'!E23</f>
        <v>0</v>
      </c>
      <c r="F7" s="21">
        <f>'22450093 22452185'!F23</f>
        <v>0</v>
      </c>
      <c r="G7" s="21">
        <f>'22450093 22452185'!G23</f>
        <v>500</v>
      </c>
      <c r="H7" s="21">
        <f>'22450093 22452185'!H23</f>
        <v>0</v>
      </c>
      <c r="I7" s="21">
        <f>'22450093 22452185'!I23</f>
        <v>0</v>
      </c>
    </row>
    <row r="8" spans="1:9" ht="36.75" customHeight="1">
      <c r="A8" s="19">
        <v>2</v>
      </c>
      <c r="B8" s="20">
        <v>22452185</v>
      </c>
      <c r="C8" s="19" t="s">
        <v>1</v>
      </c>
      <c r="D8" s="21">
        <f>'22450093 22452185'!D40</f>
        <v>3622.47</v>
      </c>
      <c r="E8" s="21">
        <f>'22450093 22452185'!E40</f>
        <v>0</v>
      </c>
      <c r="F8" s="21">
        <f>'22450093 22452185'!F40</f>
        <v>0</v>
      </c>
      <c r="G8" s="21">
        <f>'22450093 22452185'!G40</f>
        <v>0</v>
      </c>
      <c r="H8" s="21">
        <f>'22450093 22452185'!H40</f>
        <v>0</v>
      </c>
      <c r="I8" s="21">
        <f>'22450093 22452185'!I40</f>
        <v>0</v>
      </c>
    </row>
    <row r="9" spans="1:9" ht="36.75" customHeight="1">
      <c r="A9" s="19">
        <v>3</v>
      </c>
      <c r="B9" s="20" t="s">
        <v>73</v>
      </c>
      <c r="C9" s="19" t="s">
        <v>1</v>
      </c>
      <c r="D9" s="21">
        <f>SUM('2215A195 2215A201'!D13)</f>
        <v>2930.23</v>
      </c>
      <c r="E9" s="21">
        <f>SUM('2215A195 2215A201'!E13)</f>
        <v>1929.41</v>
      </c>
      <c r="F9" s="21">
        <f>SUM('2215A195 2215A201'!F13)</f>
        <v>1162.5900000000001</v>
      </c>
      <c r="G9" s="21">
        <f>SUM('2215A195 2215A201'!G13)</f>
        <v>2115.2139999999999</v>
      </c>
      <c r="H9" s="21">
        <f>SUM('2215A195 2215A201'!H13)</f>
        <v>1726.7350000000001</v>
      </c>
      <c r="I9" s="21">
        <f>SUM('2215A195 2215A201'!I13)</f>
        <v>2539.4079999999999</v>
      </c>
    </row>
    <row r="10" spans="1:9">
      <c r="A10" s="25">
        <v>4</v>
      </c>
      <c r="B10" s="25" t="s">
        <v>81</v>
      </c>
      <c r="C10" s="19" t="s">
        <v>1</v>
      </c>
      <c r="D10" s="26">
        <f>SUM('2215A195 2215A201'!D20)</f>
        <v>0</v>
      </c>
      <c r="E10" s="26">
        <f>SUM('2215A195 2215A201'!E20)</f>
        <v>76.59</v>
      </c>
      <c r="F10" s="26">
        <f>SUM('2215A195 2215A201'!F20)</f>
        <v>0</v>
      </c>
      <c r="G10" s="26">
        <f>SUM('2215A195 2215A201'!G20)</f>
        <v>7</v>
      </c>
      <c r="H10" s="26">
        <f>SUM('2215A195 2215A201'!H20)</f>
        <v>8.5</v>
      </c>
      <c r="I10" s="26">
        <f>SUM('2215A195 2215A201'!I20)</f>
        <v>8.5</v>
      </c>
    </row>
    <row r="13" spans="1:9" ht="18.75" customHeight="1">
      <c r="H13" s="68" t="s">
        <v>89</v>
      </c>
      <c r="I13" s="63"/>
    </row>
    <row r="14" spans="1:9" ht="18.75" customHeight="1">
      <c r="H14" s="69" t="s">
        <v>91</v>
      </c>
      <c r="I14" s="69"/>
    </row>
    <row r="15" spans="1:9" ht="18.75" customHeight="1">
      <c r="H15" s="69" t="s">
        <v>90</v>
      </c>
      <c r="I15" s="69"/>
    </row>
  </sheetData>
  <mergeCells count="7">
    <mergeCell ref="A1:I1"/>
    <mergeCell ref="A2:I2"/>
    <mergeCell ref="A3:I3"/>
    <mergeCell ref="C4:C5"/>
    <mergeCell ref="D4:F4"/>
    <mergeCell ref="A4:A5"/>
    <mergeCell ref="B4:B5"/>
  </mergeCells>
  <pageMargins left="0.24" right="0.16" top="0.38"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155 217 271 315  2461</vt:lpstr>
      <vt:lpstr>Div com</vt:lpstr>
      <vt:lpstr>22450093 22452185</vt:lpstr>
      <vt:lpstr>2215A195 2215A201</vt:lpstr>
      <vt:lpstr>Div Com WS</vt:lpstr>
      <vt:lpstr>'155 217 271 315  2461'!Print_Area</vt:lpstr>
      <vt:lpstr>'2215A195 2215A201'!Print_Area</vt:lpstr>
      <vt:lpstr>'22450093 22452185'!Print_Area</vt:lpstr>
      <vt:lpstr>'Div com'!Print_Area</vt:lpstr>
      <vt:lpstr>'Div Com WS'!Print_Area</vt:lpstr>
      <vt:lpstr>'155 217 271 315  2461'!Print_Titles</vt:lpstr>
      <vt:lpstr>'22450093 22452185'!Print_Titles</vt:lpstr>
      <vt:lpstr>'Div com'!Print_Titles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lekha mail</dc:creator>
  <cp:lastModifiedBy>cloudconvert_19</cp:lastModifiedBy>
  <cp:lastPrinted>2025-11-10T10:00:14Z</cp:lastPrinted>
  <dcterms:created xsi:type="dcterms:W3CDTF">2012-09-20T07:51:02Z</dcterms:created>
  <dcterms:modified xsi:type="dcterms:W3CDTF">2026-01-22T08:57:35Z</dcterms:modified>
</cp:coreProperties>
</file>